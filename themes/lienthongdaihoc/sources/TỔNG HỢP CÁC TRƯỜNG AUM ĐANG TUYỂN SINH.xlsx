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ỔNG HỢP CÁC TRƯỜNG AUM TUYỂN S" sheetId="1" r:id="rId4"/>
    <sheet state="visible" name="Lịch chốt, lịch khai giảng upda" sheetId="2" r:id="rId5"/>
    <sheet state="visible" name="Mãu bài đăng + hình ảnh truyền " sheetId="3" r:id="rId6"/>
    <sheet state="visible" name="Câu hỏi FAQ khi ĐT tư vấn, tìm " sheetId="4" r:id="rId7"/>
    <sheet state="hidden" name="Tài khoản mail ĐT" sheetId="5" r:id="rId8"/>
    <sheet state="hidden" name="Hợp đồng DLL" sheetId="6" r:id="rId9"/>
    <sheet state="hidden" name="ĐT thiếu thông tin 2024" sheetId="7" r:id="rId10"/>
    <sheet state="hidden" name="Cập nhật thông tin đối tác" sheetId="8" r:id="rId11"/>
    <sheet state="hidden" name="Cập nhật STK đối tác" sheetId="9" r:id="rId12"/>
    <sheet state="hidden" name="Cơ cấu lại PRM POM" sheetId="10" r:id="rId13"/>
    <sheet state="hidden" name="Thưởng TVTS" sheetId="11" r:id="rId14"/>
    <sheet state="hidden" name="Phân bổ HV tự chốt" sheetId="12" r:id="rId15"/>
    <sheet state="hidden" name="AOF - PB LẠI" sheetId="13" r:id="rId16"/>
    <sheet state="hidden" name="Thông tin nsu" sheetId="14" r:id="rId17"/>
    <sheet state="hidden" name="Trang tính45" sheetId="15" r:id="rId18"/>
    <sheet state="hidden" name="DANH SÁCH ĐT ĐỀ XUẤT NHẬN QUÀ T" sheetId="16" r:id="rId19"/>
    <sheet state="hidden" name="DS CẬP NHẬT LẠI STK ĐỐI TÁC" sheetId="17" r:id="rId20"/>
    <sheet state="hidden" name="DANH SÁCH ĐT ĐỀ XUẤT NHẬN QUÀ 2" sheetId="18" r:id="rId21"/>
    <sheet state="hidden" name="Làm tài liệu" sheetId="19" r:id="rId22"/>
    <sheet state="hidden" name="Biến động CN" sheetId="20" r:id="rId23"/>
    <sheet state="hidden" name="Trang tính28" sheetId="21" r:id="rId24"/>
    <sheet state="hidden" name="Tham số" sheetId="22" r:id="rId25"/>
    <sheet state="hidden" name="Theo dõi các CT của TEAM CẤP 1" sheetId="23" r:id="rId26"/>
  </sheets>
  <definedNames>
    <definedName hidden="1" localSheetId="5" name="_xlnm._FilterDatabase">'Hợp đồng DLL'!$A$2:$AA$67</definedName>
    <definedName hidden="1" localSheetId="11" name="_xlnm._FilterDatabase">'Phân bổ HV tự chốt'!$A$1:$AB$70</definedName>
    <definedName hidden="1" localSheetId="15" name="Z_0A12F1C8_88FF_49EC_8FC8_11CDD1C35603_.wvu.FilterData">'DANH SÁCH ĐT ĐỀ XUẤT NHẬN QUÀ T'!$A$1:$T$73</definedName>
    <definedName hidden="1" localSheetId="11" name="Z_27F409FC_4BC4_4DF0_A229_D1785A50C76E_.wvu.FilterData">'Phân bổ HV tự chốt'!$A$1:$AB$49</definedName>
  </definedNames>
  <calcPr/>
  <customWorkbookViews>
    <customWorkbookView activeSheetId="0" maximized="1" windowHeight="0" windowWidth="0" guid="{27F409FC-4BC4-4DF0-A229-D1785A50C76E}" name="Bộ lọc 1"/>
    <customWorkbookView activeSheetId="0" maximized="1" windowHeight="0" windowWidth="0" guid="{0A12F1C8-88FF-49EC-8FC8-11CDD1C35603}" name="NTT"/>
  </customWorkbookViews>
  <extLst>
    <ext uri="GoogleSheetsCustomDataVersion2">
      <go:sheetsCustomData xmlns:go="http://customooxmlschemas.google.com/" r:id="rId27" roundtripDataChecksum="7H7b1k8Zof9WnFcdkxzTOG7yVsi/McDbjoN9TTMXu9U="/>
    </ext>
  </extLst>
</workbook>
</file>

<file path=xl/sharedStrings.xml><?xml version="1.0" encoding="utf-8"?>
<sst xmlns="http://schemas.openxmlformats.org/spreadsheetml/2006/main" count="6629" uniqueCount="3549">
  <si>
    <t>STT</t>
  </si>
  <si>
    <t>TRƯỜNG</t>
  </si>
  <si>
    <t>NGÀNH/ KHÓA HỌC</t>
  </si>
  <si>
    <t xml:space="preserve">HÌNH THỨC XÉT TUYỂN </t>
  </si>
  <si>
    <t>ĐỐI TƯỢNG TUYỂN SINH VÀ THỜI GIAN ĐÀO TẠO</t>
  </si>
  <si>
    <t>SỐ TÍN CHỈ TOÀN KHÓA HỌC</t>
  </si>
  <si>
    <t>SỐ TIỀN CẦN ĐÓNG</t>
  </si>
  <si>
    <t>SỐ TÀI KHOẢN NHẬN</t>
  </si>
  <si>
    <t>ĐỊA ĐIỂM THI</t>
  </si>
  <si>
    <t xml:space="preserve">HỒ SƠ CẦN CÓ </t>
  </si>
  <si>
    <t xml:space="preserve">ĐÀO TẠO </t>
  </si>
  <si>
    <t>(mang tính chất tương đối)</t>
  </si>
  <si>
    <t>THPT</t>
  </si>
  <si>
    <t>TCKN</t>
  </si>
  <si>
    <t>TCCN</t>
  </si>
  <si>
    <t>CĐ KN</t>
  </si>
  <si>
    <t>CĐ CN</t>
  </si>
  <si>
    <t>ĐH</t>
  </si>
  <si>
    <t>Số tín chỉ học (đối tượng từ THPT)</t>
  </si>
  <si>
    <t>Hình thức học</t>
  </si>
  <si>
    <t>Học phí /1 tín chỉ (VNĐ)</t>
  </si>
  <si>
    <t>Ghi chú</t>
  </si>
  <si>
    <t>Thu theo số tín đầu vào ( quy đinh của trường )</t>
  </si>
  <si>
    <t>Thi Lại ( quy đinh của trường)</t>
  </si>
  <si>
    <t>Hà Nội</t>
  </si>
  <si>
    <t>Thái Nguyên</t>
  </si>
  <si>
    <t>Đà nẵng</t>
  </si>
  <si>
    <t>Hồ Chí Minh</t>
  </si>
  <si>
    <t>Nhật Bản</t>
  </si>
  <si>
    <t>( Theo quy đinh của Trường)</t>
  </si>
  <si>
    <t xml:space="preserve">Thông báo tuyển sinh </t>
  </si>
  <si>
    <t>Khung chương trình đào tạo</t>
  </si>
  <si>
    <t xml:space="preserve">Yêu cầu đâu ra </t>
  </si>
  <si>
    <t>Mẫu văn bằng + bảng điểm</t>
  </si>
  <si>
    <t xml:space="preserve">Quy định rút phí </t>
  </si>
  <si>
    <t xml:space="preserve">Thời gian cấp tài khoản </t>
  </si>
  <si>
    <t>ĐẠI HỌC KINH TẾ QUỐC DÂN</t>
  </si>
  <si>
    <t>Kế toán</t>
  </si>
  <si>
    <t>1. Đối tượng THPT, TC, ĐH, CD : xét 3 năm lớp 10, 11, 12
- Tổ hợp 3 môn: Toán, văn, anh ( ko môn nào dưới 5)
- Tư vấn lọc điểm đầu vào: khoảng 16, 17 điểm ( với học viên đã tốt nghiệp lâu rồi)
- Với học viên 2K6, 2k7: thì sẽ xét điểm đạt khoảng 22 điểm đầu vào</t>
  </si>
  <si>
    <t>không xét</t>
  </si>
  <si>
    <t>132 tín chỉ</t>
  </si>
  <si>
    <t>Học Trực Tuyến</t>
  </si>
  <si>
    <t>700k/1 tín</t>
  </si>
  <si>
    <t>Đối tượng có bằng Cao Đẳng, Đại Học được xét miễn môn theo hội đồng xét của nhà trường</t>
  </si>
  <si>
    <r>
      <rPr>
        <rFont val="Times New Roman"/>
        <color theme="1"/>
        <sz val="14.0"/>
      </rPr>
      <t xml:space="preserve">
 -</t>
    </r>
    <r>
      <rPr>
        <rFont val="Times New Roman"/>
        <b/>
        <color theme="1"/>
        <sz val="14.0"/>
      </rPr>
      <t xml:space="preserve"> Lệ phí xét tuyển: </t>
    </r>
    <r>
      <rPr>
        <rFont val="Times New Roman"/>
        <color theme="1"/>
        <sz val="14.0"/>
      </rPr>
      <t xml:space="preserve">200.000 đồng/ học viên/ ngành học. 
 </t>
    </r>
  </si>
  <si>
    <t>150k/1 lần</t>
  </si>
  <si>
    <t>Nộp bằng hình thức chuyển khoản: Thông tin tài khoản của Đại học Kinh tế Quốc dân: 
• Tên tài khoản: Đại học Kinh tế quốc dân 
• Số Tài khoản: 0651126868686</t>
  </si>
  <si>
    <t>Đại Học Kinh Tế Quốc Dân 
 207A, Giải Phóng, Hai Bà Trưng, Hà Nội</t>
  </si>
  <si>
    <t>Không có</t>
  </si>
  <si>
    <t>CAO ĐẲNG VIỆT MỸ 
 Đ/c 1: Số 5,7,9,11 đường số 4, khu dân cư Trung Sơn, Bình Hưng, Bình Chánh, Hồ Chí Minh.
 Đ/c 2: quận 7, Đường Trần Văn Trà</t>
  </si>
  <si>
    <t xml:space="preserve">HỌC VIỆN TOKYO SANRITSU NHẬT BẢN
Địa chỉ: 1-3-14 Kamitakaido, Suginami-Ku, Tokyo, Japan, 168-0074
</t>
  </si>
  <si>
    <t>Hồ sơ đăng ký xét tuyển:
•           01 Phiếu Đăng ký xét tuyển: ghi rõ các thông tin, đặc biệt là “Nơi sinh” cần ghi đúng nơi sinh trong Giấy khai sinh. Đây là thông tin để ghi vào Hồ sơ HSSV và bằng tốt nghiệp Đại học khi tốt nghiệp.
•           01 Phiếu tuyển sinh (file đính kèm) Có dán ảnh và đóng dấu đỏ ( có giáp lai trên ảnh) và xác nhận của cơ quan hoặc chính quyền địa phương hoặc văn phòng công chứng.
•           03 Bản sao công chứng bằng tốt nghiệp.
•           03 Bản sao công chứng bảng điểm/ học bạ.
•           01 bản sao công chứng giấy khai sinh + 01 bản  CMT/ CCCD có photo công chứng
•           01 Phiếu chuyển đổi kết quả học tập (Với đối tượng có bằng CĐ/ĐH phải làm phiếu này)
•           02 ảnh thẻ nền trắng hoặc xanh (3x4 hoặc 4x6)
Thông tin: ENEU - Đại học Kinh tế Quốc Dân</t>
  </si>
  <si>
    <t>Đại học Kinh tế Quốc Dân (trạm HN, HCM)</t>
  </si>
  <si>
    <t>Khung Chương trình</t>
  </si>
  <si>
    <t>- Chứng chỉ tin học văn phòng
- Chứng chỉ ngoại ngữ B2
- Chứng chỉ QPAN
- Chứng chỉ thể chất
4. QĐ 1104-27092024 ban hành CTĐT - CDR NN Bậc 4.pdf</t>
  </si>
  <si>
    <t>Mẫu bằng</t>
  </si>
  <si>
    <t xml:space="preserve">Theo mẫu quy định của Nhà Trường
Có đội ngũ TVTS và QLHT hỗ trợ sinh viên
Mẫu đơn rút hp các trường
	 </t>
  </si>
  <si>
    <t>Tài Chính Ngân hàng</t>
  </si>
  <si>
    <t>131 tín chỉ</t>
  </si>
  <si>
    <t>Quản trị kinh doanh</t>
  </si>
  <si>
    <t>129 tín chỉ</t>
  </si>
  <si>
    <t>Luật kinh tế</t>
  </si>
  <si>
    <t>HỌC VIỆN CÔNG NGHỆ BƯU CHÍNH VIỄN THÔNG</t>
  </si>
  <si>
    <t>Quản trị Kinh Doanh</t>
  </si>
  <si>
    <t>1. Đối tượng THPT, TC nghề cùng ngành từ năm 2026 trở đi  : Xét học bạ 3 năm ( lớp 10,11,12) 
- Tổ hợp xét tuyển (A00, A01, X06, X26, D01 ) từ 15 điểm 
2 . Đối tượng ĐH : Xét bằng
3. CĐ xét như đối tượng THPT</t>
  </si>
  <si>
    <t>Dựa theo bằng cấp học viên nộp để xét</t>
  </si>
  <si>
    <t>Xét tuyển thẳng những đối tượng có bằng ĐH, CĐ chỉnh quy</t>
  </si>
  <si>
    <r>
      <rPr>
        <rFont val="Times New Roman"/>
        <b/>
        <color theme="1"/>
        <sz val="14.0"/>
      </rPr>
      <t xml:space="preserve">Kinh phí nhập học: (Tổng: 9.770.000đ/ học viên/ ngành học) </t>
    </r>
    <r>
      <rPr>
        <rFont val="Times New Roman"/>
        <color theme="1"/>
        <sz val="14.0"/>
      </rPr>
      <t xml:space="preserve">
 -</t>
    </r>
    <r>
      <rPr>
        <rFont val="Times New Roman"/>
        <b/>
        <color theme="1"/>
        <sz val="14.0"/>
      </rPr>
      <t xml:space="preserve"> Lệ phí xét tuyển: </t>
    </r>
    <r>
      <rPr>
        <rFont val="Times New Roman"/>
        <color theme="1"/>
        <sz val="14.0"/>
      </rPr>
      <t xml:space="preserve">590.000 đồng/ học viên/ ngành học. 
 - </t>
    </r>
    <r>
      <rPr>
        <rFont val="Times New Roman"/>
        <b/>
        <color theme="1"/>
        <sz val="14.0"/>
      </rPr>
      <t>Học phí nhập học tạm thu:</t>
    </r>
    <r>
      <rPr>
        <rFont val="Times New Roman"/>
        <color theme="1"/>
        <sz val="14.0"/>
      </rPr>
      <t xml:space="preserve"> 9.180.000đồng/ học viên/ ngành học. ( thu 18 tín)</t>
    </r>
  </si>
  <si>
    <t>Nộp bằng tiền chuyển khoản:
 - Tên tài khoản: Trường Trung Cấp Y Dược Lê Hữu Trác 
 - STK : 2601681184 
 - Tại ngân hàng BIDV- Chi nhánh : Mỹ Đình</t>
  </si>
  <si>
    <t>Trường trung cấp Y Dược LÊ HỮU TRÁC
 282A Kim Giang, Phường Đại Kim, Quận Hoàng Mai, TP. Hà Nội"</t>
  </si>
  <si>
    <t>HỌC VIỆN CÔNG NGHỆ BƯU CHÍNH VIỄN THÔNG (cơ sở HCM)</t>
  </si>
  <si>
    <t>- 01 Phiếu đăng ký dự tuyển ( Mẫu Học viện)
- 01 Phiếu tuyển sinh ( Mẫu Học viện)
- 01 Phiếu lý lịch học sinh, sinh viên ( Mẫu Bộ GD&amp;DT)
- 02 bản sao bằng THPT/ giấy chứng nhận tốt nghiệp tạm thời ( chưa hết hạn)
- 03 bản sao bằng+ bảng điểm tốt nghiệp Cao đẳng, Đại học ( đối tượng CD, DH)
- 02 bản sao học bạ THPT
- 02 bản sao/ trích lục Giấy khai sinh
- 01 bản sao CCCD
- 02 ảnh thẻ 3*4 ( ghi rõ họ tên, ngày sinh) chụp trong vòng 06 tháng kể từ ngày nộp hồ sơ dự tuyển
( Bản sao hợp lệ là bản sao có công chứng)
Link hồ sơ: PTIT - Học viện Công nghệ Bưu chính Viễn Thông</t>
  </si>
  <si>
    <t>1.0 TBTS 2026.03.25.pdf</t>
  </si>
  <si>
    <t>KHUNG CHƯƠNG TRÌNH</t>
  </si>
  <si>
    <t xml:space="preserve">Chứng chỉ tin học và ngoại ngữ </t>
  </si>
  <si>
    <t>Mẫu Bằng.jpg</t>
  </si>
  <si>
    <t>Công Nghệ Thông Tin</t>
  </si>
  <si>
    <t>152 tín chỉ</t>
  </si>
  <si>
    <r>
      <rPr>
        <rFont val="Times New Roman"/>
        <b/>
        <color theme="1"/>
        <sz val="14.0"/>
      </rPr>
      <t xml:space="preserve">Kinh phí nhập học: (Tổng: 10.130.000đ/ học viên/ ngành học) </t>
    </r>
    <r>
      <rPr>
        <rFont val="Times New Roman"/>
        <color theme="1"/>
        <sz val="14.0"/>
      </rPr>
      <t xml:space="preserve">
 </t>
    </r>
    <r>
      <rPr>
        <rFont val="Times New Roman"/>
        <b/>
        <color theme="1"/>
        <sz val="14.0"/>
      </rPr>
      <t>- Lệ phí xét tuyển</t>
    </r>
    <r>
      <rPr>
        <rFont val="Times New Roman"/>
        <color theme="1"/>
        <sz val="14.0"/>
      </rPr>
      <t xml:space="preserve">: 590.000 đồng/ học viên/ ngành học. 
 </t>
    </r>
    <r>
      <rPr>
        <rFont val="Times New Roman"/>
        <b/>
        <color theme="1"/>
        <sz val="14.0"/>
      </rPr>
      <t>- Học phí nhập học tạm thu</t>
    </r>
    <r>
      <rPr>
        <rFont val="Times New Roman"/>
        <color theme="1"/>
        <sz val="14.0"/>
      </rPr>
      <t>: 9.540.000đồng/ học viên/ ngành học. ( thu 18 tín)</t>
    </r>
  </si>
  <si>
    <t>Kỹ thuật điện tử viễn thông</t>
  </si>
  <si>
    <r>
      <rPr>
        <rFont val="Times New Roman"/>
        <b/>
        <color theme="1"/>
        <sz val="14.0"/>
      </rPr>
      <t xml:space="preserve">Kinh phí nhập học: (Tổng: 10.130.000đ/ học viên/ ngành học) </t>
    </r>
    <r>
      <rPr>
        <rFont val="Times New Roman"/>
        <color theme="1"/>
        <sz val="14.0"/>
      </rPr>
      <t xml:space="preserve">
 </t>
    </r>
    <r>
      <rPr>
        <rFont val="Times New Roman"/>
        <b/>
        <color theme="1"/>
        <sz val="14.0"/>
      </rPr>
      <t>- Lệ phí xét tuyển</t>
    </r>
    <r>
      <rPr>
        <rFont val="Times New Roman"/>
        <color theme="1"/>
        <sz val="14.0"/>
      </rPr>
      <t xml:space="preserve">: 590.000 đồng/ học viên/ ngành học. 
 </t>
    </r>
    <r>
      <rPr>
        <rFont val="Times New Roman"/>
        <b/>
        <color theme="1"/>
        <sz val="14.0"/>
      </rPr>
      <t>- Học phí nhập học tạm thu</t>
    </r>
    <r>
      <rPr>
        <rFont val="Times New Roman"/>
        <color theme="1"/>
        <sz val="14.0"/>
      </rPr>
      <t>: 9.540.000đồng/ học viên/ ngành học. ( thu 18 tín)</t>
    </r>
  </si>
  <si>
    <t>ĐẠI HỌC THÁI NGUYÊN</t>
  </si>
  <si>
    <t>Ngôn ngữ Anh</t>
  </si>
  <si>
    <t>Xét tuyển từ bằng THPT</t>
  </si>
  <si>
    <t>2,5-4</t>
  </si>
  <si>
    <t>85-124 tín</t>
  </si>
  <si>
    <t xml:space="preserve">
 570.000đ.</t>
  </si>
  <si>
    <t>Xét tuyển thẳng những đối tượng có bằng ĐH, CĐ . Số tín chỉ áp dụng cho hệ CĐ, ĐH trở lên</t>
  </si>
  <si>
    <r>
      <rPr>
        <rFont val="Times New Roman"/>
        <b/>
        <color theme="1"/>
        <sz val="14.0"/>
      </rPr>
      <t>Kinh phí nhập học:</t>
    </r>
    <r>
      <rPr>
        <rFont val="Times New Roman"/>
        <color theme="1"/>
        <sz val="14.0"/>
      </rPr>
      <t xml:space="preserve">
 - </t>
    </r>
    <r>
      <rPr>
        <rFont val="Times New Roman"/>
        <b/>
        <color theme="1"/>
        <sz val="14.0"/>
      </rPr>
      <t>Tiền làm thẻ sinh viên</t>
    </r>
    <r>
      <rPr>
        <rFont val="Times New Roman"/>
        <color theme="1"/>
        <sz val="14.0"/>
      </rPr>
      <t xml:space="preserve"> : 
+THPT, Trung cấp khác ngành: 350.000 đồng/cả khóa học.
+Cao đẳng khác khối ngành: 350.000 đồng/cả khóa học.
+Trung cấp cùng ngành: 300.000 đồng/cả khóa học.
+Ngành NNA đã có 01 bằng đại học, cao đẳng cùng ngành: 300.000 đồng/cả khóa học.
+Ngành NNT đã có 01 bằng đại học: 300.000 đồng/cả khóa học.
+Cao đẳng cùng khối ngành (ngoại trừ ngành NNA): 250.000 đồng/cả khóa học.
+Đại học cùng hoặc khác khối ngành (ngoại trừ ngành NNA và NNT): 250.000 đồng/cả khóa học.. 
 </t>
    </r>
    <r>
      <rPr>
        <rFont val="Times New Roman"/>
        <b/>
        <color theme="1"/>
        <sz val="14.0"/>
      </rPr>
      <t>- Học phí nhập học tạm thu</t>
    </r>
    <r>
      <rPr>
        <rFont val="Times New Roman"/>
        <color theme="1"/>
        <sz val="14.0"/>
      </rPr>
      <t>: 6.270.000 đồng/ học viên/ ngành học. ( thu 11 tín)</t>
    </r>
  </si>
  <si>
    <t>Nộp bằng tiền chuyển khoản: 
 - Tên tài khoản: Công ty Cổ phần tư vấn dịch vụ đào tạo AUM Việt Nam 
 - STK: 19128642088898 
 - Tại ngân hàng Techcombank – Chi nhánh Đông Đô</t>
  </si>
  <si>
    <t>CS1 : Trường CĐ cơ điện HN số 160 Trần Vỹ, Mai Dịch, Cầu Giấy, HN 
 CS2: Trường TC kinh 1 HN. Số 54 Vũ Trọng Phụng, Thanh Xuân, HN</t>
  </si>
  <si>
    <t>Trung Tâm GDTX tỉnh Thái Nguyên
 ngõ 185 đường Lương Ngọc Quyến, phường Hoàn Văn Thụ, Tp. Thái Nguyên</t>
  </si>
  <si>
    <t>Trường cao đẳng công nghệ y dược Việt Nam
 116 Nguyễn Huy Tưởng, Hoà An, Liên Chiểu, Đà Nẵng</t>
  </si>
  <si>
    <t>Trung Tâm GDTX Tôn Đức Thắng - Tp. Hồ Chí Minh
 37/3 - 37/5 Ngô Tất Tố, Phường 21, quận Bình Thạnh, Tp. Hồ Chí Minh</t>
  </si>
  <si>
    <t xml:space="preserve">Không có </t>
  </si>
  <si>
    <t>Hồ sơ cần hoàn thiện gồm:
+ 2 Giấy khai sinh/ CCCD  (photo công chứng)
+ 2 Bằng tốt nghiệp đại học  (photo công chứng)- Không nộp bản chính
+ 2 Ảnh 3*4 ghi rõ họ tên, ngày sinh, nơi sinh - để vào phong bì ( không kể ảnh dán trên SYLL )
+ 2 Phiếu đăng ký xét tuyển - ghi rõ địa điểm đặt lớp
+ 2 Sơ yếu lí lịch (theo mẫu của Trung tâm Đào tạo từ xa) được điền đầy đủ thông tin, dán ảnh và có xác nhận của chính quyền địa phương hoặc cơ quan đang công tác
+ 2 Hồ sơ tuyển sinh
LƯU Ý: DẤU XÁC NHẬN TRONG SƠ YẾU LÝ LỊCH SẼ ĐÓNG VÀO MỤC (1), KHÔNG TẨY XÓA FORM MẪU
link hồ sơ: TNU - Đại học Thái Nguyên</t>
  </si>
  <si>
    <t>TBTS Elearning Đợt 2.pdf</t>
  </si>
  <si>
    <t>Khung chương trình học</t>
  </si>
  <si>
    <t>Với THPT yêu cầu cc quốc phòng</t>
  </si>
  <si>
    <t>Ảnh bằng và bảng điểm</t>
  </si>
  <si>
    <t>Ngôn ngữ Trung</t>
  </si>
  <si>
    <t>68 - 122 tín chỉ</t>
  </si>
  <si>
    <t>2-2,5</t>
  </si>
  <si>
    <t>65 - 124 tín chỉ</t>
  </si>
  <si>
    <t>63 - 125 tín chỉ</t>
  </si>
  <si>
    <t>Kế toán tổng hợp</t>
  </si>
  <si>
    <t>63 - 122 tín chỉ</t>
  </si>
  <si>
    <t>Công nghệ thông tin</t>
  </si>
  <si>
    <t>66 - 122 tín chỉ</t>
  </si>
  <si>
    <t>Tài chính ngân hàng</t>
  </si>
  <si>
    <t>64 - 124 tín chỉ</t>
  </si>
  <si>
    <t>Thương mại điện tử và marketing số</t>
  </si>
  <si>
    <t>63 - 126 tín chỉ</t>
  </si>
  <si>
    <t>Luật</t>
  </si>
  <si>
    <t>65 - 125 tín chỉ</t>
  </si>
  <si>
    <t>HỌC VIỆN TÀI CHÍNH</t>
  </si>
  <si>
    <t>1.Đối tượng THPT,TC: xét học bạ lớp12 
- Tổ hợp xét tuyển (A00,A01 và D01) : Tối thiểu 15 điểm 
2. Đối tượng ĐH, CĐ: Xét bằng</t>
  </si>
  <si>
    <t>2,0-2,5</t>
  </si>
  <si>
    <t>67 - 129 tín chỉ</t>
  </si>
  <si>
    <t>670.000 đ</t>
  </si>
  <si>
    <t>Lệ phi xét tuyển: 200.000 đồng/học viên/ngành học
 Học phí: Dựa vào quy định của nhà Trường</t>
  </si>
  <si>
    <t>Nộp tiền chuyển khoản qua:
 - Tên tài khoản: Học viện Tài chính
 - Số tài khoản: 2066 366 366 
 - Tại: Vietcombank, Chi nhánh - Thăng Long</t>
  </si>
  <si>
    <t>Học Viên Tài Chính 
 Số 58 Lê Văn Hiến, phường Đức Thắng, quận Bắc Từ Liêm, Hà Nội.</t>
  </si>
  <si>
    <t>Hồ sơ cần chuẩn bị
- 02 phiếu đăng ký dự tuyển ( Mẫu Học viện)
- 02 Sơ yếu lý lịch (theo mẫu của trường HVTC) có điền đủ thông tin, dán ảnh giáp lai ảnh và xác nhận của cơ quan đang công tác hoặc chính quyền địa phương
- 02 Bản công chứng bằng cao nhất (THPT/CĐ/ĐH)
- 02 Bản công chứng học bạ đối với đối tượng THPT
- 02 Bản công chứng bảng điểm (đối với đối tượng có bằng CĐ, ĐH)
- 02 Bản công chứng Căn cước công dân hoặc Chứng minh thư
- 02 Bản công chứng Giấy khai sinh
- 04 ảnh 3x4 (ghi rõ họ và tên và ngày sinh sau ảnh)
- Bản công chứng Lý luận chính trị (nếu có)
Linh hso: AOF - Học viện tài chính</t>
  </si>
  <si>
    <t>TBTS ngành Kế toán và QTKD đợt 1.2026.pdf</t>
  </si>
  <si>
    <t>2. KHUNG CHƯƠNG TRÌNH</t>
  </si>
  <si>
    <t>- Không yêu cầu chứng chỉ QPAN+ TC
- Ngoại ngữ + Tin học theo kế hoạch tổ chức của Học viện</t>
  </si>
  <si>
    <t>Mẫu phôi bằng_AOF.jpg</t>
  </si>
  <si>
    <t>ĐẠI HỌC KỸ THUẬT CÔNG NGHIỆP THÁI NGUYÊN</t>
  </si>
  <si>
    <t>Kỹ thuật xây dựng</t>
  </si>
  <si>
    <t>1. Đối tượng THPT, TC: xét học bạ tổng trung bình 3 môn tổ hợp lớp 12 &gt;=15đ  
- NNA xét theo tổ hợp: A01,D01,D07,D10,D14,D15
- QLCN và KTCN: A00, A01, D01, D07
- Các ngành còn lại: A00,A01,C01,C02,D01,D07  
2. Đối tượng ĐH ,CĐ: Xét tuyển thẳng</t>
  </si>
  <si>
    <t>4-4,5</t>
  </si>
  <si>
    <t>2 -3,5</t>
  </si>
  <si>
    <t>Cử nhân: 75 - 141 tín chỉ
  Kỹ sư: 95 -162 tín chỉ</t>
  </si>
  <si>
    <t>500.000 đ</t>
  </si>
  <si>
    <r>
      <rPr>
        <rFont val="Times New Roman"/>
        <b/>
        <color theme="1"/>
        <sz val="14.0"/>
      </rPr>
      <t xml:space="preserve">Kinh phí nhập học: (Tổng: 6.300.000 đồng/ học viên/ ngành học) 
 - Lệ phí xét tuyển </t>
    </r>
    <r>
      <rPr>
        <rFont val="Times New Roman"/>
        <color theme="1"/>
        <sz val="14.0"/>
      </rPr>
      <t xml:space="preserve">
 + </t>
    </r>
    <r>
      <rPr>
        <rFont val="Times New Roman"/>
        <color rgb="FFFF0000"/>
        <sz val="14.0"/>
      </rPr>
      <t>THPT</t>
    </r>
    <r>
      <rPr>
        <rFont val="Times New Roman"/>
        <color theme="1"/>
        <sz val="14.0"/>
      </rPr>
      <t xml:space="preserve">: 200.000 đồng/ học viên/ ngành học 
 + </t>
    </r>
    <r>
      <rPr>
        <rFont val="Times New Roman"/>
        <color rgb="FFFF0000"/>
        <sz val="14.0"/>
      </rPr>
      <t>TC, CĐ, ĐH</t>
    </r>
    <r>
      <rPr>
        <rFont val="Times New Roman"/>
        <color theme="1"/>
        <sz val="14.0"/>
      </rPr>
      <t>: 300.000 đồng/ học viên/ ngành học 
 -</t>
    </r>
    <r>
      <rPr>
        <rFont val="Times New Roman"/>
        <b/>
        <color theme="1"/>
        <sz val="14.0"/>
      </rPr>
      <t xml:space="preserve"> Học phí nhập học tạm thu: </t>
    </r>
    <r>
      <rPr>
        <rFont val="Times New Roman"/>
        <color theme="1"/>
        <sz val="14.0"/>
      </rPr>
      <t>6.000.000 đồng/ học viên/ ngành học. ( thu 12 tín)</t>
    </r>
  </si>
  <si>
    <t>Nộp tiền bằng chuyển khoản 
 - Tên tài khoản: Công Ty Cổ Phần Tư Vấn Dịch Vụ Đào Tạo AUM Việt Nam 
 - Số tài khoản: 0541000234079 
 - Ngân hàng: Vietcombank Chi nhánh: Thăng Long</t>
  </si>
  <si>
    <t>Trường Cao đẳng Cơ điện Hà Nội
 Số 160, phố Mai Dịch, quận Cầu Giấy, thành phố Hà Nội</t>
  </si>
  <si>
    <t>Trường cao đẳng Nông Nghiệp Nam Bộ tại HCM
  511 An Dương Vương, P.An Lạc A, Q.Bình Tân, TP.HCM</t>
  </si>
  <si>
    <t xml:space="preserve">2 bộ gồm có:
- Phiếu đăng ký xét tuyển (theo mẫu) 
- Sơ yếu lý lịch có dán ảnh và xác nhận của địa phương hoặc cơ quan quản lý (theo mẫu) 
- Bản sao công chứng văn bằng tốt nghiệp (Bằng THPT,BTTH, THCN, CĐ, ĐH) 
- Bản sao giấy khai sinh và CCCD 
- Bản sao học bạ THPT/ bảng điểm CĐ/ĐH                                                                                                              
- 2 Ảnh thẻ màu 3x4 mới (Không kể ảnh dán trên sơ yếu lý lịch) 
- Trang bìa hồ sơ (theo mẫu) 
Link hồ sơ: TNUT - Trường Đại học Kỹ Thuật Công nghiệp - Đại học Thái Nguyên
</t>
  </si>
  <si>
    <t>TNUT. TBTS từ xa trình độ ĐH năm 2026.pdf</t>
  </si>
  <si>
    <t>Khung chương trình</t>
  </si>
  <si>
    <t>Ngoại ngữ + QPAN
- Ngoại ngữ:
+ Chứng chỉ B1 trở lên , chứng chỉ tiêu chuẩn quốc tế, HSK3 trở lên,..
=&gt; Thời điểm tốt nghiệp các chứng chỉ còn hiệu lực</t>
  </si>
  <si>
    <t>Mẫu Bằng</t>
  </si>
  <si>
    <t>Ngôn ngữ anh</t>
  </si>
  <si>
    <t xml:space="preserve">76-128 tín chỉ </t>
  </si>
  <si>
    <r>
      <rPr>
        <rFont val="Times New Roman"/>
        <b/>
        <color theme="1"/>
        <sz val="14.0"/>
      </rPr>
      <t xml:space="preserve">Kinh phí nhập học: (Tổng: 6.300.000 đ/ học viên/ ngành học) 
 - Lệ phí xét tuyển </t>
    </r>
    <r>
      <rPr>
        <rFont val="Times New Roman"/>
        <color theme="1"/>
        <sz val="14.0"/>
      </rPr>
      <t xml:space="preserve">
 + </t>
    </r>
    <r>
      <rPr>
        <rFont val="Times New Roman"/>
        <color rgb="FFFF0000"/>
        <sz val="14.0"/>
      </rPr>
      <t>THPT</t>
    </r>
    <r>
      <rPr>
        <rFont val="Times New Roman"/>
        <color theme="1"/>
        <sz val="14.0"/>
      </rPr>
      <t xml:space="preserve">: 200.000 đồng/ học viên/ ngành học 
 + </t>
    </r>
    <r>
      <rPr>
        <rFont val="Times New Roman"/>
        <color rgb="FFFF0000"/>
        <sz val="14.0"/>
      </rPr>
      <t>TC, CĐ, ĐH</t>
    </r>
    <r>
      <rPr>
        <rFont val="Times New Roman"/>
        <color theme="1"/>
        <sz val="14.0"/>
      </rPr>
      <t>: 300.000 đồng/ học viên/ ngành học 
 -</t>
    </r>
    <r>
      <rPr>
        <rFont val="Times New Roman"/>
        <b/>
        <color theme="1"/>
        <sz val="14.0"/>
      </rPr>
      <t xml:space="preserve"> Học phí nhập học tạm thu</t>
    </r>
    <r>
      <rPr>
        <rFont val="Times New Roman"/>
        <color theme="1"/>
        <sz val="14.0"/>
      </rPr>
      <t>: 6.000.000 đồng/ học viên/ ngành học. ( thu 12 tín)</t>
    </r>
  </si>
  <si>
    <t>Kỹ thuật máy tính</t>
  </si>
  <si>
    <t>Cư nhân: 68- 128 tín chỉ
 Kỹ sư: 85- 157 tín chỉ</t>
  </si>
  <si>
    <r>
      <rPr>
        <rFont val="Times New Roman"/>
        <b/>
        <color theme="1"/>
        <sz val="14.0"/>
      </rPr>
      <t xml:space="preserve">Kinh phí nhập học: (Tổng: 6.300.000 đ/ học viên/ ngành học) 
 - Lệ phí xét tuyển </t>
    </r>
    <r>
      <rPr>
        <rFont val="Times New Roman"/>
        <color theme="1"/>
        <sz val="14.0"/>
      </rPr>
      <t xml:space="preserve">
 +</t>
    </r>
    <r>
      <rPr>
        <rFont val="Times New Roman"/>
        <color rgb="FFFF0000"/>
        <sz val="14.0"/>
      </rPr>
      <t xml:space="preserve"> THPT</t>
    </r>
    <r>
      <rPr>
        <rFont val="Times New Roman"/>
        <color theme="1"/>
        <sz val="14.0"/>
      </rPr>
      <t xml:space="preserve">: 200.000 đồng/ học viên/ ngành học 
 + </t>
    </r>
    <r>
      <rPr>
        <rFont val="Times New Roman"/>
        <color rgb="FFFF0000"/>
        <sz val="14.0"/>
      </rPr>
      <t>TC, CĐ, ĐH</t>
    </r>
    <r>
      <rPr>
        <rFont val="Times New Roman"/>
        <color theme="1"/>
        <sz val="14.0"/>
      </rPr>
      <t xml:space="preserve">: 300.000 đồng/ học viên/ ngành học 
 </t>
    </r>
    <r>
      <rPr>
        <rFont val="Times New Roman"/>
        <b/>
        <color theme="1"/>
        <sz val="14.0"/>
      </rPr>
      <t>- Học phí nhập học tạm thu:</t>
    </r>
    <r>
      <rPr>
        <rFont val="Times New Roman"/>
        <color theme="1"/>
        <sz val="14.0"/>
      </rPr>
      <t xml:space="preserve"> 6.000.000 đồng/ học viên/ ngành học. ( thu 12 tín)</t>
    </r>
  </si>
  <si>
    <t>Kinh tế công nghiệp</t>
  </si>
  <si>
    <t>68 - 129 tín chỉ</t>
  </si>
  <si>
    <t>450.000 đ</t>
  </si>
  <si>
    <r>
      <rPr>
        <rFont val="Times New Roman"/>
        <b/>
        <color theme="1"/>
        <sz val="14.0"/>
      </rPr>
      <t xml:space="preserve">Kinh phí nhập học: (Tổng: 5.700.000 đ/ học viên/ ngành học) 
 - Lệ phí xét tuyển </t>
    </r>
    <r>
      <rPr>
        <rFont val="Times New Roman"/>
        <color theme="1"/>
        <sz val="14.0"/>
      </rPr>
      <t xml:space="preserve">
 + </t>
    </r>
    <r>
      <rPr>
        <rFont val="Times New Roman"/>
        <color rgb="FFFF0000"/>
        <sz val="14.0"/>
      </rPr>
      <t>THPT</t>
    </r>
    <r>
      <rPr>
        <rFont val="Times New Roman"/>
        <color theme="1"/>
        <sz val="14.0"/>
      </rPr>
      <t xml:space="preserve">: 200.000 đồng/ học viên/ ngành học 
 + </t>
    </r>
    <r>
      <rPr>
        <rFont val="Times New Roman"/>
        <color rgb="FFFF0000"/>
        <sz val="14.0"/>
      </rPr>
      <t>TC, CĐ, ĐH</t>
    </r>
    <r>
      <rPr>
        <rFont val="Times New Roman"/>
        <color theme="1"/>
        <sz val="14.0"/>
      </rPr>
      <t xml:space="preserve">: 300.000 đồng/ học viên/ ngành học 
 - </t>
    </r>
    <r>
      <rPr>
        <rFont val="Times New Roman"/>
        <b/>
        <color theme="1"/>
        <sz val="14.0"/>
      </rPr>
      <t>Học phí nhập học tạm thu:</t>
    </r>
    <r>
      <rPr>
        <rFont val="Times New Roman"/>
        <color theme="1"/>
        <sz val="14.0"/>
      </rPr>
      <t xml:space="preserve"> 5.400.000 đồng/ học viên/ ngành học. ( thu 12 tín)</t>
    </r>
  </si>
  <si>
    <t>Quản lý công nghiệp</t>
  </si>
  <si>
    <t>67-127 tín chỉ</t>
  </si>
  <si>
    <r>
      <rPr>
        <rFont val="Times New Roman"/>
        <b/>
        <color theme="1"/>
        <sz val="14.0"/>
      </rPr>
      <t xml:space="preserve">Kinh phí nhập học: (Tổng: 5.700.000 đ/ học viên/ ngành học) 
 - Lệ phí xét tuyển </t>
    </r>
    <r>
      <rPr>
        <rFont val="Times New Roman"/>
        <color theme="1"/>
        <sz val="14.0"/>
      </rPr>
      <t xml:space="preserve">
 +</t>
    </r>
    <r>
      <rPr>
        <rFont val="Times New Roman"/>
        <color rgb="FFFF0000"/>
        <sz val="14.0"/>
      </rPr>
      <t xml:space="preserve"> THPT</t>
    </r>
    <r>
      <rPr>
        <rFont val="Times New Roman"/>
        <color theme="1"/>
        <sz val="14.0"/>
      </rPr>
      <t xml:space="preserve">: 200.000 đồng/ học viên/ ngành học 
 + </t>
    </r>
    <r>
      <rPr>
        <rFont val="Times New Roman"/>
        <color rgb="FFFF0000"/>
        <sz val="14.0"/>
      </rPr>
      <t>TC, CĐ, ĐH</t>
    </r>
    <r>
      <rPr>
        <rFont val="Times New Roman"/>
        <color theme="1"/>
        <sz val="14.0"/>
      </rPr>
      <t xml:space="preserve">: 300.000 đồng/ học viên/ ngành học 
 - </t>
    </r>
    <r>
      <rPr>
        <rFont val="Times New Roman"/>
        <b/>
        <color theme="1"/>
        <sz val="14.0"/>
      </rPr>
      <t>Học phí nhập học tạm thu</t>
    </r>
    <r>
      <rPr>
        <rFont val="Times New Roman"/>
        <color theme="1"/>
        <sz val="14.0"/>
      </rPr>
      <t>: 5.400.000 đồng/ học viên/ ngành học. ( thu 12 tín)</t>
    </r>
  </si>
  <si>
    <t>ĐẠI HỌC MỞ HÀ NỘI</t>
  </si>
  <si>
    <t xml:space="preserve">1. Đối tượng bằng THPT xét tuyển:
- Đối tượng tốt nghiệp 2025 trở về trước: có bằng
-Đối tượng tốt nghiệp 2026: Xét tổ hợp điểm thi THPT 3 môn trong tổ hợp Toán Văn + môn khác đạt tối thiểu 15d
2. Đối tượng : TC, CĐ, ĐH : Xét bằng </t>
  </si>
  <si>
    <t xml:space="preserve"> Tối thiểu: 2,2-3,0
</t>
  </si>
  <si>
    <t>136 tín chỉ</t>
  </si>
  <si>
    <r>
      <rPr>
        <rFont val="Arial"/>
        <b/>
        <color theme="1"/>
        <sz val="14.0"/>
      </rPr>
      <t xml:space="preserve">Kinh phí nhập học: (Tổng: 6.060.000 đ/ học viên/ ngành học) 
 - Lệ Phí xét tuyển </t>
    </r>
    <r>
      <rPr>
        <rFont val="Arial"/>
        <color theme="1"/>
        <sz val="14.0"/>
      </rPr>
      <t>: 100.000 đồng/ học viên/ ngành học. 
 -</t>
    </r>
    <r>
      <rPr>
        <rFont val="Arial"/>
        <b/>
        <color theme="1"/>
        <sz val="14.0"/>
      </rPr>
      <t xml:space="preserve"> Học phí nhập học tạm thu</t>
    </r>
    <r>
      <rPr>
        <rFont val="Arial"/>
        <color theme="1"/>
        <sz val="14.0"/>
      </rPr>
      <t xml:space="preserve">: 5.960.000 đồng/ học viên/ ngành học. ( thu 10 tín)
</t>
    </r>
    <r>
      <rPr>
        <rFont val="Times New Roman"/>
        <color theme="1"/>
        <sz val="14.0"/>
      </rPr>
      <t>Học phí</t>
    </r>
  </si>
  <si>
    <t>Thông tin tài khoản sinh viên hỗ trợ nộp chuyển khoản: 
1. Số TK Trường: - Tên TK: Trường Trung cấp Vạn Tường (Trạm đào tạo từ xa - ĐH Mở Hà Nội tại TP Hồ Chí Minh – TBTS – File đính kèm)
  - Số TK: 5800109 
 - Ngân hàng ACB chi nhánh Hồ Chí Minh
2. Tên TK: Trường Trung cấp Ngoại Thương        
STK: 2600018789        
BIDV – Chi nhánh Mỹ Đình</t>
  </si>
  <si>
    <t>Trường TC Ngoại Thương
Số 40 Trần Cung, phường Nghĩa Đô, Tp. Hà Nội (địa chỉ theo tên gọi cũ: số 40 Trần Cung, phường Cổ Nhuế 1, quận Bắc Từ Liêm, Tp. Hà Nội)</t>
  </si>
  <si>
    <t>Trường Trung Cấp Vạn Tường
469 Lê Hồng Phong, Phường Vườn Lài, TP.HCM</t>
  </si>
  <si>
    <t>Hồ sơ ĐKXT bao gồm:
• 02 Phiếu đăng ký xét tuyển (chi tiết theo file đính kèm)
• 02 bản sao công chứng Căn cước công dân
• 02 bản sao công chứng văn bằng cao nhất (từ tốt nghiệp THPT hoặc tương đương trở lên)
• 02 bản sao công chứng Giấy khai sinh
• 02 ảnh 4x6 (ghi rõ họ tên, ngày sinh, nơi sinh phía sau ảnh)
• Đối với người học là công dân nước ngoài: bổ sung hồ sơ theo quy định hiện hành của Nhà nước
Link hồ sơ: EHOU -Trường đại học Mở Hà Nội</t>
  </si>
  <si>
    <t>Trường Đại học Mở Hà Nội (trạm HCM, HN)</t>
  </si>
  <si>
    <t xml:space="preserve">KHUNG CHƯƠNG TRÌNH HOU </t>
  </si>
  <si>
    <t>Chưa yêu cầu đầu ra</t>
  </si>
  <si>
    <t>Phôi bằng EHOU.jpg
Mẫu bảng điểm.jpg</t>
  </si>
  <si>
    <t>Quản trị dịch vụ du lịch và Lữ hành</t>
  </si>
  <si>
    <t>130 tín chỉ</t>
  </si>
  <si>
    <t>Quản trị khách sạn</t>
  </si>
  <si>
    <t>Thương Mại điện tử</t>
  </si>
  <si>
    <r>
      <rPr>
        <rFont val="Times New Roman"/>
        <color theme="1"/>
        <sz val="14.0"/>
      </rPr>
      <t xml:space="preserve">1. Sử dụng kết quả học bạ THPT đạt đủ các điều kiện:
- kết quả trung bình chung lớp 12 loại giỏi trở lên 
- Tổng điểm 3 môn thi tốt nghiệp THPT A00 hoặc D01 đạt 18đ trở lên hoặc điểm xét tốt nghiệp THPT( điểm thi tốt nghiệp TC nghề) từ 8,5 trở lên.
- Điểm toán và văn hoặc toán hoặc văn đạt tối thiểu 60% điểm đánh giá thang điểm ( ví dụ 6/10 là đạt)
2. Tốt nghiệp TC CD ĐH cùng ngành trở lên và đạt trong các điều kiện sau:
- Kết quả TBC học lực giỏi trở lên hoặc điểm tb các môn văn hóa cấp THPT đạt từ 8.00 trở lên.
- Tốt nghiệp THPT loại giỏi trở lên hoặc có kết quả học tập lớp 12 đạt học lực khá và có 3 năm kinh nghiệm công tác đúng chuyên ngành được đào tạo.
-Tốt nghiệp TC CD ĐH loại giỏi trở hoặc loại khá nhưng phải có 3 năm kinh nghiệm công tác đúng chuyên ngành.
</t>
    </r>
    <r>
      <rPr>
        <rFont val="Times New Roman"/>
        <color rgb="FFFF0000"/>
        <sz val="14.0"/>
      </rPr>
      <t xml:space="preserve">TC CĐ ĐH khác khối ngành không tuyển </t>
    </r>
  </si>
  <si>
    <t xml:space="preserve">
Như đối tượng không trong lĩnh vực pháp luật</t>
  </si>
  <si>
    <t>Ngôn ngữ Trung Quốc</t>
  </si>
  <si>
    <t>ĐẠI HỌC NÔNG LÂM THÁI NGUYÊN</t>
  </si>
  <si>
    <t>Công nghệ thực phẩm- đào tạo bằng tiếng anh</t>
  </si>
  <si>
    <t xml:space="preserve">1. Đối tượng THPT :Xét học bạ lớp 12 
- Tổ hợp xét tuyển : (A00, D01, C00, B00 ) (tùy từng ngành mà tổ hợp xét khác nhau) từ 15 điểm
2. Đối tượng TC,CĐ,ĐH : Xét bằng </t>
  </si>
  <si>
    <t>2-4,5</t>
  </si>
  <si>
    <t>120 tín chỉ</t>
  </si>
  <si>
    <t>Học trực tuyến</t>
  </si>
  <si>
    <r>
      <rPr>
        <rFont val="Times New Roman"/>
        <b/>
        <color theme="1"/>
        <sz val="14.0"/>
      </rPr>
      <t xml:space="preserve">Kinh phí nhập học: (Tổng: 7.400.000 đ/ học viên/ ngành học) 
 - Lệ Phí xét tuyển </t>
    </r>
    <r>
      <rPr>
        <rFont val="Times New Roman"/>
        <color theme="1"/>
        <sz val="14.0"/>
      </rPr>
      <t xml:space="preserve">: 200.000 đồng/ học viên/ ngành học. 
 - </t>
    </r>
    <r>
      <rPr>
        <rFont val="Times New Roman"/>
        <b/>
        <color theme="1"/>
        <sz val="14.0"/>
      </rPr>
      <t>Học phí nhập học tạm thu</t>
    </r>
    <r>
      <rPr>
        <rFont val="Times New Roman"/>
        <color theme="1"/>
        <sz val="14.0"/>
      </rPr>
      <t>: 7.200.000 đồng/ học viên/ ngành học. ( thu 12 tín)</t>
    </r>
  </si>
  <si>
    <t>Thông tin tài khoản sinh viên hỗ trợ nộp chuyển khoản: 
 - Tên tài khoản: Công ty cổ phần tư vấn dịch vụ đào tạo AUM Việt Nam 
 - STK: 119643326666
 - Tại ngân hàng: Vietinbank- Chi nhanh: Mỹ Đình</t>
  </si>
  <si>
    <t>Trường Cao đẳng Lương thực- thực phẩm
Đà Nẵng
101B Lê Hữu Trác, Phước Mỹ, Sơn Trà, Đà Nẵng</t>
  </si>
  <si>
    <t>"Đại học Hiroshima
1 Chome-3-2 Kagamiyama, Higashihiroshima, Hiroshima 739-0046, Nhật Bản"</t>
  </si>
  <si>
    <t>- 2 Phiếu đăng ký tham gia học tập (theo mẫu của Trường ĐHNL). 
- Sơ yếu lý lịch (theo mẫu của Trường ĐHNL) được điền đầy đủ thông tin, dán ảnh và có xác nhận của chính quyền địa phương hoặc cơ quan đang công tác. 
- 2 Bản sao công chứng văn bằng cao nhất (THPT, trung cấp, cao đẳng, đại học). 
- 2 Bản sao công chứng học bạ THPT hoặc bảng điểm cao đẳng/đại học. 
- 2 Bản sao công chứng giấy khai sinh.
- 2 Bản sao Căn cước công dân/Hộ chiếu. 
- 2 Bản sao công chứng văn bằng Lý luận Chính trị (nếu có); 
- 2 Ảnh 3x4, mặt sau ghi rõ họ tên, ngày sinh, nơi sinh (không kể ảnh dán trên Sơ yếu lí lịch)
Link hồ sơ: Hồ sơ</t>
  </si>
  <si>
    <t>Thông báo tuyển sinh ĐT từ xa 2026_TUAF.pdf</t>
  </si>
  <si>
    <t>- y/c chứng chỉ quốc phòng với đối tượng THPT, TC hoặc CD học chưa đủ số tín QP cần học bổ sung</t>
  </si>
  <si>
    <t>Công nghệ sinh học</t>
  </si>
  <si>
    <t>77-122 tín chỉ</t>
  </si>
  <si>
    <r>
      <rPr>
        <rFont val="Times New Roman"/>
        <b/>
        <color theme="1"/>
        <sz val="14.0"/>
      </rPr>
      <t xml:space="preserve">(Mức HP cũ:
Kinh phí nhập học: (Tổng: 6.080.000 đ/ học viên/ ngành học) 
 - Lệ Phí xét tuyển </t>
    </r>
    <r>
      <rPr>
        <rFont val="Times New Roman"/>
        <color theme="1"/>
        <sz val="14.0"/>
      </rPr>
      <t xml:space="preserve">: 200.000 đồng/ học viên/ ngành học. 
 </t>
    </r>
    <r>
      <rPr>
        <rFont val="Times New Roman"/>
        <b/>
        <color theme="1"/>
        <sz val="14.0"/>
      </rPr>
      <t>- Học phí nhập học tạm thu</t>
    </r>
    <r>
      <rPr>
        <rFont val="Times New Roman"/>
        <color theme="1"/>
        <sz val="14.0"/>
      </rPr>
      <t>: 5.880.000 đồng/ học viên/ ngành học. ( thu 12 tín))
(</t>
    </r>
    <r>
      <rPr>
        <rFont val="Times New Roman"/>
        <b/>
        <color theme="1"/>
        <sz val="14.0"/>
      </rPr>
      <t>Mức HP mới sau khóa KG 18/1:</t>
    </r>
    <r>
      <rPr>
        <rFont val="Times New Roman"/>
        <color theme="1"/>
        <sz val="14.0"/>
      </rPr>
      <t xml:space="preserve">
</t>
    </r>
    <r>
      <rPr>
        <rFont val="Times New Roman"/>
        <b/>
        <color theme="1"/>
        <sz val="14.0"/>
      </rPr>
      <t xml:space="preserve">Kinh phí nhập học: (Tổng: 6.440.000 đ/ học viên/ ngành học) </t>
    </r>
    <r>
      <rPr>
        <rFont val="Times New Roman"/>
        <color theme="1"/>
        <sz val="14.0"/>
      </rPr>
      <t xml:space="preserve">
 - </t>
    </r>
    <r>
      <rPr>
        <rFont val="Times New Roman"/>
        <b/>
        <color theme="1"/>
        <sz val="14.0"/>
      </rPr>
      <t xml:space="preserve">Lệ Phí xét tuyển </t>
    </r>
    <r>
      <rPr>
        <rFont val="Times New Roman"/>
        <color theme="1"/>
        <sz val="14.0"/>
      </rPr>
      <t xml:space="preserve">: 200.000 đồng/ học viên/ ngành học. 
 - </t>
    </r>
    <r>
      <rPr>
        <rFont val="Times New Roman"/>
        <b/>
        <color theme="1"/>
        <sz val="14.0"/>
      </rPr>
      <t>Học phí nhập học tạm thu</t>
    </r>
    <r>
      <rPr>
        <rFont val="Times New Roman"/>
        <color theme="1"/>
        <sz val="14.0"/>
      </rPr>
      <t xml:space="preserve">: 6.240.000 đồng/ học viên/ ngành học. ( thu 12 tín))
</t>
    </r>
  </si>
  <si>
    <t>Nông nghiệp công nghệ cao</t>
  </si>
  <si>
    <t>60 - 121 tín chỉ</t>
  </si>
  <si>
    <t>Kỹ sư 75 - 150 tín chỉ</t>
  </si>
  <si>
    <t>72 - 125 tín chỉ</t>
  </si>
  <si>
    <t>Công nghệ thực phẩm</t>
  </si>
  <si>
    <t>Cử nhân 66 - 120 tín chỉ</t>
  </si>
  <si>
    <t>Kỹ sư 81 - 161 tín chỉ</t>
  </si>
  <si>
    <t>Khoa học môi trường</t>
  </si>
  <si>
    <t>Cử nhân 63 - 123 tín chỉ</t>
  </si>
  <si>
    <t>Kỹ sư 79 - 153 tín chỉ</t>
  </si>
  <si>
    <t>Kinh tế nông nghiệp</t>
  </si>
  <si>
    <t>62 - 124 tín chỉ</t>
  </si>
  <si>
    <t>Quản lý đất đai</t>
  </si>
  <si>
    <t>Cử nhân 67 - 124 tín chỉ</t>
  </si>
  <si>
    <t>Kỹ sư 82 - 156 tín chỉ</t>
  </si>
  <si>
    <t>Bất động sản</t>
  </si>
  <si>
    <t>65- 128 tín chỉ</t>
  </si>
  <si>
    <t>Thú Y</t>
  </si>
  <si>
    <t>77-152 tín chỉ</t>
  </si>
  <si>
    <t>Quản lý tài nguyên và môi trường</t>
  </si>
  <si>
    <t>70 - 124 tín chỉ</t>
  </si>
  <si>
    <t>TRƯỜNG ĐẠI HỌC LAO ĐỘNG XÃ HỘI</t>
  </si>
  <si>
    <t xml:space="preserve">1. Đối tượng THPT: Xét học bạ THPT 
- Tổ hợp xét tuyển ( A00, A01, D01) xét từ 15 điểm và không môn nào đưới 5 điểm
2. Đối tượng TC, CĐ, ĐH :  Xét tuyển thẳng  </t>
  </si>
  <si>
    <t>4 năm</t>
  </si>
  <si>
    <t>2-4 năm</t>
  </si>
  <si>
    <t>1,5 - 3,5 năm</t>
  </si>
  <si>
    <t>137 tín chỉ</t>
  </si>
  <si>
    <r>
      <rPr>
        <rFont val="Times New Roman"/>
        <b/>
        <color theme="1"/>
        <sz val="14.0"/>
      </rPr>
      <t>Kinh phí nhập học: (Tổng: 6.800.000đ/ học viên/ ngành học) 
 - Lệ phí xét tuyển:</t>
    </r>
    <r>
      <rPr>
        <rFont val="Times New Roman"/>
        <color theme="1"/>
        <sz val="14.0"/>
      </rPr>
      <t xml:space="preserve"> 230.000 đồng/ học viên/ ngành học. 
 </t>
    </r>
    <r>
      <rPr>
        <rFont val="Times New Roman"/>
        <b/>
        <color theme="1"/>
        <sz val="14.0"/>
      </rPr>
      <t>- Học phí nhập học tạm thu:</t>
    </r>
    <r>
      <rPr>
        <rFont val="Times New Roman"/>
        <color theme="1"/>
        <sz val="14.0"/>
      </rPr>
      <t xml:space="preserve"> 6.600.000đồng/ học viên/ ngành học. ( thu 12 tín)</t>
    </r>
  </si>
  <si>
    <t>300 với môn 2 tín chỉ và 400k với môn từ 3 tín chỉ trở lên</t>
  </si>
  <si>
    <t>Hỗ trợ nộp qua hình thức chuyển khoản: 
 - Tên tài khoản: Công ty Cổ Phần Tư Vấn Dịch Vụ Đào Tạo AUM Việt Nam (Đơn vị được Trường Lao Động Xã Hội Ủy quyền thu theo QĐ 446 – file đính kèm)  
 - Số TK: 19028642088036 
 - Ngân hàng TMCP Kỹ Thương Việt Nam( Techcombank)- Chi nhánh Đông Đô</t>
  </si>
  <si>
    <t xml:space="preserve">•        Địa điểm dự thi kết thúc môn: Trường ĐH Lao Động – Xã Hội
        CS1 Hà Nội: 43 Trần Duy Hưng, Trung Hòa, Cầu Giấy, HN
</t>
  </si>
  <si>
    <t>•        CS2 Hồ Chí Minh: 1018 Tô Ký, Phường Tân Chánh Hiệp, Quận 12, HCM</t>
  </si>
  <si>
    <t xml:space="preserve">2 bộ: 
- 1 Phiếu đăng ký xét tuyển (theo mẫu) 
- 1 Sơ yếu lý lịch có dán ảnh và xác nhận của địa phương hoặc cơ quan quản lý (theo mẫu) 
- 1 Bản sao công chứng văn bằng tốt nghiệp (Bằng THPT, TC, CĐ, ĐH) 
- 1 Bản sao công chứng học bạ THPT hoặc bảng điểm TC/CĐ/ĐH 
- 1 Bản sao công chứng Giấy khai sinh và căn cước công dân/ hộ chiếu 
- 2 Ảnh thẻ màu 3x4 mới (Không kể ảnh dán trên sơ yếu lý lịch) 
- 1 Đơn xin công nhận chuyển đổi kết quả học tập và chuyển đổi tín chỉ 
Link hồ sơ: ULSA - Trường Đại học Lao Động - Xã Hội
</t>
  </si>
  <si>
    <t>TB tuyển sinh ĐTTX đợt 2. 2025.pdf</t>
  </si>
  <si>
    <t>- Yêu cầu đủ 4 chứng chỉ
+ Chứng chỉ ngoại ngữ( B1, toeic 550 trở lên,..)
+ Chứng chỉ tin học
+ Chứng chỉ QPAN
+ Chứng chỉ thể chất</t>
  </si>
  <si>
    <t>Mẫu bằng ULSA.pdf</t>
  </si>
  <si>
    <r>
      <rPr>
        <rFont val="Times New Roman"/>
        <b/>
        <color theme="1"/>
        <sz val="14.0"/>
      </rPr>
      <t>Kinh phí nhập học: (Tổng: 6.380.000đ/ học viên/ ngành học) 
 - Lệ phí xét tuyển</t>
    </r>
    <r>
      <rPr>
        <rFont val="Times New Roman"/>
        <color theme="1"/>
        <sz val="14.0"/>
      </rPr>
      <t xml:space="preserve">: 230.000 đồng/ học viên/ ngành học. 
 </t>
    </r>
    <r>
      <rPr>
        <rFont val="Times New Roman"/>
        <b/>
        <color theme="1"/>
        <sz val="14.0"/>
      </rPr>
      <t>- Học phí nhập học tạm thu</t>
    </r>
    <r>
      <rPr>
        <rFont val="Times New Roman"/>
        <color theme="1"/>
        <sz val="14.0"/>
      </rPr>
      <t>: 6.180.000đồng/ học viên/ ngành học. ( thu 12 tín)</t>
    </r>
  </si>
  <si>
    <t>Công tác xã hội</t>
  </si>
  <si>
    <r>
      <rPr>
        <rFont val="Times New Roman"/>
        <b/>
        <color theme="1"/>
        <sz val="14.0"/>
      </rPr>
      <t xml:space="preserve">Kinh phí nhập học: (Tổng: 6.800.000đ/ học viên/ ngành học) 
 - Lệ phí xét tuyển: </t>
    </r>
    <r>
      <rPr>
        <rFont val="Times New Roman"/>
        <color theme="1"/>
        <sz val="14.0"/>
      </rPr>
      <t xml:space="preserve">230.000 đồng/ học viên/ ngành học. 
</t>
    </r>
    <r>
      <rPr>
        <rFont val="Times New Roman"/>
        <b/>
        <color theme="1"/>
        <sz val="14.0"/>
      </rPr>
      <t xml:space="preserve"> - Học phí nhập học tạm thu</t>
    </r>
    <r>
      <rPr>
        <rFont val="Times New Roman"/>
        <color theme="1"/>
        <sz val="14.0"/>
      </rPr>
      <t>: 6.600.000đồng/ học viên/ ngành học. ( thu 12 tín)</t>
    </r>
  </si>
  <si>
    <t>TRƯỜNG CAO ĐẲNG THƯƠNG MAI VÀ DU LỊCH HÀ NỘI</t>
  </si>
  <si>
    <t xml:space="preserve"> Đối tượng  THPT , TC nghề ( Tốt nghiệp THPT ) </t>
  </si>
  <si>
    <t>3 năm</t>
  </si>
  <si>
    <t>Không</t>
  </si>
  <si>
    <t>98 tín</t>
  </si>
  <si>
    <t>Đối tượng THPT</t>
  </si>
  <si>
    <r>
      <rPr>
        <rFont val="Times New Roman"/>
        <b/>
        <color theme="1"/>
        <sz val="14.0"/>
      </rPr>
      <t>Kinh phí nhập học: (Tổng: 5.180.000đ/ học viên/ ngành học) 
 - Lệ phí xét tuyển:</t>
    </r>
    <r>
      <rPr>
        <rFont val="Times New Roman"/>
        <color theme="1"/>
        <sz val="14.0"/>
      </rPr>
      <t xml:space="preserve"> 230.000 đồng/ học viên/ ngành học. 
</t>
    </r>
    <r>
      <rPr>
        <rFont val="Times New Roman"/>
        <b/>
        <color theme="1"/>
        <sz val="14.0"/>
      </rPr>
      <t xml:space="preserve"> - Học phí nhập học tạm thu</t>
    </r>
    <r>
      <rPr>
        <rFont val="Times New Roman"/>
        <color theme="1"/>
        <sz val="14.0"/>
      </rPr>
      <t>: 4.950.000đồng/ học viên/ ngành học. ( thu 11 tín)</t>
    </r>
  </si>
  <si>
    <t>Nộp bằng tiền chuyển khoản: 
 - Tên tài khoản: Công ty Cổ phần tư vấn dịch vụ đào tạo AUM Việt Nam 
 - STK: 8600798866
 - Tại ngân hàng BIDV – Chi nhánh Cầu giấy</t>
  </si>
  <si>
    <t>THI ONLINE, KHÔNG CẦN TỚI TRƯỜNG</t>
  </si>
  <si>
    <t>a) Phiếu đăng ký học từ xa (theo mẫu). 
b) 02 Bản sao công chứng bằng tốt nghiệp/Bản gốc chứng nhận tốt nghiệp tạm thời 
- Hệ Cao đẳng: Giấy chứng nhận tốt nghiệp THPT tạm thời (đối với thí sinh trúng tuyển trong năm tốt nghiệp) hoặc Bản sao công chứng bằng tốt nghiệp THPT. 
 - Hệ trung cấp: Giấy chứng nhận tốt nghiệp THCS/THPT tạm thời (đối với thí sinh trúng tuyển trong năm tốt nghiệp) hoặc Bản sao có chứng thực bằng tốt nghiệp THCS/THPT. 
c) 02 Bản sao công chứng học bạ 
- Hệ Cao đẳng: Bản sao công chứng Học bạ THPT  
- Hệ trung cấp: Bản sao công chứng Học bạ THCS/THPT  
d) Giấy đăng ký nghĩa vụ quân sự và giấy xác nhận vắng mặt có xác nhận của Ban chỉ huy Quân sự xã (phường) (Đối với nam giới). 
đ) Giấy chứng nhận gia đình chính sách và các giấy tờ ưu tiên ( nếu có). 
e) Bản phô tô thẻ bảo hiểm y tế, căn cước công dân. 
f) Sơ yếu lý lịch: theo mẫu và có dán ảnh (Nhà trường đóng dấu giáp lại). 
g) Giấy khám sức khỏe (do cơ sở y tế có đủ điều kiện chứng nhận sức khỏe theo quy định của Bộ Y tế cấp) 
h) 4 ảnh 3x4 ghi rõ họ tên, ngày sinh, nơi sinh, ngành/nghề đăng ký học vào mặt sau của ảnh (không kể ảnh dán trên Sơ yếu lý lịch)
Link hồ sơ: HCCT - Trường Cao đẳng Thương mại và Du lịch Hà Nội</t>
  </si>
  <si>
    <t>Cao đẳng Thương mại và Du lịch Hà Nội.pdf</t>
  </si>
  <si>
    <t>Yêu cầu chứng chỉ QPAN</t>
  </si>
  <si>
    <t>Phôi bằng HCCT</t>
  </si>
  <si>
    <t>Thương mại điện tử</t>
  </si>
  <si>
    <t>TRƯỜNG ĐẠI HỌC THỦ ĐÔ - HNMU</t>
  </si>
  <si>
    <t>Đối tượng: có bằng Trung cấp trở lên</t>
  </si>
  <si>
    <t xml:space="preserve">2 bộ:
 -Phiếu đăng ký xét tuyển (theo mẫu)
 -Sơ yếu lý lịch có dán ảnh và xác nhận của địa phương hoặc cơ quan quản lý (theo mẫu)
 -Bản sao công chứng văn bằng tốt nghiệp (Bằng THPT, TC, CĐ, ĐH)
 -Bản sao công chứng học bạ THPT hoặc bảng điểm TC/CĐ/ĐH
 -Bản sao công chứng Giấy khai sinh và căn cước công dân/ hộ chiếu
 -2 Ảnh thẻ màu 3x4 mới (Không kể ảnh dán trên sơ yếu lý lịch)
 -Đơn xin công nhận chuyển đổi kết quả học tập và chuyển đổi tín chỉ
Link hồ sơ:Hồ sơ </t>
  </si>
  <si>
    <t>Mẫu bằng và bảng điểm</t>
  </si>
  <si>
    <t>Logistics</t>
  </si>
  <si>
    <t>ĐẠI HỌC CÔNG ĐOÀN - LDA</t>
  </si>
  <si>
    <t>1. Luật + CTXH: văn + 2 môn trong tổ hợp xét tuyển
2. Toán + 2 môn trong tổ hợp xét tuyển
Thí sinh có tổng điểm trung bình chung kết quả học tập cả năm lớp 10, 11, 12 của 03 môn trong tổ hợp xét tuyển đạt từ 15,0 điểm trở lên (riêng ngành Luật đạt từ 18,0 điểm trở lên và Toán, Ngữ văn ≥ 6,0);
3. Luật áp dụng theo TT 06
4. CD ĐH tuyển thẳng</t>
  </si>
  <si>
    <t>3 - 3,5 năm</t>
  </si>
  <si>
    <t>2,5 - 3 năm</t>
  </si>
  <si>
    <t>2 - 2,5 năm</t>
  </si>
  <si>
    <t>128 tín</t>
  </si>
  <si>
    <r>
      <rPr>
        <rFont val="Times New Roman"/>
        <b/>
        <color theme="1"/>
        <sz val="14.0"/>
      </rPr>
      <t>Kinh phí nhập học: (Tổng: 8.500.000đ/ học viên/ ngành học) 
 - Lệ phí xét tuyển:</t>
    </r>
    <r>
      <rPr>
        <rFont val="Times New Roman"/>
        <color theme="1"/>
        <sz val="14.0"/>
      </rPr>
      <t xml:space="preserve"> 100.000 đồng/ học viên/ ngành học. 
</t>
    </r>
    <r>
      <rPr>
        <rFont val="Times New Roman"/>
        <b/>
        <color theme="1"/>
        <sz val="14.0"/>
      </rPr>
      <t xml:space="preserve"> - Học phí nhập học tạm thu</t>
    </r>
    <r>
      <rPr>
        <rFont val="Times New Roman"/>
        <color theme="1"/>
        <sz val="14.0"/>
      </rPr>
      <t>: 8.400.000 đồng/ học viên/ ngành học. ( thu 12 tín)</t>
    </r>
  </si>
  <si>
    <t>Nộp bằng tiền chuyển khoản: 
 - Tên tài khoản: Công ty Cổ phần tư vấn dịch vụ đào tạo AUM Việt Nam
 - STK: 395472968
 -Tên ngân hàng: TMCP Việt Nam thịnh vượng - chi nhánh Láng Hạ</t>
  </si>
  <si>
    <t xml:space="preserve">169 Tây Sơn , Phường Kim Liên Hà Nội
</t>
  </si>
  <si>
    <t xml:space="preserve">Không có
</t>
  </si>
  <si>
    <t xml:space="preserve">Không có
</t>
  </si>
  <si>
    <t>ĐANG TRONG GIAI ĐOẠN TÌM ĐỊA ĐIỂM LÀM TRẠM THI</t>
  </si>
  <si>
    <t>2 bộ:
- Phiếu đăng ký xét tuyển (theo mẫu)
- Sơ yếu lý lịch có dán ảnh và xác nhận của địa phương hoặc cơ quan quản lý (theo mẫu)
- Bản sao công chứng văn bằng tốt nghiệp (Bằng THPT,BTTH, THCN, CĐ, ĐH)
- Bản sao công chứng căn cước công dân
- 02 ảnh thẻ màu 3x4 mới (Không kể ảnh dán trên sơ yếu lý lịch) 
- Bản sao công chứng bảng điểm hoặc học bạ
Link: 2. Hồ sơ</t>
  </si>
  <si>
    <t>1. TBTS</t>
  </si>
  <si>
    <t>4. Khung chương trình</t>
  </si>
  <si>
    <t>1. Chứng chỉ tiếng Anh- có thể nộp chứng chỉ tương đương
- Việt Nam học là 600 TOEIC
- Các ngành khác 500 TOEIC
2. Chứng chỉ tin học 
3. Chứng chỉ QPAN, thể chất-&gt; nếu đã có thì nộp lại, chưa có thì học</t>
  </si>
  <si>
    <t>mẫu bằng LDA.jpg</t>
  </si>
  <si>
    <t>Quy định hoàn trả.pdf</t>
  </si>
  <si>
    <t>Bảo hộ lao động</t>
  </si>
  <si>
    <t>Quản trị nhân lực</t>
  </si>
  <si>
    <t>Việt Nam học</t>
  </si>
  <si>
    <t xml:space="preserve">                                                                                                                                                                                                                                                                                                                                                                                                                                                                                                                                                                                                    </t>
  </si>
  <si>
    <t>THÁI NGUYÊN</t>
  </si>
  <si>
    <t>HÀ NỘI</t>
  </si>
  <si>
    <t>HỒ CHÍ MINH</t>
  </si>
  <si>
    <t>NHẬT BẢN</t>
  </si>
  <si>
    <t>ĐÀ NẴNG</t>
  </si>
  <si>
    <t>NOTE</t>
  </si>
  <si>
    <t>HẠN NHẬN HỒ SƠ</t>
  </si>
  <si>
    <t>LỊCH KHAI GIẢNG</t>
  </si>
  <si>
    <t>ĐẠI HỌC KINH TẾ QUỐC DÂN (NEU)</t>
  </si>
  <si>
    <t>Đây là lịch dự kiến. AUM sẽ báo lại nếu lịch trình có thay đổi. Các bên liên quan phối hợp hỗ trợ công tác truyền thông</t>
  </si>
  <si>
    <t>HỌC VIỆN TÀI CHÍNH (AOF)</t>
  </si>
  <si>
    <t>Dự kiến 28/07/2026</t>
  </si>
  <si>
    <t>Dự kiến 09/08/2026</t>
  </si>
  <si>
    <t>ĐẠI HỌC MỞ HÀ NỘI (EHOU)</t>
  </si>
  <si>
    <t>Dự kiến 02/08/2026</t>
  </si>
  <si>
    <t>ĐẠI HỌC LAO ĐỘNG VÀ XÃ HỘI (ULSA)</t>
  </si>
  <si>
    <t>CHỜ KH TBTS TỪ TRƯỜNG</t>
  </si>
  <si>
    <t>ĐẠI HỌC KỸ THUẬT CÔNG NGHIỆP THÁI NGUYÊN (TNUT)</t>
  </si>
  <si>
    <t>Lần 1: Dự kiến 29/05/2026
Lần 2: 27/06/2026</t>
  </si>
  <si>
    <t>Dự kiến 14/06/2026</t>
  </si>
  <si>
    <t>ĐẠI HỌC THÁI NGUYÊN (TNU)</t>
  </si>
  <si>
    <t>Dự kiến 25/06/2026</t>
  </si>
  <si>
    <t xml:space="preserve">Dự kiến 11/07/2026 ( Các ngành trừ NNA) </t>
  </si>
  <si>
    <t xml:space="preserve">Cập nhật tính hình bổ sung sau </t>
  </si>
  <si>
    <t xml:space="preserve">DK tháng 8 ( Các ngành trừ NNA) </t>
  </si>
  <si>
    <t xml:space="preserve">Dự kiến 12/07/2026 ( Các ngành trừ NNA) </t>
  </si>
  <si>
    <t xml:space="preserve">DK tháng 9 </t>
  </si>
  <si>
    <t>ĐẠI HỌC NÔNG LÂM THÁI NGUYÊN (TUAF)</t>
  </si>
  <si>
    <t>Đợt 1: 4/6/2026
Đợt 2: 25/6/2026</t>
  </si>
  <si>
    <t>DK: 14/06/2026</t>
  </si>
  <si>
    <t>HỌC VIỆN CÔNG NGHỆ BƯU CHÍNH VIỄN THÔNG (PTIT)</t>
  </si>
  <si>
    <t>DK 30/07/2026</t>
  </si>
  <si>
    <t>DK 30/08/2026</t>
  </si>
  <si>
    <t>CAO ĐẲNG THƯƠNG MẠI VÀ DU LỊCH HÀ NỘI (HCCT)</t>
  </si>
  <si>
    <t>DK 21/07/2026</t>
  </si>
  <si>
    <t>DK 26/07/2026</t>
  </si>
  <si>
    <t>TRƯỜNG ĐẠI HỌC CÔNG ĐOÀN (LDA)</t>
  </si>
  <si>
    <t xml:space="preserve">* Ghi chú: 
- Lịch mới được cập nhật so với lịch cũ sẽ được in màu đỏ. 
</t>
  </si>
  <si>
    <t xml:space="preserve">TÊN </t>
  </si>
  <si>
    <t xml:space="preserve">NỘI DUNG </t>
  </si>
  <si>
    <t xml:space="preserve">Linh bài đăng mẫu </t>
  </si>
  <si>
    <t>content seeding (2).docxe content seeding theo ngành học.docx</t>
  </si>
  <si>
    <t xml:space="preserve">Ảnh Theo Trường </t>
  </si>
  <si>
    <t>ảnh theo trường ảnh theo ngành</t>
  </si>
  <si>
    <t>Hướng dẫn cụ thể</t>
  </si>
  <si>
    <t xml:space="preserve">Đăng ở đâu </t>
  </si>
  <si>
    <t>Đăng như nào</t>
  </si>
  <si>
    <t>Zalo cá nhân + Zalo OA
Group sinh viên cũ / học viên cũ</t>
  </si>
  <si>
    <t>- Đăng bài + story hằng ngày (ngắn gọn, dễ hiểu)
- Nhắn lại HV cũ: hỏi nhu cầu học / cập nhật chương trình mới
- Tận dụng Zalo group: chia sẻ case học viên đã đăng ký</t>
  </si>
  <si>
    <t>Facebook cá nhân</t>
  </si>
  <si>
    <t>Đăng bài dạng:
- Chia sẻ thật: “1 ngày tư vấn học viên”
- Feedback học viên (ảnh + kết quả)
- Story mỗi ngày (giữ tương tác)
- Comment seeding nhẹ ở các bài liên quan (không lộ liễu)
- Chủ động inbox những người có tương tác (like, comment)</t>
  </si>
  <si>
    <t>Các nhóm Facebook (đào tạo từ xa, văn bằng 2, học tại chức, tuyển sinh…)
Các group ngành nghề liên quan (kế toán, IT, giáo dục…)</t>
  </si>
  <si>
    <t xml:space="preserve">- Chọn đúng nhóm có nhu cầu (việc làm, học tập, nâng cao bằng cấp…)
- Đăng bài theo hướng:
+ Hỏi – đáp (tạo tương tác)
+ Chia sẻ thông tin hữu ích (không bán hàng quá sớm)
+ Rep comment nhanh, kéo về inbox
+ Seeding </t>
  </si>
  <si>
    <t>Câu hỏi / Băn khoăn</t>
  </si>
  <si>
    <t>Phương án xử lý</t>
  </si>
  <si>
    <t>Thiếu thời gian</t>
  </si>
  <si>
    <t>Nhấn mạnh học linh hoạt, có thể học mọi lúc mọi nơi; xây dựng lộ trình học phù hợp với người đi làm (buổi tối/cuối tuần).</t>
  </si>
  <si>
    <t>Sợ học không theo được</t>
  </si>
  <si>
    <t>Trấn an chương trình thiết kế dễ tiếp cận; có tài liệu, hỗ trợ từ giảng viên; nhiều học viên vừa học vừa làm vẫn theo được.</t>
  </si>
  <si>
    <t>Lo ngại bằng cấp không giá trị</t>
  </si>
  <si>
    <t>Khẳng định bằng do trường cấp, có giá trị theo quy định; dùng được để xin việc, thăng tiến, thi công chức (nếu đủ điều kiện).</t>
  </si>
  <si>
    <t>Chưa rõ thông tin trường/ngành</t>
  </si>
  <si>
    <t>Cung cấp thông tin rõ ràng: ngành học, lộ trình, học phí, thời gian; gửi tài liệu hoặc tư vấn 1-1 để giải đáp cụ thể.</t>
  </si>
  <si>
    <t>Tài chính hạn chế</t>
  </si>
  <si>
    <t>Tư vấn học phí theo kỳ/đợt; chia nhỏ chi phí; so sánh lợi ích lâu dài (tăng thu nhập, cơ hội nghề nghiệp).</t>
  </si>
  <si>
    <t>Muốn học nhưng ngại thủ tục, không biết bắt đầu từ đâu</t>
  </si>
  <si>
    <t>Phần thủ tục bên em hỗ trợ hết rồi ạ, anh/chị chỉ cần cung cấp thông tin cơ bản, bên em sẽ hướng dẫn từng bước nên mình không cần lo gì đâu ạ.</t>
  </si>
  <si>
    <t>ECS</t>
  </si>
  <si>
    <t>- Nguyễn Khắc Năng - nangms7@gmail.com - Giám đốc</t>
  </si>
  <si>
    <t>- Trần Anh Hào - trananhhaonuce@gmail.com - Phó giám đốc</t>
  </si>
  <si>
    <t>- Phòng Marketing - phongmarketing.ecs@gmail.com - Trưởng phòng MKT</t>
  </si>
  <si>
    <t>- Phòng PTML - phongptml.ecs@gmail.com - Trưởng phòng Đối tác</t>
  </si>
  <si>
    <t>- Nhân viên phòng Marketing - ecs.marketing001@gmail.com - Nhân viên</t>
  </si>
  <si>
    <t>- Nhân viên phòng PTML - ecs.ptml001@gmail.com - Nhân viên</t>
  </si>
  <si>
    <t>DLL CÁ NHÂN</t>
  </si>
  <si>
    <t>BÁO CÁO TÌNH TRẠNG HĐ</t>
  </si>
  <si>
    <t>TÊN ĐẠI LÝ</t>
  </si>
  <si>
    <t>SỐ CCCD</t>
  </si>
  <si>
    <t>Ngày ký HĐ</t>
  </si>
  <si>
    <t>THỜI HẠN</t>
  </si>
  <si>
    <t>MẪU HĐ</t>
  </si>
  <si>
    <t>Loại HĐ</t>
  </si>
  <si>
    <t xml:space="preserve">Tên ns phụ trách </t>
  </si>
  <si>
    <t>NOTE TÌNH TRẠNG</t>
  </si>
  <si>
    <t>VÍ DỤ</t>
  </si>
  <si>
    <t>Nguyễn Thị Thủy</t>
  </si>
  <si>
    <t>12 tháng</t>
  </si>
  <si>
    <t>Mẫu cũ</t>
  </si>
  <si>
    <t>Tự động gia hạn</t>
  </si>
  <si>
    <t>TrangPNM</t>
  </si>
  <si>
    <t>Đồng ý ký mới</t>
  </si>
  <si>
    <t>Phân loại Đại lý</t>
  </si>
  <si>
    <t>Nội dung</t>
  </si>
  <si>
    <t>Số lượng</t>
  </si>
  <si>
    <t>Bùi Thị Thu Trí</t>
  </si>
  <si>
    <t>6 tháng</t>
  </si>
  <si>
    <t>Ko tự động gia hạn</t>
  </si>
  <si>
    <t>hoapt</t>
  </si>
  <si>
    <t>Không đồng ý vì KCNC hợp tác nữa</t>
  </si>
  <si>
    <t>Đại lý lẻ cá nhân</t>
  </si>
  <si>
    <t>Hợp đồng theo mẫu cũ</t>
  </si>
  <si>
    <t>Phạm Thị Hồng Hà</t>
  </si>
  <si>
    <t>Hoòa</t>
  </si>
  <si>
    <t>Không hợp tác nữa</t>
  </si>
  <si>
    <t>Gọi mãi KNM...</t>
  </si>
  <si>
    <t>- Hợp đồng tự động gia hạn</t>
  </si>
  <si>
    <t>Ký Biên bản thanh ký + Hợp đồng mới</t>
  </si>
  <si>
    <t>Nguyễn Trường Sơn</t>
  </si>
  <si>
    <t>Đông</t>
  </si>
  <si>
    <t>ĐT C1 RỒI</t>
  </si>
  <si>
    <t>- Hợp đồng ko tự động gia hạn</t>
  </si>
  <si>
    <t>Ký hợp đồng mới</t>
  </si>
  <si>
    <t>Lê Thị Tân Thương</t>
  </si>
  <si>
    <t>Đối tác không đồng ý ký mới vì đã ngừng gửi sinh viên sang lâu rồi</t>
  </si>
  <si>
    <t>Hợp đồng theo mẫu nguyên tắc</t>
  </si>
  <si>
    <t>Nguyễn Ngọc Công</t>
  </si>
  <si>
    <t>Huyentt</t>
  </si>
  <si>
    <t>Không đồng ý ký mới ,vì hiện tại bên em ko nhận data lọc nữa lên anh chưa kết hợp được chương trình gì</t>
  </si>
  <si>
    <t>Ko có vấn đề gì</t>
  </si>
  <si>
    <t>Chu Quang Hưng</t>
  </si>
  <si>
    <t>Chưa có ngày ký</t>
  </si>
  <si>
    <t>Đại lý lẻ doanh nghiệp</t>
  </si>
  <si>
    <t>Bùi Viết Thanh</t>
  </si>
  <si>
    <t>k check được</t>
  </si>
  <si>
    <t>Phùng Quang Lâm</t>
  </si>
  <si>
    <t>Nhi</t>
  </si>
  <si>
    <t>Knm</t>
  </si>
  <si>
    <t>Thân Thị Tuyết Nhung</t>
  </si>
  <si>
    <t>Mai</t>
  </si>
  <si>
    <t>Nguyễn Thị Cúc</t>
  </si>
  <si>
    <t>Gọi knm</t>
  </si>
  <si>
    <t>Nguyễn Hồng Nhung</t>
  </si>
  <si>
    <t>Đan/Thảo Thị - có 2 đối tác</t>
  </si>
  <si>
    <t>Thảo gọi không được
Đan cũng vậy ạ</t>
  </si>
  <si>
    <t>Nguyễn Trung Hưng</t>
  </si>
  <si>
    <t>K KÝ</t>
  </si>
  <si>
    <t>Lê Hải</t>
  </si>
  <si>
    <t>MST: 8089489671</t>
  </si>
  <si>
    <t>Om'E</t>
  </si>
  <si>
    <t>Đỗ Long Giang</t>
  </si>
  <si>
    <t>MST: 8442773829</t>
  </si>
  <si>
    <t xml:space="preserve">Liên hệ + Nt nhưng chưa phản hồi tạm ngừng hợp tác  </t>
  </si>
  <si>
    <t>Đỗ Thị Thảo</t>
  </si>
  <si>
    <t>Thanh Thảo</t>
  </si>
  <si>
    <t>Dương Thị Kim Huệ</t>
  </si>
  <si>
    <t>Nhintk</t>
  </si>
  <si>
    <t xml:space="preserve">Nhờ c Yến hỏi lại kế toán có cần thanh lý HĐ của đt Huệ không, vì đã đổi đầu mối và ký lại hđ mới trước đó rồi </t>
  </si>
  <si>
    <t>Huỳnh Công Tân</t>
  </si>
  <si>
    <t>k check được
02 đối tác này trước đây do Trí hỗ trợ C</t>
  </si>
  <si>
    <t>Lê Ngọc Quyền</t>
  </si>
  <si>
    <t>Lê Thanh Thủy</t>
  </si>
  <si>
    <t>Mẫu cũ, có thêm phụ lục về chi phí</t>
  </si>
  <si>
    <t>màn hạnh</t>
  </si>
  <si>
    <t xml:space="preserve">Ngừng Hợp tác, kcnc </t>
  </si>
  <si>
    <t>Lê Thị Thu</t>
  </si>
  <si>
    <t>Thaont</t>
  </si>
  <si>
    <t>Không đồng ý ký mới</t>
  </si>
  <si>
    <t>Nguyễn Thị Giàu</t>
  </si>
  <si>
    <t>đối tác báo không có mã số thuế</t>
  </si>
  <si>
    <t>Nguyễn Trọng Dần</t>
  </si>
  <si>
    <t>MST: 8128027433</t>
  </si>
  <si>
    <t>Nguyễn Văn Tuyền</t>
  </si>
  <si>
    <t>Vũ Trọng Nghĩa</t>
  </si>
  <si>
    <t>Nguyễn Thị Thu Hằng</t>
  </si>
  <si>
    <t>Huyentt/Kim Ngân</t>
  </si>
  <si>
    <t>Không có nhu cầu nữa</t>
  </si>
  <si>
    <t>Đặng Danh Hoằng</t>
  </si>
  <si>
    <t xml:space="preserve">- Không đồng ý ký mới </t>
  </si>
  <si>
    <t>Đỗ Thị Lan Hương</t>
  </si>
  <si>
    <t>thanh thảo</t>
  </si>
  <si>
    <t>Hoàng Thị Hoa</t>
  </si>
  <si>
    <t>gọi qua báo bận 'zalo chưa phản hồi
 đt này ký hợp đồng của VMC</t>
  </si>
  <si>
    <t>Lê Thị Kim Nhung</t>
  </si>
  <si>
    <t>hẠNH</t>
  </si>
  <si>
    <t xml:space="preserve">Vk anh hưng PTIT, k hợp tác nữa </t>
  </si>
  <si>
    <t>Lê Thị Phương Liên</t>
  </si>
  <si>
    <t>đồng ý ký</t>
  </si>
  <si>
    <t>Mai Thanh Trung</t>
  </si>
  <si>
    <t>Nguyễn Công Việt</t>
  </si>
  <si>
    <t>Nguyễn Danh Tùng</t>
  </si>
  <si>
    <t>Nguyễn Đức Khánh</t>
  </si>
  <si>
    <t>Liên hệ lại không được</t>
  </si>
  <si>
    <t>Nguyễn Khắc Năng</t>
  </si>
  <si>
    <t>Nguyễn Thị Chúc</t>
  </si>
  <si>
    <t>Nguyễn Thị Liên</t>
  </si>
  <si>
    <t>Nguyễn Thị Ngoan</t>
  </si>
  <si>
    <t>Nguyễn Thị Như Quỳnh</t>
  </si>
  <si>
    <t>Nhi/Minh trang</t>
  </si>
  <si>
    <t>Nguyễn Thị Phương Thảo</t>
  </si>
  <si>
    <t>Nguyễn Thị Thúy Hồng</t>
  </si>
  <si>
    <t>Nguyễn Thị Thúy</t>
  </si>
  <si>
    <t>Nguyễn Thị Tuấn Anh</t>
  </si>
  <si>
    <t>mai</t>
  </si>
  <si>
    <t>Nguyễn Văn Vượng</t>
  </si>
  <si>
    <t>Phạm Thị My</t>
  </si>
  <si>
    <t>huyeền</t>
  </si>
  <si>
    <t>Phạm Thị Nhung</t>
  </si>
  <si>
    <t>Phạm Văn Mạnh</t>
  </si>
  <si>
    <t>Phùng Thúy Quỳnh</t>
  </si>
  <si>
    <t>Tạ Quang Duy</t>
  </si>
  <si>
    <t>Tạ Thành Nam</t>
  </si>
  <si>
    <t>Tống Thị San</t>
  </si>
  <si>
    <t>Vũ Thị Thanh Huyền</t>
  </si>
  <si>
    <t>Nguyễn Ngọc Khôi</t>
  </si>
  <si>
    <t>Mẫu nguyên tắc</t>
  </si>
  <si>
    <t>Bùi Thị Nụ</t>
  </si>
  <si>
    <t>Trương Thị Thùy Liên</t>
  </si>
  <si>
    <t>Phạm Thị Hồng Phấn</t>
  </si>
  <si>
    <t>Nguyễn Việt Hưng</t>
  </si>
  <si>
    <t>DLL DOANH NGHIỆP</t>
  </si>
  <si>
    <t>NGƯỜI ĐẠI DIỆN</t>
  </si>
  <si>
    <t>LOẠI HĐ</t>
  </si>
  <si>
    <t>Công ty Cổ phần Công nghệ GREENHOUSE</t>
  </si>
  <si>
    <t>Nguyễn Thành Trung</t>
  </si>
  <si>
    <t>1 năm</t>
  </si>
  <si>
    <t>Công ty TNHH TAMBOOKS VIỆT NAM</t>
  </si>
  <si>
    <t>Đặng Thị Minh Thu</t>
  </si>
  <si>
    <t xml:space="preserve">Tạm ngừng hợp tác </t>
  </si>
  <si>
    <t>Công ty Cổ phần Sản xuất Thương mại và Dịch vụ YGS</t>
  </si>
  <si>
    <t>Nguyễn Thị Hồng Ngọc</t>
  </si>
  <si>
    <t xml:space="preserve">chưa liên hệ được tạm ngừng hợp tác </t>
  </si>
  <si>
    <t>Công ty Cổ phần Truyền thông giải trí XGR CORP</t>
  </si>
  <si>
    <t>Đinh Quốc Phương</t>
  </si>
  <si>
    <t>Công ty Cổ phần JOBSNEW</t>
  </si>
  <si>
    <t>Võ Tấn Phát</t>
  </si>
  <si>
    <t>Họ và tên</t>
  </si>
  <si>
    <t>MST</t>
  </si>
  <si>
    <t>SĐT</t>
  </si>
  <si>
    <t>Email</t>
  </si>
  <si>
    <t>0983068383</t>
  </si>
  <si>
    <t>mypt87@gmail.com</t>
  </si>
  <si>
    <t>Nguyễn Văn Đức</t>
  </si>
  <si>
    <t>0986682255</t>
  </si>
  <si>
    <t>dogohuuduc@gmail.com</t>
  </si>
  <si>
    <t>Hà Thị Tuyết</t>
  </si>
  <si>
    <t>hathituyet@gmail.com</t>
  </si>
  <si>
    <t>Phan Đàn</t>
  </si>
  <si>
    <t>Chưa có</t>
  </si>
  <si>
    <t>danitvdht@gmail.com</t>
  </si>
  <si>
    <t>đt k cho lại thông tin MST</t>
  </si>
  <si>
    <t>Hoàng Tùng</t>
  </si>
  <si>
    <t>MST DN - 4601592044</t>
  </si>
  <si>
    <t>hoangtung.dhkt1gmail.com</t>
  </si>
  <si>
    <t>Nguyễn Hoàng Sơn</t>
  </si>
  <si>
    <t>0333225332</t>
  </si>
  <si>
    <t>nguyenhoangson23112000@gmail.com</t>
  </si>
  <si>
    <t>Cao Đại Dương</t>
  </si>
  <si>
    <t>0344022315</t>
  </si>
  <si>
    <t xml:space="preserve">
daiduongcao96@gmail.com</t>
  </si>
  <si>
    <t>Đào Xuân Huy</t>
  </si>
  <si>
    <t>0984250996</t>
  </si>
  <si>
    <t>xuanhuy@gmail.com</t>
  </si>
  <si>
    <t>Đối tác là bộ đội, không có MST check cả CCCD lẫn CMND đều  có</t>
  </si>
  <si>
    <t>Nguyễn Thị Thu</t>
  </si>
  <si>
    <t>0988610089</t>
  </si>
  <si>
    <t>nguyenthuthu688@gmail.com</t>
  </si>
  <si>
    <t>Lương Thu Nhung</t>
  </si>
  <si>
    <t>0912881626</t>
  </si>
  <si>
    <t>thunhungktkt@gmail.com</t>
  </si>
  <si>
    <t>Nguyễn Thị Thảo</t>
  </si>
  <si>
    <t>0978247444</t>
  </si>
  <si>
    <t>Đối tác đã không hoạt động nữa, klld để xin thông tin</t>
  </si>
  <si>
    <t>Nguyễn Thị Phương Tri</t>
  </si>
  <si>
    <t>0977242988</t>
  </si>
  <si>
    <t xml:space="preserve">
phuongtri.vfu@gmail.com</t>
  </si>
  <si>
    <t>Doãn Thị Hoa</t>
  </si>
  <si>
    <t>0368240666</t>
  </si>
  <si>
    <t>doanhoa3009hn@gmail.com</t>
  </si>
  <si>
    <t>H Mion Niê</t>
  </si>
  <si>
    <t>0349574037</t>
  </si>
  <si>
    <t>mionniekdam@gmail.com</t>
  </si>
  <si>
    <t>Nguyễn Thị Kim Huệ</t>
  </si>
  <si>
    <t>Đã có người nhận thay</t>
  </si>
  <si>
    <t>Nguyễn Thị Hồng Hải</t>
  </si>
  <si>
    <t>0966597880</t>
  </si>
  <si>
    <t>Honghai.sfl@tnu.edu.vn</t>
  </si>
  <si>
    <t>Đinh Thị Loan</t>
  </si>
  <si>
    <t>0985984901</t>
  </si>
  <si>
    <t>Phan Minh Huyền</t>
  </si>
  <si>
    <t>0366014666</t>
  </si>
  <si>
    <t>huyenpm@tnu.edu.vn</t>
  </si>
  <si>
    <t>Vũ Thị Huyền Anh</t>
  </si>
  <si>
    <t>0949792585</t>
  </si>
  <si>
    <t>vuhuyenanh.bn@gmail.com</t>
  </si>
  <si>
    <t>Ngô Thị Nhung</t>
  </si>
  <si>
    <t>0989324854</t>
  </si>
  <si>
    <t>ngonhungqtkd@gmail.com</t>
  </si>
  <si>
    <t>Lương Viết Cường</t>
  </si>
  <si>
    <t>0979703666</t>
  </si>
  <si>
    <t>Gọi Knm</t>
  </si>
  <si>
    <t xml:space="preserve"> </t>
  </si>
  <si>
    <t>Bùi Thị Ngọc Thoa</t>
  </si>
  <si>
    <t>0363093090</t>
  </si>
  <si>
    <t>ngocthoa2011@gmai.com</t>
  </si>
  <si>
    <t>Nguyễn Thị Hải Yến</t>
  </si>
  <si>
    <t>Đối tác không đồng ý cung cấp thông tin cá nhân
Gọi knm</t>
  </si>
  <si>
    <t>Vũ Thị Hoa</t>
  </si>
  <si>
    <t>Ngừng hoạt động, chỉ gt duy nhất chồng đi học</t>
  </si>
  <si>
    <t>Nguyễn Thùy Trang</t>
  </si>
  <si>
    <t>0964141820</t>
  </si>
  <si>
    <t>thuytrang51194@gmail.com</t>
  </si>
  <si>
    <t>Nguyễn Vân Thịnh</t>
  </si>
  <si>
    <t>Quách Công Năm</t>
  </si>
  <si>
    <t>0979448112</t>
  </si>
  <si>
    <t>quachcongnam@hdu.edu.vn</t>
  </si>
  <si>
    <t>Phạm Thị Bạch Dương</t>
  </si>
  <si>
    <t>0774275241</t>
  </si>
  <si>
    <t>Hồ Thị Cẩm Châu</t>
  </si>
  <si>
    <t>0944418215</t>
  </si>
  <si>
    <t>htcchau0109@gmail.com</t>
  </si>
  <si>
    <t>Đỗ Văn Huy</t>
  </si>
  <si>
    <t>0973236811</t>
  </si>
  <si>
    <t>Bùi Thị Thu Hồng</t>
  </si>
  <si>
    <t>0982691186</t>
  </si>
  <si>
    <t>buihongbk@gmail.com1</t>
  </si>
  <si>
    <t>Vũ Thị Thanh Hòa</t>
  </si>
  <si>
    <t>0974666335</t>
  </si>
  <si>
    <t>vuthanhhoa87tn@gmail.com</t>
  </si>
  <si>
    <t>Hoàng Thị Hoài Thư</t>
  </si>
  <si>
    <t>0344181898</t>
  </si>
  <si>
    <t>thungoc@gmail.com</t>
  </si>
  <si>
    <t>Nguyễn Phúc Thọ</t>
  </si>
  <si>
    <t>phucthotaichinh@gmail.com</t>
  </si>
  <si>
    <t>Vũ Thị Nguyệt</t>
  </si>
  <si>
    <t>0913288058</t>
  </si>
  <si>
    <t xml:space="preserve">đt ko muốn bổ sung thông tin </t>
  </si>
  <si>
    <t>Võ Thị Huỳnh Như</t>
  </si>
  <si>
    <t>huynhnhu211291@gmail.com</t>
  </si>
  <si>
    <t>ĐT thi thoảng vẫn có phát sinh doanh thu nên là vẫn thanh toán  để duy trì tương tác</t>
  </si>
  <si>
    <t>Võ Thị Hoa</t>
  </si>
  <si>
    <t>Phạm Xuân Vũ</t>
  </si>
  <si>
    <t>phamxuanvu27122002@gmail.com</t>
  </si>
  <si>
    <t xml:space="preserve">CTV k cho MST </t>
  </si>
  <si>
    <t>CÔNG TY CỔ PHẦN TƯ VẤN DỊCH VỤ ĐÀO TẠO 
 AUM VIỆT NAM</t>
  </si>
  <si>
    <t>CỘNG HÒA XÃ HỘI CHỦ NGHĨA VIỆT NAM
 Độc lập - Tự do - Hạnh phúc</t>
  </si>
  <si>
    <t>ĐỀ NGHỊ THANH TOÁN CÁ NHÂN THÁNG 12</t>
  </si>
  <si>
    <t>Số:&lt;12.02/ĐNTT.ĐLL&gt;</t>
  </si>
  <si>
    <t>Hà Nội, Ngày…. Tháng …..Năm 202</t>
  </si>
  <si>
    <t>Mã KH</t>
  </si>
  <si>
    <t>Số ĐT</t>
  </si>
  <si>
    <t>CCCD</t>
  </si>
  <si>
    <t>STK ngân hàng</t>
  </si>
  <si>
    <t>NOTE - PTML</t>
  </si>
  <si>
    <t>NHÂN SỰ</t>
  </si>
  <si>
    <t>Số CCCD</t>
  </si>
  <si>
    <t>Ngày cấp</t>
  </si>
  <si>
    <t>Nơi cấp</t>
  </si>
  <si>
    <t>Số tài khoản</t>
  </si>
  <si>
    <t>Ngân hàng</t>
  </si>
  <si>
    <t>KH43515</t>
  </si>
  <si>
    <t>Phạm Thị Yến Chi</t>
  </si>
  <si>
    <t>Cục CS QLHC về TTXH</t>
  </si>
  <si>
    <t>BIDV- Ngân hàng Thương mại cổ phần Đầu tư và Phát triển Việt Nam- chi nhanh Gia Lộc</t>
  </si>
  <si>
    <t xml:space="preserve">Không xin được mail. Không liên hệ được với đối tác , sdt thuê bao, zalo đt không truy cập </t>
  </si>
  <si>
    <t>KH33248</t>
  </si>
  <si>
    <t>Namtt@tnu.edu.vn</t>
  </si>
  <si>
    <t>BIDV- Chi nhánh TP Thái Nguyên</t>
  </si>
  <si>
    <t>KH37941</t>
  </si>
  <si>
    <t>Đinh Thu Thùy</t>
  </si>
  <si>
    <t>dinhthuthuy188@gmail.com</t>
  </si>
  <si>
    <t>Cục CS ĐKQL cư trú và DLQG về dân cư</t>
  </si>
  <si>
    <t>9704229261763135</t>
  </si>
  <si>
    <t>MB Quân Đội chi nhánh điện biên phủ viettel money thuộc mb</t>
  </si>
  <si>
    <t>KH184049</t>
  </si>
  <si>
    <t>buitri.dec@tnu.edu.vn</t>
  </si>
  <si>
    <t>CA tỉnh Hải Dương</t>
  </si>
  <si>
    <t>Ngân hàng Quân đội Thái Nguyên</t>
  </si>
  <si>
    <t>KH13580</t>
  </si>
  <si>
    <t>Hoàng Công Tùng</t>
  </si>
  <si>
    <t>drcardiology15@gmail.com</t>
  </si>
  <si>
    <t>Cục CS QLHV về TTXH</t>
  </si>
  <si>
    <t>Ngân Hàng MB Bank</t>
  </si>
  <si>
    <t>KH47979</t>
  </si>
  <si>
    <t>Nguyễn Thị Anh Đào</t>
  </si>
  <si>
    <t>Nguyenanhdao@tueba.edu.vn</t>
  </si>
  <si>
    <t>Agribank-Ngân hàng Nông nghiệp và Phát triển Nông thôn Việt Nam- chi nhánh Thái Nguyên</t>
  </si>
  <si>
    <t>KH010543</t>
  </si>
  <si>
    <t>nguyenviethungln@tuaf.edu.vn</t>
  </si>
  <si>
    <t>Agribank</t>
  </si>
  <si>
    <t>A000009241</t>
  </si>
  <si>
    <t>Phạm Thị Ngà</t>
  </si>
  <si>
    <t>ngapt@tnu.edu.vn</t>
  </si>
  <si>
    <t>MB BANK</t>
  </si>
  <si>
    <t>KH35031</t>
  </si>
  <si>
    <t>chuquanghung@gmail.com</t>
  </si>
  <si>
    <t>0945555549</t>
  </si>
  <si>
    <t>BIDV</t>
  </si>
  <si>
    <t>KH233358</t>
  </si>
  <si>
    <t>tuyetnhunghkn@gmail.com</t>
  </si>
  <si>
    <t>CA TP Hồ CHí Minh</t>
  </si>
  <si>
    <t>Viettinbank</t>
  </si>
  <si>
    <t>KH35164</t>
  </si>
  <si>
    <t>Nguyễn Năng Hưng</t>
  </si>
  <si>
    <t>nanghungtb@gmail.com</t>
  </si>
  <si>
    <t>00/01/1900</t>
  </si>
  <si>
    <t>SHB bank</t>
  </si>
  <si>
    <t>KH004988</t>
  </si>
  <si>
    <t>kimhuenguyen3009@gmail.com</t>
  </si>
  <si>
    <t>Vietcombank</t>
  </si>
  <si>
    <t>Nguyễn Thị Như Hoa</t>
  </si>
  <si>
    <t>nguyenthithao041199@gmail.com</t>
  </si>
  <si>
    <t>042300006304</t>
  </si>
  <si>
    <t>0854369457</t>
  </si>
  <si>
    <t>TP BANK</t>
  </si>
  <si>
    <t>Nhận hộ  KH004988- Nguyễn Thị Kim Huệ</t>
  </si>
  <si>
    <t>KH243304</t>
  </si>
  <si>
    <t>Nguyễn Duy Nhậm</t>
  </si>
  <si>
    <t>Duynham020277@gmail.com</t>
  </si>
  <si>
    <t>CA tỉnh Sơn La</t>
  </si>
  <si>
    <t>BIDV chi nhánh Sơn La</t>
  </si>
  <si>
    <t>KH339528</t>
  </si>
  <si>
    <t>Trần Quốc Hoàng</t>
  </si>
  <si>
    <t>010913594999</t>
  </si>
  <si>
    <t>Hoangvtcp@gmail.com</t>
  </si>
  <si>
    <t>Ngân hàng Ngoại thương (vcb) chi nhánh Quảng Ninh</t>
  </si>
  <si>
    <t>đang nhắn xin email</t>
  </si>
  <si>
    <t>KH35683</t>
  </si>
  <si>
    <t>Bùi Minh Phúc</t>
  </si>
  <si>
    <t>buiminhphuc@gmail.com</t>
  </si>
  <si>
    <t>MB</t>
  </si>
  <si>
    <t>KH34173</t>
  </si>
  <si>
    <t>Nguyễn Thị Hồng Liên</t>
  </si>
  <si>
    <t xml:space="preserve">đối tác k có MST những nhất quyết k ủy quyền cho AUM mở MST </t>
  </si>
  <si>
    <t>Trangpnm</t>
  </si>
  <si>
    <t>Đỗ Hà My</t>
  </si>
  <si>
    <t>Tuyensinhdhtm2019@gmail.com</t>
  </si>
  <si>
    <t>Techcombank</t>
  </si>
  <si>
    <t xml:space="preserve">Nhận thay đối tác Nguyễn Thị Hồng Liên </t>
  </si>
  <si>
    <t>KH061624</t>
  </si>
  <si>
    <t>Ngô Thị Minh Ngọc</t>
  </si>
  <si>
    <t>ngothiminhngoc98@gmail.com</t>
  </si>
  <si>
    <t>KH177642</t>
  </si>
  <si>
    <t>Trịnh Thị Tuyết Trinh</t>
  </si>
  <si>
    <t>merrytrish@gmail.com</t>
  </si>
  <si>
    <t>Sacombank PGD An Bình</t>
  </si>
  <si>
    <t>KH163315</t>
  </si>
  <si>
    <t>Vũ Thanh Trường</t>
  </si>
  <si>
    <t>vutruong125@gmail.com</t>
  </si>
  <si>
    <t>KH174746</t>
  </si>
  <si>
    <t>Hoàng Thị Thơm</t>
  </si>
  <si>
    <t xml:space="preserve">
thomht.nhtd@gmail.com</t>
  </si>
  <si>
    <t>Teckcombank CN Chương Dương</t>
  </si>
  <si>
    <t>KH41973</t>
  </si>
  <si>
    <t>Bùi Thị Ngân</t>
  </si>
  <si>
    <t>buithingantb18@gmail.com</t>
  </si>
  <si>
    <t>KH27627</t>
  </si>
  <si>
    <t>thaontp.gdtx@thainguyen.edu.vn</t>
  </si>
  <si>
    <t>KH15944</t>
  </si>
  <si>
    <t>hongnhung92@hvtc.edu.vn</t>
  </si>
  <si>
    <t>CA Hải Phòng</t>
  </si>
  <si>
    <t>Ngân hàng BIDV chi nhánh Nam Thăng Long</t>
  </si>
  <si>
    <t>KH194625</t>
  </si>
  <si>
    <t>dolanhuong2528@gmail.com</t>
  </si>
  <si>
    <t>CA Hà Nội</t>
  </si>
  <si>
    <t>ngân hàng VP Banhk chi nhánh Chương Dương-Hà Nội</t>
  </si>
  <si>
    <t>KH33790</t>
  </si>
  <si>
    <t>quynhlien.tuyensinh@gmail.com</t>
  </si>
  <si>
    <t>Ngân hàng Techcombank</t>
  </si>
  <si>
    <t>KH13576</t>
  </si>
  <si>
    <t>Nguyễn Hồng Ron</t>
  </si>
  <si>
    <t>0939379849</t>
  </si>
  <si>
    <t xml:space="preserve">hongronnguyen@gmail.com
</t>
  </si>
  <si>
    <t>ACB</t>
  </si>
  <si>
    <t>KH34704</t>
  </si>
  <si>
    <t>Lý Thị Nhiên</t>
  </si>
  <si>
    <t xml:space="preserve">lynhien@tnu.edu.vn
</t>
  </si>
  <si>
    <t>Ngân hàng MB - chi nhánh Thái nguyên</t>
  </si>
  <si>
    <t>KH051805</t>
  </si>
  <si>
    <t>0937867212</t>
  </si>
  <si>
    <t>contact@cunhantuxa.edu.vn</t>
  </si>
  <si>
    <t>VP Bank</t>
  </si>
  <si>
    <t>KH52058</t>
  </si>
  <si>
    <t>0336 399 993</t>
  </si>
  <si>
    <t>thuylien.etali@tnut.edu.vn</t>
  </si>
  <si>
    <t>Cục cảnh sát quản lý hành chính về trật tự xã hội.</t>
  </si>
  <si>
    <t>Agribank Thái Nguyên</t>
  </si>
  <si>
    <t>KH40811</t>
  </si>
  <si>
    <t>Nguyễn Đỗ Hương Giang</t>
  </si>
  <si>
    <t>0979871910</t>
  </si>
  <si>
    <t>Nguyendohuonggiang@tuaf.edu.vn</t>
  </si>
  <si>
    <t>Agribank - Ngân hàng nông nghiệp chi nhánh tỉnh Thái Nguyên</t>
  </si>
  <si>
    <t>KH38946</t>
  </si>
  <si>
    <t>Hà Thị Kim Loan</t>
  </si>
  <si>
    <t>kimloan@gmail.com</t>
  </si>
  <si>
    <t>KH194366</t>
  </si>
  <si>
    <t>Vũ Tuấn Anh</t>
  </si>
  <si>
    <t>vutuananh354@gmail.com</t>
  </si>
  <si>
    <t>KH297077</t>
  </si>
  <si>
    <t>Bùi Như Hiển</t>
  </si>
  <si>
    <t>Buinhuhien@gmail.com</t>
  </si>
  <si>
    <t>Cục CS ĐKQLCT và DLQG về dân cư</t>
  </si>
  <si>
    <t>KH50865</t>
  </si>
  <si>
    <t>lephuongglienn2008@gmail.com</t>
  </si>
  <si>
    <t>Ngân hàng MB quân đội- chi nhánh Hải Dương</t>
  </si>
  <si>
    <t>KH193097</t>
  </si>
  <si>
    <t>Nguyenduckhanh17@gmail.com</t>
  </si>
  <si>
    <t>MB Bank- Chi nhánh Đồng Nai</t>
  </si>
  <si>
    <t>A000078243</t>
  </si>
  <si>
    <t>Phạm Thị Vượng</t>
  </si>
  <si>
    <t>dogiadung873@gmail.com</t>
  </si>
  <si>
    <t>ĐT nhờ ĐT Đinh Thu Thùy nhận hộ 
MST: 8663111615
Số CCCD: 1198010719        
Ngày Cấp: 21/12/2015
Nơi cấp: Cục CS ĐKQL cư trú và DLQG về dân cư        
STK: 9704229261763135        MB Quân Đội chi nhánh điện biên phủ viettel money thuộc mb"</t>
  </si>
  <si>
    <t>Hanhmt</t>
  </si>
  <si>
    <t>KH306397</t>
  </si>
  <si>
    <t>Nguyễn Thị Thu Hà</t>
  </si>
  <si>
    <t>kate.nguyen1980@gmail.com</t>
  </si>
  <si>
    <t>019180008276</t>
  </si>
  <si>
    <t>10/8/2021</t>
  </si>
  <si>
    <t>KH47894</t>
  </si>
  <si>
    <t>Nguyễn Trung Đức</t>
  </si>
  <si>
    <t>nguyentrungduc435@gmail.com</t>
  </si>
  <si>
    <t>Techcombank - chi nhanh Lê Thanh Nghị</t>
  </si>
  <si>
    <t>KH38348</t>
  </si>
  <si>
    <t>nhungltk@ptit.edu.vn</t>
  </si>
  <si>
    <t>Ngân hàng Techcombank - Chi nhánh Hà Tây</t>
  </si>
  <si>
    <t>KH248067</t>
  </si>
  <si>
    <t>manh241290@gmail.com</t>
  </si>
  <si>
    <t>KH34527</t>
  </si>
  <si>
    <t>nghiavt1234@gmail.com</t>
  </si>
  <si>
    <t>Ngân hàng Quân Đội MB BANK chi nhánh Linh Đàm</t>
  </si>
  <si>
    <t>KH246806</t>
  </si>
  <si>
    <t>Nguyễn Huy Phương</t>
  </si>
  <si>
    <t xml:space="preserve">
huyphuongktqd273@gmail.com</t>
  </si>
  <si>
    <t>Ngân hàng Vietinbank chi nhánh Ba Đình</t>
  </si>
  <si>
    <t>KH749847</t>
  </si>
  <si>
    <t>Tạ Minh Tiến</t>
  </si>
  <si>
    <t>drtien86ent@gmail.com</t>
  </si>
  <si>
    <t>VPbank</t>
  </si>
  <si>
    <t>KH250707</t>
  </si>
  <si>
    <t>Dương Đình Linh</t>
  </si>
  <si>
    <t>duongdinhlinh555@gmail.com</t>
  </si>
  <si>
    <t>CA Bình Dương</t>
  </si>
  <si>
    <t>Ngân hàng BIDV Chi nhánh Bình Dương</t>
  </si>
  <si>
    <t>KH111629</t>
  </si>
  <si>
    <t>Nguyễn Thị Dung</t>
  </si>
  <si>
    <t>dung85th@gmail.com</t>
  </si>
  <si>
    <t>ViettinBank</t>
  </si>
  <si>
    <t>KH185097</t>
  </si>
  <si>
    <t>Nguyencongvietktkthn1@gmail.com</t>
  </si>
  <si>
    <t>CA tỉnh Bắc Ninh</t>
  </si>
  <si>
    <t>Vpbank- chi nhánh Nguyễn Tuân Hà Nội</t>
  </si>
  <si>
    <t>KH246797</t>
  </si>
  <si>
    <t>Đặng Thị Hằng</t>
  </si>
  <si>
    <t>010918381888</t>
  </si>
  <si>
    <t xml:space="preserve">
danghangcb@gmail.com1</t>
  </si>
  <si>
    <t>CA tỉnh Nghệ An</t>
  </si>
  <si>
    <t>Ngân hàng VCB chi nhánh nghệ an</t>
  </si>
  <si>
    <t>KH189130</t>
  </si>
  <si>
    <t>Trương Thị Thu Hương</t>
  </si>
  <si>
    <t xml:space="preserve">
thuhuong.linhna@gmail.com</t>
  </si>
  <si>
    <t>Ngân hàng MB, chi nhánh Mỹ Đình</t>
  </si>
  <si>
    <t>KH29821</t>
  </si>
  <si>
    <t>Trần Kim Trọng Nghĩa</t>
  </si>
  <si>
    <t>nghiapiano1@gmail.com</t>
  </si>
  <si>
    <t>Vietcombank - Trụ sở CN Kon Tum</t>
  </si>
  <si>
    <t>KH34526</t>
  </si>
  <si>
    <t>Hà Thị Anh</t>
  </si>
  <si>
    <t>Hathianhctkthn@gmail.com</t>
  </si>
  <si>
    <t>Vietcombank- Chi nhánh Thành Công</t>
  </si>
  <si>
    <t>KH247253</t>
  </si>
  <si>
    <t>Hà Thanh Dung</t>
  </si>
  <si>
    <t xml:space="preserve">
hadungniem2409@gmail.com</t>
  </si>
  <si>
    <t>CA tỉnh Phú Thọ</t>
  </si>
  <si>
    <t>KH844407</t>
  </si>
  <si>
    <t>Nguyễn Thị Mỹ Khánh</t>
  </si>
  <si>
    <t>nguyenmykhanh87@gmail.com</t>
  </si>
  <si>
    <t>KH18068</t>
  </si>
  <si>
    <t>thuy.sph91@gmail.com</t>
  </si>
  <si>
    <t>Cục Cảnh sát Quản lý hành chính về trật tự xã hội</t>
  </si>
  <si>
    <t>KH41685</t>
  </si>
  <si>
    <t>Nguyễn Thị Thu Thủy</t>
  </si>
  <si>
    <t>thuykthb@gmail.com</t>
  </si>
  <si>
    <t>Vietinbank</t>
  </si>
  <si>
    <t>KH135670</t>
  </si>
  <si>
    <t>Phan Thị Hiền</t>
  </si>
  <si>
    <t xml:space="preserve">
phanhien200381@gmail.com</t>
  </si>
  <si>
    <t>VPB-Ngân hàng việt nam thịnh vượng-Chi nhánh Chương Dương</t>
  </si>
  <si>
    <t>KH186933</t>
  </si>
  <si>
    <t>ngoccongtt1@gmail.com</t>
  </si>
  <si>
    <t>CA Tỉnh Điện Biên</t>
  </si>
  <si>
    <t>Vietcombank chi nhánh Hà Nội</t>
  </si>
  <si>
    <t>KH006260</t>
  </si>
  <si>
    <t>Lê Thị Ngà</t>
  </si>
  <si>
    <t>0912668313@gmail.com</t>
  </si>
  <si>
    <t>KH35724</t>
  </si>
  <si>
    <t>Kiều Thị Chung</t>
  </si>
  <si>
    <t xml:space="preserve">
kieuchungbn@gmail.com</t>
  </si>
  <si>
    <t>KH18328</t>
  </si>
  <si>
    <t>Phạm Kim Quy</t>
  </si>
  <si>
    <t>quyphamkim.vn@gmail.com</t>
  </si>
  <si>
    <t>Techcombank chi nhánh Hoàng Mai</t>
  </si>
  <si>
    <t>KH269513</t>
  </si>
  <si>
    <t>doctorlehai@gmail.com</t>
  </si>
  <si>
    <t>Vietcombank - chi nhánh: Ngô Quyền</t>
  </si>
  <si>
    <t>KH004940</t>
  </si>
  <si>
    <t>Phạm Thị Thủy</t>
  </si>
  <si>
    <t xml:space="preserve">
Phamthuykts88@gmail.com</t>
  </si>
  <si>
    <t>KH27260</t>
  </si>
  <si>
    <t>dannguyen.au86@gmail.com</t>
  </si>
  <si>
    <t>Techcombank – Chi nhánh Hoàn Kiếm</t>
  </si>
  <si>
    <t>KH37990</t>
  </si>
  <si>
    <t>Trịnh Quốc Long</t>
  </si>
  <si>
    <t>quoclong.fe1@gmail.com</t>
  </si>
  <si>
    <t>KH412706</t>
  </si>
  <si>
    <t>0966768112a@gmail.com</t>
  </si>
  <si>
    <t>KH38292</t>
  </si>
  <si>
    <t>Lê Thị Tố Uyên</t>
  </si>
  <si>
    <t xml:space="preserve">
touyenan@gmail.com</t>
  </si>
  <si>
    <t>KH37974</t>
  </si>
  <si>
    <t xml:space="preserve">
huynhnhu211291@gmail.com</t>
  </si>
  <si>
    <t>ĐT báo dừng hợp tác, không cung cấp</t>
  </si>
  <si>
    <t>Hangdt</t>
  </si>
  <si>
    <t>A000063774</t>
  </si>
  <si>
    <t>Trần Kim Huệ</t>
  </si>
  <si>
    <t>- Đối tác không cho thông tin, không nhận hoa hồng</t>
  </si>
  <si>
    <t xml:space="preserve">Hà Thùy Linh </t>
  </si>
  <si>
    <t>KH157804</t>
  </si>
  <si>
    <t>Đoàn Kim Chi</t>
  </si>
  <si>
    <t>doankimchi2006@gmail.com</t>
  </si>
  <si>
    <t>Sacombank</t>
  </si>
  <si>
    <t>Tổng</t>
  </si>
  <si>
    <t>Bằng chữ:</t>
  </si>
  <si>
    <t>Một trăm năm mươi ba triệu một trăm chín mươi chín ngàn tám trăm đồng chẵn.</t>
  </si>
  <si>
    <t>Giám Đốc</t>
  </si>
  <si>
    <t>P.TCKT</t>
  </si>
  <si>
    <t>TT.PTML</t>
  </si>
  <si>
    <t>Ngô Thị Minh Hiếu</t>
  </si>
  <si>
    <t>Trần Thị Nga</t>
  </si>
  <si>
    <t>Phạm Thanh Trung</t>
  </si>
  <si>
    <t>TT</t>
  </si>
  <si>
    <t>Mã Khách hàng</t>
  </si>
  <si>
    <t>Tên</t>
  </si>
  <si>
    <t>Số TK Trước đây</t>
  </si>
  <si>
    <t>Mã KH mới</t>
  </si>
  <si>
    <t>Ngân hàng mới</t>
  </si>
  <si>
    <t>STK mới</t>
  </si>
  <si>
    <t>Tên người phụ trách</t>
  </si>
  <si>
    <t>KH28263</t>
  </si>
  <si>
    <t>Long</t>
  </si>
  <si>
    <t>AUMPTĐL</t>
  </si>
  <si>
    <t>AUM PTĐL</t>
  </si>
  <si>
    <t>PTĐL</t>
  </si>
  <si>
    <t>KH109943</t>
  </si>
  <si>
    <t>Trần Tố Như</t>
  </si>
  <si>
    <t>Như</t>
  </si>
  <si>
    <t>Vietcombank - CN Hải Phòng</t>
  </si>
  <si>
    <t>KH110792</t>
  </si>
  <si>
    <t>Lê Thị Ngọc Mỹ</t>
  </si>
  <si>
    <t>Mỹ</t>
  </si>
  <si>
    <t>KH110799</t>
  </si>
  <si>
    <t>Hà Thị Ngọc Anh</t>
  </si>
  <si>
    <t>Anh</t>
  </si>
  <si>
    <t>KH122510</t>
  </si>
  <si>
    <t>Phạm Đức Trường</t>
  </si>
  <si>
    <t>Trường</t>
  </si>
  <si>
    <t xml:space="preserve">Nguyễn Thanh Thúy </t>
  </si>
  <si>
    <t>KH125152</t>
  </si>
  <si>
    <t>Cúc</t>
  </si>
  <si>
    <t>Chi nhánh Đô Thành VietinBank</t>
  </si>
  <si>
    <t>KH12926</t>
  </si>
  <si>
    <t>Dương Quốc Huy</t>
  </si>
  <si>
    <t>Huy</t>
  </si>
  <si>
    <t>Ngaân hàng Liên Việt Postbank - chi nhánh Tây Hồ, HN</t>
  </si>
  <si>
    <t>KH12997</t>
  </si>
  <si>
    <t>Nguyễn Thu Thủy</t>
  </si>
  <si>
    <t>Thủy</t>
  </si>
  <si>
    <t>BIDV Thái Nguyên</t>
  </si>
  <si>
    <t>KH130520</t>
  </si>
  <si>
    <t>Bùi Thị Kền</t>
  </si>
  <si>
    <t>Kền</t>
  </si>
  <si>
    <t>VietComBank chi nhánh sao đỏ,chí linh, hải dương</t>
  </si>
  <si>
    <t>KH130735</t>
  </si>
  <si>
    <t>Ngô Thị Thùy</t>
  </si>
  <si>
    <t>Thùy</t>
  </si>
  <si>
    <t>VPBank, chi nhánh Trần Thái Tông. CTK:</t>
  </si>
  <si>
    <t>KH13129</t>
  </si>
  <si>
    <t>Giáp Văn Vịnh</t>
  </si>
  <si>
    <t>Vịnh</t>
  </si>
  <si>
    <t>Ngân hàng Agribank</t>
  </si>
  <si>
    <t>KH13136</t>
  </si>
  <si>
    <t>Thọ</t>
  </si>
  <si>
    <t>VP Bank- chi nhánh Đà Lạt</t>
  </si>
  <si>
    <t>KH13187</t>
  </si>
  <si>
    <t>Vũ Thị Hương</t>
  </si>
  <si>
    <t>Hương</t>
  </si>
  <si>
    <t>Ngân hàng công thương Vietinbank chi nhánh Hà Nam</t>
  </si>
  <si>
    <t>KH13529</t>
  </si>
  <si>
    <t>Nguyễn Thu Khanh</t>
  </si>
  <si>
    <t>Khanh</t>
  </si>
  <si>
    <t>Agribank chi nhánh quận 2 - TP.HCM</t>
  </si>
  <si>
    <t>KH13551</t>
  </si>
  <si>
    <t>Lại Anh Tuấn</t>
  </si>
  <si>
    <t>Tuấn</t>
  </si>
  <si>
    <t>Lai Anh Tuan - vcb Chi Nhánh Ninh Bình</t>
  </si>
  <si>
    <t>2.21E+11</t>
  </si>
  <si>
    <t>Hiền</t>
  </si>
  <si>
    <t>KH13582</t>
  </si>
  <si>
    <t>Nguyễn Thị Đông</t>
  </si>
  <si>
    <t>MB Bank</t>
  </si>
  <si>
    <t>KH13712</t>
  </si>
  <si>
    <t>Đào Việt Hùng</t>
  </si>
  <si>
    <t>Hùng</t>
  </si>
  <si>
    <t>KH13719</t>
  </si>
  <si>
    <t>Lưu Hữu Đức</t>
  </si>
  <si>
    <t>Đức</t>
  </si>
  <si>
    <t>BIDV chi nhánh Cầu Giấy</t>
  </si>
  <si>
    <t>KH13727</t>
  </si>
  <si>
    <t>Quỳnh</t>
  </si>
  <si>
    <t>Ngân hàng VPBank</t>
  </si>
  <si>
    <t>KH140894</t>
  </si>
  <si>
    <t>Nguyễn Đức Anh</t>
  </si>
  <si>
    <t>KH14239</t>
  </si>
  <si>
    <t>Tạ Thị Thu Hợp</t>
  </si>
  <si>
    <t>Hợp</t>
  </si>
  <si>
    <t>VCB chi nhánh Hạ Long</t>
  </si>
  <si>
    <t>KH378250</t>
  </si>
  <si>
    <t>KH14700</t>
  </si>
  <si>
    <t>Trần Thị Hằng</t>
  </si>
  <si>
    <t>Hằng</t>
  </si>
  <si>
    <t>Ngân hàng Vietcombank CN Hoàn Kiếm</t>
  </si>
  <si>
    <t>KH147542</t>
  </si>
  <si>
    <t>Nguyễn Thị Hạnh</t>
  </si>
  <si>
    <t>Hạnh</t>
  </si>
  <si>
    <t>Techcombank chi nhánh Lĩnh Nam</t>
  </si>
  <si>
    <t>KH14760</t>
  </si>
  <si>
    <t>Nguyễn Văn Minh</t>
  </si>
  <si>
    <t>Minh</t>
  </si>
  <si>
    <t>Ngân hàng ACB CN Nguyễn Thái Sơn</t>
  </si>
  <si>
    <t>KH14805</t>
  </si>
  <si>
    <t>Nguyễn Giang Nam</t>
  </si>
  <si>
    <t>Nam</t>
  </si>
  <si>
    <t>MB Bank chi nhánh Võ Chí Công</t>
  </si>
  <si>
    <t>KH14923</t>
  </si>
  <si>
    <t>Nguyễn Xuân Đông</t>
  </si>
  <si>
    <t>BIDV chi nhánh Ân Thi</t>
  </si>
  <si>
    <t>KH14924</t>
  </si>
  <si>
    <t>Sơn</t>
  </si>
  <si>
    <t>TECHCOMBANK chi nhánh Hoàng Quốc Việt</t>
  </si>
  <si>
    <t>KH14925</t>
  </si>
  <si>
    <t>Đào Thị Lan</t>
  </si>
  <si>
    <t>Lan</t>
  </si>
  <si>
    <t>Vietinbank chi nhánh Đô Thành</t>
  </si>
  <si>
    <t>KH14952</t>
  </si>
  <si>
    <t>Huỳnh Hữu Hiếu</t>
  </si>
  <si>
    <t>Hiếu</t>
  </si>
  <si>
    <t>KH15784</t>
  </si>
  <si>
    <t>Tạ Huy Hùng</t>
  </si>
  <si>
    <t>Vietcombank - Tạ Huy Hùng</t>
  </si>
  <si>
    <t>KH15918</t>
  </si>
  <si>
    <t>Giáp Thị Phương Thảo</t>
  </si>
  <si>
    <t>Thảo</t>
  </si>
  <si>
    <t>ngân hàng BIDV chi nhánh điện Biên</t>
  </si>
  <si>
    <t>Nhung</t>
  </si>
  <si>
    <t>KH16083</t>
  </si>
  <si>
    <t>Nguyễn Huy Đào</t>
  </si>
  <si>
    <t>Đào</t>
  </si>
  <si>
    <t>ngân hàng SHB - Chi nhánh Bình Phước</t>
  </si>
  <si>
    <t>KH16153</t>
  </si>
  <si>
    <t>Lê Hồ Hiếu</t>
  </si>
  <si>
    <t>KH161999</t>
  </si>
  <si>
    <t>Lê Văn Phú</t>
  </si>
  <si>
    <t>Phú</t>
  </si>
  <si>
    <t>MB bank - CN Thủ Đức, Tp HCM</t>
  </si>
  <si>
    <t>KH16210</t>
  </si>
  <si>
    <t>LÊ GIANG</t>
  </si>
  <si>
    <t>GIANG</t>
  </si>
  <si>
    <t>VP Bank- chi nhánh Quang Trung</t>
  </si>
  <si>
    <t>KH16220</t>
  </si>
  <si>
    <t>Nguyễn Duyên</t>
  </si>
  <si>
    <t>Duyên</t>
  </si>
  <si>
    <t>Techcombank - cn HÀ TÂY</t>
  </si>
  <si>
    <t>KH16393</t>
  </si>
  <si>
    <t>Nguyễn thị Thủy</t>
  </si>
  <si>
    <t>BIDV ĐIện Biên</t>
  </si>
  <si>
    <t>KH16468</t>
  </si>
  <si>
    <t>Nguyễn Thị Tú Oanh</t>
  </si>
  <si>
    <t>Oanh</t>
  </si>
  <si>
    <t>Techcombank chi nhánh Hoàng Quốc Việt</t>
  </si>
  <si>
    <t>KH217203</t>
  </si>
  <si>
    <t>KH16890</t>
  </si>
  <si>
    <t>Trần Xuân Cần</t>
  </si>
  <si>
    <t>Cần</t>
  </si>
  <si>
    <t>MB- Ngân hàng Quân Đội</t>
  </si>
  <si>
    <t>KH407474</t>
  </si>
  <si>
    <t xml:space="preserve">Màn Thị Hạnh </t>
  </si>
  <si>
    <t>KH16904</t>
  </si>
  <si>
    <t>Nguyễn Đức Văn</t>
  </si>
  <si>
    <t>Văn</t>
  </si>
  <si>
    <t>agribank</t>
  </si>
  <si>
    <t>KH408155</t>
  </si>
  <si>
    <t>KH169759</t>
  </si>
  <si>
    <t>Nguyễn Kiều Lan Thương</t>
  </si>
  <si>
    <t>Thương</t>
  </si>
  <si>
    <t>techcombank - Chi Nhánh Tân Sơn Nhất</t>
  </si>
  <si>
    <t>KH17002</t>
  </si>
  <si>
    <t>Yến</t>
  </si>
  <si>
    <t>echcom bank, chi nhánh Hàng Đậu</t>
  </si>
  <si>
    <t>KH172730</t>
  </si>
  <si>
    <t>Lưu Thị Vinh</t>
  </si>
  <si>
    <t>Vinh</t>
  </si>
  <si>
    <t>SHB chi nhánh Vạn Phúc</t>
  </si>
  <si>
    <t>KH172821</t>
  </si>
  <si>
    <t>Lại Thị Thúy</t>
  </si>
  <si>
    <t>Thúy</t>
  </si>
  <si>
    <t>Ngân hàng teachcombank chi nhanh hoàng quốc việt</t>
  </si>
  <si>
    <t>KH173173</t>
  </si>
  <si>
    <t>Tạ Đức Thanh</t>
  </si>
  <si>
    <t>Thanh</t>
  </si>
  <si>
    <t>ngân hàng Techcombank chi nhánh Hoàng Quốc Việt</t>
  </si>
  <si>
    <t>KH17336</t>
  </si>
  <si>
    <t>Hoa</t>
  </si>
  <si>
    <t>ngân hàng MB Bank</t>
  </si>
  <si>
    <t>KH750735</t>
  </si>
  <si>
    <t>KH17361</t>
  </si>
  <si>
    <t>Nguyễn Xuân Phong</t>
  </si>
  <si>
    <t>Phong</t>
  </si>
  <si>
    <t>VPBANK chi nhánh Thăng Long</t>
  </si>
  <si>
    <t>KH17367</t>
  </si>
  <si>
    <t>Trần Thị Hiên</t>
  </si>
  <si>
    <t>Hiên</t>
  </si>
  <si>
    <t>Ngân hàng cổ phần quốc tế VIB chi nhánh Tây Hồ</t>
  </si>
  <si>
    <t xml:space="preserve">KH413799	</t>
  </si>
  <si>
    <t>KH173758</t>
  </si>
  <si>
    <t>Lê Văn Long</t>
  </si>
  <si>
    <t>tai BIDV</t>
  </si>
  <si>
    <t>KH173827</t>
  </si>
  <si>
    <t>Bùi Thị Bích Huyền</t>
  </si>
  <si>
    <t>Huyền</t>
  </si>
  <si>
    <t>KH174049</t>
  </si>
  <si>
    <t>Nguyễn Văn Hoàng</t>
  </si>
  <si>
    <t>Hoàng</t>
  </si>
  <si>
    <t>BIDV NGUYEN VAN HOANG</t>
  </si>
  <si>
    <t>KH233333</t>
  </si>
  <si>
    <t>KH17418</t>
  </si>
  <si>
    <t>Trịnh Quốc Huy</t>
  </si>
  <si>
    <t>Vietinbank chi nhánh Thủ Thiêm - TP.HCM</t>
  </si>
  <si>
    <t>KH174394</t>
  </si>
  <si>
    <t>Nguyễn Thị Thuý</t>
  </si>
  <si>
    <t>Thuý</t>
  </si>
  <si>
    <t>NH vietcombank chi nhánh Hà Thành</t>
  </si>
  <si>
    <t>KH17441</t>
  </si>
  <si>
    <t>Trần Ngọc Thìn</t>
  </si>
  <si>
    <t>Thìn</t>
  </si>
  <si>
    <t>Ngân hàng MB (Quân đội) - Chi nhánh Hà Nội</t>
  </si>
  <si>
    <t>Thơm</t>
  </si>
  <si>
    <t>KH175372</t>
  </si>
  <si>
    <t>Trịnh Thị Tâm</t>
  </si>
  <si>
    <t>Tâm</t>
  </si>
  <si>
    <t>Techcombank hà đông</t>
  </si>
  <si>
    <t>KH175377</t>
  </si>
  <si>
    <t>Vũ Thị Huế</t>
  </si>
  <si>
    <t>Huế</t>
  </si>
  <si>
    <t>Techcombank chi nhánh Hà Nội</t>
  </si>
  <si>
    <t>KH175535</t>
  </si>
  <si>
    <t>Phạm Xuân Qúy</t>
  </si>
  <si>
    <t>Qúy</t>
  </si>
  <si>
    <t>NH Vietinbank - CN Nam Thăng Long</t>
  </si>
  <si>
    <t>KH17587</t>
  </si>
  <si>
    <t>Trần Văn Sang</t>
  </si>
  <si>
    <t>Sang</t>
  </si>
  <si>
    <t>Techcombank chi nhánh tây ninh</t>
  </si>
  <si>
    <t>KH176276</t>
  </si>
  <si>
    <t>Hoàng Văn Dơi</t>
  </si>
  <si>
    <t>Dơi</t>
  </si>
  <si>
    <t>Hoàng Văn Dơi - Vietinbank- Chi nhánh Quang Trung</t>
  </si>
  <si>
    <t>KH177318</t>
  </si>
  <si>
    <t>Trần Đức Thịnh</t>
  </si>
  <si>
    <t>Thịnh</t>
  </si>
  <si>
    <t>Ngân hàng Agribank, chi nhánh Bắc Yên Bái.</t>
  </si>
  <si>
    <t>KH177319</t>
  </si>
  <si>
    <t>KH177328</t>
  </si>
  <si>
    <t>Hoàng Mạnh Hùng</t>
  </si>
  <si>
    <t>Agribank văn yên, yên bái</t>
  </si>
  <si>
    <t>KH179233</t>
  </si>
  <si>
    <t>Vietcombank Huế</t>
  </si>
  <si>
    <t>KH179348</t>
  </si>
  <si>
    <t>Khuất Thị Tuyết Nhung</t>
  </si>
  <si>
    <t>KH179598</t>
  </si>
  <si>
    <t>KH179773</t>
  </si>
  <si>
    <t>Trương Tuấn Đạt</t>
  </si>
  <si>
    <t>Đạt</t>
  </si>
  <si>
    <t>ngân hàng nn và ptnt chi nhánh huyện Thống nhất</t>
  </si>
  <si>
    <t>KH179941</t>
  </si>
  <si>
    <t>Nguyễn Phương Thu</t>
  </si>
  <si>
    <t>Thu</t>
  </si>
  <si>
    <t>VP Bank Hoàng Quốc Việt</t>
  </si>
  <si>
    <t>KH180282</t>
  </si>
  <si>
    <t>Hà Thị Thu Hồng</t>
  </si>
  <si>
    <t>Hồng</t>
  </si>
  <si>
    <t>KH180633</t>
  </si>
  <si>
    <t>Mùa A Lểnh - Suối Bu</t>
  </si>
  <si>
    <t>Bu</t>
  </si>
  <si>
    <t>KH18073</t>
  </si>
  <si>
    <t>Nguyễn Thị Thơ</t>
  </si>
  <si>
    <t>Thơ</t>
  </si>
  <si>
    <t>vietinbank chi nhánh Hùng Vương</t>
  </si>
  <si>
    <t>KH180919</t>
  </si>
  <si>
    <t>Hoàng Xuân Tửu</t>
  </si>
  <si>
    <t>Tửu</t>
  </si>
  <si>
    <t>Ngân hàng Thương mại Cổ phần Sài gòn- SCB</t>
  </si>
  <si>
    <t>KH18109</t>
  </si>
  <si>
    <t>Đinh Thanh Tuyến</t>
  </si>
  <si>
    <t>Tuyến</t>
  </si>
  <si>
    <t>KH18169</t>
  </si>
  <si>
    <t>Đoàn Mai Hồng</t>
  </si>
  <si>
    <t>KH18291</t>
  </si>
  <si>
    <t>Tô Văn Tạo</t>
  </si>
  <si>
    <t>Tạo</t>
  </si>
  <si>
    <t>Agribank- chi nhánh Thủ Đức</t>
  </si>
  <si>
    <t>Quy</t>
  </si>
  <si>
    <t>KH18365</t>
  </si>
  <si>
    <t>Đàm Trần Khánh</t>
  </si>
  <si>
    <t>Khánh</t>
  </si>
  <si>
    <t>KH183830</t>
  </si>
  <si>
    <t>Nguyễn Minh Yến</t>
  </si>
  <si>
    <t>Techcombank chi nhánh Sơn tây</t>
  </si>
  <si>
    <t>Trí</t>
  </si>
  <si>
    <t>KH184204</t>
  </si>
  <si>
    <t>Nguyễn Thị Son</t>
  </si>
  <si>
    <t>Son</t>
  </si>
  <si>
    <t>Vpbank-Chi nhánh chương dương</t>
  </si>
  <si>
    <t>KH184586</t>
  </si>
  <si>
    <t>Trần Quang Minh</t>
  </si>
  <si>
    <t>Ngân hàng sacombank chi nhánh HCM</t>
  </si>
  <si>
    <t>KH184830</t>
  </si>
  <si>
    <t>Dương Thế Tùng</t>
  </si>
  <si>
    <t>Tùng</t>
  </si>
  <si>
    <t>TK MB chi nhánh TP Bắc Ninh</t>
  </si>
  <si>
    <t>Việt</t>
  </si>
  <si>
    <t>KH185243</t>
  </si>
  <si>
    <t>Đinh Thị Ngọc</t>
  </si>
  <si>
    <t>Ngọc</t>
  </si>
  <si>
    <t>KH185460</t>
  </si>
  <si>
    <t>Đinh Thị Phương Thảo</t>
  </si>
  <si>
    <t>tại ngân hàng VIB chi nhánh Hải Dương</t>
  </si>
  <si>
    <t>KH185469</t>
  </si>
  <si>
    <t>Nguyễn Thị Ngọc Yến</t>
  </si>
  <si>
    <t>Ngân hàng MB bank</t>
  </si>
  <si>
    <t>KH18547</t>
  </si>
  <si>
    <t>Trần Văn Ánh</t>
  </si>
  <si>
    <t>Ánh</t>
  </si>
  <si>
    <t>Vietinbank - chi nhánh Hai Bà Trưng, Hà Nội</t>
  </si>
  <si>
    <t>KH185828</t>
  </si>
  <si>
    <t>Trương Thu Huyền</t>
  </si>
  <si>
    <t>KH186344</t>
  </si>
  <si>
    <t>Phùng Anh Minh</t>
  </si>
  <si>
    <t>Công</t>
  </si>
  <si>
    <t>KH187254</t>
  </si>
  <si>
    <t>Phạm Thanh Hải</t>
  </si>
  <si>
    <t>Hải</t>
  </si>
  <si>
    <t>KH18733</t>
  </si>
  <si>
    <t>Phan Đình Quang</t>
  </si>
  <si>
    <t>Quang</t>
  </si>
  <si>
    <t>Vietin Bank</t>
  </si>
  <si>
    <t>KH188359</t>
  </si>
  <si>
    <t>Nguyễn Văn Phương</t>
  </si>
  <si>
    <t>Phương</t>
  </si>
  <si>
    <t>KH188514</t>
  </si>
  <si>
    <t>Nguyễn Xuân Hưng</t>
  </si>
  <si>
    <t>Hưng</t>
  </si>
  <si>
    <t>NH MB - CN HÒA BÌNH</t>
  </si>
  <si>
    <t>KH233124</t>
  </si>
  <si>
    <t xml:space="preserve">MB </t>
  </si>
  <si>
    <t>KH189136</t>
  </si>
  <si>
    <t>Phùng Ngọc Trang Đài</t>
  </si>
  <si>
    <t>Đài</t>
  </si>
  <si>
    <t>Vietinbank CN Nha Trang</t>
  </si>
  <si>
    <t>KH189138</t>
  </si>
  <si>
    <t>Phạm Thị Minh Nguyệt</t>
  </si>
  <si>
    <t>Nguyệt</t>
  </si>
  <si>
    <t>Ngân hàng VP Bank</t>
  </si>
  <si>
    <t>KH18945</t>
  </si>
  <si>
    <t>KH520836</t>
  </si>
  <si>
    <t>Nguyễn Thanh Thúy</t>
  </si>
  <si>
    <t>KH189538</t>
  </si>
  <si>
    <t>Nguyễn Văn Hào</t>
  </si>
  <si>
    <t>Hào</t>
  </si>
  <si>
    <t>Ngân Hàng Bưu Điện Liên Việt - chi nhánh An Giang-PGD Tịnh Biên</t>
  </si>
  <si>
    <t>KH190549</t>
  </si>
  <si>
    <t>Nguyễn Thị Thúy Hà</t>
  </si>
  <si>
    <t>Hà</t>
  </si>
  <si>
    <t>Ngân hàng Techcombank chi nhánh Bắc Ninh</t>
  </si>
  <si>
    <t>KH190550</t>
  </si>
  <si>
    <t>Nông Hạnh Phúc</t>
  </si>
  <si>
    <t>Phúc</t>
  </si>
  <si>
    <t>Vietcombank - CN Lào Cai</t>
  </si>
  <si>
    <t>KH190693</t>
  </si>
  <si>
    <t>Tại VP bank chi nhánh Hà Nội</t>
  </si>
  <si>
    <t>KH233097</t>
  </si>
  <si>
    <t>KH19086</t>
  </si>
  <si>
    <t>Vũ Hoài Sơn</t>
  </si>
  <si>
    <t>Ngân hàng vietcombank Chi nhánh cam đường tp lào cai</t>
  </si>
  <si>
    <t>KH192325</t>
  </si>
  <si>
    <t>Trần Mạnh Dũng</t>
  </si>
  <si>
    <t>Dũng</t>
  </si>
  <si>
    <t>Vtpay (tài khoản trả về MB)</t>
  </si>
  <si>
    <t>KH193135</t>
  </si>
  <si>
    <t>Lương Đức Mạnh</t>
  </si>
  <si>
    <t>Mạnh</t>
  </si>
  <si>
    <t>Vietcombank chi nhánh Tây Ninh</t>
  </si>
  <si>
    <t>KH194212</t>
  </si>
  <si>
    <t>Trần Thị Ngân</t>
  </si>
  <si>
    <t>Ngân</t>
  </si>
  <si>
    <t>BIDV chi nhánh thành phố Thái Nguyên, tỉnh Thái Nguyên</t>
  </si>
  <si>
    <t>KH233041</t>
  </si>
  <si>
    <t xml:space="preserve">BIDV </t>
  </si>
  <si>
    <t>KH194291</t>
  </si>
  <si>
    <t>Phạm Hồng Thuận</t>
  </si>
  <si>
    <t>Thuận</t>
  </si>
  <si>
    <t>MB bank Vĩnh Hải, Nha Trang, Khánh Hòa</t>
  </si>
  <si>
    <t>KH233034</t>
  </si>
  <si>
    <t>KH196060</t>
  </si>
  <si>
    <t>Nguyễn Thị Thanh Hải</t>
  </si>
  <si>
    <t>Ngân hàng Cổ phần quân đội (MB) chi nhánh Thanh Xuân, Hà Nội</t>
  </si>
  <si>
    <t>KH196353</t>
  </si>
  <si>
    <t>Dương Đại Lâm</t>
  </si>
  <si>
    <t>Lâm</t>
  </si>
  <si>
    <t>NH Vietcombank</t>
  </si>
  <si>
    <t>KH196780</t>
  </si>
  <si>
    <t>Trần Thị Oanh</t>
  </si>
  <si>
    <t>KH196912</t>
  </si>
  <si>
    <t>ngân hàng vp bank- chi nhánh thăng long</t>
  </si>
  <si>
    <t>KH19693</t>
  </si>
  <si>
    <t>Phan Quốc Bình</t>
  </si>
  <si>
    <t>Bình</t>
  </si>
  <si>
    <t>VIB- ngân hàng quốc tế</t>
  </si>
  <si>
    <t>KH197031</t>
  </si>
  <si>
    <t>Đỗ Hoài Giang</t>
  </si>
  <si>
    <t>Giang</t>
  </si>
  <si>
    <t>KH198933</t>
  </si>
  <si>
    <t>Phan Thị Lệ Quyên</t>
  </si>
  <si>
    <t>Quyên</t>
  </si>
  <si>
    <t>Vietcombank - CN Thăng Long</t>
  </si>
  <si>
    <t>KH199378</t>
  </si>
  <si>
    <t>Lê Hoàng Nam</t>
  </si>
  <si>
    <t>BIDV- Chi nhánh Cầu Giấy</t>
  </si>
  <si>
    <t>KH200312</t>
  </si>
  <si>
    <t>Lê Thị Tú Anh</t>
  </si>
  <si>
    <t>Ngân hàng nông nghiệp và phát triển sở giao dịch 1 hà nội</t>
  </si>
  <si>
    <t>KH200325</t>
  </si>
  <si>
    <t>Nguyễn Thị Tốt</t>
  </si>
  <si>
    <t>Tốt</t>
  </si>
  <si>
    <t>Ngân hàng BIDV- Đắk Nông</t>
  </si>
  <si>
    <t>KH200358</t>
  </si>
  <si>
    <t>Quàng Thị Binh</t>
  </si>
  <si>
    <t>Binh</t>
  </si>
  <si>
    <t>Ngân hàng BIDV Hà Nội</t>
  </si>
  <si>
    <t>KH200359</t>
  </si>
  <si>
    <t>Trần Thị Bích Hằng</t>
  </si>
  <si>
    <t>BIDV Sở Giao dịch 1</t>
  </si>
  <si>
    <t>KH200945</t>
  </si>
  <si>
    <t>Thái Hữu Nghĩa</t>
  </si>
  <si>
    <t>Nghĩa</t>
  </si>
  <si>
    <t>BIDV Cao Lãnh, Đồng Tháp</t>
  </si>
  <si>
    <t>KH20156</t>
  </si>
  <si>
    <t>Bùi Tuấn Đạt</t>
  </si>
  <si>
    <t>Ngân hàng TP Bank</t>
  </si>
  <si>
    <t>KH202604</t>
  </si>
  <si>
    <t>Mai Hương</t>
  </si>
  <si>
    <t>KH202613</t>
  </si>
  <si>
    <t>Hoàng Thị Hiền</t>
  </si>
  <si>
    <t>Ngân hàng MB Hưng Yên</t>
  </si>
  <si>
    <t>KH202621</t>
  </si>
  <si>
    <t>Lò Thị Dung</t>
  </si>
  <si>
    <t>Dung</t>
  </si>
  <si>
    <t>Ngân hàng TMCP đầu tư và phát triển Việt Nam (BIDV)</t>
  </si>
  <si>
    <t>KH206916</t>
  </si>
  <si>
    <t>Nguyễn Văn Diệp</t>
  </si>
  <si>
    <t>Diệp</t>
  </si>
  <si>
    <t>KH207096</t>
  </si>
  <si>
    <t>Tống Thị Mỹ Hạnh</t>
  </si>
  <si>
    <t>Ngân hàng Tiên Phong Bank Cần Thơ</t>
  </si>
  <si>
    <t>KH208339</t>
  </si>
  <si>
    <t>Đặng Hồng Hậu</t>
  </si>
  <si>
    <t>Hậu</t>
  </si>
  <si>
    <t>KH209848</t>
  </si>
  <si>
    <t>Đỗ Thị Kim Xuyến</t>
  </si>
  <si>
    <t>Xuyến</t>
  </si>
  <si>
    <t>KH209849</t>
  </si>
  <si>
    <t>KH210189</t>
  </si>
  <si>
    <t>Đào Hữu Long</t>
  </si>
  <si>
    <t>Ngân hàng Đầu tư và phát triển BIDV chi nhánh Hà Giang</t>
  </si>
  <si>
    <t>KH210199</t>
  </si>
  <si>
    <t>Tạ Quang Hùng</t>
  </si>
  <si>
    <t>Agribank, chi nhánh tỉnh lai châu</t>
  </si>
  <si>
    <t>KH210209</t>
  </si>
  <si>
    <t>Lê Mạnh Hùng</t>
  </si>
  <si>
    <t>BIDV Vĩnh Phúc</t>
  </si>
  <si>
    <t>KH210211</t>
  </si>
  <si>
    <t>Nguyễn Văn Khi</t>
  </si>
  <si>
    <t>Khi</t>
  </si>
  <si>
    <t>MSB chi nhánh Hải Dương</t>
  </si>
  <si>
    <t>KH210530</t>
  </si>
  <si>
    <t>Hoàng Thị Loan</t>
  </si>
  <si>
    <t>Loan</t>
  </si>
  <si>
    <t>Teckcombank</t>
  </si>
  <si>
    <t>KH21329</t>
  </si>
  <si>
    <t>Nguyễn Văn Giang</t>
  </si>
  <si>
    <t>ngân hàng vpbank</t>
  </si>
  <si>
    <t>KH215481</t>
  </si>
  <si>
    <t>Pham Nhật Anh</t>
  </si>
  <si>
    <t>VPBank Ngo Quyen Ha Noi</t>
  </si>
  <si>
    <t>KH216118</t>
  </si>
  <si>
    <t>Phạm Thị Giang</t>
  </si>
  <si>
    <t>KH217620</t>
  </si>
  <si>
    <t>Nguyễn Thị Kim Hoa</t>
  </si>
  <si>
    <t>Techcombank chi nhánh Hoàn Kiếm, 72 Trần Hưng Đạo, Hà Nội</t>
  </si>
  <si>
    <t>KH218617</t>
  </si>
  <si>
    <t>Lê Văn Trường</t>
  </si>
  <si>
    <t>Viettinbank - CN Nghệ An</t>
  </si>
  <si>
    <t>KH219504</t>
  </si>
  <si>
    <t>Lê Anh Thư</t>
  </si>
  <si>
    <t>Thư</t>
  </si>
  <si>
    <t>KH220440</t>
  </si>
  <si>
    <t>Lê Thu Thảo</t>
  </si>
  <si>
    <t>Viecombank Chi nhánh Sở giao dịch HN</t>
  </si>
  <si>
    <t>KH222093</t>
  </si>
  <si>
    <t>Hà Thị Việt Anh</t>
  </si>
  <si>
    <t>Ngân hàng VIB</t>
  </si>
  <si>
    <t>KH222097</t>
  </si>
  <si>
    <t>Vũ Văn Đăng</t>
  </si>
  <si>
    <t>Đăng</t>
  </si>
  <si>
    <t>ngân hàng nông nghiệp, chi nhánh Văn Bàn</t>
  </si>
  <si>
    <t>KH222117</t>
  </si>
  <si>
    <t>Phạm Hữu Từ</t>
  </si>
  <si>
    <t>Từ</t>
  </si>
  <si>
    <t>Agribank chi nhánh Nam Từ Liêm, Hà Nội</t>
  </si>
  <si>
    <t>KH222256</t>
  </si>
  <si>
    <t>Nguyễn Văn Dũng</t>
  </si>
  <si>
    <t>ngân hành VietinBank chi nhánh Phúc Yên, Vĩnh Phúc</t>
  </si>
  <si>
    <t>KH222644</t>
  </si>
  <si>
    <t>Nguyễn Văn Trường</t>
  </si>
  <si>
    <t>Techcombank Quảng Ninh</t>
  </si>
  <si>
    <t>KH222669</t>
  </si>
  <si>
    <t>Đỗ Thị Dịu</t>
  </si>
  <si>
    <t>Dịu</t>
  </si>
  <si>
    <t>KH222941</t>
  </si>
  <si>
    <t>Nguyễn Việt Anh</t>
  </si>
  <si>
    <t>Vietcombank chi nhánh Tây HN</t>
  </si>
  <si>
    <t>KH224417</t>
  </si>
  <si>
    <t>Nguyễn Tuấn Anh</t>
  </si>
  <si>
    <t>Ngân hàng teckcombank chi nhánh Yên Bái</t>
  </si>
  <si>
    <t>KH225057</t>
  </si>
  <si>
    <t>Bùi Thị Phương Ngân</t>
  </si>
  <si>
    <t>Ngân hàng quân đội MBbank - Cn quảng Ninh</t>
  </si>
  <si>
    <t>KH225063</t>
  </si>
  <si>
    <t>Dương Thị Thanh Phương</t>
  </si>
  <si>
    <t>Agribank chi nhánh Quảng Ninh</t>
  </si>
  <si>
    <t>KH225066</t>
  </si>
  <si>
    <t>Mai Văn Đoàn</t>
  </si>
  <si>
    <t>Đoàn</t>
  </si>
  <si>
    <t>KH225081</t>
  </si>
  <si>
    <t>Đỗ Ngọc Khanh</t>
  </si>
  <si>
    <t>KH226084</t>
  </si>
  <si>
    <t>Nguyễn Thị Thùy Trang</t>
  </si>
  <si>
    <t>Trang</t>
  </si>
  <si>
    <t>BIDV chi nhánh Cầu giấy</t>
  </si>
  <si>
    <t>KH226298</t>
  </si>
  <si>
    <t>Lò Thanh Sơn</t>
  </si>
  <si>
    <t>KH226530</t>
  </si>
  <si>
    <t>Giàu</t>
  </si>
  <si>
    <t>Ngân hàng Đầu tư và Phát triển nông thôn BIDV</t>
  </si>
  <si>
    <t>KH212163</t>
  </si>
  <si>
    <t xml:space="preserve">Nguyễn Thanhy Thúy </t>
  </si>
  <si>
    <t>KH226597</t>
  </si>
  <si>
    <t>Nguyễn Anh Tuấn</t>
  </si>
  <si>
    <t>Ngân hàng BIDV chi nhánh Lạng Sơn</t>
  </si>
  <si>
    <t>KH226636</t>
  </si>
  <si>
    <t>Lê Minh Vân</t>
  </si>
  <si>
    <t>Vân</t>
  </si>
  <si>
    <t>Ngân hàng Agriband chi nhánh ĐỊNH QUÁN huyện Định Quán tỉnh Đồng Nai</t>
  </si>
  <si>
    <t>KH227275</t>
  </si>
  <si>
    <t>Đào Tuấn Ninh</t>
  </si>
  <si>
    <t>Ninh</t>
  </si>
  <si>
    <t>Ngân hàng Hàng Hải Việt Nam( MSB)</t>
  </si>
  <si>
    <t>KH227290</t>
  </si>
  <si>
    <t>Nguyễn Xuân Sang</t>
  </si>
  <si>
    <t>Vietcombank Hà Nội</t>
  </si>
  <si>
    <t>KH227775</t>
  </si>
  <si>
    <t>Phạm Ngọc Quỳnh</t>
  </si>
  <si>
    <t>Bidv</t>
  </si>
  <si>
    <t>KH227776</t>
  </si>
  <si>
    <t>Đoàn Thùy Dương</t>
  </si>
  <si>
    <t>Dương</t>
  </si>
  <si>
    <t>Ngân hàng vietinbank</t>
  </si>
  <si>
    <t>KH227786</t>
  </si>
  <si>
    <t>Nguyễn Thị Loan</t>
  </si>
  <si>
    <t>KH228537</t>
  </si>
  <si>
    <t>Đặng Thị Thường</t>
  </si>
  <si>
    <t>Thường</t>
  </si>
  <si>
    <t>Ngân hàng Quân đội (MB Bank)</t>
  </si>
  <si>
    <t>KH228758</t>
  </si>
  <si>
    <t>Ngô Vi Hải</t>
  </si>
  <si>
    <t>VIETCOMBANK</t>
  </si>
  <si>
    <t>KH228776</t>
  </si>
  <si>
    <t>Vũ Thị Thu Hiền</t>
  </si>
  <si>
    <t>KH230511</t>
  </si>
  <si>
    <t>Bùi Minh Thắng</t>
  </si>
  <si>
    <t>Thắng</t>
  </si>
  <si>
    <t>KH230634</t>
  </si>
  <si>
    <t>Nguyễn Thị Sáu An</t>
  </si>
  <si>
    <t>An</t>
  </si>
  <si>
    <t>MB chi nhánh Ba đình, Hn</t>
  </si>
  <si>
    <t>KH230682</t>
  </si>
  <si>
    <t>Lê Thu Hằng</t>
  </si>
  <si>
    <t>ngân hàng ACB hi nhánh phòng giao dịch Văn Thánh, Quận Bình Thạnh, TP HCM</t>
  </si>
  <si>
    <t>KH230709</t>
  </si>
  <si>
    <t>Nguyễn Thị Thanh</t>
  </si>
  <si>
    <t>Ngân hàng Vp bank Chi nhánh Thăng Long</t>
  </si>
  <si>
    <t>KH231275</t>
  </si>
  <si>
    <t>Trần Tấn Phát</t>
  </si>
  <si>
    <t>Phát</t>
  </si>
  <si>
    <t>KH231452</t>
  </si>
  <si>
    <t>Đinh Hữu Hùng</t>
  </si>
  <si>
    <t>ACB Liễu Giai nha</t>
  </si>
  <si>
    <t>KH232485</t>
  </si>
  <si>
    <t>Trịnh Thùy Vân</t>
  </si>
  <si>
    <t>Viettinbank chi nhánh Bỉm Sơn, Thanh Hóa</t>
  </si>
  <si>
    <t>KH232559</t>
  </si>
  <si>
    <t>Nguyễn Tống Giang</t>
  </si>
  <si>
    <t>Vietcombank chi nhánh Yên Phong, Bắc Ninh</t>
  </si>
  <si>
    <t>KH232642</t>
  </si>
  <si>
    <t>Phan Thị Lệ</t>
  </si>
  <si>
    <t>Lệ</t>
  </si>
  <si>
    <t>MB Bank - CN Hồ Tây, Hà Nội</t>
  </si>
  <si>
    <t>KH232894</t>
  </si>
  <si>
    <t>Mạn Thị Hạnh</t>
  </si>
  <si>
    <t>khu vực HCM</t>
  </si>
  <si>
    <t>KH232945</t>
  </si>
  <si>
    <t>Phùng Thị Chi</t>
  </si>
  <si>
    <t>Chi</t>
  </si>
  <si>
    <t>Tk bidv</t>
  </si>
  <si>
    <t>NH VietinBank, chi nhánh TP Hồ Chí Minh</t>
  </si>
  <si>
    <t>Phan Thị Kim Xuân</t>
  </si>
  <si>
    <t>KH233548</t>
  </si>
  <si>
    <t>Phạm Thị Xuân</t>
  </si>
  <si>
    <t>Xuân</t>
  </si>
  <si>
    <t>Ngân hàng VPbank chi nhánh Thăng Long, Hà Nội</t>
  </si>
  <si>
    <t>KH233795</t>
  </si>
  <si>
    <t>Nguyễn Thị Tâm Giang</t>
  </si>
  <si>
    <t>Ngân hàng TMCP Hàng Hải Việt Nam ( MSB ) - Chi nhánh Thanh Xuân, Hà Nội</t>
  </si>
  <si>
    <t>KH234756</t>
  </si>
  <si>
    <t>Giang Thị Nhung</t>
  </si>
  <si>
    <t>techcombank chi nhánh Hà thành</t>
  </si>
  <si>
    <t>KH235568</t>
  </si>
  <si>
    <t>Nguyễn Hoàng Hải</t>
  </si>
  <si>
    <t>HD Bank chi nhánh quang vinh</t>
  </si>
  <si>
    <t>KH236388</t>
  </si>
  <si>
    <t>Nguyễn Thị Thúy Ngân</t>
  </si>
  <si>
    <t>Vietcombanhk</t>
  </si>
  <si>
    <t>KH237864</t>
  </si>
  <si>
    <t>Giang Văn Sơn</t>
  </si>
  <si>
    <t>Agribank chi nhánh Đan Phượng</t>
  </si>
  <si>
    <t>KH239378</t>
  </si>
  <si>
    <t>Dương Thị Liên</t>
  </si>
  <si>
    <t>Liên</t>
  </si>
  <si>
    <t>ngân hàng Techcombank</t>
  </si>
  <si>
    <t>KH239783</t>
  </si>
  <si>
    <t>Giáp Thị Hữu</t>
  </si>
  <si>
    <t>Hữu</t>
  </si>
  <si>
    <t>MB bank - Chi nhánh ngân hàng MB công nghệ cao hoà lạc thạch thất hà nội</t>
  </si>
  <si>
    <t>KH239816</t>
  </si>
  <si>
    <t>Trần Đình Nam</t>
  </si>
  <si>
    <t>Techcombank chi nhánh Văn Quán, Hà Nội</t>
  </si>
  <si>
    <t>KH240244</t>
  </si>
  <si>
    <t>Nguyễn Viết Dương</t>
  </si>
  <si>
    <t>Vietinbank chi nhanh Phố Nối, Hưng Yên</t>
  </si>
  <si>
    <t>KH241440</t>
  </si>
  <si>
    <t>Lý Quỳnh Hoa</t>
  </si>
  <si>
    <t>Vietcombank chi nhánh Hà Thành</t>
  </si>
  <si>
    <t>KH241572</t>
  </si>
  <si>
    <t>Phạm Văn Khang</t>
  </si>
  <si>
    <t>Khang</t>
  </si>
  <si>
    <t>Ngân hàng quân đội MB - chi nhánh Long Thành</t>
  </si>
  <si>
    <t>KH243075</t>
  </si>
  <si>
    <t>Hồ Anh Thắng</t>
  </si>
  <si>
    <t>MB Bank- Ngân hàng Quân đội</t>
  </si>
  <si>
    <t>Nhậm</t>
  </si>
  <si>
    <t>KH24336</t>
  </si>
  <si>
    <t>Nguyễn Thị Hoàng Anh</t>
  </si>
  <si>
    <t>MB bank</t>
  </si>
  <si>
    <t>KH243884</t>
  </si>
  <si>
    <t>Nguyễn Tiến Dũng</t>
  </si>
  <si>
    <t>ngân hàng BIDV Ninh Bình</t>
  </si>
  <si>
    <t>KH392674</t>
  </si>
  <si>
    <t>KH24412</t>
  </si>
  <si>
    <t>Đặng Thị Kim Anh</t>
  </si>
  <si>
    <t>Ngân Hàng quốc tế VIB chi nhánh Hà Nội</t>
  </si>
  <si>
    <t>KH244943</t>
  </si>
  <si>
    <t>Nguyễn Văn Hải</t>
  </si>
  <si>
    <t>KH246198</t>
  </si>
  <si>
    <t>Lê Thanh Thủy - Ngân hàng teckcombank chi nhánh Võ Chí Công</t>
  </si>
  <si>
    <t>KH246639</t>
  </si>
  <si>
    <t>Nguyễn Như Huỳnh</t>
  </si>
  <si>
    <t>Huỳnh</t>
  </si>
  <si>
    <t>VietinBank Chi nhánh Cà Mau</t>
  </si>
  <si>
    <t>A000000264</t>
  </si>
  <si>
    <t>Phương</t>
  </si>
  <si>
    <t>KH246823</t>
  </si>
  <si>
    <t>Hoằng</t>
  </si>
  <si>
    <t>Ngân hàng Agribank- chi nhánh tỉnh Thái Nguyên</t>
  </si>
  <si>
    <t>KH247001</t>
  </si>
  <si>
    <t>Lê Thị Lan Anh</t>
  </si>
  <si>
    <t>Ngân hàng TMCP Công Thương Việt Nam (Vietinbank)</t>
  </si>
  <si>
    <t>KH247237</t>
  </si>
  <si>
    <t>Ngô Văn Đức</t>
  </si>
  <si>
    <t>Ngân hàng AGRI Bank. CN Hà Thành</t>
  </si>
  <si>
    <t>Màn Thị Hạnh</t>
  </si>
  <si>
    <t>KH248039</t>
  </si>
  <si>
    <t>Hà Hữu Nghị</t>
  </si>
  <si>
    <t>Nghị</t>
  </si>
  <si>
    <t xml:space="preserve">	KH677433</t>
  </si>
  <si>
    <t>KH248075</t>
  </si>
  <si>
    <t>Huỳnh Minh Tiếng</t>
  </si>
  <si>
    <t>Tiếng</t>
  </si>
  <si>
    <t>BIDV, SGD2</t>
  </si>
  <si>
    <t>KH248161</t>
  </si>
  <si>
    <t>Nguyễn Trung Kiên</t>
  </si>
  <si>
    <t>Kiên</t>
  </si>
  <si>
    <t>Viettin Bank chi nhánh Hùng Vương</t>
  </si>
  <si>
    <t>KH248198</t>
  </si>
  <si>
    <t>Đặng Văn Linh</t>
  </si>
  <si>
    <t>Linh</t>
  </si>
  <si>
    <t>KH248205</t>
  </si>
  <si>
    <t>Trần Quốc Lâm</t>
  </si>
  <si>
    <t>Ngân hàng Á Châu ACB</t>
  </si>
  <si>
    <t>KH248308</t>
  </si>
  <si>
    <t>Nguyễn Thị Huyền</t>
  </si>
  <si>
    <t>ngân hàng techcombank</t>
  </si>
  <si>
    <t>KH249448</t>
  </si>
  <si>
    <t>Chế Trúc Hoa</t>
  </si>
  <si>
    <t>Ngân hàng vietcombank cn Hcm</t>
  </si>
  <si>
    <t>KH250605</t>
  </si>
  <si>
    <t>Bạch Yến</t>
  </si>
  <si>
    <t>Ngân hàng Nông nghiệp PTNT chi nhánh Quảng Nam</t>
  </si>
  <si>
    <t>KH250708</t>
  </si>
  <si>
    <t>Trần Thiện Chí</t>
  </si>
  <si>
    <t>Chí</t>
  </si>
  <si>
    <t>KH252037</t>
  </si>
  <si>
    <t>Nguyễn Anh Nguyễn</t>
  </si>
  <si>
    <t>Nguyễn</t>
  </si>
  <si>
    <t>Agribank Chi nhánh Bình Chánh TPHCM</t>
  </si>
  <si>
    <t>KH253169</t>
  </si>
  <si>
    <t>Đặng Thu Lệ</t>
  </si>
  <si>
    <t>Techcombank Chi nhánh Quang Minh</t>
  </si>
  <si>
    <t>KH254881</t>
  </si>
  <si>
    <t>Nguyễn Thị Ngân</t>
  </si>
  <si>
    <t>TECHCOMBANK</t>
  </si>
  <si>
    <t>KH255811</t>
  </si>
  <si>
    <t>Lê Quang Lựu</t>
  </si>
  <si>
    <t>Lựu</t>
  </si>
  <si>
    <t>Ngân hàng TMCP Quân Đội (MB)</t>
  </si>
  <si>
    <t>KH256915</t>
  </si>
  <si>
    <t>KH257441</t>
  </si>
  <si>
    <t>Vi Thị Thu Hà</t>
  </si>
  <si>
    <t>KH260686</t>
  </si>
  <si>
    <t>Nguyễn Khánh Linh</t>
  </si>
  <si>
    <t>Ngân hàng TMCP Sài Gòn - Hà Nội (SHB)</t>
  </si>
  <si>
    <t>KH262090</t>
  </si>
  <si>
    <t>Trần Thị Phấn</t>
  </si>
  <si>
    <t>Phấn</t>
  </si>
  <si>
    <t>Vietcombank Chi nhánh TP Hồ Chí Minh</t>
  </si>
  <si>
    <t>KH262204</t>
  </si>
  <si>
    <t>Thân Văn Biên</t>
  </si>
  <si>
    <t>Biên</t>
  </si>
  <si>
    <t>Techcombank - CN Hà Tây</t>
  </si>
  <si>
    <t>KH262313</t>
  </si>
  <si>
    <t>Nguyễn Như Hường</t>
  </si>
  <si>
    <t>Hường</t>
  </si>
  <si>
    <t>Ngân Hàng Techcombank</t>
  </si>
  <si>
    <t>KH264641</t>
  </si>
  <si>
    <t>Trịnh Bá Dương</t>
  </si>
  <si>
    <t>KH26487</t>
  </si>
  <si>
    <t>Hà Thị Phương Lan</t>
  </si>
  <si>
    <t>ngân hàng hàng hải</t>
  </si>
  <si>
    <t>KH26499</t>
  </si>
  <si>
    <t>Trần Huyền Trang</t>
  </si>
  <si>
    <t>TECHCOMBANK THE MANOR - CN ĐÔNG ĐÔ</t>
  </si>
  <si>
    <t>KH26548</t>
  </si>
  <si>
    <t>Nguyễn Thị Thu Huệ</t>
  </si>
  <si>
    <t>Huệ</t>
  </si>
  <si>
    <t>BIDV Chi nhánh Thái Nguyên</t>
  </si>
  <si>
    <t>KH265558</t>
  </si>
  <si>
    <t>Chu Thị Hiền</t>
  </si>
  <si>
    <t>KH26558</t>
  </si>
  <si>
    <t>KH266542</t>
  </si>
  <si>
    <t>Đỗ Hồng Nhung</t>
  </si>
  <si>
    <t>Vietin chi nhánh nam thăng long</t>
  </si>
  <si>
    <t>KH266557</t>
  </si>
  <si>
    <t>Nông Hồng Hạnh</t>
  </si>
  <si>
    <t>Bidv chi nhánh Thái Nguyên</t>
  </si>
  <si>
    <t>KH266558</t>
  </si>
  <si>
    <t>Trần Trung Kiên</t>
  </si>
  <si>
    <t>Agribank thái nguyên</t>
  </si>
  <si>
    <t>KH266588</t>
  </si>
  <si>
    <t>Lường Hữu Mạnh</t>
  </si>
  <si>
    <t>agribank Chi nhánh thái nguyên</t>
  </si>
  <si>
    <t>KH267233</t>
  </si>
  <si>
    <t>Nguyễn Thị Hiền</t>
  </si>
  <si>
    <t>Ngân hàng Agribank Đăk Nông</t>
  </si>
  <si>
    <t>KH268089</t>
  </si>
  <si>
    <t>Nguyễn Thị Nguyệt</t>
  </si>
  <si>
    <t>ngân hàng Viettinbank</t>
  </si>
  <si>
    <t>KH268162</t>
  </si>
  <si>
    <t>Lê Thị Hạnh</t>
  </si>
  <si>
    <t>ngân Hàng Agribank chi nhánh Nam Sài Gòn</t>
  </si>
  <si>
    <t>KH268180</t>
  </si>
  <si>
    <t>Ngân hàng BIDV Bắc Kạn</t>
  </si>
  <si>
    <t>KH268205</t>
  </si>
  <si>
    <t>Nguyễn Thị Anh Hoa</t>
  </si>
  <si>
    <t>Ngân hàng BIDV Thái nguyên</t>
  </si>
  <si>
    <t>KH270004</t>
  </si>
  <si>
    <t>Lương Hoàng Nhật Khánh</t>
  </si>
  <si>
    <t>Ngân hang SHB Sài Gòn</t>
  </si>
  <si>
    <t>KH271028</t>
  </si>
  <si>
    <t>Trần Quý Cao</t>
  </si>
  <si>
    <t>Cao</t>
  </si>
  <si>
    <t>KH271245</t>
  </si>
  <si>
    <t>Võ Thị Hiền</t>
  </si>
  <si>
    <t>NGÂN HÀNG TECHCOMBANK CHI NHÁNH GIA ĐỊNH TP.HCM</t>
  </si>
  <si>
    <t>KH271583</t>
  </si>
  <si>
    <t>Phạm Văn Hải</t>
  </si>
  <si>
    <t>KH271608</t>
  </si>
  <si>
    <t>Lã Như Hải</t>
  </si>
  <si>
    <t>ngân hàng vietcombank - CN NAM SÀI GÒN</t>
  </si>
  <si>
    <t>KH27175</t>
  </si>
  <si>
    <t>Hoàng Thị Thu Hà</t>
  </si>
  <si>
    <t>Ngân hàng MB</t>
  </si>
  <si>
    <t>KH27329</t>
  </si>
  <si>
    <t>Nguyễn Thanh Phong</t>
  </si>
  <si>
    <t>KH274601</t>
  </si>
  <si>
    <t>Phạm Thị Kim Cúc</t>
  </si>
  <si>
    <t>Ngân hàng tmcp việt nam thịnh vượng</t>
  </si>
  <si>
    <t>KH276534</t>
  </si>
  <si>
    <t>Nguyễn Hùng Cường</t>
  </si>
  <si>
    <t>Cường</t>
  </si>
  <si>
    <t>TMCP Hàng Hải VN - Maritime Bank Chi nhánh Nam Hà Nội</t>
  </si>
  <si>
    <t>KH27657</t>
  </si>
  <si>
    <t>Dần</t>
  </si>
  <si>
    <t xml:space="preserve">Đặng Thu Hằng </t>
  </si>
  <si>
    <t>KH276629</t>
  </si>
  <si>
    <t>Nguyễn Hữu Công</t>
  </si>
  <si>
    <t>Ngân hàng Vpbank</t>
  </si>
  <si>
    <t>KH276673</t>
  </si>
  <si>
    <t>Hoàng Thị Nga</t>
  </si>
  <si>
    <t>Nga</t>
  </si>
  <si>
    <t>Agribank chi nhánh tỉnh Thanh hoá</t>
  </si>
  <si>
    <t>KH27740</t>
  </si>
  <si>
    <t>KH27769</t>
  </si>
  <si>
    <t>Chung</t>
  </si>
  <si>
    <t>KH27884</t>
  </si>
  <si>
    <t>Le Thi Quynh Mai</t>
  </si>
  <si>
    <t>Ngân hàng ACB</t>
  </si>
  <si>
    <t>KH27925</t>
  </si>
  <si>
    <t>Ngô Thị Hạnh</t>
  </si>
  <si>
    <t>KH27996</t>
  </si>
  <si>
    <t>KH547423</t>
  </si>
  <si>
    <t>KH280318</t>
  </si>
  <si>
    <t>Nguyễn Thị Quyên</t>
  </si>
  <si>
    <t>Ngân hàng Techcombank - chi nhánh Hoàng Quốc Việt</t>
  </si>
  <si>
    <t>KH280327</t>
  </si>
  <si>
    <t>Nguyễn Văn Tùng</t>
  </si>
  <si>
    <t>MB Bank - Chi Nhánh Trần Duy Hưng</t>
  </si>
  <si>
    <t>KH28052</t>
  </si>
  <si>
    <t>ACB - ngân hàng TMCP Á Châu</t>
  </si>
  <si>
    <t>Đặng Thu Hằng</t>
  </si>
  <si>
    <t>KH28199</t>
  </si>
  <si>
    <t>KH28261</t>
  </si>
  <si>
    <t>Dương Thị Mỹ Hạnh</t>
  </si>
  <si>
    <t>KH849434</t>
  </si>
  <si>
    <t>KH28270</t>
  </si>
  <si>
    <t>Chúc</t>
  </si>
  <si>
    <t>Vietinbank- chi nhánh Lưu Xá</t>
  </si>
  <si>
    <t>KH28277</t>
  </si>
  <si>
    <t>Dương Văn Toản</t>
  </si>
  <si>
    <t>Toản</t>
  </si>
  <si>
    <t>Ngân hàng Vietcombank - Chi nhánh Sóc Sơn, Hà Nội.</t>
  </si>
  <si>
    <t>KH283034</t>
  </si>
  <si>
    <t>Ngân hàng Agribank, chi nhánh Bắc Ninh</t>
  </si>
  <si>
    <t>KH28343</t>
  </si>
  <si>
    <t>KH38252</t>
  </si>
  <si>
    <t>KH28352</t>
  </si>
  <si>
    <t>Uyên</t>
  </si>
  <si>
    <t>KH28462</t>
  </si>
  <si>
    <t>Trương Thị Khoản</t>
  </si>
  <si>
    <t>Khoản</t>
  </si>
  <si>
    <t>KH285395</t>
  </si>
  <si>
    <t>Nguyễn Đăng Hoan</t>
  </si>
  <si>
    <t>Hoan</t>
  </si>
  <si>
    <t>Techcombank Chi nhánh Lim</t>
  </si>
  <si>
    <t>KH286259</t>
  </si>
  <si>
    <t>Vũ Thị Nhung</t>
  </si>
  <si>
    <t>KH286811</t>
  </si>
  <si>
    <t>Nguyễn Cao Cường</t>
  </si>
  <si>
    <t>Ngân hàng AgriBank - Chi nhánh: Phú Minh, Phú Xuyên, Hà Nội</t>
  </si>
  <si>
    <t>KH287269</t>
  </si>
  <si>
    <t>Nguyễn Thị Thanh Chinh</t>
  </si>
  <si>
    <t>Chinh</t>
  </si>
  <si>
    <t>Ngân hàng agribank, chi nhánh phú minh, phú xuyên, hà nội</t>
  </si>
  <si>
    <t>KH288795</t>
  </si>
  <si>
    <t>Trần Trọng Khánh</t>
  </si>
  <si>
    <t>Ngân hàng nông nghiệp và phát triển nông thôn, chi nhánh huyện Mường Chà, tỉnh Điện Biên</t>
  </si>
  <si>
    <t>KH290198</t>
  </si>
  <si>
    <t>Phan Văn Minh</t>
  </si>
  <si>
    <t>Agribank chi nhánh Lâm Đồng</t>
  </si>
  <si>
    <t>KH290406</t>
  </si>
  <si>
    <t>Nguyễn Thị Huyền Trang</t>
  </si>
  <si>
    <t>MB bank- ngân hàng Quân đội</t>
  </si>
  <si>
    <t>KH290450</t>
  </si>
  <si>
    <t>Ôn Thị Chung</t>
  </si>
  <si>
    <t>Ngân hàng BIDV</t>
  </si>
  <si>
    <t>KH29077</t>
  </si>
  <si>
    <t>Nguyễn Đỗ Quyên</t>
  </si>
  <si>
    <t>Ngân hàng TMCP Đông Nam Á (SeABank) - chi nhánh Bạch Mai</t>
  </si>
  <si>
    <t>KH291853</t>
  </si>
  <si>
    <t>Đặng Thị Phương Thanh</t>
  </si>
  <si>
    <t>Ngân hàng Viettinbank, chi nhánh Hùng Vương</t>
  </si>
  <si>
    <t>KH293892</t>
  </si>
  <si>
    <t>Đào Đức Phú Thịnh</t>
  </si>
  <si>
    <t>Agribank, Chi nhánh: Thị trấn Phú minh- Phú xuyên - Hà Nội</t>
  </si>
  <si>
    <t>KH294372</t>
  </si>
  <si>
    <t>Trần Thị Mỹ Linh</t>
  </si>
  <si>
    <t>Agribank Đông HN</t>
  </si>
  <si>
    <t>KH294410</t>
  </si>
  <si>
    <t>Nguyễn Hồng Kỳ</t>
  </si>
  <si>
    <t>Kỳ</t>
  </si>
  <si>
    <t>Agribank chi nhánh Phú Minh - Phú Xuyên</t>
  </si>
  <si>
    <t>KH294431</t>
  </si>
  <si>
    <t>Nguyễn Lâm Sung</t>
  </si>
  <si>
    <t>Sung</t>
  </si>
  <si>
    <t>MSB - Chi nhánh Uông Bí - Quảng Ninh</t>
  </si>
  <si>
    <t>KH296269</t>
  </si>
  <si>
    <t>Nguyễn Thanh Trung</t>
  </si>
  <si>
    <t>Trung</t>
  </si>
  <si>
    <t>Ngân hàng Agribank CN Nam Giang, Quảng Nam</t>
  </si>
  <si>
    <t>Hiển</t>
  </si>
  <si>
    <t>SHB Chi nhành Thái Nguyên</t>
  </si>
  <si>
    <t>KH297128</t>
  </si>
  <si>
    <t>Agrbank: Chi nhánh Nam Hà Nội.</t>
  </si>
  <si>
    <t>KH299804</t>
  </si>
  <si>
    <t>Dương Thanh Hà</t>
  </si>
  <si>
    <t>BIDV- chi nhánh Thái Nguyên</t>
  </si>
  <si>
    <t>KH299821</t>
  </si>
  <si>
    <t>BIDV Hà giang</t>
  </si>
  <si>
    <t>KH299822</t>
  </si>
  <si>
    <t>BIDV chi nhánh tp Hà Giang</t>
  </si>
  <si>
    <t>3450275184</t>
  </si>
  <si>
    <t>KH299823</t>
  </si>
  <si>
    <t>Phạm Thị Thanh Mai</t>
  </si>
  <si>
    <t>Ngân hàng đầu tư và phát triển Việt Nam (BIDV) -chi nhánh Thái Nguyên</t>
  </si>
  <si>
    <t xml:space="preserve">Nguyễn Thị Kin Nhi </t>
  </si>
  <si>
    <t>KH299855</t>
  </si>
  <si>
    <t>Nguyễn Thị Ánh Nguyệt</t>
  </si>
  <si>
    <t>Ngân hàng BIDV Hà Giang</t>
  </si>
  <si>
    <t>KH299861</t>
  </si>
  <si>
    <t>Lương Thị Thanh Huyền</t>
  </si>
  <si>
    <t>BIDV Yên Bái</t>
  </si>
  <si>
    <t>KH301060</t>
  </si>
  <si>
    <t>KH302336</t>
  </si>
  <si>
    <t>Bùi Quang Vinh</t>
  </si>
  <si>
    <t>Ngân hàng MB chi nhánh Lào Cai</t>
  </si>
  <si>
    <t>KH302339</t>
  </si>
  <si>
    <t>Nguyễn Tiến Giang</t>
  </si>
  <si>
    <t>Vietinbank chi nhánh Thái nguyên</t>
  </si>
  <si>
    <t>KH302357</t>
  </si>
  <si>
    <t>KH302359</t>
  </si>
  <si>
    <t>Hứa Thị Toàn</t>
  </si>
  <si>
    <t>Toàn</t>
  </si>
  <si>
    <t>NH quốc tế VIB - Chi nhánh thái nguyên</t>
  </si>
  <si>
    <t xml:space="preserve">	Agribank</t>
  </si>
  <si>
    <t>KH302360</t>
  </si>
  <si>
    <t>Nguyễn Thị Quỳnh Trang</t>
  </si>
  <si>
    <t>Vp bank chi nhánh Thái nguyên</t>
  </si>
  <si>
    <t>KH302373</t>
  </si>
  <si>
    <t>Nguyễn Thị Thanh Tâm</t>
  </si>
  <si>
    <t>MB- Chi Nhánh Phổ yên Thái nguyên - Chủ Tk Nguyễn Thị Thanh Tâm</t>
  </si>
  <si>
    <t>KH302392</t>
  </si>
  <si>
    <t>Đào Việt Cường</t>
  </si>
  <si>
    <t>ngân hàng Agribank - chi nhánh Cầu Giấy</t>
  </si>
  <si>
    <t>KH303056</t>
  </si>
  <si>
    <t>Trương Huy Dũng</t>
  </si>
  <si>
    <t>ngân hàng MB (quân đội) CN Hưng Yên</t>
  </si>
  <si>
    <t>KH305334</t>
  </si>
  <si>
    <t>Nguyễn Thị Kim Anh</t>
  </si>
  <si>
    <t>Ngân hàng Agribank Thái Nguyên</t>
  </si>
  <si>
    <t>KH305847</t>
  </si>
  <si>
    <t>Nguyễn Quang Lập</t>
  </si>
  <si>
    <t>Lập</t>
  </si>
  <si>
    <t>KH306389</t>
  </si>
  <si>
    <t>Dương Thị Thu Hằng</t>
  </si>
  <si>
    <t>ngân hàng BIDV chi nhánh Thái nguyên</t>
  </si>
  <si>
    <t>KH390855</t>
  </si>
  <si>
    <t xml:space="preserve">Nguyễn Thị Kim Nhi </t>
  </si>
  <si>
    <t>KH317089</t>
  </si>
  <si>
    <t>Nguyễn Văn Phú</t>
  </si>
  <si>
    <t>Ngân hàng: Agribank chi nhánh Bắc Giang 2</t>
  </si>
  <si>
    <t>KH317852</t>
  </si>
  <si>
    <t>Vượng</t>
  </si>
  <si>
    <t>MB bank Từ Liêm</t>
  </si>
  <si>
    <t>KH317897</t>
  </si>
  <si>
    <t>Đinh Thị Lan Phương</t>
  </si>
  <si>
    <t>Agribank chi nhánh TP. Bắc Giang 2</t>
  </si>
  <si>
    <t>KH317968</t>
  </si>
  <si>
    <t>Nguyễn Thị Thơm</t>
  </si>
  <si>
    <t>VietinBank chi Nhánh Hà Giang</t>
  </si>
  <si>
    <t>KH323037</t>
  </si>
  <si>
    <t>Nguyễn Thu Hiền</t>
  </si>
  <si>
    <t>BIDV NHTMCP DT&amp;TVN-CN KINH BAC</t>
  </si>
  <si>
    <t>KH323161</t>
  </si>
  <si>
    <t>Đỗ Hồng Hưng</t>
  </si>
  <si>
    <t>Agribank: CN Sóc sơn</t>
  </si>
  <si>
    <t>KH323705</t>
  </si>
  <si>
    <t>Khánh Liên</t>
  </si>
  <si>
    <t>Vietcombank chi nhánh sóc sơn</t>
  </si>
  <si>
    <t>KH324518</t>
  </si>
  <si>
    <t>Ninh Quang Trung</t>
  </si>
  <si>
    <t>BIDV chi nhánh Tam Điệp, Ninh Bình</t>
  </si>
  <si>
    <t>KH327455</t>
  </si>
  <si>
    <t>Duy</t>
  </si>
  <si>
    <t>ngân hàng agribank - chi nhánh Vĩnh Yên - Vĩnh Phúc</t>
  </si>
  <si>
    <t>KH327775</t>
  </si>
  <si>
    <t>Lê Hải Tài</t>
  </si>
  <si>
    <t>Tài</t>
  </si>
  <si>
    <t>VietinBank chi nhánh Vĩnh Phúc</t>
  </si>
  <si>
    <t>KH33182</t>
  </si>
  <si>
    <t>Nguyễn Huy Quang</t>
  </si>
  <si>
    <t>Ngân hàng Vietcombank</t>
  </si>
  <si>
    <t>KH33186</t>
  </si>
  <si>
    <t>Dương Kiều Ngọc Loan</t>
  </si>
  <si>
    <t>KH33190</t>
  </si>
  <si>
    <t>Nguyễn Thị Thu Dung</t>
  </si>
  <si>
    <t>Ngân haàng BIDV - chi nhánh Mỹ Đình</t>
  </si>
  <si>
    <t>KH33218</t>
  </si>
  <si>
    <t>Đặng Văn Đoan</t>
  </si>
  <si>
    <t>Đoan</t>
  </si>
  <si>
    <t>BIDV chi nhanh Thăng Long</t>
  </si>
  <si>
    <t>KH33221</t>
  </si>
  <si>
    <t>KH33225</t>
  </si>
  <si>
    <t>KH33366</t>
  </si>
  <si>
    <t>Nguyễn Đình Minh</t>
  </si>
  <si>
    <t>Ngân Hàng MB</t>
  </si>
  <si>
    <t>KH333665</t>
  </si>
  <si>
    <t>Tống Ngọc Tú</t>
  </si>
  <si>
    <t>Tú</t>
  </si>
  <si>
    <t>Techcombank chi nhánh Lạng Sơn</t>
  </si>
  <si>
    <t>KH333938</t>
  </si>
  <si>
    <t>Bùi Trọng Hùng</t>
  </si>
  <si>
    <t>VIB</t>
  </si>
  <si>
    <t>KH33446</t>
  </si>
  <si>
    <t>Phạm Văn Ngưng</t>
  </si>
  <si>
    <t>Ngưng</t>
  </si>
  <si>
    <t>KH33466</t>
  </si>
  <si>
    <t>My</t>
  </si>
  <si>
    <t>Vietcombank - chi nhánh Hà Nội</t>
  </si>
  <si>
    <t>KH33474</t>
  </si>
  <si>
    <t>Trần Thị An</t>
  </si>
  <si>
    <t>Ngân hàng Vietinbank - Khu công nghiệp Tiên Sơn - Bắc Ninh</t>
  </si>
  <si>
    <t>KH33503</t>
  </si>
  <si>
    <t>Trịnh Minh Đức</t>
  </si>
  <si>
    <t>ABbank CN huyện Mai Sơn, tỉnh Sơn La</t>
  </si>
  <si>
    <t>KH33523</t>
  </si>
  <si>
    <t>Nguyễn Thị Hảo</t>
  </si>
  <si>
    <t>Hảo</t>
  </si>
  <si>
    <t>Ngân hàng quân đội MB</t>
  </si>
  <si>
    <t>KH335982</t>
  </si>
  <si>
    <t>VUA NỆM</t>
  </si>
  <si>
    <t>NỆM</t>
  </si>
  <si>
    <t>KH337396</t>
  </si>
  <si>
    <t>Lê Văn Luận</t>
  </si>
  <si>
    <t>Luận</t>
  </si>
  <si>
    <t>Vietcombank - cn Lào Cai</t>
  </si>
  <si>
    <t>KH337817</t>
  </si>
  <si>
    <t>Bùi Quang Huynh</t>
  </si>
  <si>
    <t>Huynh</t>
  </si>
  <si>
    <t>KH337820</t>
  </si>
  <si>
    <t>Nguyễn Văn Thành</t>
  </si>
  <si>
    <t>Thành</t>
  </si>
  <si>
    <t>Vietcombank- chi nhánh Hải Dương</t>
  </si>
  <si>
    <t>KH337830</t>
  </si>
  <si>
    <t>Ngọc Thị Bích Thảo</t>
  </si>
  <si>
    <t>Việt PostBank</t>
  </si>
  <si>
    <t>KH337839</t>
  </si>
  <si>
    <t>Sái Đức Bính</t>
  </si>
  <si>
    <t>Bính</t>
  </si>
  <si>
    <t>Ngân hàng SHB CN Hà Nội</t>
  </si>
  <si>
    <t>KH337847</t>
  </si>
  <si>
    <t>Phan Đức Chính</t>
  </si>
  <si>
    <t>Chính</t>
  </si>
  <si>
    <t>Ngân hàng MB Chi nhánh ngân hàng quân đội Nam Đinh</t>
  </si>
  <si>
    <t>KH33908</t>
  </si>
  <si>
    <t>KH339235</t>
  </si>
  <si>
    <t>Vy Minh Trung</t>
  </si>
  <si>
    <t>Agribank Lộc Hiệp, Lộc Ninh, Bình Phước</t>
  </si>
  <si>
    <t>KH339505</t>
  </si>
  <si>
    <t>Hà Đức Minh</t>
  </si>
  <si>
    <t>ngân hàng Ngoại thương (vcb) chi nhánh Quảng Ninh</t>
  </si>
  <si>
    <t>KH33976</t>
  </si>
  <si>
    <t>Vũ Thanh Huyền</t>
  </si>
  <si>
    <t>KH340008</t>
  </si>
  <si>
    <t>Hoàng Thị Đề</t>
  </si>
  <si>
    <t>Đề</t>
  </si>
  <si>
    <t>Ngân hàng lienvietbank - CN kỳ anh -Hà Tĩnh</t>
  </si>
  <si>
    <t>KH340344</t>
  </si>
  <si>
    <t>Phạm Thị Ngọc Sương</t>
  </si>
  <si>
    <t>Sương</t>
  </si>
  <si>
    <t>Vietinbank chi nhánh Vĩnh Long</t>
  </si>
  <si>
    <t>KH340925</t>
  </si>
  <si>
    <t>Nguyễn Duy Chấn</t>
  </si>
  <si>
    <t>Chấn</t>
  </si>
  <si>
    <t>KH34118</t>
  </si>
  <si>
    <t>Lê Anh Tiến</t>
  </si>
  <si>
    <t>Tiến</t>
  </si>
  <si>
    <t>MB Bank- Chi nhánh Thăng Long</t>
  </si>
  <si>
    <t>KH34119</t>
  </si>
  <si>
    <t>Kim Thị Hồng Nhâm</t>
  </si>
  <si>
    <t>Nhâm</t>
  </si>
  <si>
    <t>SHB chi nhánh Hà Nội</t>
  </si>
  <si>
    <t>KH34288</t>
  </si>
  <si>
    <t>Đào Minh Hiếu</t>
  </si>
  <si>
    <t>KH343251</t>
  </si>
  <si>
    <t>Nguyễn Văn Bắc</t>
  </si>
  <si>
    <t>Bắc</t>
  </si>
  <si>
    <t>BIDV Hà Giang</t>
  </si>
  <si>
    <t>KH343589</t>
  </si>
  <si>
    <t>Nguyễn Ngọc Lang</t>
  </si>
  <si>
    <t>Lang</t>
  </si>
  <si>
    <t>Agribank Kon Tum.</t>
  </si>
  <si>
    <t>KH343595</t>
  </si>
  <si>
    <t>Nguyễn Ngọc Hưng</t>
  </si>
  <si>
    <t>KH343607</t>
  </si>
  <si>
    <t>Ngô Văn Thiêm</t>
  </si>
  <si>
    <t>Thiêm</t>
  </si>
  <si>
    <t>KH34368</t>
  </si>
  <si>
    <t>Đoàn thị Thanh Tâm</t>
  </si>
  <si>
    <t>KH34369</t>
  </si>
  <si>
    <t>BIDV chi nhánh Bến tre</t>
  </si>
  <si>
    <t>KH345823</t>
  </si>
  <si>
    <t>MB chi nhánh Xuân Mai</t>
  </si>
  <si>
    <t>KH345985</t>
  </si>
  <si>
    <t>Nguyễn Hữu Ích</t>
  </si>
  <si>
    <t>Ích</t>
  </si>
  <si>
    <t>Ngân hàng BIDV PHAN THIẾT</t>
  </si>
  <si>
    <t>KH346490</t>
  </si>
  <si>
    <t>Nguyễn Thị Minh</t>
  </si>
  <si>
    <t>Nhiên</t>
  </si>
  <si>
    <t>KH34733</t>
  </si>
  <si>
    <t>Quân đội MB</t>
  </si>
  <si>
    <t>KH348046</t>
  </si>
  <si>
    <t>Phùng Thị Minh Phương</t>
  </si>
  <si>
    <t>viettinbank</t>
  </si>
  <si>
    <t>KH348358</t>
  </si>
  <si>
    <t>Tạ Văn Tình</t>
  </si>
  <si>
    <t>Tình</t>
  </si>
  <si>
    <t>VietinBank chi nhánh Lai Châu</t>
  </si>
  <si>
    <t>KH350844</t>
  </si>
  <si>
    <t>Đặng Thị Thanh Bình</t>
  </si>
  <si>
    <t>Ngân hàng Agribank chi nhánh quận Liên Chiểu</t>
  </si>
  <si>
    <t>KH35119</t>
  </si>
  <si>
    <t>Phạm Văn Thành</t>
  </si>
  <si>
    <t>KH351827</t>
  </si>
  <si>
    <t>Nguyễn Hữu Thọ</t>
  </si>
  <si>
    <t>BIDV- chi nhánh Sơn La</t>
  </si>
  <si>
    <t>KH469599</t>
  </si>
  <si>
    <t>KH353071</t>
  </si>
  <si>
    <t>Lê Thị Quyên</t>
  </si>
  <si>
    <t>Ngân hàng Viettin bank chị nhánh Bình Xuyên, Vĩnh Phúc</t>
  </si>
  <si>
    <t>KH353084</t>
  </si>
  <si>
    <t>Vì Việt Hà</t>
  </si>
  <si>
    <t>KH355122</t>
  </si>
  <si>
    <t>Trần Minh Thế Uyên</t>
  </si>
  <si>
    <t>Ngân hàng BIDV-CN Đông Sài Gòn</t>
  </si>
  <si>
    <t>KH355240</t>
  </si>
  <si>
    <t>Nguyễn Xuân Kiên</t>
  </si>
  <si>
    <t>techcombank chi nhánh Hoàng Quốc Việt</t>
  </si>
  <si>
    <t>KH356640</t>
  </si>
  <si>
    <t>Lương Thị Thu Hà</t>
  </si>
  <si>
    <t>Lương Thị Thu Hà BIDV</t>
  </si>
  <si>
    <t>KH356717</t>
  </si>
  <si>
    <t>Võ Thị Mỹ Hạnh</t>
  </si>
  <si>
    <t>Vietinbank - Chi Nhánh Đống Đa</t>
  </si>
  <si>
    <t>104 003 306 026</t>
  </si>
  <si>
    <t>KH370406</t>
  </si>
  <si>
    <t>Phan Ngọc Sang</t>
  </si>
  <si>
    <t>KH37656</t>
  </si>
  <si>
    <t>Agribank- Ngân hàng Nông nghiệp và Phát triển nông thôn- Chi nhánh Thái Nguyên</t>
  </si>
  <si>
    <t>KH37698</t>
  </si>
  <si>
    <t>Trần Khắc Vương</t>
  </si>
  <si>
    <t>Vương</t>
  </si>
  <si>
    <t>KH37894</t>
  </si>
  <si>
    <t>Phạm Thị Điệp</t>
  </si>
  <si>
    <t>Điệp</t>
  </si>
  <si>
    <t>KH38162</t>
  </si>
  <si>
    <t>San</t>
  </si>
  <si>
    <t>KH38177</t>
  </si>
  <si>
    <t>Năng</t>
  </si>
  <si>
    <t>BIDV Tràng An</t>
  </si>
  <si>
    <t>KH571257</t>
  </si>
  <si>
    <t>KH38179</t>
  </si>
  <si>
    <t>Agribank-chi nhánh tỉnh Thái Nguyên</t>
  </si>
  <si>
    <t>KH38346</t>
  </si>
  <si>
    <t>Nguyễn Thái Dương</t>
  </si>
  <si>
    <t>KH584223</t>
  </si>
  <si>
    <t>KH587002</t>
  </si>
  <si>
    <t>KH480557</t>
  </si>
  <si>
    <t>Vương Thị Phương Anh</t>
  </si>
  <si>
    <t>Techcombank- chi nhánh Đông Đô</t>
  </si>
  <si>
    <t>KH9192</t>
  </si>
  <si>
    <t>Ma Thị Huyền Nga</t>
  </si>
  <si>
    <t>NH Agribank tỉnh Thái Nguyên</t>
  </si>
  <si>
    <t>KTS</t>
  </si>
  <si>
    <t>Đại lý KTS</t>
  </si>
  <si>
    <t>LAZ</t>
  </si>
  <si>
    <t>Eco LAZADA</t>
  </si>
  <si>
    <t>LAZADA</t>
  </si>
  <si>
    <t>Thienviet</t>
  </si>
  <si>
    <t>Thiền ThiềnViệt</t>
  </si>
  <si>
    <t>ThiềnViệt</t>
  </si>
  <si>
    <t>KH362253</t>
  </si>
  <si>
    <t>Tuấn Tú</t>
  </si>
  <si>
    <t>KH489620</t>
  </si>
  <si>
    <t>KH272814</t>
  </si>
  <si>
    <t>Agribank - Chi nhánh Vĩnh Phúc</t>
  </si>
  <si>
    <t>KH37951</t>
  </si>
  <si>
    <t>Phạm Văn Du</t>
  </si>
  <si>
    <t>Du</t>
  </si>
  <si>
    <t>VP bank</t>
  </si>
  <si>
    <t>KH40202</t>
  </si>
  <si>
    <t>Nguyễn Thị Liễu</t>
  </si>
  <si>
    <t>Liễu</t>
  </si>
  <si>
    <t>ACB chi nhánh Hoàng Cầu</t>
  </si>
  <si>
    <t>KH28741</t>
  </si>
  <si>
    <t>KH26563</t>
  </si>
  <si>
    <t>KH28851</t>
  </si>
  <si>
    <t>Nguyễn Mạnh Trường</t>
  </si>
  <si>
    <t>Seabank - Đông Nam Á</t>
  </si>
  <si>
    <t>KH299216</t>
  </si>
  <si>
    <t>Nguyễn Minh Thơ</t>
  </si>
  <si>
    <t>Agribank chi nhánh Thủ đô</t>
  </si>
  <si>
    <t>KH654362</t>
  </si>
  <si>
    <t>KH268197</t>
  </si>
  <si>
    <t>Đinh Thị Như Quỳnh</t>
  </si>
  <si>
    <t>KH39840</t>
  </si>
  <si>
    <t>Nguyễn Thế Hải</t>
  </si>
  <si>
    <t xml:space="preserve">	KH628399	</t>
  </si>
  <si>
    <t xml:space="preserve">Nguyễn thanh Thúy </t>
  </si>
  <si>
    <t>KH39225</t>
  </si>
  <si>
    <t>Đào Đắc Dũng</t>
  </si>
  <si>
    <t>KH16082</t>
  </si>
  <si>
    <t>KH327774</t>
  </si>
  <si>
    <t>Trần Quang Ngát</t>
  </si>
  <si>
    <t>Ngát</t>
  </si>
  <si>
    <t>KH40751</t>
  </si>
  <si>
    <t>Nguyễn Chu Nhật Linh</t>
  </si>
  <si>
    <t>KH43385</t>
  </si>
  <si>
    <t>BIDV chi Nhánh Hai Bà Trưng Hà Nội</t>
  </si>
  <si>
    <t>KH688588</t>
  </si>
  <si>
    <t>chưa xin được</t>
  </si>
  <si>
    <t>Phạm Ngọc Minh Trang</t>
  </si>
  <si>
    <t>KH270990</t>
  </si>
  <si>
    <t>Nguyễn Thị Ngọc Đào</t>
  </si>
  <si>
    <t>HN TMCP Kiên Long</t>
  </si>
  <si>
    <t>KH12599</t>
  </si>
  <si>
    <t>Ngoan</t>
  </si>
  <si>
    <t>Agribank - Ngân hàng phát triển nông thôn</t>
  </si>
  <si>
    <t>KH41578</t>
  </si>
  <si>
    <t>Trần Văn Cường</t>
  </si>
  <si>
    <t>Ngân hàng Thương mại cổ phần Đầu tư và Phát triển Việt Nam-BIDV- chi nhánh Nam Định</t>
  </si>
  <si>
    <t xml:space="preserve">	KH671526</t>
  </si>
  <si>
    <t>KH42275</t>
  </si>
  <si>
    <t>Đỗ Thị Hoài Thu</t>
  </si>
  <si>
    <t>MB- Ngân hàng Quân Đôi, chi nhánh Thái nguyên</t>
  </si>
  <si>
    <t>KH305332</t>
  </si>
  <si>
    <t>Nguyễn Thị Thuỳ Giang</t>
  </si>
  <si>
    <t>KH38581</t>
  </si>
  <si>
    <t>Lê Đức Anh Tuấn</t>
  </si>
  <si>
    <t>Vietcombank, trụ sở Thành Công</t>
  </si>
  <si>
    <t>KH43199</t>
  </si>
  <si>
    <t>Kinh tế quốc dân</t>
  </si>
  <si>
    <t>dân</t>
  </si>
  <si>
    <t>KH291890</t>
  </si>
  <si>
    <t>Phùng Thị Minh</t>
  </si>
  <si>
    <t>Mb- Quân đội, Chi nhánh Xuân mai chương Mỹ Hà Nội</t>
  </si>
  <si>
    <t>KH39139</t>
  </si>
  <si>
    <t>Lê Thị Ngọc Hân</t>
  </si>
  <si>
    <t>Hân</t>
  </si>
  <si>
    <t>vietcombank</t>
  </si>
  <si>
    <t>KH43007</t>
  </si>
  <si>
    <t>Nguyễn Mai Thảo Nguyên</t>
  </si>
  <si>
    <t>Nguyên</t>
  </si>
  <si>
    <t>Ngân hàng quân đội MB bank</t>
  </si>
  <si>
    <t>KH42452</t>
  </si>
  <si>
    <t>Tống Đăng Khoa</t>
  </si>
  <si>
    <t>Khoa</t>
  </si>
  <si>
    <t>ACB chi nhánh TP HCM</t>
  </si>
  <si>
    <t>KH40822</t>
  </si>
  <si>
    <t>Nguyễn Thị Ngọc Mai</t>
  </si>
  <si>
    <t>Ngân hàng quân đội MB chi nhánh Tp Thanh Hóa</t>
  </si>
  <si>
    <t>KH42465</t>
  </si>
  <si>
    <t>Nguyễn Cao Chí Hoàng</t>
  </si>
  <si>
    <t>KH39769</t>
  </si>
  <si>
    <t>Nguyễn Thị Huệ</t>
  </si>
  <si>
    <t>KH43741</t>
  </si>
  <si>
    <t>Phạm Vân Anh</t>
  </si>
  <si>
    <t>BIDV- chi nhánh Hội sở 3</t>
  </si>
  <si>
    <t>KH43437</t>
  </si>
  <si>
    <t>Hà Thị Bạch</t>
  </si>
  <si>
    <t>Bạch</t>
  </si>
  <si>
    <t>MB- Ngân Hàng Quân Đội- Chi Nhánh Thái Nguyên</t>
  </si>
  <si>
    <t>KH42567</t>
  </si>
  <si>
    <t>Nguyễn Ngọc Mai Trang</t>
  </si>
  <si>
    <t>Techcombank- Ngân hàng thương mại Cổ phần kỹ thương Việt Nam - Chi nhanh Chương Dương</t>
  </si>
  <si>
    <t>KH41657</t>
  </si>
  <si>
    <t>Nguyễn Thị Tố Uyên</t>
  </si>
  <si>
    <t>Ngân Hàng Việt Nam Thịnh Vượng - VPBANK- Chi nhanh Mỹ Đình</t>
  </si>
  <si>
    <t>KH40318</t>
  </si>
  <si>
    <t>Đào Thị Hảo</t>
  </si>
  <si>
    <t>BIDV- Ngân hàng TMCP phần Đầu tư và Phát triển Việt Nam- Chi Nhanh Tây Ninh</t>
  </si>
  <si>
    <t xml:space="preserve">KH634703	</t>
  </si>
  <si>
    <t>KH33717</t>
  </si>
  <si>
    <t>Ngân hàng Thương mại Cổ phần Kỹ thương Việt Nam- TECHCOMBANK</t>
  </si>
  <si>
    <t>KH33556</t>
  </si>
  <si>
    <t>Nguyễn Thị Bích Quỳnh</t>
  </si>
  <si>
    <t>Vietinbank- Chi Nhanh Bắc Hà ( Ngọc Lâm)</t>
  </si>
  <si>
    <t>KH18041</t>
  </si>
  <si>
    <t>Phạm Hoàng Oanh</t>
  </si>
  <si>
    <t>KH43516</t>
  </si>
  <si>
    <t>Lê Anh Dũng</t>
  </si>
  <si>
    <t>Agribank Chi nhánh H.Huong Khe - Ha Tinh II</t>
  </si>
  <si>
    <t>KH41792</t>
  </si>
  <si>
    <t>Tuyền</t>
  </si>
  <si>
    <t>Ngân hàng thương mại cổ phần Tiên Phong TP Bank - Chi nhánh TPBank Phạm Hùng- cầu giấy Hà Nội</t>
  </si>
  <si>
    <t>KH43194</t>
  </si>
  <si>
    <t>Ngô Mỹ Uyên</t>
  </si>
  <si>
    <t>Ngân hàng Techcombank chi nhánh Sài Gòn</t>
  </si>
  <si>
    <t>KH42990</t>
  </si>
  <si>
    <t>Đặng Nguyễn Trung Hiếu</t>
  </si>
  <si>
    <t>Ngân hàng VP Bank Chi nhánh 100C Đặng Văn Bi, Bình Thọ, Thủ Đức</t>
  </si>
  <si>
    <t>KH43571</t>
  </si>
  <si>
    <t>Quan Thị Minh Ánh</t>
  </si>
  <si>
    <t>Ngân hàng VPbank</t>
  </si>
  <si>
    <t>KH702855</t>
  </si>
  <si>
    <t>KH553910</t>
  </si>
  <si>
    <t>KH43719</t>
  </si>
  <si>
    <t>Nguyễn Mỹ Linh</t>
  </si>
  <si>
    <t>Ngân Hàng Quân Đội MB Bank</t>
  </si>
  <si>
    <t>KH44152</t>
  </si>
  <si>
    <t>Đằng Tuyết Trinh</t>
  </si>
  <si>
    <t>Trinh</t>
  </si>
  <si>
    <t>Vietcombank- Trụ sở CN Thái Nguyên</t>
  </si>
  <si>
    <t>KH242325</t>
  </si>
  <si>
    <t>Nguyễn Thế Lực</t>
  </si>
  <si>
    <t>Lực</t>
  </si>
  <si>
    <t>BIDV- chi nhánh Cầu Giấy</t>
  </si>
  <si>
    <t>KH39841</t>
  </si>
  <si>
    <t>BIDV- Chi nhánh Thái Nguyên</t>
  </si>
  <si>
    <t>KH627705</t>
  </si>
  <si>
    <t>KH37836</t>
  </si>
  <si>
    <t>Techcombank- Chi nhánh Hoàng Quốc Việt</t>
  </si>
  <si>
    <t>KH469207</t>
  </si>
  <si>
    <t>KH33148</t>
  </si>
  <si>
    <t>Techcombank CN TP.HCM</t>
  </si>
  <si>
    <t>KH38172</t>
  </si>
  <si>
    <t>Nguyễn Thành Đạt</t>
  </si>
  <si>
    <t>BIDV Chi nhánh Quang Trung - Hà Nội</t>
  </si>
  <si>
    <t>KH43663</t>
  </si>
  <si>
    <t>Mai Lệ Huyền</t>
  </si>
  <si>
    <t>Ngân hàng TMCP Sài Gòn-Hà Nội (SHB) chi nhánh Sài Gòn</t>
  </si>
  <si>
    <t>KH43439</t>
  </si>
  <si>
    <t>Đinh Thị Ngọc Mai</t>
  </si>
  <si>
    <t>Ngân Hàng MB chi nhanh Đống Đa</t>
  </si>
  <si>
    <t>KH698419</t>
  </si>
  <si>
    <t>KH43444</t>
  </si>
  <si>
    <t>Nguyễn Thị Hà Phương</t>
  </si>
  <si>
    <t>BIDV- chi nhánh Tuyên Quang</t>
  </si>
  <si>
    <t>KH693527</t>
  </si>
  <si>
    <t>KH43581</t>
  </si>
  <si>
    <t>Nguyễn Thị Thúy Nhung</t>
  </si>
  <si>
    <t>Ngân Hàng ACB chi nhánh PGD Cửa Nam</t>
  </si>
  <si>
    <t>KH43641</t>
  </si>
  <si>
    <t>Kiều Quốc Lập</t>
  </si>
  <si>
    <t>Ngân hàng: Agribank Chi nhánh Thái Nguyên</t>
  </si>
  <si>
    <t>KH43921</t>
  </si>
  <si>
    <t>Nguyễn Ngọc Tú</t>
  </si>
  <si>
    <t>Ngân hàng VCB- Chi Nhánh Thành Phố Vinh</t>
  </si>
  <si>
    <t>KH44159</t>
  </si>
  <si>
    <t>Phạm Lê Hoa</t>
  </si>
  <si>
    <t>Ngân hàng Viettinbank chi nhánh Tây Thăng Long</t>
  </si>
  <si>
    <t xml:space="preserve">	KH745640</t>
  </si>
  <si>
    <t>KH48009</t>
  </si>
  <si>
    <t>Techcombank- chi nhánh Cửa Nam</t>
  </si>
  <si>
    <t>KH48071</t>
  </si>
  <si>
    <t>Bùi Phạm Thảo Trang</t>
  </si>
  <si>
    <t>Ngân Hàng ACB Chi nhánh Biên Hòa</t>
  </si>
  <si>
    <t>KH49199</t>
  </si>
  <si>
    <t>Đoàn Thị Quỳnh Anh</t>
  </si>
  <si>
    <t>BIDV Chi nhánh Cầu Giấy</t>
  </si>
  <si>
    <t>KH49250</t>
  </si>
  <si>
    <t>KH172716</t>
  </si>
  <si>
    <t>Hứa Xuân Đồng</t>
  </si>
  <si>
    <t>Đồng</t>
  </si>
  <si>
    <t>MB Bank chi nhanh Đan Phượng</t>
  </si>
  <si>
    <t xml:space="preserve">KH750723	</t>
  </si>
  <si>
    <t>KH297071</t>
  </si>
  <si>
    <t>Nguyễn Huy Hùng</t>
  </si>
  <si>
    <t>Techcombank- Chi nhánh Thái Nguyên</t>
  </si>
  <si>
    <t>KH392134</t>
  </si>
  <si>
    <t>KH302366</t>
  </si>
  <si>
    <t>Âu Thị Diệu Linh</t>
  </si>
  <si>
    <t>Vietcombank - PGD Lương Ngọc Quyến</t>
  </si>
  <si>
    <t>KH345980</t>
  </si>
  <si>
    <t>Trần Thị Thu Huyền</t>
  </si>
  <si>
    <t>Vietinbank - CN uông bí</t>
  </si>
  <si>
    <t>KH27064</t>
  </si>
  <si>
    <t>Phạm Viết Ngọc</t>
  </si>
  <si>
    <t>BIDV- CHI NHÁNH THÁI NGUYÊN</t>
  </si>
  <si>
    <t>KH35246</t>
  </si>
  <si>
    <t>Nguyễn Thanh Sơn</t>
  </si>
  <si>
    <t>KH38724</t>
  </si>
  <si>
    <t>BIDV- CHI NHÁNH NAM THÁI NGUYÊN</t>
  </si>
  <si>
    <t>KH44371</t>
  </si>
  <si>
    <t>Nguyễn Thị Huệ Phương</t>
  </si>
  <si>
    <t>Ngân hàng MB quân đội- Chi Nhánh Sơn la</t>
  </si>
  <si>
    <t>KH44647</t>
  </si>
  <si>
    <t>Lục Thùy Liên</t>
  </si>
  <si>
    <t>Techcombank, chi nhánh TP Thái Nguyên</t>
  </si>
  <si>
    <t>KH730509</t>
  </si>
  <si>
    <t>KH48130</t>
  </si>
  <si>
    <t>Quản Trọng Tuấn</t>
  </si>
  <si>
    <t>MB - Chi nhánh Sơn Tây</t>
  </si>
  <si>
    <t>KH49125</t>
  </si>
  <si>
    <t>Vietcombank- chi nhánh Ba Đình</t>
  </si>
  <si>
    <t>KH49260</t>
  </si>
  <si>
    <t>Nguyễn Thị Cẩm Mi</t>
  </si>
  <si>
    <t>Mi</t>
  </si>
  <si>
    <t>KH50051</t>
  </si>
  <si>
    <t>Phạm Duy Đức</t>
  </si>
  <si>
    <t>BIDV - chi nhánh Hà thành</t>
  </si>
  <si>
    <t>KH50096</t>
  </si>
  <si>
    <t>Nguyễn Thị Ngọc Bích</t>
  </si>
  <si>
    <t>Bích</t>
  </si>
  <si>
    <t>KH50625</t>
  </si>
  <si>
    <t>Nguyễn Văn Hội</t>
  </si>
  <si>
    <t>Hội</t>
  </si>
  <si>
    <t>VP Bank - Chi nhánh Văn Quán</t>
  </si>
  <si>
    <t>KH771576</t>
  </si>
  <si>
    <t>KH50966</t>
  </si>
  <si>
    <t>Lê Thị Phương</t>
  </si>
  <si>
    <t>VPbank chi nhánh sở giao dịch</t>
  </si>
  <si>
    <t>KH203708</t>
  </si>
  <si>
    <t>BIDV- chi nhánh Hà Thành</t>
  </si>
  <si>
    <t>KH37407</t>
  </si>
  <si>
    <t>Lý Bảo Long</t>
  </si>
  <si>
    <t>KH38422</t>
  </si>
  <si>
    <t>Võ Thị Thúy Hà</t>
  </si>
  <si>
    <t>KH50246</t>
  </si>
  <si>
    <t>Nghiêm Thị Hồng</t>
  </si>
  <si>
    <t>KH12062</t>
  </si>
  <si>
    <t>Ngân Hàng Quân Đội MB</t>
  </si>
  <si>
    <t>KH35607</t>
  </si>
  <si>
    <t>Phùng Thị Phương</t>
  </si>
  <si>
    <t>Viettinbank Chi Nhánh Thái Bình</t>
  </si>
  <si>
    <t>KH50993</t>
  </si>
  <si>
    <t>Bùi Tiến Anh</t>
  </si>
  <si>
    <t>VietinBank chi nhánh QUANG NINH - HOI SO</t>
  </si>
  <si>
    <t>KH47978</t>
  </si>
  <si>
    <t>MB Bank - Chi nhánh Hà Nội</t>
  </si>
  <si>
    <t>KH48081</t>
  </si>
  <si>
    <t>Đặng Út Em</t>
  </si>
  <si>
    <t>Em</t>
  </si>
  <si>
    <t>Ngân hàng VIETCOMBANK Chi nhánh Cần Thơ</t>
  </si>
  <si>
    <t>KH50984</t>
  </si>
  <si>
    <t>Trần Linh Linh</t>
  </si>
  <si>
    <t>Bidv - Chi nhánh Lai Châu</t>
  </si>
  <si>
    <t>KH781431</t>
  </si>
  <si>
    <t>KH51932</t>
  </si>
  <si>
    <t>Lê Ngọc Diệp</t>
  </si>
  <si>
    <t>KH50809</t>
  </si>
  <si>
    <t>Điểu Thị Mai Linh</t>
  </si>
  <si>
    <t>CN Đông Sài Gòn - Ngân hàng TMCP Đầu tư &amp; Phát triển Việt Nam (BIDV)</t>
  </si>
  <si>
    <t>KH40246</t>
  </si>
  <si>
    <t>Phạm Thế Long</t>
  </si>
  <si>
    <t>KH299768</t>
  </si>
  <si>
    <t>Nguyễn Thái Bình</t>
  </si>
  <si>
    <t>Ngân hàng thương mại cổ phần Phương Đông- chi nhánh Lê Duẩn</t>
  </si>
  <si>
    <t>KH52069</t>
  </si>
  <si>
    <t>Nguyễn Quốc Đạt</t>
  </si>
  <si>
    <t>VPBANK PGD 57-VŨ TRỌNG PHỤNG</t>
  </si>
  <si>
    <t>KH40854</t>
  </si>
  <si>
    <t>Phạm Thị Hiền</t>
  </si>
  <si>
    <t>TP Bank</t>
  </si>
  <si>
    <t>KH52050</t>
  </si>
  <si>
    <t>Võ Anh Tuấn</t>
  </si>
  <si>
    <t>BIDV-CN Thanh Xuân</t>
  </si>
  <si>
    <t>KH52037</t>
  </si>
  <si>
    <t>Thanh Tâm</t>
  </si>
  <si>
    <t>KH002041</t>
  </si>
  <si>
    <t>Nguyễn Thị Lan Anh</t>
  </si>
  <si>
    <t>KH51483</t>
  </si>
  <si>
    <t>Ngô Thị Thanh Phương</t>
  </si>
  <si>
    <t>KH337828</t>
  </si>
  <si>
    <t>Vũ Minh Tuấn</t>
  </si>
  <si>
    <t>VietinBank</t>
  </si>
  <si>
    <t>KH48799</t>
  </si>
  <si>
    <t>Nguyễn Hữu Quý</t>
  </si>
  <si>
    <t>Quý</t>
  </si>
  <si>
    <t>KH35818</t>
  </si>
  <si>
    <t>KH41789</t>
  </si>
  <si>
    <t>Techcombank - chi nhánh Ba Đình</t>
  </si>
  <si>
    <t>KH50693</t>
  </si>
  <si>
    <t>Giang Thị Huyền</t>
  </si>
  <si>
    <t>KH002030</t>
  </si>
  <si>
    <t>Lê Thị Thu Trang</t>
  </si>
  <si>
    <t>KH822119</t>
  </si>
  <si>
    <t>KH002021</t>
  </si>
  <si>
    <t>Trần Ngọc Thuỷ Thương</t>
  </si>
  <si>
    <t>KH50815</t>
  </si>
  <si>
    <t>Võ Đức Hùng</t>
  </si>
  <si>
    <t>KH52121</t>
  </si>
  <si>
    <t>Ngà</t>
  </si>
  <si>
    <t>KH846004</t>
  </si>
  <si>
    <t>KH43638</t>
  </si>
  <si>
    <t>Phan Thị Hồng Phú</t>
  </si>
  <si>
    <t>KH838931</t>
  </si>
  <si>
    <t>KH004890</t>
  </si>
  <si>
    <t>Nguyễn Thị Vân Anh</t>
  </si>
  <si>
    <t>Bidv chi nhánh hưng yên</t>
  </si>
  <si>
    <t>KH005000</t>
  </si>
  <si>
    <t>Lê Thị Phương Thúy</t>
  </si>
  <si>
    <t>KH44282</t>
  </si>
  <si>
    <t>Nguyễn Thị Thảo-PTML</t>
  </si>
  <si>
    <t>Thảo-PTML</t>
  </si>
  <si>
    <t>KH267229</t>
  </si>
  <si>
    <t>KH51985</t>
  </si>
  <si>
    <t>Ngân hàng BIDV - Chi nhánh Linh Đàm</t>
  </si>
  <si>
    <t>KH50133</t>
  </si>
  <si>
    <t>Kim Thị Châm</t>
  </si>
  <si>
    <t>Châm</t>
  </si>
  <si>
    <t>MSB</t>
  </si>
  <si>
    <t>KH12202</t>
  </si>
  <si>
    <t>Trần Văn Tiến</t>
  </si>
  <si>
    <t>KH006359</t>
  </si>
  <si>
    <t>Nguyễn Đức Mạnh</t>
  </si>
  <si>
    <t>KH868186</t>
  </si>
  <si>
    <t>KH298949</t>
  </si>
  <si>
    <t>Tống Thị Thu Trang</t>
  </si>
  <si>
    <t>KH250508</t>
  </si>
  <si>
    <t>KH005653</t>
  </si>
  <si>
    <t>Ngô Nhật Vũ</t>
  </si>
  <si>
    <t>Vũ</t>
  </si>
  <si>
    <t>KH17205</t>
  </si>
  <si>
    <t>Phạm Thị Yến</t>
  </si>
  <si>
    <t>KH008978</t>
  </si>
  <si>
    <t>Trương Đức Thao</t>
  </si>
  <si>
    <t>Thao</t>
  </si>
  <si>
    <t>KH51609</t>
  </si>
  <si>
    <t>Trịnh Văn Đại</t>
  </si>
  <si>
    <t>Đại</t>
  </si>
  <si>
    <t>KH327670</t>
  </si>
  <si>
    <t>Nguyễn Thị Thanh Minh</t>
  </si>
  <si>
    <t>KH44726</t>
  </si>
  <si>
    <t>Trần Thị Thu Thảo</t>
  </si>
  <si>
    <t>KH241439</t>
  </si>
  <si>
    <t>Phạm Minh Hoàng</t>
  </si>
  <si>
    <t>KH010219</t>
  </si>
  <si>
    <t>Nguyễn Thị Thúy Diễm</t>
  </si>
  <si>
    <t>Diễm</t>
  </si>
  <si>
    <t>KH000022</t>
  </si>
  <si>
    <t>KH010585</t>
  </si>
  <si>
    <t>Nguyễn Đình Cường</t>
  </si>
  <si>
    <t>Ron</t>
  </si>
  <si>
    <t>KH880069</t>
  </si>
  <si>
    <t>Hà Thị Mỹ Linh</t>
  </si>
  <si>
    <t>KH250647</t>
  </si>
  <si>
    <t>Nguyễn Thị Kim Dung</t>
  </si>
  <si>
    <t>KH275871</t>
  </si>
  <si>
    <t>Nguyễn Thị Giáng Hương</t>
  </si>
  <si>
    <t>KH34796</t>
  </si>
  <si>
    <t>Nguyễn Trọng Hưng</t>
  </si>
  <si>
    <t>KH51110</t>
  </si>
  <si>
    <t>Nguyễn Thị Thúy Quỳnh</t>
  </si>
  <si>
    <t>KH009671</t>
  </si>
  <si>
    <t>Trần Văn Hoàn</t>
  </si>
  <si>
    <t>Hoàn</t>
  </si>
  <si>
    <t>KH44136</t>
  </si>
  <si>
    <t>Hồ Thị Thu Thảo</t>
  </si>
  <si>
    <t>VIET A BANK</t>
  </si>
  <si>
    <t>THUTHAO</t>
  </si>
  <si>
    <t>KH004914</t>
  </si>
  <si>
    <t>KH33299</t>
  </si>
  <si>
    <t>Phan Nguyên Lộc</t>
  </si>
  <si>
    <t>Lộc</t>
  </si>
  <si>
    <t>KH38180</t>
  </si>
  <si>
    <t>Trần Thêm</t>
  </si>
  <si>
    <t>Thêm</t>
  </si>
  <si>
    <t>KH007108</t>
  </si>
  <si>
    <t>Dương Thị Phương</t>
  </si>
  <si>
    <t>LP Bank</t>
  </si>
  <si>
    <t>KH44284</t>
  </si>
  <si>
    <t>Hoàng Thị Mai Dung</t>
  </si>
  <si>
    <t>KH49051</t>
  </si>
  <si>
    <t>Trần Thị Huyền</t>
  </si>
  <si>
    <t>KH27487</t>
  </si>
  <si>
    <t>Tôn Long Thiều</t>
  </si>
  <si>
    <t>Thiều</t>
  </si>
  <si>
    <t>KH019952</t>
  </si>
  <si>
    <t>KH021580</t>
  </si>
  <si>
    <t>Hoàng Thị Quế</t>
  </si>
  <si>
    <t>Quế</t>
  </si>
  <si>
    <t>KH010483</t>
  </si>
  <si>
    <t>Nguyễn Thị Giang</t>
  </si>
  <si>
    <t>KH17316</t>
  </si>
  <si>
    <t>KH012032</t>
  </si>
  <si>
    <t>Ngô Tây Nam</t>
  </si>
  <si>
    <t>KH009038</t>
  </si>
  <si>
    <t>Châu</t>
  </si>
  <si>
    <t>KH010582</t>
  </si>
  <si>
    <t>Lê Thị Thúy Hằng</t>
  </si>
  <si>
    <t>KH808143</t>
  </si>
  <si>
    <t>Lê Thị Duyên</t>
  </si>
  <si>
    <t>KH432558</t>
  </si>
  <si>
    <t>Trần Văn Thịnh</t>
  </si>
  <si>
    <t>KH35237</t>
  </si>
  <si>
    <t>Võ Minh Hùng</t>
  </si>
  <si>
    <t>KH48984</t>
  </si>
  <si>
    <t>Trịnh Kim Quyên</t>
  </si>
  <si>
    <t>SHB</t>
  </si>
  <si>
    <t>KH006199</t>
  </si>
  <si>
    <t>Nguyễn Thị Bích Hồng</t>
  </si>
  <si>
    <t>KH010548</t>
  </si>
  <si>
    <t>Vũ Thị Ninh</t>
  </si>
  <si>
    <t>KH173</t>
  </si>
  <si>
    <t>Thế Long</t>
  </si>
  <si>
    <t>KH38293</t>
  </si>
  <si>
    <t>Dương Thị Mỹ Hạnh78</t>
  </si>
  <si>
    <t>Hạnh78</t>
  </si>
  <si>
    <t>KH075295</t>
  </si>
  <si>
    <t>Nụ</t>
  </si>
  <si>
    <t>KH27636</t>
  </si>
  <si>
    <t>Phạm Thị Quang</t>
  </si>
  <si>
    <t>KH27646</t>
  </si>
  <si>
    <t>Tuyết</t>
  </si>
  <si>
    <t xml:space="preserve">	KH27646</t>
  </si>
  <si>
    <t>KH19014</t>
  </si>
  <si>
    <t>Hoàng Mai Phương</t>
  </si>
  <si>
    <t>KH246090</t>
  </si>
  <si>
    <t>Đàn</t>
  </si>
  <si>
    <t>BIDV Chi nhánh Hà Tĩnh</t>
  </si>
  <si>
    <t>KH12944</t>
  </si>
  <si>
    <t>Nguyễn Việt Dũng</t>
  </si>
  <si>
    <t>KH098109</t>
  </si>
  <si>
    <t xml:space="preserve">KH776523	</t>
  </si>
  <si>
    <t>KH083950</t>
  </si>
  <si>
    <t>KH48126</t>
  </si>
  <si>
    <t>KH351934</t>
  </si>
  <si>
    <t>Nguyễn Văn Sinh</t>
  </si>
  <si>
    <t>Sinh</t>
  </si>
  <si>
    <t>Nam Á bank</t>
  </si>
  <si>
    <t>KH271332</t>
  </si>
  <si>
    <t>Phạm Quang Huy</t>
  </si>
  <si>
    <t>KH243559</t>
  </si>
  <si>
    <t>Nguyễn Ngọc Dự</t>
  </si>
  <si>
    <t>Dự</t>
  </si>
  <si>
    <t>vietinbank chi nhánh Lạng Giang</t>
  </si>
  <si>
    <t>JOBSNEW</t>
  </si>
  <si>
    <t>KH328165</t>
  </si>
  <si>
    <t>Lâm Thị Thảo</t>
  </si>
  <si>
    <t>KH391352</t>
  </si>
  <si>
    <t>Lê Tuấn Thịnh</t>
  </si>
  <si>
    <t>KH220428</t>
  </si>
  <si>
    <t>Khúc Thị Cúc</t>
  </si>
  <si>
    <t>Vietinbank chi nhánh Lai Châu</t>
  </si>
  <si>
    <t>KH17291</t>
  </si>
  <si>
    <t>Nguyễn Yên Thắng</t>
  </si>
  <si>
    <t>KH302402</t>
  </si>
  <si>
    <t>Nguyễn Tiến Duy</t>
  </si>
  <si>
    <t>KH006292</t>
  </si>
  <si>
    <t>KH911157</t>
  </si>
  <si>
    <t>KH010164</t>
  </si>
  <si>
    <t>KH19395</t>
  </si>
  <si>
    <t>Nguyễn Công Trứ</t>
  </si>
  <si>
    <t>Trứ</t>
  </si>
  <si>
    <t>Ngân Hàng Phương Đông OCB</t>
  </si>
  <si>
    <t>KH145289</t>
  </si>
  <si>
    <t>Tri</t>
  </si>
  <si>
    <t>KH290403</t>
  </si>
  <si>
    <t>Cấn Đình Thái</t>
  </si>
  <si>
    <t>Thái</t>
  </si>
  <si>
    <t>KH117229</t>
  </si>
  <si>
    <t>TPBank</t>
  </si>
  <si>
    <t>KH335012</t>
  </si>
  <si>
    <t>Niê</t>
  </si>
  <si>
    <t>KH44795</t>
  </si>
  <si>
    <t>KH005736</t>
  </si>
  <si>
    <t>Phan Thị Thanh Thủy</t>
  </si>
  <si>
    <t>KH351820</t>
  </si>
  <si>
    <t>Thoa</t>
  </si>
  <si>
    <t>KH051400</t>
  </si>
  <si>
    <t>KH103392</t>
  </si>
  <si>
    <t>KH120851</t>
  </si>
  <si>
    <t>KH43649</t>
  </si>
  <si>
    <t>Năm</t>
  </si>
  <si>
    <t>KH809428</t>
  </si>
  <si>
    <t>KH009470</t>
  </si>
  <si>
    <t>Hòa</t>
  </si>
  <si>
    <t>KH17290</t>
  </si>
  <si>
    <t>KH136947</t>
  </si>
  <si>
    <t>KH48798</t>
  </si>
  <si>
    <t>Nguyễn Thị Thuy</t>
  </si>
  <si>
    <t>Thuy</t>
  </si>
  <si>
    <t>KH082951</t>
  </si>
  <si>
    <t>Dương Anh Đức</t>
  </si>
  <si>
    <t>KH351843</t>
  </si>
  <si>
    <t>Vũ Đình Chiến</t>
  </si>
  <si>
    <t>Chiến</t>
  </si>
  <si>
    <t>KH43804</t>
  </si>
  <si>
    <t>KH35205</t>
  </si>
  <si>
    <t>Hoàng Thị Diễm Quỳnh</t>
  </si>
  <si>
    <t>KH519385</t>
  </si>
  <si>
    <t xml:space="preserve">Hoàng Thị Diễm Quỳnh </t>
  </si>
  <si>
    <t>KH004958</t>
  </si>
  <si>
    <t>Lê Thị Huệ</t>
  </si>
  <si>
    <t>KH33480</t>
  </si>
  <si>
    <t>Lê Bảo My</t>
  </si>
  <si>
    <t>KH914828</t>
  </si>
  <si>
    <t>Phạm Thị Thanh Dung</t>
  </si>
  <si>
    <t>KH273191</t>
  </si>
  <si>
    <t>KH105540</t>
  </si>
  <si>
    <t>Nguyễn Thị Thu Huyền</t>
  </si>
  <si>
    <t>TP bank</t>
  </si>
  <si>
    <t>KH189802</t>
  </si>
  <si>
    <t>Nguyễn Thị Hoài</t>
  </si>
  <si>
    <t>Hoài</t>
  </si>
  <si>
    <t>KH138010</t>
  </si>
  <si>
    <t>Lê Minh Thành</t>
  </si>
  <si>
    <t>KH41955</t>
  </si>
  <si>
    <t>Phan Viết Chiến</t>
  </si>
  <si>
    <t>KH005724</t>
  </si>
  <si>
    <t>Chu Đoàn Bích Ngọc</t>
  </si>
  <si>
    <t>KH13000</t>
  </si>
  <si>
    <t>Nguyễn Thị Thu Hường</t>
  </si>
  <si>
    <t>KH24314</t>
  </si>
  <si>
    <t>Trần Thị Mơ</t>
  </si>
  <si>
    <t>Mơ</t>
  </si>
  <si>
    <t>KH009489</t>
  </si>
  <si>
    <t>Nguyễn Xuân Vũ</t>
  </si>
  <si>
    <t>KH272307</t>
  </si>
  <si>
    <t>Lương Thị Hạnh</t>
  </si>
  <si>
    <t>KH009771</t>
  </si>
  <si>
    <t>Nguyễn Thị Phương Trà</t>
  </si>
  <si>
    <t>Trà</t>
  </si>
  <si>
    <t>MV</t>
  </si>
  <si>
    <t>PVCombank</t>
  </si>
  <si>
    <t>CO</t>
  </si>
  <si>
    <t>TARA</t>
  </si>
  <si>
    <t>Longd</t>
  </si>
  <si>
    <t>IEDU</t>
  </si>
  <si>
    <t>1UNI</t>
  </si>
  <si>
    <t>1. PRM</t>
  </si>
  <si>
    <t>2. POM</t>
  </si>
  <si>
    <t>Người phụ trách hiện tại</t>
  </si>
  <si>
    <t>Người phụ trách mới</t>
  </si>
  <si>
    <t>Nguyễn Thị Hằng 02</t>
  </si>
  <si>
    <t>th_user_id</t>
  </si>
  <si>
    <t>Kho Cử Nhân</t>
  </si>
  <si>
    <t>KH00004.Nguyễn Thị Phương</t>
  </si>
  <si>
    <t>Nguyễn Thị Phương</t>
  </si>
  <si>
    <t>Nguyễn Trọng Cường</t>
  </si>
  <si>
    <t>Bùi Thị Hạnh Duyên</t>
  </si>
  <si>
    <t>Kho Chăm Sóc Sức Khỏe</t>
  </si>
  <si>
    <t>Nguyễn Thị Thanh Mai</t>
  </si>
  <si>
    <t>Nguyễn Trường Giang</t>
  </si>
  <si>
    <t>Sambala API</t>
  </si>
  <si>
    <t>Phạm Thị Phi Yến</t>
  </si>
  <si>
    <t>Phạm Thi Minh Thư</t>
  </si>
  <si>
    <t>Phạm Thị Hà Trang</t>
  </si>
  <si>
    <t>Nguyễn Thanh Hải</t>
  </si>
  <si>
    <t>KH44470.Đỗ Hữu Trung</t>
  </si>
  <si>
    <t>Nguyễn Hữu Dương</t>
  </si>
  <si>
    <t>Võ Thị Vĩnh Hàng</t>
  </si>
  <si>
    <t>Bàn Thị Mai</t>
  </si>
  <si>
    <t>Bùi Thị Hạnh Duyên-02</t>
  </si>
  <si>
    <t>Hà Thuỳ Linh</t>
  </si>
  <si>
    <t>Nguyễn Huyền Trang</t>
  </si>
  <si>
    <t>Bùi Ngọc Sơn</t>
  </si>
  <si>
    <t>Ngô Minh Phúc</t>
  </si>
  <si>
    <t>Nguyễn Ngọc Minh Trí</t>
  </si>
  <si>
    <t>1/12-31/12</t>
  </si>
  <si>
    <t>1/12 - 31/12</t>
  </si>
  <si>
    <t>L8 TVTS chốt - ngày 31/12</t>
  </si>
  <si>
    <t>PTML thưởng L5-L8 cho TVTS ngày 2/1 
(theo thứ tự ưu tiên)</t>
  </si>
  <si>
    <t>L5-L8  PTML tự chốt  đã thưởng</t>
  </si>
  <si>
    <t>L8 tự TVTS chốt</t>
  </si>
  <si>
    <t>TNU</t>
  </si>
  <si>
    <t>Nguyễn Thu Trang</t>
  </si>
  <si>
    <t>Nguyễn Thị Hiển</t>
  </si>
  <si>
    <t>Nguyễn Thị Hà-91</t>
  </si>
  <si>
    <t>Nguyễn Thị Ngọc Tuyền</t>
  </si>
  <si>
    <t>Nguyễn Thị Thu Hà 02</t>
  </si>
  <si>
    <t>Ngô Thị Bắc</t>
  </si>
  <si>
    <t>Ngô Thị Hoa</t>
  </si>
  <si>
    <t>Thái Thanh Thuỳ</t>
  </si>
  <si>
    <t>Bùi Thị Thanh Ngân</t>
  </si>
  <si>
    <t>Trương Mỹ Dung</t>
  </si>
  <si>
    <t>Vũ Thị Thu Uyên</t>
  </si>
  <si>
    <t>Đặng Thị Thu</t>
  </si>
  <si>
    <t>Bùi Thị Thu Phương</t>
  </si>
  <si>
    <t>ưu tiên 1</t>
  </si>
  <si>
    <t>Phạm Thị Diệu Linh</t>
  </si>
  <si>
    <t>Đinh Thị Tầm</t>
  </si>
  <si>
    <t>TUAF</t>
  </si>
  <si>
    <t>Nguyễn Thị Thanh Loan</t>
  </si>
  <si>
    <t>Bùi Thanh Nga</t>
  </si>
  <si>
    <t>Nguyễn Thúy Hằng</t>
  </si>
  <si>
    <t>Nguyễn Thảo LY</t>
  </si>
  <si>
    <t>Hoàng Thị Thu Trang</t>
  </si>
  <si>
    <t>TNUT</t>
  </si>
  <si>
    <t>Nguyễn Thị Nga</t>
  </si>
  <si>
    <t>Nguyễn Thị Lan</t>
  </si>
  <si>
    <t>Bùi Thị Loan</t>
  </si>
  <si>
    <t>ENEU</t>
  </si>
  <si>
    <t>Phạm Thị Mai Hương</t>
  </si>
  <si>
    <t>Lưu Thanh Hà</t>
  </si>
  <si>
    <t>Nguyễn Thị Hà - 98</t>
  </si>
  <si>
    <t>Phạm Thị Châm</t>
  </si>
  <si>
    <t>Đỗ Thị Giang</t>
  </si>
  <si>
    <t>Đỗ Thị Hương</t>
  </si>
  <si>
    <t>Lưu thị Hạnh</t>
  </si>
  <si>
    <t>Nguyễn Thị ThuHà</t>
  </si>
  <si>
    <t>Lê Thùy Dung</t>
  </si>
  <si>
    <t>Phạm Thu Huyền</t>
  </si>
  <si>
    <t>Vũ Thị Thu Hằng</t>
  </si>
  <si>
    <t>EHOU</t>
  </si>
  <si>
    <t>Trần Thị Việt Linh</t>
  </si>
  <si>
    <t>Nguyễn Thị Kim Liên</t>
  </si>
  <si>
    <t>Lê Thị Thảo</t>
  </si>
  <si>
    <t>Cao Thị Kiều Loan</t>
  </si>
  <si>
    <t>Bùi Khánh Linh Chi</t>
  </si>
  <si>
    <t>Nguyễn Thị Thu Lan</t>
  </si>
  <si>
    <t>Nguyễn Phan Ái Thy</t>
  </si>
  <si>
    <t>Nguyễn Thị Mỹ Duyên</t>
  </si>
  <si>
    <t>Trần Thị Hạnh</t>
  </si>
  <si>
    <t>Lý Lệ Uyên</t>
  </si>
  <si>
    <t>Huỳnh Za Lăng</t>
  </si>
  <si>
    <t>Võ Thị Tâm</t>
  </si>
  <si>
    <t>Hà Thanh Chung</t>
  </si>
  <si>
    <t>L5-L8 thưởng của ngày hôm sau sẽ ưu tiên cho người có số L8 PTML cao nhất của ngày hôm trước</t>
  </si>
  <si>
    <t>Lần lượt theo vòng chia đến các TV có số L8 cao thứ 2, thứ 3</t>
  </si>
  <si>
    <t>Nếu số lượng giữa 2 TVTS L8 bằng nhau , Sẽ xét thêm yếu tố tổng L8 từ đầu tháng , nếu sô L8 tổng từ đầu tháng vẫn bằng nhau sẽ xét tiếp đến yếu tố =&gt; Tỷ lệ L2/L0</t>
  </si>
  <si>
    <t>NGÀY CHUYỂN TƯ VẤN</t>
  </si>
  <si>
    <t>Họ tên HV</t>
  </si>
  <si>
    <t>Nhóm nguồn</t>
  </si>
  <si>
    <t>Tên nguồn</t>
  </si>
  <si>
    <t>LEVEL khi chuyển qua TVTS</t>
  </si>
  <si>
    <t>TVTS được chia</t>
  </si>
  <si>
    <t>Nguyễn Văn A</t>
  </si>
  <si>
    <t>0898722311</t>
  </si>
  <si>
    <t>KH123456</t>
  </si>
  <si>
    <t>ĐL-CONTACT-LE-L8</t>
  </si>
  <si>
    <t>PTML_YENPTP</t>
  </si>
  <si>
    <t>Nguyễn Thị Xuân</t>
  </si>
  <si>
    <t>0965238556</t>
  </si>
  <si>
    <t>A000070934</t>
  </si>
  <si>
    <t>TNU-TN</t>
  </si>
  <si>
    <t>ĐL-CONTACT-TN</t>
  </si>
  <si>
    <t>PTML_XUANPTK</t>
  </si>
  <si>
    <t>L8</t>
  </si>
  <si>
    <t xml:space="preserve">Đặng Khánh Linh </t>
  </si>
  <si>
    <t>KH864744</t>
  </si>
  <si>
    <t>TNU-HN</t>
  </si>
  <si>
    <t>PTML_HANHMT</t>
  </si>
  <si>
    <t>NGô thị Bắc</t>
  </si>
  <si>
    <t xml:space="preserve">Ngô Hải Hoàng Long </t>
  </si>
  <si>
    <t>A000065572</t>
  </si>
  <si>
    <t xml:space="preserve">TNU-HN </t>
  </si>
  <si>
    <t xml:space="preserve">Nguyễn thị Hà 91 </t>
  </si>
  <si>
    <t>Lương Quang Tuấn</t>
  </si>
  <si>
    <t>A000076109</t>
  </si>
  <si>
    <t>Nguyễn Thế Hoàn</t>
  </si>
  <si>
    <t>A000057409</t>
  </si>
  <si>
    <t>Nguyễn Thị Minh Thùy</t>
  </si>
  <si>
    <t>L5A - Có hs mềm</t>
  </si>
  <si>
    <t>Vũ Việt Hoàng Mai</t>
  </si>
  <si>
    <t>A000018863</t>
  </si>
  <si>
    <t>Nguyễn Văn Khoa</t>
  </si>
  <si>
    <t>A000033270</t>
  </si>
  <si>
    <t>TNU-HCM</t>
  </si>
  <si>
    <t>PTML_NHINTK</t>
  </si>
  <si>
    <t>Bùi Duy Hiếu</t>
  </si>
  <si>
    <t>A000051942</t>
  </si>
  <si>
    <t>PTML_THAOPTT</t>
  </si>
  <si>
    <t>Trương Bá Hào</t>
  </si>
  <si>
    <t>A000057216</t>
  </si>
  <si>
    <t>ĐL-CONTACT-TUAF</t>
  </si>
  <si>
    <t>Nguyễn Thị Phước Lộc</t>
  </si>
  <si>
    <t>A000076919</t>
  </si>
  <si>
    <t>TNU - ĐN</t>
  </si>
  <si>
    <t>Trần Văn Thức</t>
  </si>
  <si>
    <t>A000039496</t>
  </si>
  <si>
    <t>Lê Văn Tú</t>
  </si>
  <si>
    <t>A000057381</t>
  </si>
  <si>
    <t xml:space="preserve">Trần Văn Dương </t>
  </si>
  <si>
    <t>A000079840</t>
  </si>
  <si>
    <t xml:space="preserve">Vũ Thùy Linh </t>
  </si>
  <si>
    <t>A000083396</t>
  </si>
  <si>
    <t>Mai Thị Hồng Huệ</t>
  </si>
  <si>
    <t>A000088703</t>
  </si>
  <si>
    <t>PTML_THAONT</t>
  </si>
  <si>
    <t>A000088701</t>
  </si>
  <si>
    <t>Nguyễn Thị Thu Hà-02</t>
  </si>
  <si>
    <t>Chu Thị Hải</t>
  </si>
  <si>
    <t>A000088682</t>
  </si>
  <si>
    <t>Hoàng Thị Thanh Tâm</t>
  </si>
  <si>
    <t>A000088699</t>
  </si>
  <si>
    <t>Nguyễn Quỳnh Anh</t>
  </si>
  <si>
    <t>KH795188</t>
  </si>
  <si>
    <t>ĐL-CONTACT-CO.AN</t>
  </si>
  <si>
    <t>CO.ĐT.AN.GT.VM</t>
  </si>
  <si>
    <t>A000081879</t>
  </si>
  <si>
    <t>L5A - Có hs cứng</t>
  </si>
  <si>
    <t xml:space="preserve">Ngô Thị Mỹ thủy </t>
  </si>
  <si>
    <t xml:space="preserve">Nguyễn Nữ Trà My </t>
  </si>
  <si>
    <t xml:space="preserve">	A000069327</t>
  </si>
  <si>
    <t xml:space="preserve">Nguyễn Duy Hải </t>
  </si>
  <si>
    <t>A000086783</t>
  </si>
  <si>
    <t xml:space="preserve">Nguyễn Thị thúy Hồng </t>
  </si>
  <si>
    <t>Bùi Hạnh Ngân</t>
  </si>
  <si>
    <t>A000091153</t>
  </si>
  <si>
    <t>PTML_HOAPT</t>
  </si>
  <si>
    <t>Nguyễn Thị Mai Linh</t>
  </si>
  <si>
    <t>0397183982</t>
  </si>
  <si>
    <t>A000009670</t>
  </si>
  <si>
    <t>PTML_THUYNT</t>
  </si>
  <si>
    <t>Vũ Thị Phượng</t>
  </si>
  <si>
    <t>KH710141</t>
  </si>
  <si>
    <t>L5A - có hsm, đang làm hsc</t>
  </si>
  <si>
    <t>Nguyễn Thị Thu Hiền</t>
  </si>
  <si>
    <t>Trần Kim Quốc Khánh</t>
  </si>
  <si>
    <t>A000089309</t>
  </si>
  <si>
    <t>PTML_TRANGPNM</t>
  </si>
  <si>
    <t>L5A-đang gửi hồ sơ cứng về AUM</t>
  </si>
  <si>
    <t>Hoàng Trần Minh Anh</t>
  </si>
  <si>
    <t>KH157598</t>
  </si>
  <si>
    <t>PTML_NGANBTK</t>
  </si>
  <si>
    <t>L8 - Chưa có hồ sơ cứng</t>
  </si>
  <si>
    <t>Nguyễn Thị Lệ</t>
  </si>
  <si>
    <t>A000088900</t>
  </si>
  <si>
    <t>Trần Việt Dũng</t>
  </si>
  <si>
    <t>KH236400</t>
  </si>
  <si>
    <t>L5A</t>
  </si>
  <si>
    <t xml:space="preserve">Trần Hữu Lâm Dương </t>
  </si>
  <si>
    <t>A000076922</t>
  </si>
  <si>
    <t xml:space="preserve">L5A - có HS cứng nhờ tv chốt phí </t>
  </si>
  <si>
    <t>Nguyễn Thùy Linh</t>
  </si>
  <si>
    <t>A000082138</t>
  </si>
  <si>
    <t>Nguyễn Thị Thanh Quý</t>
  </si>
  <si>
    <t>A000073070</t>
  </si>
  <si>
    <t>Thái Thanh Thùy</t>
  </si>
  <si>
    <t xml:space="preserve">Nguyễn Thị Hằng </t>
  </si>
  <si>
    <t>A000103667</t>
  </si>
  <si>
    <t>L5A-TVTS chốt</t>
  </si>
  <si>
    <t>Nguyễn Quốc Huy</t>
  </si>
  <si>
    <t>A000095839</t>
  </si>
  <si>
    <t xml:space="preserve">Đỗ Xuân Chiến </t>
  </si>
  <si>
    <t>A000104825</t>
  </si>
  <si>
    <t xml:space="preserve">L5A - có HS cứng đg chờ ĐT chốt phí </t>
  </si>
  <si>
    <t>Lưu Ngọc Thông</t>
  </si>
  <si>
    <t>A000035964</t>
  </si>
  <si>
    <t>Trần Ngọc Quân</t>
  </si>
  <si>
    <t xml:space="preserve"> A000033080</t>
  </si>
  <si>
    <t>L5A - có HSC</t>
  </si>
  <si>
    <t>Nguyễn Minh Thiệp</t>
  </si>
  <si>
    <t>A000076057</t>
  </si>
  <si>
    <t>Nguyễn Thảo Ly</t>
  </si>
  <si>
    <t>Vũ Kim Anh</t>
  </si>
  <si>
    <t>A000053129</t>
  </si>
  <si>
    <t>L5A- chờ đối tác chốt phí</t>
  </si>
  <si>
    <t>Nguyễn Quang Tú</t>
  </si>
  <si>
    <t>A000106596</t>
  </si>
  <si>
    <t>Đỗ Thị Kim Dung</t>
  </si>
  <si>
    <t>A000101997</t>
  </si>
  <si>
    <t>Đỗ Anh Minh</t>
  </si>
  <si>
    <t>A000094992</t>
  </si>
  <si>
    <t>Dương Trọng Phú</t>
  </si>
  <si>
    <t>KH494235</t>
  </si>
  <si>
    <t>Giàng A Minh</t>
  </si>
  <si>
    <t>KH834888</t>
  </si>
  <si>
    <t>Lê Thị Thanh Tâm</t>
  </si>
  <si>
    <t>A000093405</t>
  </si>
  <si>
    <t xml:space="preserve">Nguyễn Thị Thúy Hồng </t>
  </si>
  <si>
    <t>Trần Ngọc Thanh Trang</t>
  </si>
  <si>
    <t>A000095392</t>
  </si>
  <si>
    <t>Đinh Huyền Trang</t>
  </si>
  <si>
    <t>A000084503</t>
  </si>
  <si>
    <t>Vũ Thị Vân Anh</t>
  </si>
  <si>
    <t>A000035929</t>
  </si>
  <si>
    <t>Giáp Thùy Trang</t>
  </si>
  <si>
    <t>A000070729</t>
  </si>
  <si>
    <t xml:space="preserve">Trân Thùy Linh </t>
  </si>
  <si>
    <t>A000078266</t>
  </si>
  <si>
    <t xml:space="preserve">Nguyễn Thúy Hằng </t>
  </si>
  <si>
    <t xml:space="preserve">Nguyễn Hùng Mạnh </t>
  </si>
  <si>
    <t>A000086086</t>
  </si>
  <si>
    <t>Trịnh Thị Xuân Cẩm</t>
  </si>
  <si>
    <t>A000103753</t>
  </si>
  <si>
    <t>Tống Bá Anh</t>
  </si>
  <si>
    <t>A000102963</t>
  </si>
  <si>
    <t>ĐL-CONTACT-LE-L9</t>
  </si>
  <si>
    <t>Đặng Thị Hương</t>
  </si>
  <si>
    <t>KH606597</t>
  </si>
  <si>
    <t>Hoàng Văn Trung</t>
  </si>
  <si>
    <t>KH186964</t>
  </si>
  <si>
    <t>HOU</t>
  </si>
  <si>
    <t>CO.ĐT.AN.LE.VM13</t>
  </si>
  <si>
    <t>Nguyễn Văn Chinh</t>
  </si>
  <si>
    <t>A000091139</t>
  </si>
  <si>
    <t>Hỷ Sao Phùng</t>
  </si>
  <si>
    <t>A000119105</t>
  </si>
  <si>
    <t>ĐL-CONTAC-LE-L8</t>
  </si>
  <si>
    <t>L5A đang gửi HSC về AUM</t>
  </si>
  <si>
    <t>Nguyễn Thị Ly</t>
  </si>
  <si>
    <t>A000056819</t>
  </si>
  <si>
    <t>L5A có HSM</t>
  </si>
  <si>
    <t xml:space="preserve">Hà My </t>
  </si>
  <si>
    <t>A000088385</t>
  </si>
  <si>
    <t>L5A - đã nộp hsc về trường</t>
  </si>
  <si>
    <t xml:space="preserve">Nguyễn Thảo Ly </t>
  </si>
  <si>
    <t>Đống Huy Chương</t>
  </si>
  <si>
    <t>A000107801</t>
  </si>
  <si>
    <t>ĐL-CONTACT-CO</t>
  </si>
  <si>
    <t>CO.ĐT.TL.105.GT</t>
  </si>
  <si>
    <t>Võ Ngọc Điện</t>
  </si>
  <si>
    <t>A000109888</t>
  </si>
  <si>
    <t>Lê Bá Năm</t>
  </si>
  <si>
    <t>A000006065</t>
  </si>
  <si>
    <t>L8 chưa có HSC</t>
  </si>
  <si>
    <t>Nguyễn Thị Phượng</t>
  </si>
  <si>
    <t>A000120645</t>
  </si>
  <si>
    <t>Phạm Hải Đăng</t>
  </si>
  <si>
    <t>A000120310</t>
  </si>
  <si>
    <t xml:space="preserve">L8 </t>
  </si>
  <si>
    <t>KẾ HOẠCH TĂNG TỐC 380 L5B TỪ NGÀY 08-31.10</t>
  </si>
  <si>
    <t>KẾ HOẠCH TĂNG TỐC 380 L5B TỪ NGÀY 7 -31.10</t>
  </si>
  <si>
    <t>Bộ phận</t>
  </si>
  <si>
    <t>KH 5B</t>
  </si>
  <si>
    <t>Tổng L0</t>
  </si>
  <si>
    <t>Tuần 2 từ ngày 7-13.10</t>
  </si>
  <si>
    <t>Tuần 3 từ ngày 14-20.10</t>
  </si>
  <si>
    <t>Tuần 4,5 từ ngày 20-31.10</t>
  </si>
  <si>
    <t>PTML</t>
  </si>
  <si>
    <t xml:space="preserve">KẾ HOẠCH </t>
  </si>
  <si>
    <t>THỰC ĐẠT L0</t>
  </si>
  <si>
    <t>KH L0</t>
  </si>
  <si>
    <t>KH L5B</t>
  </si>
  <si>
    <t>KH L2/L0</t>
  </si>
  <si>
    <t>L0</t>
  </si>
  <si>
    <t>TĐ L5B</t>
  </si>
  <si>
    <t>MKT</t>
  </si>
  <si>
    <t>TUẦN 2</t>
  </si>
  <si>
    <t>TUẦN 3</t>
  </si>
  <si>
    <t>CSKH</t>
  </si>
  <si>
    <t>TUẦN 4</t>
  </si>
  <si>
    <t>GT.TS</t>
  </si>
  <si>
    <t>TỔNG</t>
  </si>
  <si>
    <t>Tồn TTG</t>
  </si>
  <si>
    <t>VH</t>
  </si>
  <si>
    <t>KẾ HOẠCH 07 - 31.10</t>
  </si>
  <si>
    <t>THỰC ĐẠT</t>
  </si>
  <si>
    <t>2. PTML</t>
  </si>
  <si>
    <t>Đối tác</t>
  </si>
  <si>
    <t>L5B</t>
  </si>
  <si>
    <t>L5B/L0</t>
  </si>
  <si>
    <t>Tiến độ đạt/KH</t>
  </si>
  <si>
    <t>L2</t>
  </si>
  <si>
    <t>Tỷ lệ
 L2/L0</t>
  </si>
  <si>
    <t>ĐL 01</t>
  </si>
  <si>
    <t>CO.AN</t>
  </si>
  <si>
    <t>TARA1</t>
  </si>
  <si>
    <t>Trường AOF</t>
  </si>
  <si>
    <t>Lẻ</t>
  </si>
  <si>
    <t>1. KẾ HOẠCH SỐ THEO TỪNG TUẦN</t>
  </si>
  <si>
    <t>TUẦN 2: (07 - 13/10)</t>
  </si>
  <si>
    <t>L0 ngày 07/10</t>
  </si>
  <si>
    <t>L0 ngày 08/10</t>
  </si>
  <si>
    <t>L0 ngày 09/10</t>
  </si>
  <si>
    <t>L0 ngày 10/10</t>
  </si>
  <si>
    <t>L0 ngày 11/10</t>
  </si>
  <si>
    <t>L0 ngày 12/10</t>
  </si>
  <si>
    <t>L0 ngày 13/10</t>
  </si>
  <si>
    <t>AOF</t>
  </si>
  <si>
    <t>L5B ( 7 - 13/10)</t>
  </si>
  <si>
    <t>TUẦN 3: (14 - 20/10)</t>
  </si>
  <si>
    <t>L0 ngày 14/10</t>
  </si>
  <si>
    <t>L0 ngày 15/10</t>
  </si>
  <si>
    <t>L0 ngày 16/10</t>
  </si>
  <si>
    <t>L0 ngày 17/10</t>
  </si>
  <si>
    <t>L0 ngày 18/10</t>
  </si>
  <si>
    <t>L0 ngày 1910</t>
  </si>
  <si>
    <t>L0 ngày 20/10</t>
  </si>
  <si>
    <t xml:space="preserve">L5B </t>
  </si>
  <si>
    <t>TUẦN 4 +5 : (21 - 31.10)</t>
  </si>
  <si>
    <t>L0 ngày 21/10</t>
  </si>
  <si>
    <t>L0 ngày 22/10</t>
  </si>
  <si>
    <t>L0 ngày 23/10</t>
  </si>
  <si>
    <t>L0 ngày 24/10</t>
  </si>
  <si>
    <t>L0 ngày 25/10</t>
  </si>
  <si>
    <t>L0 ngày 26/10</t>
  </si>
  <si>
    <t>L0 ngày 27/10</t>
  </si>
  <si>
    <t>2. KẾ HOẠCH HÀNH ĐỘNG THEO TỪNG TUẦN</t>
  </si>
  <si>
    <t>Kế hoạch L0</t>
  </si>
  <si>
    <t>Tiến độ</t>
  </si>
  <si>
    <t>KH tuần 2</t>
  </si>
  <si>
    <t>GA</t>
  </si>
  <si>
    <t>FB</t>
  </si>
  <si>
    <t>LỌC</t>
  </si>
  <si>
    <t>SEO</t>
  </si>
  <si>
    <t>SD</t>
  </si>
  <si>
    <t>ĐTC1</t>
  </si>
  <si>
    <t>ĐT LẺ</t>
  </si>
  <si>
    <t>MỞ RỘNG</t>
  </si>
  <si>
    <t>ĐỀ XUẤT CƠ CHẾ TT - PTML - KỲ 1.2025</t>
  </si>
  <si>
    <t>Mã thành viên</t>
  </si>
  <si>
    <t>Tên thành viên</t>
  </si>
  <si>
    <t>Đơn vị</t>
  </si>
  <si>
    <t>Ngày bắt đầu thử việc</t>
  </si>
  <si>
    <t>Ngày trở thành thành viên chính thức</t>
  </si>
  <si>
    <t>Mã</t>
  </si>
  <si>
    <t>Chức vụ</t>
  </si>
  <si>
    <t>Nhóm DLC1 - Phòng Cử nhân</t>
  </si>
  <si>
    <t>Cử nhân</t>
  </si>
  <si>
    <t>ML01-01</t>
  </si>
  <si>
    <t>Nhân viên</t>
  </si>
  <si>
    <t>aum.dongnt@gmail.com</t>
  </si>
  <si>
    <t>aum.duongnh@gmail.com</t>
  </si>
  <si>
    <t>Đoàn Long</t>
  </si>
  <si>
    <t>aum.longd@gmail.com</t>
  </si>
  <si>
    <t>Vũ Thị Kim Anh</t>
  </si>
  <si>
    <t>anhvuthikim@aum.edu.vn</t>
  </si>
  <si>
    <t>241122-18</t>
  </si>
  <si>
    <t>aum.maibt@gmail.com</t>
  </si>
  <si>
    <t>Nhóm DLL HN - Phòng Cử nhân</t>
  </si>
  <si>
    <t>Phạm Thị Thanh Thào</t>
  </si>
  <si>
    <t>ML01-02</t>
  </si>
  <si>
    <t>Chuyên gia</t>
  </si>
  <si>
    <t>aum.thaoptt@gmail.com</t>
  </si>
  <si>
    <t>aum.thaont@gmail.com</t>
  </si>
  <si>
    <t>aum.trangpnm@gmail.com</t>
  </si>
  <si>
    <t>241118-16</t>
  </si>
  <si>
    <t>aum.huyentt86@gmail.com</t>
  </si>
  <si>
    <t>aum.hanhmt2@gmail.com</t>
  </si>
  <si>
    <t>aum.nguyenthanhthuy@gmail.com</t>
  </si>
  <si>
    <t>Mai Thùy Dương</t>
  </si>
  <si>
    <t>aum.duongmt@gmail.com</t>
  </si>
  <si>
    <t>Nhóm DLL HCM - Phòng Cử nhân</t>
  </si>
  <si>
    <t>ML01-03</t>
  </si>
  <si>
    <t>aum.xuanptk@gmail.com</t>
  </si>
  <si>
    <t>26/5/2024</t>
  </si>
  <si>
    <t>Bùi Thị Kim Ngân</t>
  </si>
  <si>
    <t>aum.nganbtk@gmail.com</t>
  </si>
  <si>
    <t>Phạm Thị Hòa</t>
  </si>
  <si>
    <t>aum.hoapt1@gmail.com</t>
  </si>
  <si>
    <t>aumnhintk@gmail.com</t>
  </si>
  <si>
    <t>TN</t>
  </si>
  <si>
    <t>aum.yenptp@gmail.com</t>
  </si>
  <si>
    <t>ĐLC1</t>
  </si>
  <si>
    <t>TỔNG QUAN</t>
  </si>
  <si>
    <t>THỰC TRẠNG</t>
  </si>
  <si>
    <t>GIẢI PHÁP</t>
  </si>
  <si>
    <t>NĂNG SUẤT KINH DOANH</t>
  </si>
  <si>
    <t>ĐỐI TÁC</t>
  </si>
  <si>
    <t>- Ổn đinh cơ cấu NS: 
 + Tuyển đủ quân cho phòng MKT
 + Nâng cao chất lượng NS làm việc</t>
  </si>
  <si>
    <t>- Tuyển dụng trên trang có phí + Kênh giới thiệu tìm kiếm Ứng viên
 - ĐT tiếp tục traning cho NS mới onjob công việc mảng MKT/ Đối tác để NS nâng cao chất lượng chuyên môn</t>
  </si>
  <si>
    <t>- Tập trung chạy các CT trọng tâm: NEU, 
 TNU, HOU để về KH năm</t>
  </si>
  <si>
    <t>- Tập trung chi phí đẩy + Tăng NS + Giám sát, converts</t>
  </si>
  <si>
    <t>VẤN ĐỀ DÀI HẠN</t>
  </si>
  <si>
    <t>Tara</t>
  </si>
  <si>
    <t xml:space="preserve">- Tiếp tục hoàn thiện </t>
  </si>
  <si>
    <t>- NS mới đang onjob --&gt; Tiếp tục traning</t>
  </si>
  <si>
    <t>- Traning NS mới</t>
  </si>
  <si>
    <t>Thiếu quân phòng MKT --&gt; Tiếp tục tuyển dụng trang có phí để bổ sung thêm NS</t>
  </si>
  <si>
    <t>- Anh Thành tiếp trục traning NS + PTML hỗ trợ thêm.</t>
  </si>
  <si>
    <t>- ĐLL chưa chốt L8: do học viên tự chốt nhưng NS
 chưa hướng dẫn làm hồ sơ</t>
  </si>
  <si>
    <t>- Giải pháp: Tuần 3 thúc đẩy học viên hoàn thiện HS cứng, đẩy chốt L8</t>
  </si>
  <si>
    <t>ĐT 01</t>
  </si>
  <si>
    <t>Chưa đẩy được năng suất lên cao vì hạn chế nguồn lực tài chính</t>
  </si>
  <si>
    <t>- PTML động viên tinh thần cho ĐT 01, đồng thời trao đổi về việc đảm bảo năng
 suất để đủ điều kiện làm ĐTC1</t>
  </si>
  <si>
    <t>F</t>
  </si>
  <si>
    <t>Họ tên</t>
  </si>
  <si>
    <t>Chức danh</t>
  </si>
  <si>
    <t>Khu vực</t>
  </si>
  <si>
    <t>Đơn vị tính</t>
  </si>
  <si>
    <t>LOẠI QÙA</t>
  </si>
  <si>
    <t>Người tiếp nhận thực hiện</t>
  </si>
  <si>
    <t>Thời hạn thực hiện</t>
  </si>
  <si>
    <t>NGƯỜI PHỤ TRÁCH PTML</t>
  </si>
  <si>
    <t>LÝ DO ĐỀ XUẤT</t>
  </si>
  <si>
    <t>ĐỊA CHỈ NHẬN QUÀ TẾT</t>
  </si>
  <si>
    <t>Sổ</t>
  </si>
  <si>
    <t>Lịch bàn</t>
  </si>
  <si>
    <t>Giỏ, túi Quà</t>
  </si>
  <si>
    <t>Phong bì</t>
  </si>
  <si>
    <t>Giỏ quà to</t>
  </si>
  <si>
    <t>Túi quà trung</t>
  </si>
  <si>
    <t>Túi quà vừa</t>
  </si>
  <si>
    <t>Túi quà nhỏ</t>
  </si>
  <si>
    <t>C</t>
  </si>
  <si>
    <t>Các Đại lý</t>
  </si>
  <si>
    <t>Đại lý Cấp 1/ DL MKT/ ĐL Trường/ ĐL Cấp 2/ DL Cấp 3</t>
  </si>
  <si>
    <t>-</t>
  </si>
  <si>
    <t>ĐL CẤP 1</t>
  </si>
  <si>
    <t>Nguyễn Thị Hà</t>
  </si>
  <si>
    <t>ĐL C1 - TARA</t>
  </si>
  <si>
    <t>SN 16, ngách 2/1, ngõ 2 Nguyễn Khả Trạc, Mai Dịch, Cầu Giấy, Hà Nội</t>
  </si>
  <si>
    <t>Nguyễn Thị Hương Huyền</t>
  </si>
  <si>
    <t>ĐL C1 - COLIGHT</t>
  </si>
  <si>
    <t>272 Hoàng Công Chất, P Phú Diễn, Q Bắc Từ Liêm</t>
  </si>
  <si>
    <t>ĐL C1 - IEDU</t>
  </si>
  <si>
    <t>NAM ĐỊNH</t>
  </si>
  <si>
    <t xml:space="preserve">ĐT IEDU:
- Nguyễn Văn Thành
- Đ/c: Số 29 Vũ Tuấn Chiêu - Mỹ Xá - TP Nam Định
</t>
  </si>
  <si>
    <t>Trần Việt</t>
  </si>
  <si>
    <t>ĐL C1 - MV</t>
  </si>
  <si>
    <t>D49_05 gelexinco - lê trọng tấn - hà đông</t>
  </si>
  <si>
    <t>ĐL C1 - ĐT 01</t>
  </si>
  <si>
    <t xml:space="preserve"> ĐT 01:
- Phòng 1204B, Chung cư CT1 Vân Canh, Hoài Đức, HN.</t>
  </si>
  <si>
    <t>Đl Lẻ (loại 1)
 - ĐẦU MỐI ĐT TRƯỜNG</t>
  </si>
  <si>
    <t>ĐL Trường - TNU</t>
  </si>
  <si>
    <t>L0 trung bình: 60
 L8 trung bình: 30
 Khả năng phối hợp tốt, mức độ thường xuyên</t>
  </si>
  <si>
    <t>Trung tâm đào tạo từ xa ĐH Thái Nguyên - tổ 1, Phường Tân Thịnh, tp. Thái Nguyên, Tỉnh Thái Nguyên</t>
  </si>
  <si>
    <t>ĐL Trường- TUAF</t>
  </si>
  <si>
    <t>Nguyễn Thị Kim Nhi</t>
  </si>
  <si>
    <t>L0 trung bình: 20
 L8 trung bình: 14
 Khả năng phối hợp, mức độ thường xuyên: tốt</t>
  </si>
  <si>
    <t>0984 716 899</t>
  </si>
  <si>
    <t>Số nhà 18C, tổ 4, Phương Tân Thịnh, TP. Thái Nguyên, tỉnh Thái Nguyên</t>
  </si>
  <si>
    <t>Nguyễn Thị Khánh Phượng</t>
  </si>
  <si>
    <t xml:space="preserve"> Nguyễn Khánh Phượng, phòng Đào tạo, trường Đại học Nông Lâm, tổ 10, xã Quyết Thắng, thành phố Thái Nguyên</t>
  </si>
  <si>
    <t>ĐL Trường-NEU</t>
  </si>
  <si>
    <t>L0 trung bình: 20
 L8 trung bình: 10
 Khả năng phối hợp, mức độ thường xuyên: tốt</t>
  </si>
  <si>
    <t>Đại học Kinh tế Quốc Dân 207 Đ. Giải Phóng, Đồng Tâm, Hai Bà Trưng, Hà Nội</t>
  </si>
  <si>
    <t>ĐL Trường - TNUT</t>
  </si>
  <si>
    <t>Phạm Thị Thanh Thảo</t>
  </si>
  <si>
    <t>- Khả Năng phối hợp thường xuyên
 - L0 số trung bình 20-30L0
 - L8: 15-18L8
 Đối tác trường</t>
  </si>
  <si>
    <t>Viện CNGD và ĐTM. Trường ĐHKT Công nghiệp, p Tích Lương, tp Thái Nguyên</t>
  </si>
  <si>
    <t>DL Trường AOF</t>
  </si>
  <si>
    <t>Đối tác trường</t>
  </si>
  <si>
    <t>Học viện Tài chính
Số 58 Lê Văn Hiến, phường Đức Thắng, Bắc Từ Liêm, Hà Nội</t>
  </si>
  <si>
    <t>ĐL Trường - AOF</t>
  </si>
  <si>
    <t>Thầy Hùng</t>
  </si>
  <si>
    <t>ĐT Trường - PTIT</t>
  </si>
  <si>
    <t>L0 trung bình: 50-60
 L8 trung bình: 5-10
 Khả năng phối hợp, mức độ thường xuyên: tốt</t>
  </si>
  <si>
    <t>P.2202 V2, chung cư The Terra An Hưng, Khu ĐTM An Hưng, La Khê, Hà Đông, Hà Nội</t>
  </si>
  <si>
    <t>0918201177</t>
  </si>
  <si>
    <t>Trung tâm đào tạo Bưu chính Viễn thông I, Học viện Công nghệ Bưu chính Viễn thông. Km 10 đường Nguyễn Trãi, Hà Đông, Hà Nội</t>
  </si>
  <si>
    <t>ĐL lẻ - Cộng tác viên (loại 2, 3)</t>
  </si>
  <si>
    <t>DLL - Cấp 4 (C0)</t>
  </si>
  <si>
    <t>L0 trung bình: 3
 L8: 1
 ĐT có mức độ tương tác tốt, tiềm năng sắp tới có nhiều L0, L8</t>
  </si>
  <si>
    <t>Trung tâm GDTX tỉnh Thái Nguyên, ngõ 185, đường Lương Ngọc Quyến, P. Hoàng Văn Thụ, TP Thái Nguyên.</t>
  </si>
  <si>
    <t>Vũ Thị Hâu</t>
  </si>
  <si>
    <t>L0 trung bình: 3
 L8 trung bình: 1
 Khả năng phối hợp, mức độ thường xuyên: khá</t>
  </si>
  <si>
    <t>Nhà công vụ Phân hiệu Đại học Thái Nguyên tại tỉnh lào Cai, tổ 13, phường Bình Minh, TP Lào Cai</t>
  </si>
  <si>
    <t>Hà Văn Bình</t>
  </si>
  <si>
    <t>L0 trung bình: 3
 L8 trung bình: 0
 Khả năng phối hợp, mức độ thường xuyên: khá</t>
  </si>
  <si>
    <t>Hà văn Bình
Thôn thái an - xã thái đào - lạng giang - bắc giang</t>
  </si>
  <si>
    <t>DLL - Cấp 4 (C1)</t>
  </si>
  <si>
    <t>L0 trung bình: 2
 L8 trung bình: 1
 Khả năng phối hợp, mức độ thường xuyên: trung bình</t>
  </si>
  <si>
    <t xml:space="preserve"> Phòng Đào tạo khoa học và hợp tác quốc tế, số 182 Nguyễn Chí Thanh, Phường 2, Quận 10</t>
  </si>
  <si>
    <t>DLL - Cấp 3 (C2)</t>
  </si>
  <si>
    <t>L0 trung bình: 30
 L8 trung bình: 10
 Khả năng phối hợp, mức độ thường xuyên: tốt</t>
  </si>
  <si>
    <t>C8-13 đường Nguyễn Chánh, Khu dân cư Phú An, Phường Phú Thứ, Quận Cái Răng, Thành phố Cần Thơ</t>
  </si>
  <si>
    <t>Vương Thị Trang</t>
  </si>
  <si>
    <t>L0 trung bình: 30
 L8 trung bình: 10
 Khả năng phối hợp, mức độ thường xuyên: tốt CTV có tiềm năng, dự tính sẽ chạy riêng mảng VMC</t>
  </si>
  <si>
    <t>L0 trung bình: 8
 L8 trung bình: 4
 Khả năng phối hợp, mức độ thường xuyên: khá</t>
  </si>
  <si>
    <t>Trung tâm tuyển sinh và Truyền thông Đại học kỹ thuật công nghiệp TN</t>
  </si>
  <si>
    <t>số nhà 01, ngõ 453, Trần Đăng Ninh, tổ 4, p Quyết Tâm, tp Sơn La</t>
  </si>
  <si>
    <t>L0 trung bình: 3
 L8 trung bình: 1
 Khả năng phối hợp, mức độ thường xuyên: trung bình</t>
  </si>
  <si>
    <t>PGS.TS Kiều Quốc Lập - Trưởng Khoa TN&amp;MT Trường Đại học Khoa học, P. Tân Thịnh, TP. Thái Nguyên</t>
  </si>
  <si>
    <t>DLL C2</t>
  </si>
  <si>
    <t>Bắc Ninh</t>
  </si>
  <si>
    <t>- Khả Năng phối hợp thường xuyên
 - L0 số lượng: 50
 - L8 trung bình: 3-4</t>
  </si>
  <si>
    <t>Số 244 nguyễn công hãng, Kinh bắc, TP Bắc Ninh</t>
  </si>
  <si>
    <t>- Khả Năng phối hợp thường xuyên, đều trong các tháng
 - L0 số lượng: 3
 - L8 trung bình: 2</t>
  </si>
  <si>
    <t xml:space="preserve"> 
Phòng Đào tạo trường đại học kinh tế kỹ thuât công nghiệp,Ngõ 218,đường lĩnh nam,Hoàng Mai,Hn
</t>
  </si>
  <si>
    <t>- Khả Năng phối hợp thường xuyên, tương đối đều
 - L0 số lượng: 5
 - L8 trung bình: 3</t>
  </si>
  <si>
    <t>ngõ 376 khương đình thanh xuân, hà nội
0398860962</t>
  </si>
  <si>
    <t>Cấn Đính Thái</t>
  </si>
  <si>
    <t>C1- Cấp 4</t>
  </si>
  <si>
    <t>- Khả Năng phối hợp thường xuyên, đều
 - L0 số lượng: 3-4
 - L8 số lượng: 1
 mới bắt đầu nhưng khả năng sẽ hợp tác nhiều hơn bên mảng nông lâm</t>
  </si>
  <si>
    <t xml:space="preserve"> Trung Tâm Văn Hóa Thể thao Kim chung. Xã Kim Chung. Đông Anh. Hà Nội 0986.425.099</t>
  </si>
  <si>
    <t>CTV Cấp 4</t>
  </si>
  <si>
    <t>L0 trung bình: 52
 L8 trung bình: chuẩn bị lên 2L8
 Khả năng phối hợp, mức độ thường xuyên: CTV có tiềm năng</t>
  </si>
  <si>
    <t>Block B chung cư Moonlight Boulevard, 510 Kinh Dương Vương, Phường An Lạc A, Bình Tân, TPHCM</t>
  </si>
  <si>
    <t>DLL - Cấp 4</t>
  </si>
  <si>
    <t>- Hiểu chương trình, đối tác cũng kết hợp thường xuyên 
 - L0 Trung bình 3-4
 - L8 trung bình 1</t>
  </si>
  <si>
    <t>số 46, Thịnh Phát, An Khánh, Hoài Đức, Hà Nội</t>
  </si>
  <si>
    <t>ĐL cấp 2</t>
  </si>
  <si>
    <t>- Khả Năng phối hợp thường xuyên
 - L0 số lượng ổn 20-30
 - L8 : 5-15</t>
  </si>
  <si>
    <t>348093368/0332268513</t>
  </si>
  <si>
    <t>Nhà M1, Ngách 30A, Ngõ 417, đường Quang Trung, Tổ 9, Thịnh Đán, Thái Nguyên</t>
  </si>
  <si>
    <t xml:space="preserve">Địa chỉ nhận thư: Nguyễn Thuỷ- Phòng Đào tạo 201, trường Ngoại ngữ, ĐHTN, Quyết thắng, TP Thái Nguyên </t>
  </si>
  <si>
    <t xml:space="preserve">Tạ Thành Nam - Ban Đào tạo và Quản lý người học - Đại học Thái Nguyên
P. Tân Thịnh - TP. Thái Nguyên
ĐT: </t>
  </si>
  <si>
    <t>Số 2B ngách 101/19 ngõ Gốc đề, Hoàng Mai, Hai Bà Trưng, HN</t>
  </si>
  <si>
    <t>ĐT lâu năm</t>
  </si>
  <si>
    <t>- Khả Năng phối hợp thường xuyên
 - L0 số lượng ổn 5-15
 - L8 trung bình 3-4</t>
  </si>
  <si>
    <t>0913187386</t>
  </si>
  <si>
    <t xml:space="preserve">Số nhà 16, ngõ 164/18 Phố Hồng Mai - Phường Quỳnh Lôi- Quận Hai Bà Trưng- Hà Nội </t>
  </si>
  <si>
    <t>- Khả Năng phối hợp thường xuyên
 - L0 số lượng ổn 4-10
 - L8 trung bình 1-2</t>
  </si>
  <si>
    <t>0989852020</t>
  </si>
  <si>
    <t>Nhà số 1, Ngõ 188, Phố Tư Đình, Phường Long Biên, Quận Long Biên, Hà Nội</t>
  </si>
  <si>
    <t>L0 trung bình: 20
 L8 trung bình: 3
 Khả năng phối hợp, mức độ thường xuyên: tốt, đã hoạt động lâu</t>
  </si>
  <si>
    <t>0989539338</t>
  </si>
  <si>
    <t>Số 98, Ngách 96 Ngõ Tự do, P Đại La Hai Bà Trưng, Hà Nội</t>
  </si>
  <si>
    <t>L0 trung bình: 5-10
 L8 trung bình: 3
 Khả năng phối hợp, mức độ thường xuyên: tốt, đã hoạt động lâu</t>
  </si>
  <si>
    <t>0915618665</t>
  </si>
  <si>
    <t xml:space="preserve">Phòng 104, Số 54, Vũ Trọng Phụng, Thanh Xuân, Hà Nội </t>
  </si>
  <si>
    <t>L0 trung bình: 2
 L8 trung bình: 1
 Khả năng phối hợp, mức độ thường xuyên: tốt, đã hoạt động lâu</t>
  </si>
  <si>
    <t>54 Vũ Trọng Phụng, Thanh Xuân, Hà Nội</t>
  </si>
  <si>
    <t>ĐL cấp 3</t>
  </si>
  <si>
    <t>Số nhà 27 ngõ 102 Ngọc Thuỵ Long Biên , Hà Nội</t>
  </si>
  <si>
    <t>Võ Thành Nhật</t>
  </si>
  <si>
    <t>Quảng Ngãi</t>
  </si>
  <si>
    <t>L0 trung bình: 10
 L8 trung bình: 1
 Khả năng phối hợp, mức độ thường xuyên: tốt</t>
  </si>
  <si>
    <t>Số nhà N3.6 lô 2 - KDC Lộc phát 3 - tổ 1 phường nghĩa chánh - TP Quảng Ngãi - Quảng ngãi.</t>
  </si>
  <si>
    <t>Cao Tiểu Mi</t>
  </si>
  <si>
    <t>HCM</t>
  </si>
  <si>
    <t>306 Lê Thị Riêng, Phường Thới An, Quận 12, TPHCM</t>
  </si>
  <si>
    <t>Nguyễn Luận</t>
  </si>
  <si>
    <t>L0 trung bình: 15
 L8 trung bình: 1
 Khả năng phối hợp, mức độ thường xuyên: tốt, đối tác tiềm năng để phát triển tệp học viên nông lâm</t>
  </si>
  <si>
    <t xml:space="preserve"> khoa CNTY. Trường Cao đẳng Kinh tế, kỹ thuật và thủy sản, Phường Đình Bảng- Thành phố Từ Sơn- Tỉnh Bắc Ninh</t>
  </si>
  <si>
    <t>CTV</t>
  </si>
  <si>
    <t>Vũ Thanh Tùng</t>
  </si>
  <si>
    <t>L0 trung bình: 18 L0
 Khả năng phối hợp, mức độ thường xuyên:</t>
  </si>
  <si>
    <t xml:space="preserve">CTV k nhận </t>
  </si>
  <si>
    <t>L0 thường xuyên: 50L0
 L8: trung bình: Chuẩn bị lên 2L8
 Khả năng phối hợp, mức độ thường xuyên: CTV Tiềm năng</t>
  </si>
  <si>
    <t>số 36, ngõ 103, Quỳnh Mai, Hai Bà Trưng, HN</t>
  </si>
  <si>
    <t>- Khả Năng phối hợp nhịp nhàng, làm việc tập trung
 - L0 trung bình: 5
 - L8 trung bình: 2</t>
  </si>
  <si>
    <t>Trung tâm GDTX tỉnh Thái Nguyên, Ngõ 185, đường Lương Ngọc Quyến, P Hoàng Văn Thụ, TP Thái Nguyên</t>
  </si>
  <si>
    <t xml:space="preserve"> Phó Giám đốc Trung tâm Tuyển sinh và truyền thông, Trường ĐHNL- Đại học Thái Nguyên.  Xã Quyết Thắng, TP Thái Nguyên</t>
  </si>
  <si>
    <t>466 ấp Vĩnh Hòa, Vĩnh Kim, Huyện Châu Thành, Tiền Giang.</t>
  </si>
  <si>
    <t>Số 4 Ngõ 40 Văn Cao, Tổ 7, Đồng Quang, TP. Thái Nguyên</t>
  </si>
  <si>
    <t>DLL - Cấp 3</t>
  </si>
  <si>
    <t>Trường Cao Đẳng- Bắc Kạn: Nông Thượng, Bac Kan, Bắc Kạn</t>
  </si>
  <si>
    <t>Vũ Thị Huyền Anh, Yên Nho, Gia Đông, Thuận Thành, Bắc Ninh</t>
  </si>
  <si>
    <t>Số nhà 17, ngách 218/64 Lạc Long Quân, Bưởi, Tây Hồ, Hà Nội</t>
  </si>
  <si>
    <t>DLL - Cấp 2</t>
  </si>
  <si>
    <t>Trường CĐ Kỹ thuật và Công nghệ tỉnh Hà Giang. Tổ 8, Hà Giang.</t>
  </si>
  <si>
    <t>2/7 B, Tân Thới 3, Tân Hiệp, Hóc Môn, TP.HCM</t>
  </si>
  <si>
    <t>Phạm Thị Trang</t>
  </si>
  <si>
    <t>Đài PTTH Dak Nông</t>
  </si>
  <si>
    <t>Bùi Thị Dung</t>
  </si>
  <si>
    <t>Đầu mối hợp tác của đài Truyền hình</t>
  </si>
  <si>
    <t>0935372007</t>
  </si>
  <si>
    <t>Phạm Thị Trang - Phòng TCHC - Đài PTTH ĐakNông - Số 82, Đường 23/3, Nghĩa Đức, Gia Nghĩa, Đắk Nông</t>
  </si>
  <si>
    <t>Đào Thị Tuyền</t>
  </si>
  <si>
    <t>Đài PTHH Hà Nam</t>
  </si>
  <si>
    <t>0915168990</t>
  </si>
  <si>
    <t>Thùy Trang - Trung trâm QCDV - Đài PTTH Hà Nam - Đường Bùi Văn Dị, phường Hai Bà Trưng, TP Phủ Lý, Hà Nam</t>
  </si>
  <si>
    <t>Nguyễn Duy Vũ</t>
  </si>
  <si>
    <t>Medihome</t>
  </si>
  <si>
    <t>0373702583</t>
  </si>
  <si>
    <t>Nguyễn Duy Vũ- Số 13-15 Trần Xuân Soạn, Phạm Đình Hổ, Hai Bà Trưng, Hà Nội</t>
  </si>
  <si>
    <t>Hoàng Đức Chí</t>
  </si>
  <si>
    <t>Đài PTTH Bắc Cạn</t>
  </si>
  <si>
    <t>0916072589</t>
  </si>
  <si>
    <t>Hoàng Đức Chí- Tổ 6, phường Phùng Chí Kiên, thành phố Bắc Kạn, tỉnh Bắc Kạn</t>
  </si>
  <si>
    <t>Nông Văn Hoan</t>
  </si>
  <si>
    <t>Đài PTTH Cao Bằng</t>
  </si>
  <si>
    <t>0912127181</t>
  </si>
  <si>
    <t>Nông Văn Hoan - Phố Bế Văn Đàn- Phường hợp Giang- Thành phố Cao Bằng- tỉnh Cao Bằng</t>
  </si>
  <si>
    <t>Trần Mạnh Cường</t>
  </si>
  <si>
    <t>Đài PTTH Lạng Sơn</t>
  </si>
  <si>
    <t>0949223220</t>
  </si>
  <si>
    <t>Trần Mạnh Cường- Phòng dịch vụ Quảng Cáo- Số 9, Hoàng Văn Thụ, phường Chi Lăng, Tp Lạng Sơn</t>
  </si>
  <si>
    <t>Lê Quân</t>
  </si>
  <si>
    <t>Đài PTTH Kon Tum</t>
  </si>
  <si>
    <t>0905514757</t>
  </si>
  <si>
    <t>Lê Quân-258A Phan Đình Phùng-Phường Duy Tân- TP Kontum - Tỉnh Kontum</t>
  </si>
  <si>
    <t>Trần Nhựt Bình</t>
  </si>
  <si>
    <t>Đài PTTH Cà Mau</t>
  </si>
  <si>
    <t>0947434845</t>
  </si>
  <si>
    <t>Trần Nhựt Bình - Số 413, đường Nguyễn Trãi, Phường 9, thành phố Cà Mau, tỉnh Cà Mau</t>
  </si>
  <si>
    <t>- Khả Năng phối hợp nhịp nhàng, làm việc tập trung
 - L0 trung bình: 16
 - Khóa trung bình: 18</t>
  </si>
  <si>
    <t>Số nhà 28 Phố Nguyễn Quốc Cương, Khu đô thị mới Thị Trấn Ch, Yên Phong, Bắc Ninh.</t>
  </si>
  <si>
    <t>- Khả Năng phối hợp nhịp nhàng, làm việc tập trung
 - L0 trung bình: 6
 - Khóa trung bình: 7</t>
  </si>
  <si>
    <t>Ngõ 5 Cao Xanh, Số nhà 30 Phường Cao Xanh, Tỉnh Quảng Ninh, TP Hạ Long</t>
  </si>
  <si>
    <t>- Khả Năng phối hợp nhịp nhàng, làm việc tập trung
 - L0 trung bình: 5
 - Khóa trung bình: 6</t>
  </si>
  <si>
    <t>876/2 ấp 2 Sơn Đông, TP Bến Tre</t>
  </si>
  <si>
    <t>ĐLL- Cấp 3</t>
  </si>
  <si>
    <t>Phạm Thị Quang- Phòng Đào tạo-Bồi dưỡng- Trung tâm GDTX tỉnh Thái Nguyên, ngõ 185 đường Lương Ngọc Quyến TP TN</t>
  </si>
  <si>
    <t>ĐL Trường - TUAF</t>
  </si>
  <si>
    <t>Đầu mối mới của TUAF</t>
  </si>
  <si>
    <t xml:space="preserve"> 0915 765 989</t>
  </si>
  <si>
    <t>Nguyễn Việt Hưng phòng Đào tạo, trường Đại học Nông Lâm, tổ 10, xã Quyết Thắng, thành phố Thái Nguyên</t>
  </si>
  <si>
    <t>Lê Quang Dũng</t>
  </si>
  <si>
    <t>Đài PTTH Yên Bái</t>
  </si>
  <si>
    <t>0941047666</t>
  </si>
  <si>
    <t>Lê Quang Dũng - Số 1, Đường Trần Quốc Toản,  Phường Đồng Tâm, TP Yên Bái, tỉnh Yên Bái</t>
  </si>
  <si>
    <t>Mã KH cũ</t>
  </si>
  <si>
    <t>STK MỚI</t>
  </si>
  <si>
    <t>NGÂN HÀNG</t>
  </si>
  <si>
    <t>0973298999</t>
  </si>
  <si>
    <t>NHI</t>
  </si>
  <si>
    <t>0987697697</t>
  </si>
  <si>
    <t>Phạm Thanh Mai</t>
  </si>
  <si>
    <t>0912804979</t>
  </si>
  <si>
    <t>KH500282</t>
  </si>
  <si>
    <t>0902831679</t>
  </si>
  <si>
    <t>BIDV CN BẾN TRE</t>
  </si>
  <si>
    <t>XUÂN</t>
  </si>
  <si>
    <t>0906701551</t>
  </si>
  <si>
    <t xml:space="preserve">	0912866617</t>
  </si>
  <si>
    <t>HẠNH</t>
  </si>
  <si>
    <t>Người phụ trách PTML</t>
  </si>
  <si>
    <t>Lý do đề xuất</t>
  </si>
  <si>
    <t>Địa chỉ ĐT (báo gồm Họ tên - SĐT - Địa chỉ cụ thể để gửi bưu phẩm)</t>
  </si>
  <si>
    <t>0968812656 / 0943402288
SN 16, ngách 2/1, ngõ 2 Nguyễn Khả Trạc</t>
  </si>
  <si>
    <t>ĐL C1 -  COLIGHT</t>
  </si>
  <si>
    <t xml:space="preserve">Trần Việt </t>
  </si>
  <si>
    <t>Nguyễn Trường Sơn</t>
  </si>
  <si>
    <t>Đl Lẻ (loại 1)
- ĐẦU MỐI ĐT TRƯỜNG</t>
  </si>
  <si>
    <t>L0 trung bình: 60
L8 trung bình: 30
Khả năng phối hợp tốt, mức độ thường xuyên</t>
  </si>
  <si>
    <t xml:space="preserve">ĐL Trường- TUAF </t>
  </si>
  <si>
    <t>- Khả Năng phối hợp thường xuyên
- L0 số trung bình 
- L8 ổn</t>
  </si>
  <si>
    <t>Nguyễn Thị Hồng</t>
  </si>
  <si>
    <t>ĐL Trường - ENEU</t>
  </si>
  <si>
    <t>- Khả Năng phối hợp thường xuyên
- L0 trung bình
- L8 trung bình</t>
  </si>
  <si>
    <t>ĐT Trường -  PTIT</t>
  </si>
  <si>
    <t xml:space="preserve">Màn Thị Hạnh        
</t>
  </si>
  <si>
    <t>L0 trung bình: 50-60
L8 trung bình: 5-10
Khả năng phối hợp, mức độ thường xuyên: tốt</t>
  </si>
  <si>
    <t>L0 trung bình: 3
L8 trung bình: 1
Khả năng phối hợp, mức độ thường xuyên: khá</t>
  </si>
  <si>
    <t>L0 trung bình: 3
L8 trung bình: 1
Khả năng phối hợp, mức độ thường xuyên: trung bình</t>
  </si>
  <si>
    <t>L0 trung bình: 8
L8 trung bình: 4
Khả năng phối hợp, mức độ thường xuyên: khá</t>
  </si>
  <si>
    <t>L0 trung bình: 2
L8 trung bình: 1
Khả năng phối hợp, mức độ thường xuyên: trung bình</t>
  </si>
  <si>
    <t xml:space="preserve">Nguyễn Thị Thủy </t>
  </si>
  <si>
    <t>ĐL cấp 2( C3)</t>
  </si>
  <si>
    <t xml:space="preserve">Màn thị Hạnh </t>
  </si>
  <si>
    <t>- Khả Năng phối hợp thường xuyên
- L0 số lượng ổn
- L8 trung bình</t>
  </si>
  <si>
    <t xml:space="preserve">Nguyễn Thuỷ- Phòng Đào tạo 201, trường Ngoại ngữ, ĐHTN, Quyết thắng, TP Thái Nguyên 0977515084
</t>
  </si>
  <si>
    <t xml:space="preserve">Tạ Thành Nam </t>
  </si>
  <si>
    <t>ĐL cấp 2 ( C3)</t>
  </si>
  <si>
    <t xml:space="preserve">Tạ Thành Nam - Ban Đào tạo và Quản lý người học - Đại học Thái Nguyên
P. Tân Thịnh - TP. Thái Nguyên
ĐT: 0948555777
</t>
  </si>
  <si>
    <t>Pham Hồng Nhung 0352166959. số 9 ngõ 232 Tôn Đức Thắng Đống Đa Hà Nội</t>
  </si>
  <si>
    <t>L0 trung bình: 30
L8 trung bình: 10
Khả năng phối hợp, mức độ thường xuyên: tốt</t>
  </si>
  <si>
    <t>L0 trung bình: 30
L8 trung bình: 10
Khả năng phối hợp, mức độ thường xuyên: tốt CTV có tiềm năng, dự tính sẽ chạy riêng mảng VMC</t>
  </si>
  <si>
    <t>- Khả Năng phối hợp thường xuyên, đều trong các tháng
- L0 số lượng: 3
- L8 trung bình: 2</t>
  </si>
  <si>
    <t>- Khả Năng phối hợp nhịp nhàng, làm việc tập trung
- L0 trung bình: 5
- L8 trung bình: 2</t>
  </si>
  <si>
    <t xml:space="preserve">Nguyễn Luận </t>
  </si>
  <si>
    <t xml:space="preserve">- Khả Năng phối hợp thường xuyên
- L0 số lượng ổn chủ yếu là nông lâm-thú y
- L8 trung bình </t>
  </si>
  <si>
    <t xml:space="preserve"> Nguyễn Luận - Trưởng khoa CNTY. Trường Cao đẳng Kinh tế, kỹ thuật và thủy sản, Phường Đình Bảng- Thành phố Từ Sơn- Tỉnh Bắc Ninh. Sdt hoặc zalo 0976843906</t>
  </si>
  <si>
    <t>Lv</t>
  </si>
  <si>
    <t>Bài</t>
  </si>
  <si>
    <t>Tên bài</t>
  </si>
  <si>
    <t>Mục tiêu</t>
  </si>
  <si>
    <t>Mục</t>
  </si>
  <si>
    <t>Tên mục</t>
  </si>
  <si>
    <t>Nội dung mục</t>
  </si>
  <si>
    <t>HL</t>
  </si>
  <si>
    <t>SCORM</t>
  </si>
  <si>
    <t>NHCH</t>
  </si>
  <si>
    <t>TTPTML-ML01.01</t>
  </si>
  <si>
    <t>L1</t>
  </si>
  <si>
    <t>Đào tạo nhân sự thử việc - Bộ phận Đối tác Doanh nghiệp</t>
  </si>
  <si>
    <t>Tổng quan đối tác Doanh nghiệp</t>
  </si>
  <si>
    <t>L3</t>
  </si>
  <si>
    <t>Tổng quan</t>
  </si>
  <si>
    <t>Mô hình hoạt động đối tác</t>
  </si>
  <si>
    <t>Cơ cấu nhân sự, phòng ban</t>
  </si>
  <si>
    <t>Đầu mối phụ trách trao đổi công việc</t>
  </si>
  <si>
    <t>Tính chất đối tác Doanh nghiệp</t>
  </si>
  <si>
    <t>Thế mạnh đối tác</t>
  </si>
  <si>
    <t>Vấn đề đối tác</t>
  </si>
  <si>
    <t>Hiện trạng đối tác</t>
  </si>
  <si>
    <t>Tình hình kinh doanh</t>
  </si>
  <si>
    <t>Các kênh truyền thông và bán hàng</t>
  </si>
  <si>
    <t>Các sản phẩm kinh doanh</t>
  </si>
  <si>
    <t>L4</t>
  </si>
  <si>
    <t>Luyện tập 1</t>
  </si>
  <si>
    <t>Các công cụ sử dụng khi làm việc đối tác</t>
  </si>
  <si>
    <t>Các nhóm làm việc chung</t>
  </si>
  <si>
    <t>Nhóm công việc AUM-ĐT</t>
  </si>
  <si>
    <t>Nhóm check trùng</t>
  </si>
  <si>
    <t>Nhóm leader</t>
  </si>
  <si>
    <t>Nhóm kiểm soát truyền thông</t>
  </si>
  <si>
    <t>Các file/sheet xử lý công việc</t>
  </si>
  <si>
    <t>File xử lý công việc AUM-ĐT</t>
  </si>
  <si>
    <t>Link AUM-kiểm soát truyền thông</t>
  </si>
  <si>
    <t>Luyện tập 2</t>
  </si>
  <si>
    <t>Check list công việc chăm sóc đối tác</t>
  </si>
  <si>
    <t>Lập kế hoạch công việc đầu ngày và nghiệm thu cuối ngày</t>
  </si>
  <si>
    <t>Thống kê báo cáo năng suất đối tác</t>
  </si>
  <si>
    <t>Các chỉ số kinh doanh</t>
  </si>
  <si>
    <t>Cách nhận xét, đọc các chỉ số</t>
  </si>
  <si>
    <t>Tiếp nhận thông tin và điều phối công việc</t>
  </si>
  <si>
    <t>Gửi file đổi nguồn</t>
  </si>
  <si>
    <t>Check duyệt, báo lỗi truyền thông</t>
  </si>
  <si>
    <t>Cập nhật tài liệu đối tác</t>
  </si>
  <si>
    <t>Tiếp nhận thông tin từ các Trung tâm khác và thông báo đối tác</t>
  </si>
  <si>
    <t>Giám sát contact và convert</t>
  </si>
  <si>
    <t>Dương + Kim Anh</t>
  </si>
  <si>
    <t>Quy trình tuyển sinh</t>
  </si>
  <si>
    <t>Các lưu ý khi convert contact</t>
  </si>
  <si>
    <t>Cách đọc L1 theo ngày và nhắc phối hợp giám sát</t>
  </si>
  <si>
    <t>Cách lọc contact từ Tiếp tục gọi chuyển Chăm sóc sau, đánh giá và convert</t>
  </si>
  <si>
    <t>Cách đọc và giám sát contact L2-L5</t>
  </si>
  <si>
    <t>Check trùng</t>
  </si>
  <si>
    <t>Quy định check trùng</t>
  </si>
  <si>
    <t>Các khiếu nại check trùng</t>
  </si>
  <si>
    <t>Theo dõi kế hoạch kinh doanh ngày - tuần - tháng</t>
  </si>
  <si>
    <t>Theo dõi L0 theo tiến độ thời gian</t>
  </si>
  <si>
    <t>Theo dõi chỉ số L2 theo tiến độ tháng, theo từng chương trình</t>
  </si>
  <si>
    <t>Theo dõi chỉ số L8/L2 theo tiến độ tháng, theo từng chương trình</t>
  </si>
  <si>
    <t>Luyện tập 3</t>
  </si>
  <si>
    <t>Cách lên báo cáo và kế hoạch</t>
  </si>
  <si>
    <t>Mục đích báo cáo và kế hoạch</t>
  </si>
  <si>
    <t>Cách lên kế hoạch tuần</t>
  </si>
  <si>
    <t>Giải thích file báo cáo dữ liệu</t>
  </si>
  <si>
    <t>Cách làm báo cáo PP</t>
  </si>
  <si>
    <t>Đọc dữ liệu báo cáo theo tuần</t>
  </si>
  <si>
    <t>Nghiệm thu kế hoạch hành động tuần</t>
  </si>
  <si>
    <t>Cách lên kế hoạch tháng</t>
  </si>
  <si>
    <t>Nghiệm thu kế hoạch hành động tháng</t>
  </si>
  <si>
    <t>Đọc và phản biện, thương thuyết kế hoạch tháng</t>
  </si>
  <si>
    <t>Luyện tập 4</t>
  </si>
  <si>
    <t>Đóng gói tài liệu support đối tác</t>
  </si>
  <si>
    <t>Mảng đối tác lẻ</t>
  </si>
  <si>
    <t>Mảng marketing</t>
  </si>
  <si>
    <t>Mảng cộng tác viên, seeding</t>
  </si>
  <si>
    <t>Mảng hành chính nhân sự, tuyển nhân sự</t>
  </si>
  <si>
    <t>Cơ cấu tổ chức</t>
  </si>
  <si>
    <t>Đông NT + :Long</t>
  </si>
  <si>
    <t xml:space="preserve">Nội quy, quy định </t>
  </si>
  <si>
    <t>Văn hóa công ty</t>
  </si>
  <si>
    <t>Tuyển nhân sự</t>
  </si>
  <si>
    <t>Đánh giá định kỳ</t>
  </si>
  <si>
    <t>Luyện tập 5</t>
  </si>
  <si>
    <t>Kế hoạch đào tạo thử việc</t>
  </si>
  <si>
    <t>Ngày</t>
  </si>
  <si>
    <t>Khai thác mới</t>
  </si>
  <si>
    <t>Chăm sóc kho</t>
  </si>
  <si>
    <t>Nhân sự</t>
  </si>
  <si>
    <t>Khai thác thông tin kết nối</t>
  </si>
  <si>
    <t>Khai thác giới thiệu</t>
  </si>
  <si>
    <t>Năng suất</t>
  </si>
  <si>
    <t>Số lượng khai thác FB đối tác</t>
  </si>
  <si>
    <t>Số lượng FB kết nối</t>
  </si>
  <si>
    <t>C0 mới</t>
  </si>
  <si>
    <t>Số lượng khai thác đối tác gt đối tác</t>
  </si>
  <si>
    <t>SDT Giới thiệu</t>
  </si>
  <si>
    <t>Số lượng khai thác học viên giới thiệu học viên</t>
  </si>
  <si>
    <t>L0/ĐLHĐ</t>
  </si>
  <si>
    <t>Số lượng cts đối tác gửi/ ngày</t>
  </si>
  <si>
    <t>ĐL đang hoạt động (MKH.Tên)</t>
  </si>
  <si>
    <t xml:space="preserve">Số lượng đối tác gửi cts </t>
  </si>
  <si>
    <t>KH33248.Tạ Thành Nam
KH37941.Đinh Thu Thùy
KH006359.Nguyễn Đức Mạnh
KH010585.Nguyễn Đình Cường
KH111125.Nguyễn Văn Vinh
KH50865.Lê Thị Phương Liên</t>
  </si>
  <si>
    <t xml:space="preserve">KH43895.Nguyễn Ngọc Bảo Hà
KH13718.Nguyễn Ngọc Sang
KH33221.Lê Thị Thu
KH009470.Vũ Thanh Hòa
</t>
  </si>
  <si>
    <t xml:space="preserve">KH33248.Tạ Thành Nam
KH50865.Lê Thị Phương Liên
KH37941.Đinh Thu Thùy
</t>
  </si>
  <si>
    <t>KH13718.Nguyễn Ngọc Sang
 KH34733.Nguyễn Thị Thủy</t>
  </si>
  <si>
    <t>Duongmt</t>
  </si>
  <si>
    <t>KH226530.Nguyễn Thị Giàu
KH50625.Nguyễn Văn Hội
KH47978.Nguyễn Hoàng Sơn</t>
  </si>
  <si>
    <t>KH33790.Nguyễn Thị Liên
KH101625.Nguyễn Thị Bích Hạnh</t>
  </si>
  <si>
    <t>KH185828.Nguyễn Thị Thủy
KH27627.Nguyễn Thị Phương Thảo
KH37941.Đinh Thu Thùy</t>
  </si>
  <si>
    <t>KH33221.Lê Thị Thu
KH15944.Nguyễn Hồng Nhung
KH19086.Vũ Hoài Sơn
KH004988.Nguyễn Thị Kim Huệ</t>
  </si>
  <si>
    <t xml:space="preserve">
KH006260.Lê Thị Ngà</t>
  </si>
  <si>
    <t xml:space="preserve">
KH097898.Võ Thành Nhật</t>
  </si>
  <si>
    <t xml:space="preserve">KH33790.Nguyễn Thị Liên
</t>
  </si>
  <si>
    <t>KH33293.Nguyễn Thanh Hương
KH44726.Trần Thị Thu Thảo
KH004914.Phạm Thị Bạch Dương
	KH47894.Nguyễn Trung Đức</t>
  </si>
  <si>
    <t>KH317897.Đinh Thị Lan Phương
KH33221.Lê Thị Thu
KH15944.Nguyễn Hồng Nhung</t>
  </si>
  <si>
    <t>KH103392.Vũ Thị Hoa
KH104103.Vũ Thảo Vân
KH102816.Thùy Linh
KH299861.Lương Thị Thanh Huyền</t>
  </si>
  <si>
    <t>0375.493.817
0368240666</t>
  </si>
  <si>
    <t>KH40318.Đào Thị Hảo</t>
  </si>
  <si>
    <t xml:space="preserve">
KH097898.Võ Thành Nhật
KH33790.Nguyễn Thị Liên</t>
  </si>
  <si>
    <t>aum.phuongnt</t>
  </si>
  <si>
    <t>aum.hangdt</t>
  </si>
  <si>
    <t>aum.cuongnt</t>
  </si>
  <si>
    <t>aum.longd</t>
  </si>
  <si>
    <t>aum.maintt</t>
  </si>
  <si>
    <t>aum.yenttk</t>
  </si>
  <si>
    <t>aum.dungbt</t>
  </si>
  <si>
    <t>aum.tara</t>
  </si>
  <si>
    <t>aum.co</t>
  </si>
  <si>
    <t>aum.1uni</t>
  </si>
  <si>
    <t>aum.iedu</t>
  </si>
  <si>
    <t>aum.hanhmt</t>
  </si>
  <si>
    <t>aum.thaont</t>
  </si>
  <si>
    <t>aum.trangpnm</t>
  </si>
  <si>
    <t>aum.duongmt</t>
  </si>
  <si>
    <t>aum.thaoptt</t>
  </si>
  <si>
    <t>aum.xuanptk</t>
  </si>
  <si>
    <t>aum.ngocntm</t>
  </si>
  <si>
    <t>aum.yenptp</t>
  </si>
  <si>
    <t>Ngày của tháng 10</t>
  </si>
  <si>
    <t>KH AUM</t>
  </si>
  <si>
    <t>Kế hoạch của Đối tác</t>
  </si>
  <si>
    <t>NEU</t>
  </si>
  <si>
    <t>Kế hoạch</t>
  </si>
  <si>
    <t>ĐL.ENEU</t>
  </si>
  <si>
    <t>Kế hoạch
L0</t>
  </si>
  <si>
    <t>Tiến độ L0</t>
  </si>
  <si>
    <t>L0
CXL</t>
  </si>
  <si>
    <t>CO.an</t>
  </si>
  <si>
    <t>L0 của CT TNU các ngày trong tháng 10</t>
  </si>
  <si>
    <t>CO.An</t>
  </si>
  <si>
    <t>L0 của CT TUAF các ngày trong tháng 10</t>
  </si>
  <si>
    <t>Tiến độ L8</t>
  </si>
  <si>
    <t>TỔNG L0
TỪ 1- 6</t>
  </si>
  <si>
    <t xml:space="preserve">Co.An </t>
  </si>
  <si>
    <t>DLL.HN</t>
  </si>
  <si>
    <t>DLL.HCM</t>
  </si>
  <si>
    <t>ĐL.TUAF</t>
  </si>
  <si>
    <t>L0 của CT TNUT các ngày trong tháng 10</t>
  </si>
  <si>
    <t>TỔNG
L0</t>
  </si>
  <si>
    <t>TỔNG L0
TỪ 1 - 6</t>
  </si>
  <si>
    <t>Co.An</t>
  </si>
  <si>
    <t>ĐL.TNUT</t>
  </si>
  <si>
    <t>L0 của CT AOF các ngày trong tháng 10</t>
  </si>
  <si>
    <t>L5B/ L2</t>
  </si>
  <si>
    <t>TỔNG L0
TỪ 1 -6</t>
  </si>
  <si>
    <t>ĐL.AOF</t>
  </si>
  <si>
    <t>28.5%</t>
  </si>
  <si>
    <t>L0 của CT PTIT các ngày trong tháng 10</t>
  </si>
  <si>
    <t>PTIT</t>
  </si>
  <si>
    <t>ĐL.PTIT</t>
  </si>
  <si>
    <t>AN</t>
  </si>
  <si>
    <t>Kế hoạch L8 của Đối tác</t>
  </si>
  <si>
    <t>TỔNG
L8</t>
  </si>
  <si>
    <t>Kế hoạch
L8</t>
  </si>
  <si>
    <t>Tiến độ 
L8/L0</t>
  </si>
  <si>
    <t>KH L8</t>
  </si>
  <si>
    <t>L8 của CT HOU các ngày trong tháng 10</t>
  </si>
  <si>
    <t>Từ 1-7</t>
  </si>
  <si>
    <t>TỔNG
L8 đạt được</t>
  </si>
  <si>
    <t>Tỷ lệ 
L8/L0</t>
  </si>
  <si>
    <t>ĐL.HOU</t>
  </si>
  <si>
    <t>L8 của CT TNU các ngày trong tháng 10</t>
  </si>
  <si>
    <t>Từ 1 - 3</t>
  </si>
  <si>
    <t>ĐL.TNU</t>
  </si>
  <si>
    <t>L8 của CT TUAF các ngày trong tháng 10</t>
  </si>
  <si>
    <t>Từ 1 -3</t>
  </si>
  <si>
    <t>Co.AN</t>
  </si>
  <si>
    <t>L8 của CT TNUT các ngày trong tháng 10</t>
  </si>
  <si>
    <t>Từ 1-6</t>
  </si>
  <si>
    <t>L5B của CT AOF các ngày trong tháng 10</t>
  </si>
  <si>
    <t xml:space="preserve"> Từ 1-3</t>
  </si>
  <si>
    <t>TỔNG
L5B</t>
  </si>
  <si>
    <t>L8 của CT PTIT  các ngày trong tháng 10</t>
  </si>
  <si>
    <t>BÁO CÁO TIẾN ĐỘ THỰC ĐẠT CHIẾN DỊCH AOF TỪ 20/09 ĐẾN 31/10</t>
  </si>
  <si>
    <t>KH từ 20/09 đến 31/10</t>
  </si>
  <si>
    <t>TĐ từ 20/09 đến 30/09</t>
  </si>
  <si>
    <t>TĐ từ 01/10 đến 07/10</t>
  </si>
  <si>
    <t>KH AUM THÁNG 10</t>
  </si>
  <si>
    <t>Thực đạt (1 -07/10)</t>
  </si>
  <si>
    <t>L2/L0</t>
  </si>
  <si>
    <t>TĐ L0 từ 20 đến 30/9</t>
  </si>
  <si>
    <t>L0 - 25/9</t>
  </si>
  <si>
    <t>L0 - 26/9</t>
  </si>
  <si>
    <t>L0 - 27/9</t>
  </si>
  <si>
    <t>L0 - 28/9</t>
  </si>
  <si>
    <t>L0 - 29/9</t>
  </si>
  <si>
    <t>L0 - 30/9</t>
  </si>
  <si>
    <t>L0 ngày 01/10</t>
  </si>
  <si>
    <t>L0 ngày 02/10</t>
  </si>
  <si>
    <t>L0 ngày 03/10</t>
  </si>
  <si>
    <t>L0 ngày 04/10</t>
  </si>
  <si>
    <t>L0 ngày 05/10</t>
  </si>
  <si>
    <t>L0 ngày 06/10</t>
  </si>
  <si>
    <t>TỔNG
 thực đạt L0</t>
  </si>
  <si>
    <t xml:space="preserve">L2 </t>
  </si>
  <si>
    <t>BÁO CÁO TIẾN ĐỘ THỰC ĐẠT CHIẾN DỊCH TNUT TỪ 01/10 ĐẾN 31/10</t>
  </si>
  <si>
    <t>Kế hoạch AUM T10</t>
  </si>
  <si>
    <t>L8/L0</t>
  </si>
  <si>
    <t>L0 ngày 
01/10</t>
  </si>
  <si>
    <t>L0 - 
02/10</t>
  </si>
  <si>
    <t>L0 ngày 
03/10</t>
  </si>
  <si>
    <t>L0 ngày
 04/10</t>
  </si>
  <si>
    <t>L0 ngày
 05/10</t>
  </si>
  <si>
    <t>L0 ngày 
06/10</t>
  </si>
  <si>
    <t>L0 ngày
 07/10</t>
  </si>
  <si>
    <t>L0 ngày 
08/10</t>
  </si>
  <si>
    <t>Tổng L8
thực đạt
( 1-07)</t>
  </si>
  <si>
    <t>Trường TNUT</t>
  </si>
</sst>
</file>

<file path=xl/styles.xml><?xml version="1.0" encoding="utf-8"?>
<styleSheet xmlns="http://schemas.openxmlformats.org/spreadsheetml/2006/main" xmlns:x14ac="http://schemas.microsoft.com/office/spreadsheetml/2009/9/ac" xmlns:mc="http://schemas.openxmlformats.org/markup-compatibility/2006">
  <numFmts count="13">
    <numFmt numFmtId="164" formatCode="#,##0.00&quot;₫&quot;"/>
    <numFmt numFmtId="165" formatCode="d.m"/>
    <numFmt numFmtId="166" formatCode="d-m"/>
    <numFmt numFmtId="167" formatCode="#,##0.000"/>
    <numFmt numFmtId="168" formatCode="#,##0.00\ [$đ-42A]"/>
    <numFmt numFmtId="169" formatCode="dd/mm/yyyy"/>
    <numFmt numFmtId="170" formatCode="dd/MM/yyyy"/>
    <numFmt numFmtId="171" formatCode="d/m/yyyy"/>
    <numFmt numFmtId="172" formatCode="&quot;NGÀY &quot;dd/mm"/>
    <numFmt numFmtId="173" formatCode="dd/mm/yy"/>
    <numFmt numFmtId="174" formatCode="d/m/yy"/>
    <numFmt numFmtId="175" formatCode="d\.m"/>
    <numFmt numFmtId="176" formatCode="0.0"/>
  </numFmts>
  <fonts count="105">
    <font>
      <sz val="10.0"/>
      <color rgb="FF000000"/>
      <name val="Arial"/>
      <scheme val="minor"/>
    </font>
    <font>
      <b/>
      <sz val="14.0"/>
      <color theme="1"/>
      <name val="Times New Roman"/>
    </font>
    <font/>
    <font>
      <sz val="14.0"/>
      <color theme="1"/>
      <name val="Times New Roman"/>
    </font>
    <font>
      <sz val="15.0"/>
      <color rgb="FF081B3A"/>
      <name val="Times New Roman"/>
    </font>
    <font>
      <u/>
      <sz val="14.0"/>
      <color theme="1"/>
      <name val="Times New Roman"/>
    </font>
    <font>
      <u/>
      <sz val="14.0"/>
      <color theme="1"/>
      <name val="Times New Roman"/>
    </font>
    <font>
      <u/>
      <sz val="14.0"/>
      <color theme="1"/>
      <name val="Times New Roman"/>
    </font>
    <font>
      <u/>
      <sz val="14.0"/>
      <color theme="1"/>
      <name val="Times New Roman"/>
    </font>
    <font>
      <b/>
      <u/>
      <sz val="14.0"/>
      <color theme="1"/>
      <name val="Times New Roman"/>
    </font>
    <font>
      <sz val="11.0"/>
      <color theme="1"/>
      <name val="Arial"/>
    </font>
    <font>
      <u/>
      <sz val="14.0"/>
      <color theme="1"/>
      <name val="Times New Roman"/>
    </font>
    <font>
      <u/>
      <sz val="14.0"/>
      <color rgb="FF000000"/>
      <name val="Times New Roman"/>
    </font>
    <font>
      <b/>
      <sz val="14.0"/>
      <color rgb="FF000000"/>
      <name val="Times New Roman"/>
    </font>
    <font>
      <sz val="14.0"/>
      <color rgb="FF000000"/>
      <name val="Times New Roman"/>
    </font>
    <font>
      <sz val="14.0"/>
      <color rgb="FF000000"/>
      <name val="&quot;Times New Roman&quot;"/>
    </font>
    <font>
      <sz val="11.0"/>
      <color rgb="FF000000"/>
      <name val="Segoe UI"/>
    </font>
    <font>
      <u/>
      <sz val="14.0"/>
      <color rgb="FF000000"/>
      <name val="Times New Roman"/>
    </font>
    <font>
      <u/>
      <sz val="14.0"/>
      <color theme="1"/>
      <name val="Times New Roman"/>
    </font>
    <font>
      <u/>
      <sz val="14.0"/>
      <color rgb="FF000000"/>
      <name val="Times New Roman"/>
    </font>
    <font>
      <sz val="14.0"/>
      <color theme="1"/>
      <name val="Arial"/>
    </font>
    <font>
      <sz val="11.0"/>
      <color theme="1"/>
      <name val="Aptos Narrow"/>
    </font>
    <font>
      <u/>
      <sz val="14.0"/>
      <color theme="1"/>
      <name val="Times New Roman"/>
    </font>
    <font>
      <color theme="1"/>
      <name val="Arial"/>
    </font>
    <font>
      <u/>
      <sz val="14.0"/>
      <color theme="1"/>
      <name val="Times New Roman"/>
    </font>
    <font>
      <u/>
      <sz val="14.0"/>
      <color theme="1"/>
      <name val="Times New Roman"/>
    </font>
    <font>
      <u/>
      <sz val="14.0"/>
      <color theme="1"/>
      <name val="Times New Roman"/>
    </font>
    <font>
      <u/>
      <color theme="1"/>
      <name val="Arial"/>
    </font>
    <font>
      <color theme="1"/>
      <name val="Arial"/>
      <scheme val="minor"/>
    </font>
    <font>
      <b/>
      <sz val="13.0"/>
      <color theme="1"/>
      <name val="Times New Roman"/>
    </font>
    <font>
      <b/>
      <sz val="13.0"/>
      <color rgb="FFFF0000"/>
      <name val="Times New Roman"/>
    </font>
    <font>
      <u/>
      <sz val="14.0"/>
      <color theme="1"/>
      <name val="Times New Roman"/>
    </font>
    <font>
      <sz val="14.0"/>
      <color theme="1"/>
      <name val="Arial"/>
      <scheme val="minor"/>
    </font>
    <font>
      <u/>
      <sz val="14.0"/>
      <color theme="1"/>
      <name val="Arial"/>
      <scheme val="minor"/>
    </font>
    <font>
      <sz val="15.0"/>
      <color theme="1"/>
      <name val="Times New Roman"/>
    </font>
    <font>
      <b/>
      <sz val="15.0"/>
      <color theme="1"/>
      <name val="Times New Roman"/>
    </font>
    <font>
      <sz val="10.0"/>
      <color theme="1"/>
      <name val="Arial"/>
    </font>
    <font>
      <sz val="11.0"/>
      <color rgb="FF000000"/>
      <name val="Times New Roman"/>
    </font>
    <font>
      <b/>
      <sz val="11.0"/>
      <color rgb="FF000000"/>
      <name val="Times New Roman"/>
    </font>
    <font>
      <b/>
      <sz val="10.0"/>
      <color theme="1"/>
      <name val="Arial"/>
    </font>
    <font>
      <sz val="11.0"/>
      <color rgb="FF081B3A"/>
      <name val="Times New Roman"/>
    </font>
    <font>
      <sz val="11.0"/>
      <color theme="1"/>
      <name val="Times New Roman"/>
    </font>
    <font>
      <sz val="11.0"/>
      <color rgb="FFFF0000"/>
      <name val="Times New Roman"/>
    </font>
    <font>
      <sz val="10.0"/>
      <color rgb="FF4A4F59"/>
      <name val="-apple-system"/>
    </font>
    <font>
      <u/>
      <sz val="11.0"/>
      <color rgb="FF000000"/>
      <name val="Times New Roman"/>
    </font>
    <font>
      <sz val="10.0"/>
      <color rgb="FF4A4F59"/>
      <name val="Arial"/>
    </font>
    <font>
      <sz val="10.0"/>
      <color rgb="FF000000"/>
      <name val="Arial"/>
    </font>
    <font>
      <sz val="10.0"/>
      <color rgb="FF000000"/>
      <name val="-apple-system"/>
    </font>
    <font>
      <sz val="12.0"/>
      <color rgb="FF000000"/>
      <name val="Times New Roman"/>
    </font>
    <font>
      <b/>
      <sz val="12.0"/>
      <color rgb="FF000000"/>
      <name val="Times New Roman"/>
    </font>
    <font>
      <sz val="12.0"/>
      <color theme="1"/>
      <name val="Arial"/>
    </font>
    <font>
      <b/>
      <i/>
      <sz val="12.0"/>
      <color rgb="FF000000"/>
      <name val="Times New Roman"/>
    </font>
    <font>
      <sz val="12.0"/>
      <color theme="1"/>
      <name val="Times New Roman"/>
    </font>
    <font>
      <sz val="11.0"/>
      <color rgb="FF081B3A"/>
      <name val="Quattrocento Sans"/>
    </font>
    <font>
      <sz val="11.0"/>
      <color rgb="FF212529"/>
      <name val="-apple-system"/>
    </font>
    <font>
      <sz val="12.0"/>
      <color rgb="FF212529"/>
      <name val="Play"/>
    </font>
    <font>
      <sz val="12.0"/>
      <color rgb="FF081B3A"/>
      <name val="Times New Roman"/>
    </font>
    <font>
      <sz val="10.0"/>
      <color theme="1"/>
      <name val="-apple-system"/>
    </font>
    <font>
      <b/>
      <sz val="10.0"/>
      <color rgb="FFFF0000"/>
      <name val="Arial"/>
    </font>
    <font>
      <sz val="10.0"/>
      <color rgb="FF000000"/>
      <name val="Inherit"/>
    </font>
    <font>
      <b/>
      <sz val="10.0"/>
      <color rgb="FFFF0000"/>
      <name val="Inherit"/>
    </font>
    <font>
      <sz val="10.0"/>
      <color rgb="FFFF0000"/>
      <name val="Arial"/>
    </font>
    <font>
      <b/>
      <sz val="10.0"/>
      <color rgb="FF000000"/>
      <name val="Arial"/>
    </font>
    <font>
      <sz val="10.0"/>
      <color rgb="FFFF0000"/>
      <name val="Inherit"/>
    </font>
    <font>
      <sz val="10.0"/>
      <color rgb="FF4A4F59"/>
      <name val="Inherit"/>
    </font>
    <font>
      <sz val="10.0"/>
      <color rgb="FF212529"/>
      <name val="Play"/>
    </font>
    <font>
      <sz val="10.0"/>
      <color rgb="FF212529"/>
      <name val="Arial"/>
    </font>
    <font>
      <b/>
      <sz val="12.0"/>
      <color theme="1"/>
      <name val="Arial"/>
    </font>
    <font>
      <b/>
      <sz val="14.0"/>
      <color rgb="FFFF0000"/>
      <name val="Arial"/>
    </font>
    <font>
      <b/>
      <sz val="14.0"/>
      <color rgb="FF0000FF"/>
      <name val="Arial"/>
    </font>
    <font>
      <b/>
      <sz val="12.0"/>
      <color rgb="FFFF0000"/>
      <name val="Arial"/>
    </font>
    <font>
      <b/>
      <sz val="17.0"/>
      <color rgb="FFFF0000"/>
      <name val="Arial"/>
    </font>
    <font>
      <b/>
      <sz val="11.0"/>
      <color theme="1"/>
      <name val="Times New Roman"/>
    </font>
    <font>
      <b/>
      <sz val="13.0"/>
      <color rgb="FFFF0000"/>
      <name val="Arial"/>
    </font>
    <font>
      <b/>
      <sz val="11.0"/>
      <color rgb="FFFF0000"/>
      <name val="Times New Roman"/>
    </font>
    <font>
      <sz val="13.0"/>
      <color rgb="FFFF0000"/>
      <name val="Arial"/>
    </font>
    <font>
      <b/>
      <sz val="13.0"/>
      <color theme="1"/>
      <name val="Arial"/>
    </font>
    <font>
      <b/>
      <sz val="11.0"/>
      <color rgb="FFFF0000"/>
      <name val="Arial"/>
    </font>
    <font>
      <b/>
      <sz val="11.0"/>
      <color theme="1"/>
      <name val="Arial"/>
    </font>
    <font>
      <b/>
      <sz val="12.0"/>
      <color theme="1"/>
      <name val="Times New Roman"/>
    </font>
    <font>
      <u/>
      <sz val="12.0"/>
      <color rgb="FF000000"/>
      <name val="Times New Roman"/>
    </font>
    <font>
      <u/>
      <sz val="12.0"/>
      <color rgb="FF000000"/>
      <name val="Times New Roman"/>
    </font>
    <font>
      <b/>
      <sz val="10.0"/>
      <color rgb="FF0000CC"/>
      <name val="Calibri"/>
    </font>
    <font>
      <b/>
      <sz val="10.0"/>
      <color rgb="FF000000"/>
      <name val="Times New Roman"/>
    </font>
    <font>
      <sz val="18.0"/>
      <color theme="1"/>
      <name val="Arial"/>
    </font>
    <font>
      <sz val="11.0"/>
      <color rgb="FF081B3A"/>
      <name val="Arial"/>
    </font>
    <font>
      <sz val="12.0"/>
      <color rgb="FF000000"/>
      <name val="Arial"/>
    </font>
    <font>
      <sz val="12.0"/>
      <color rgb="FF4A4F59"/>
      <name val="Times New Roman"/>
    </font>
    <font>
      <sz val="12.0"/>
      <color rgb="FF212529"/>
      <name val="Times New Roman"/>
    </font>
    <font>
      <b/>
      <sz val="12.0"/>
      <color rgb="FFFF0000"/>
      <name val="Times New Roman"/>
    </font>
    <font>
      <sz val="12.0"/>
      <color rgb="FFFF0000"/>
      <name val="Times New Roman"/>
    </font>
    <font>
      <sz val="11.0"/>
      <color rgb="FF000000"/>
      <name val="Calibri"/>
    </font>
    <font>
      <sz val="12.0"/>
      <color rgb="FF4472C4"/>
      <name val="Times New Roman"/>
    </font>
    <font>
      <sz val="11.0"/>
      <color rgb="FF000000"/>
      <name val="&quot;Aptos Narrow&quot;"/>
    </font>
    <font>
      <sz val="11.0"/>
      <color rgb="FF000000"/>
      <name val="Arial"/>
    </font>
    <font>
      <sz val="15.0"/>
      <color theme="1"/>
      <name val="Arial"/>
    </font>
    <font>
      <sz val="12.0"/>
      <color rgb="FFFF0000"/>
      <name val="Arial"/>
    </font>
    <font>
      <sz val="11.0"/>
      <color theme="1"/>
      <name val="Calibri"/>
    </font>
    <font>
      <sz val="17.0"/>
      <color theme="1"/>
      <name val="Arial"/>
    </font>
    <font>
      <sz val="11.0"/>
      <color rgb="FFFF0000"/>
      <name val="Arial"/>
    </font>
    <font>
      <b/>
      <sz val="11.0"/>
      <color rgb="FFFF0000"/>
      <name val="&quot;Aptos Narrow&quot;"/>
    </font>
    <font>
      <sz val="11.0"/>
      <color rgb="FFFF0000"/>
      <name val="&quot;Aptos Narrow&quot;"/>
    </font>
    <font>
      <b/>
      <sz val="11.0"/>
      <color rgb="FF000000"/>
      <name val="Arial"/>
    </font>
    <font>
      <u/>
      <sz val="11.0"/>
      <color rgb="FF0000FF"/>
      <name val="Arial"/>
    </font>
    <font>
      <b/>
      <sz val="11.0"/>
      <color theme="1"/>
      <name val="Aptos Narrow"/>
    </font>
  </fonts>
  <fills count="37">
    <fill>
      <patternFill patternType="none"/>
    </fill>
    <fill>
      <patternFill patternType="lightGray"/>
    </fill>
    <fill>
      <patternFill patternType="solid">
        <fgColor rgb="FFFFFF00"/>
        <bgColor rgb="FFFFFF00"/>
      </patternFill>
    </fill>
    <fill>
      <patternFill patternType="solid">
        <fgColor rgb="FF8ED973"/>
        <bgColor rgb="FF8ED973"/>
      </patternFill>
    </fill>
    <fill>
      <patternFill patternType="solid">
        <fgColor rgb="FF92D050"/>
        <bgColor rgb="FF92D050"/>
      </patternFill>
    </fill>
    <fill>
      <patternFill patternType="solid">
        <fgColor rgb="FFFFFFFF"/>
        <bgColor rgb="FFFFFFFF"/>
      </patternFill>
    </fill>
    <fill>
      <patternFill patternType="solid">
        <fgColor rgb="FFFBE2D5"/>
        <bgColor rgb="FFFBE2D5"/>
      </patternFill>
    </fill>
    <fill>
      <patternFill patternType="solid">
        <fgColor rgb="FFFF7C80"/>
        <bgColor rgb="FFFF7C80"/>
      </patternFill>
    </fill>
    <fill>
      <patternFill patternType="solid">
        <fgColor rgb="FFDAF2D0"/>
        <bgColor rgb="FFDAF2D0"/>
      </patternFill>
    </fill>
    <fill>
      <patternFill patternType="solid">
        <fgColor rgb="FFC0E6F5"/>
        <bgColor rgb="FFC0E6F5"/>
      </patternFill>
    </fill>
    <fill>
      <patternFill patternType="solid">
        <fgColor rgb="FFB7E1CD"/>
        <bgColor rgb="FFB7E1CD"/>
      </patternFill>
    </fill>
    <fill>
      <patternFill patternType="solid">
        <fgColor rgb="FFFFE699"/>
        <bgColor rgb="FFFFE699"/>
      </patternFill>
    </fill>
    <fill>
      <patternFill patternType="solid">
        <fgColor rgb="FFFAF9F9"/>
        <bgColor rgb="FFFAF9F9"/>
      </patternFill>
    </fill>
    <fill>
      <patternFill patternType="solid">
        <fgColor theme="0"/>
        <bgColor theme="0"/>
      </patternFill>
    </fill>
    <fill>
      <patternFill patternType="solid">
        <fgColor rgb="FF00FF00"/>
        <bgColor rgb="FF00FF00"/>
      </patternFill>
    </fill>
    <fill>
      <patternFill patternType="solid">
        <fgColor rgb="FFDBEBFF"/>
        <bgColor rgb="FFDBEBFF"/>
      </patternFill>
    </fill>
    <fill>
      <patternFill patternType="solid">
        <fgColor rgb="FF94DCF8"/>
        <bgColor rgb="FF94DCF8"/>
      </patternFill>
    </fill>
    <fill>
      <patternFill patternType="solid">
        <fgColor rgb="FFFFC7CE"/>
        <bgColor rgb="FFFFC7CE"/>
      </patternFill>
    </fill>
    <fill>
      <patternFill patternType="solid">
        <fgColor rgb="FFFFE7FF"/>
        <bgColor rgb="FFFFE7FF"/>
      </patternFill>
    </fill>
    <fill>
      <patternFill patternType="solid">
        <fgColor rgb="FF00FFFF"/>
        <bgColor rgb="FF00FFFF"/>
      </patternFill>
    </fill>
    <fill>
      <patternFill patternType="solid">
        <fgColor rgb="FFFF9900"/>
        <bgColor rgb="FFFF9900"/>
      </patternFill>
    </fill>
    <fill>
      <patternFill patternType="solid">
        <fgColor rgb="FF93C47D"/>
        <bgColor rgb="FF93C47D"/>
      </patternFill>
    </fill>
    <fill>
      <patternFill patternType="solid">
        <fgColor rgb="FFCFE2F3"/>
        <bgColor rgb="FFCFE2F3"/>
      </patternFill>
    </fill>
    <fill>
      <patternFill patternType="solid">
        <fgColor rgb="FFFFC000"/>
        <bgColor rgb="FFFFC000"/>
      </patternFill>
    </fill>
    <fill>
      <patternFill patternType="solid">
        <fgColor rgb="FFE9EEF6"/>
        <bgColor rgb="FFE9EEF6"/>
      </patternFill>
    </fill>
    <fill>
      <patternFill patternType="solid">
        <fgColor rgb="FFB6D7A8"/>
        <bgColor rgb="FFB6D7A8"/>
      </patternFill>
    </fill>
    <fill>
      <patternFill patternType="solid">
        <fgColor rgb="FFFFF2CC"/>
        <bgColor rgb="FFFFF2CC"/>
      </patternFill>
    </fill>
    <fill>
      <patternFill patternType="solid">
        <fgColor rgb="FFB4C6E7"/>
        <bgColor rgb="FFB4C6E7"/>
      </patternFill>
    </fill>
    <fill>
      <patternFill patternType="solid">
        <fgColor rgb="FFFCE5CD"/>
        <bgColor rgb="FFFCE5CD"/>
      </patternFill>
    </fill>
    <fill>
      <patternFill patternType="solid">
        <fgColor rgb="FFF4CCCC"/>
        <bgColor rgb="FFF4CCCC"/>
      </patternFill>
    </fill>
    <fill>
      <patternFill patternType="solid">
        <fgColor rgb="FFD9D2E9"/>
        <bgColor rgb="FFD9D2E9"/>
      </patternFill>
    </fill>
    <fill>
      <patternFill patternType="solid">
        <fgColor rgb="FFD0E0E3"/>
        <bgColor rgb="FFD0E0E3"/>
      </patternFill>
    </fill>
    <fill>
      <patternFill patternType="solid">
        <fgColor rgb="FFF7C7AC"/>
        <bgColor rgb="FFF7C7AC"/>
      </patternFill>
    </fill>
    <fill>
      <patternFill patternType="solid">
        <fgColor rgb="FFB7B7B7"/>
        <bgColor rgb="FFB7B7B7"/>
      </patternFill>
    </fill>
    <fill>
      <patternFill patternType="solid">
        <fgColor rgb="FF6AA84F"/>
        <bgColor rgb="FF6AA84F"/>
      </patternFill>
    </fill>
    <fill>
      <patternFill patternType="solid">
        <fgColor rgb="FFD9EAD3"/>
        <bgColor rgb="FFD9EAD3"/>
      </patternFill>
    </fill>
    <fill>
      <patternFill patternType="solid">
        <fgColor rgb="FFFF0000"/>
        <bgColor rgb="FFFF0000"/>
      </patternFill>
    </fill>
  </fills>
  <borders count="61">
    <border/>
    <border>
      <left style="thin">
        <color rgb="FF000000"/>
      </left>
      <right style="thin">
        <color rgb="FF000000"/>
      </right>
      <top style="thin">
        <color rgb="FF000000"/>
      </top>
    </border>
    <border>
      <right style="thin">
        <color rgb="FF000000"/>
      </right>
      <top style="thin">
        <color rgb="FF000000"/>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left style="thin">
        <color rgb="FF000000"/>
      </left>
      <right style="thin">
        <color rgb="FF000000"/>
      </righ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border>
    <border>
      <left style="thin">
        <color rgb="FF000000"/>
      </left>
      <top style="thin">
        <color rgb="FF000000"/>
      </top>
      <bottom style="thin">
        <color rgb="FF000000"/>
      </bottom>
    </border>
    <border>
      <left style="double">
        <color rgb="FF000000"/>
      </left>
      <right style="double">
        <color rgb="FF000000"/>
      </right>
      <top style="double">
        <color rgb="FF000000"/>
      </top>
      <bottom style="dotted">
        <color rgb="FF000000"/>
      </bottom>
    </border>
    <border>
      <left style="double">
        <color rgb="FF000000"/>
      </left>
      <right style="double">
        <color rgb="FF000000"/>
      </right>
      <top style="dotted">
        <color rgb="FF000000"/>
      </top>
      <bottom style="dotted">
        <color rgb="FF000000"/>
      </bottom>
    </border>
    <border>
      <left style="double">
        <color rgb="FF000000"/>
      </left>
      <right style="double">
        <color rgb="FF000000"/>
      </right>
      <top style="dotted">
        <color rgb="FF000000"/>
      </top>
      <bottom style="double">
        <color rgb="FF000000"/>
      </bottom>
    </border>
    <border>
      <left/>
      <right/>
      <top/>
      <bottom/>
    </border>
    <border>
      <left style="thin">
        <color rgb="FF000000"/>
      </left>
      <right style="thin">
        <color rgb="FF000000"/>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border>
    <border>
      <left/>
      <right/>
      <top style="thin">
        <color rgb="FF000000"/>
      </top>
      <bottom style="thin">
        <color rgb="FF000000"/>
      </bottom>
    </border>
    <border>
      <left/>
      <right style="thin">
        <color rgb="FF000000"/>
      </right>
      <top style="thin">
        <color rgb="FF000000"/>
      </top>
      <bottom style="thin">
        <color rgb="FF000000"/>
      </bottom>
    </border>
    <border>
      <left/>
      <right/>
      <top/>
      <bottom style="thin">
        <color rgb="FF000000"/>
      </bottom>
    </border>
    <border>
      <left/>
      <top/>
      <bottom/>
    </border>
    <border>
      <top/>
      <bottom/>
    </border>
    <border>
      <right/>
      <top/>
      <bottom/>
    </border>
    <border>
      <left/>
      <right/>
      <top/>
    </border>
    <border>
      <left/>
      <right/>
    </border>
    <border>
      <left/>
      <right/>
      <bottom/>
    </border>
    <border>
      <right style="dotted">
        <color rgb="FF000000"/>
      </right>
      <top style="thin">
        <color rgb="FF000000"/>
      </top>
      <bottom style="thin">
        <color rgb="FF000000"/>
      </bottom>
    </border>
    <border>
      <right/>
      <top style="thin">
        <color rgb="FF000000"/>
      </top>
      <bottom style="thin">
        <color rgb="FF000000"/>
      </bottom>
    </border>
    <border>
      <left style="thin">
        <color rgb="FF000000"/>
      </left>
      <right style="thin">
        <color rgb="FF000000"/>
      </right>
      <top/>
    </border>
    <border>
      <left/>
      <top style="thin">
        <color rgb="FF000000"/>
      </top>
      <bottom style="thin">
        <color rgb="FF000000"/>
      </bottom>
    </border>
    <border>
      <left style="hair">
        <color rgb="FF000000"/>
      </left>
      <right/>
      <top style="hair">
        <color rgb="FF000000"/>
      </top>
    </border>
    <border>
      <left/>
      <right/>
      <top style="hair">
        <color rgb="FF000000"/>
      </top>
      <bottom/>
    </border>
    <border>
      <left/>
      <right style="hair">
        <color rgb="FF000000"/>
      </right>
      <top style="hair">
        <color rgb="FF000000"/>
      </top>
      <bottom/>
    </border>
    <border>
      <left style="hair">
        <color rgb="FF000000"/>
      </left>
      <right/>
    </border>
    <border>
      <right style="hair">
        <color rgb="FF000000"/>
      </right>
      <top/>
      <bottom/>
    </border>
    <border>
      <right style="hair">
        <color rgb="FF000000"/>
      </right>
    </border>
    <border>
      <left style="hair">
        <color rgb="FF000000"/>
      </left>
      <right/>
      <bottom/>
    </border>
    <border>
      <bottom style="hair">
        <color rgb="FF000000"/>
      </bottom>
    </border>
    <border>
      <left/>
      <right style="thin">
        <color rgb="FF000000"/>
      </right>
      <top/>
      <bottom/>
    </border>
    <border>
      <left/>
      <right style="thin">
        <color rgb="FF000000"/>
      </right>
      <top style="thin">
        <color rgb="FF000000"/>
      </top>
      <bottom/>
    </border>
    <border>
      <left style="dotted">
        <color rgb="FF000000"/>
      </left>
      <right style="dotted">
        <color rgb="FF000000"/>
      </right>
      <top style="dotted">
        <color rgb="FF000000"/>
      </top>
      <bottom style="dotted">
        <color rgb="FF000000"/>
      </bottom>
    </border>
    <border>
      <left style="dotted">
        <color rgb="FF000000"/>
      </left>
      <top style="dotted">
        <color rgb="FF000000"/>
      </top>
      <bottom style="dotted">
        <color rgb="FF000000"/>
      </bottom>
    </border>
    <border>
      <top style="dotted">
        <color rgb="FF000000"/>
      </top>
      <bottom style="dotted">
        <color rgb="FF000000"/>
      </bottom>
    </border>
    <border>
      <right style="dotted">
        <color rgb="FF000000"/>
      </right>
      <top style="dotted">
        <color rgb="FF000000"/>
      </top>
      <bottom style="dotted">
        <color rgb="FF000000"/>
      </bottom>
    </border>
    <border>
      <left/>
      <top style="dotted">
        <color rgb="FF000000"/>
      </top>
      <bottom style="dotted">
        <color rgb="FF000000"/>
      </bottom>
    </border>
    <border>
      <left style="dotted">
        <color rgb="FF000000"/>
      </left>
      <right style="dotted">
        <color rgb="FF000000"/>
      </right>
      <top style="dotted">
        <color rgb="FF000000"/>
      </top>
    </border>
    <border>
      <left style="dotted">
        <color rgb="FF000000"/>
      </left>
      <right style="dotted">
        <color rgb="FF000000"/>
      </right>
      <bottom style="dotted">
        <color rgb="FF000000"/>
      </bottom>
    </border>
    <border>
      <right/>
      <top style="dotted">
        <color rgb="FF000000"/>
      </top>
      <bottom style="dotted">
        <color rgb="FF000000"/>
      </bottom>
    </border>
    <border>
      <left style="dotted">
        <color rgb="FF000000"/>
      </left>
      <right style="dotted">
        <color rgb="FF000000"/>
      </right>
      <top style="dotted">
        <color rgb="FF000000"/>
      </top>
      <bottom/>
    </border>
    <border>
      <left style="dotted">
        <color rgb="FF000000"/>
      </left>
      <right/>
      <top style="dotted">
        <color rgb="FF000000"/>
      </top>
      <bottom style="dotted">
        <color rgb="FF000000"/>
      </bottom>
    </border>
    <border>
      <left/>
      <right/>
      <top style="dotted">
        <color rgb="FF000000"/>
      </top>
      <bottom style="dotted">
        <color rgb="FF000000"/>
      </bottom>
    </border>
    <border>
      <left/>
      <right style="dotted">
        <color rgb="FF000000"/>
      </right>
      <top style="dotted">
        <color rgb="FF000000"/>
      </top>
      <bottom style="dotted">
        <color rgb="FF000000"/>
      </bottom>
    </border>
    <border>
      <left style="hair">
        <color rgb="FF000000"/>
      </left>
      <right style="hair">
        <color rgb="FF000000"/>
      </right>
      <top style="hair">
        <color rgb="FF000000"/>
      </top>
      <bottom style="hair">
        <color rgb="FF000000"/>
      </bottom>
    </border>
    <border>
      <left style="hair">
        <color rgb="FF000000"/>
      </left>
      <top style="hair">
        <color rgb="FF000000"/>
      </top>
      <bottom style="hair">
        <color rgb="FF000000"/>
      </bottom>
    </border>
    <border>
      <left style="dotted">
        <color rgb="FF000000"/>
      </left>
      <right style="dotted">
        <color rgb="FF000000"/>
      </right>
      <top/>
      <bottom style="dotted">
        <color rgb="FF000000"/>
      </bottom>
    </border>
  </borders>
  <cellStyleXfs count="1">
    <xf borderId="0" fillId="0" fontId="0" numFmtId="0" applyAlignment="1" applyFont="1"/>
  </cellStyleXfs>
  <cellXfs count="849">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3" fillId="0" fontId="2" numFmtId="0" xfId="0" applyBorder="1" applyFont="1"/>
    <xf borderId="4" fillId="0" fontId="2" numFmtId="0" xfId="0" applyBorder="1" applyFont="1"/>
    <xf borderId="5" fillId="2" fontId="1" numFmtId="0" xfId="0" applyAlignment="1" applyBorder="1" applyFont="1">
      <alignment horizontal="center" vertical="center"/>
    </xf>
    <xf borderId="6" fillId="0" fontId="2" numFmtId="0" xfId="0" applyBorder="1" applyFont="1"/>
    <xf borderId="5" fillId="2" fontId="1" numFmtId="0" xfId="0" applyAlignment="1" applyBorder="1" applyFont="1">
      <alignment horizontal="center" shrinkToFit="0" vertical="center" wrapText="1"/>
    </xf>
    <xf borderId="2"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11" fillId="3" fontId="1" numFmtId="0" xfId="0" applyAlignment="1" applyBorder="1" applyFill="1" applyFont="1">
      <alignment horizontal="center" shrinkToFit="0" vertical="center" wrapText="1"/>
    </xf>
    <xf borderId="10" fillId="4" fontId="1" numFmtId="0" xfId="0" applyAlignment="1" applyBorder="1" applyFill="1" applyFont="1">
      <alignment horizontal="center" shrinkToFit="0" vertical="center" wrapText="1"/>
    </xf>
    <xf borderId="12" fillId="4" fontId="1" numFmtId="0" xfId="0" applyAlignment="1" applyBorder="1" applyFont="1">
      <alignment horizontal="center" shrinkToFit="0" vertical="center" wrapText="1"/>
    </xf>
    <xf borderId="11" fillId="4" fontId="1" numFmtId="0" xfId="0" applyAlignment="1" applyBorder="1" applyFont="1">
      <alignment horizontal="center" shrinkToFit="0" vertical="center" wrapText="1"/>
    </xf>
    <xf borderId="11" fillId="4" fontId="1" numFmtId="0" xfId="0" applyAlignment="1" applyBorder="1" applyFont="1">
      <alignment horizontal="center" shrinkToFit="0" vertical="center" wrapText="1"/>
    </xf>
    <xf borderId="13" fillId="4" fontId="1" numFmtId="0" xfId="0" applyAlignment="1" applyBorder="1" applyFont="1">
      <alignment horizontal="center" vertical="center"/>
    </xf>
    <xf borderId="13" fillId="4" fontId="1" numFmtId="0" xfId="0" applyAlignment="1" applyBorder="1" applyFont="1">
      <alignment horizontal="center" shrinkToFit="0" vertical="center" wrapText="1"/>
    </xf>
    <xf borderId="7" fillId="0" fontId="1" numFmtId="0" xfId="0" applyAlignment="1" applyBorder="1" applyFont="1">
      <alignment horizontal="center" shrinkToFit="0" vertical="center" wrapText="1"/>
    </xf>
    <xf borderId="11" fillId="0" fontId="3" numFmtId="0" xfId="0" applyAlignment="1" applyBorder="1" applyFont="1">
      <alignment horizontal="center" shrinkToFit="0" vertical="center" wrapText="1"/>
    </xf>
    <xf borderId="8" fillId="0" fontId="3" numFmtId="0" xfId="0" applyAlignment="1" applyBorder="1" applyFont="1">
      <alignment readingOrder="0" shrinkToFit="0" vertical="center" wrapText="1"/>
    </xf>
    <xf borderId="7" fillId="0" fontId="3" numFmtId="0" xfId="0" applyAlignment="1" applyBorder="1" applyFont="1">
      <alignment horizontal="center" shrinkToFit="0" vertical="center" wrapText="1"/>
    </xf>
    <xf borderId="5" fillId="0" fontId="3" numFmtId="0" xfId="0" applyAlignment="1" applyBorder="1" applyFont="1">
      <alignment horizontal="center" readingOrder="0" shrinkToFit="0" vertical="center" wrapText="1"/>
    </xf>
    <xf borderId="5" fillId="0" fontId="3" numFmtId="0" xfId="0" applyAlignment="1" applyBorder="1" applyFont="1">
      <alignment horizontal="center" shrinkToFit="0" vertical="center" wrapText="1"/>
    </xf>
    <xf borderId="7" fillId="0" fontId="3" numFmtId="164" xfId="0" applyAlignment="1" applyBorder="1" applyFont="1" applyNumberFormat="1">
      <alignment horizontal="center" shrinkToFit="0" vertical="center" wrapText="1"/>
    </xf>
    <xf borderId="7" fillId="0" fontId="3" numFmtId="164" xfId="0" applyAlignment="1" applyBorder="1" applyFont="1" applyNumberFormat="1">
      <alignment horizontal="center" readingOrder="0" shrinkToFit="0" vertical="center" wrapText="1"/>
    </xf>
    <xf borderId="14" fillId="0" fontId="3" numFmtId="0" xfId="0" applyAlignment="1" applyBorder="1" applyFont="1">
      <alignment horizontal="center" shrinkToFit="0" vertical="center" wrapText="1"/>
    </xf>
    <xf borderId="7" fillId="0" fontId="3" numFmtId="0" xfId="0" applyAlignment="1" applyBorder="1" applyFont="1">
      <alignment horizontal="center" shrinkToFit="0" vertical="center" wrapText="1"/>
    </xf>
    <xf borderId="8" fillId="5" fontId="4" numFmtId="0" xfId="0" applyAlignment="1" applyBorder="1" applyFill="1" applyFont="1">
      <alignment horizontal="center" shrinkToFit="0" vertical="center" wrapText="1"/>
    </xf>
    <xf borderId="1" fillId="0" fontId="3" numFmtId="0" xfId="0" applyAlignment="1" applyBorder="1" applyFont="1">
      <alignment horizontal="center" shrinkToFit="0" vertical="center" wrapText="1"/>
    </xf>
    <xf borderId="1" fillId="0" fontId="3" numFmtId="0" xfId="0" applyAlignment="1" applyBorder="1" applyFont="1">
      <alignment horizontal="center" shrinkToFit="0" vertical="center" wrapText="1"/>
    </xf>
    <xf borderId="1" fillId="0" fontId="5" numFmtId="0" xfId="0" applyAlignment="1" applyBorder="1" applyFont="1">
      <alignment horizontal="left" shrinkToFit="0" vertical="center" wrapText="1"/>
    </xf>
    <xf borderId="1" fillId="0" fontId="6" numFmtId="0" xfId="0" applyAlignment="1" applyBorder="1" applyFont="1">
      <alignment horizontal="center" shrinkToFit="0" vertical="center" wrapText="1"/>
    </xf>
    <xf borderId="1" fillId="0" fontId="7" numFmtId="0" xfId="0" applyAlignment="1" applyBorder="1" applyFont="1">
      <alignment horizontal="center" readingOrder="0" shrinkToFit="0" vertical="center" wrapText="1"/>
    </xf>
    <xf borderId="1" fillId="0" fontId="8" numFmtId="0" xfId="0" applyAlignment="1" applyBorder="1" applyFont="1">
      <alignment horizontal="left" readingOrder="0" shrinkToFit="0" vertical="center" wrapText="1"/>
    </xf>
    <xf borderId="5" fillId="0" fontId="9" numFmtId="0" xfId="0" applyAlignment="1" applyBorder="1" applyFont="1">
      <alignment horizontal="center" readingOrder="0" shrinkToFit="0" vertical="center" wrapText="1"/>
    </xf>
    <xf borderId="14" fillId="0" fontId="2" numFmtId="0" xfId="0" applyBorder="1" applyFont="1"/>
    <xf borderId="7" fillId="0" fontId="1" numFmtId="0" xfId="0" applyAlignment="1" applyBorder="1" applyFont="1">
      <alignment horizontal="center" vertical="center"/>
    </xf>
    <xf borderId="8" fillId="0" fontId="3" numFmtId="0" xfId="0" applyAlignment="1" applyBorder="1" applyFont="1">
      <alignment horizontal="center" readingOrder="0" shrinkToFit="0" vertical="center" wrapText="1"/>
    </xf>
    <xf borderId="11" fillId="0" fontId="3" numFmtId="0" xfId="0" applyAlignment="1" applyBorder="1" applyFont="1">
      <alignment horizontal="center" vertical="center"/>
    </xf>
    <xf borderId="11" fillId="0" fontId="3" numFmtId="164" xfId="0" applyAlignment="1" applyBorder="1" applyFont="1" applyNumberFormat="1">
      <alignment horizontal="center" vertical="center"/>
    </xf>
    <xf borderId="12" fillId="0" fontId="3" numFmtId="0" xfId="0" applyAlignment="1" applyBorder="1" applyFont="1">
      <alignment shrinkToFit="0" vertical="center" wrapText="1"/>
    </xf>
    <xf borderId="1" fillId="0" fontId="10" numFmtId="0" xfId="0" applyAlignment="1" applyBorder="1" applyFont="1">
      <alignment horizontal="center" shrinkToFit="0" vertical="center" wrapText="1"/>
    </xf>
    <xf borderId="1" fillId="0" fontId="11" numFmtId="0" xfId="0" applyAlignment="1" applyBorder="1" applyFont="1">
      <alignment horizontal="left" shrinkToFit="0" vertical="center" wrapText="1"/>
    </xf>
    <xf borderId="1" fillId="0" fontId="12" numFmtId="0" xfId="0" applyAlignment="1" applyBorder="1" applyFont="1">
      <alignment horizontal="center" readingOrder="0" shrinkToFit="0" vertical="center" wrapText="1"/>
    </xf>
    <xf borderId="1" fillId="0" fontId="3" numFmtId="0" xfId="0" applyAlignment="1" applyBorder="1" applyFont="1">
      <alignment horizontal="left" shrinkToFit="0" vertical="center" wrapText="1"/>
    </xf>
    <xf borderId="7" fillId="0" fontId="3" numFmtId="165" xfId="0" applyAlignment="1" applyBorder="1" applyFont="1" applyNumberFormat="1">
      <alignment horizontal="center" shrinkToFit="0" vertical="center" wrapText="1"/>
    </xf>
    <xf borderId="7" fillId="0" fontId="13" numFmtId="0" xfId="0" applyAlignment="1" applyBorder="1" applyFont="1">
      <alignment horizontal="center" shrinkToFit="0" vertical="center" wrapText="1"/>
    </xf>
    <xf borderId="11" fillId="0" fontId="14" numFmtId="0" xfId="0" applyAlignment="1" applyBorder="1" applyFont="1">
      <alignment horizontal="center" shrinkToFit="0" vertical="center" wrapText="1"/>
    </xf>
    <xf borderId="1" fillId="5" fontId="14" numFmtId="0" xfId="0" applyAlignment="1" applyBorder="1" applyFont="1">
      <alignment horizontal="center" readingOrder="0" shrinkToFit="0" vertical="center" wrapText="1"/>
    </xf>
    <xf borderId="8" fillId="5" fontId="14" numFmtId="0" xfId="0" applyAlignment="1" applyBorder="1" applyFont="1">
      <alignment horizontal="center" shrinkToFit="0" vertical="center" wrapText="1"/>
    </xf>
    <xf borderId="5" fillId="5" fontId="14" numFmtId="0" xfId="0" applyAlignment="1" applyBorder="1" applyFont="1">
      <alignment horizontal="center" readingOrder="0" shrinkToFit="0" vertical="center" wrapText="1"/>
    </xf>
    <xf borderId="3" fillId="0" fontId="14" numFmtId="0" xfId="0" applyAlignment="1" applyBorder="1" applyFont="1">
      <alignment horizontal="center" shrinkToFit="0" vertical="center" wrapText="1"/>
    </xf>
    <xf borderId="11" fillId="5" fontId="15" numFmtId="0" xfId="0" applyAlignment="1" applyBorder="1" applyFont="1">
      <alignment horizontal="center" readingOrder="0" shrinkToFit="0" vertical="center" wrapText="1"/>
    </xf>
    <xf borderId="7" fillId="0" fontId="14" numFmtId="164" xfId="0" applyAlignment="1" applyBorder="1" applyFont="1" applyNumberFormat="1">
      <alignment horizontal="center" shrinkToFit="0" vertical="center" wrapText="1"/>
    </xf>
    <xf borderId="7" fillId="5" fontId="3" numFmtId="164" xfId="0" applyAlignment="1" applyBorder="1" applyFont="1" applyNumberFormat="1">
      <alignment horizontal="center" shrinkToFit="0" vertical="center" wrapText="1"/>
    </xf>
    <xf borderId="14" fillId="0" fontId="14" numFmtId="0" xfId="0" applyAlignment="1" applyBorder="1" applyFont="1">
      <alignment horizontal="center" shrinkToFit="0" vertical="center" wrapText="1"/>
    </xf>
    <xf borderId="7" fillId="5" fontId="3" numFmtId="0" xfId="0" applyAlignment="1" applyBorder="1" applyFont="1">
      <alignment shrinkToFit="0" vertical="center" wrapText="1"/>
    </xf>
    <xf borderId="7" fillId="0" fontId="16" numFmtId="0" xfId="0" applyAlignment="1" applyBorder="1" applyFont="1">
      <alignment horizontal="center" shrinkToFit="0" vertical="center" wrapText="1"/>
    </xf>
    <xf borderId="1" fillId="0" fontId="14" numFmtId="0" xfId="0" applyAlignment="1" applyBorder="1" applyFont="1">
      <alignment horizontal="center" shrinkToFit="0" vertical="center" wrapText="1"/>
    </xf>
    <xf borderId="1" fillId="6" fontId="14" numFmtId="0" xfId="0" applyAlignment="1" applyBorder="1" applyFill="1" applyFont="1">
      <alignment horizontal="center" shrinkToFit="0" vertical="center" wrapText="1"/>
    </xf>
    <xf borderId="1" fillId="6" fontId="13" numFmtId="0" xfId="0" applyAlignment="1" applyBorder="1" applyFont="1">
      <alignment horizontal="center" shrinkToFit="0" vertical="center" wrapText="1"/>
    </xf>
    <xf borderId="1" fillId="6" fontId="13" numFmtId="0" xfId="0" applyAlignment="1" applyBorder="1" applyFont="1">
      <alignment horizontal="center" shrinkToFit="0" vertical="center" wrapText="1"/>
    </xf>
    <xf borderId="1" fillId="0" fontId="17" numFmtId="0" xfId="0" applyAlignment="1" applyBorder="1" applyFont="1">
      <alignment horizontal="left" shrinkToFit="0" vertical="center" wrapText="1"/>
    </xf>
    <xf borderId="1" fillId="5" fontId="18" numFmtId="0" xfId="0" applyAlignment="1" applyBorder="1" applyFont="1">
      <alignment horizontal="center" readingOrder="0" shrinkToFit="0" vertical="center" wrapText="1"/>
    </xf>
    <xf borderId="1" fillId="0" fontId="19" numFmtId="0" xfId="0" applyAlignment="1" applyBorder="1" applyFont="1">
      <alignment horizontal="center" shrinkToFit="0" vertical="center" wrapText="1"/>
    </xf>
    <xf borderId="1" fillId="5" fontId="3" numFmtId="0" xfId="0" applyAlignment="1" applyBorder="1" applyFont="1">
      <alignment horizontal="left" shrinkToFit="0" vertical="center" wrapText="1"/>
    </xf>
    <xf borderId="7" fillId="0" fontId="14" numFmtId="0" xfId="0" applyAlignment="1" applyBorder="1" applyFont="1">
      <alignment horizontal="center" readingOrder="0" shrinkToFit="0" vertical="center" wrapText="1"/>
    </xf>
    <xf borderId="7" fillId="0" fontId="14" numFmtId="0" xfId="0" applyAlignment="1" applyBorder="1" applyFont="1">
      <alignment horizontal="center" shrinkToFit="0" vertical="center" wrapText="1"/>
    </xf>
    <xf borderId="11" fillId="0" fontId="14" numFmtId="0" xfId="0" applyAlignment="1" applyBorder="1" applyFont="1">
      <alignment horizontal="center" readingOrder="0" shrinkToFit="0" vertical="center" wrapText="1"/>
    </xf>
    <xf borderId="11" fillId="5" fontId="3" numFmtId="0" xfId="0" applyAlignment="1" applyBorder="1" applyFont="1">
      <alignment horizontal="center" shrinkToFit="0" vertical="center" wrapText="1"/>
    </xf>
    <xf borderId="13" fillId="5" fontId="14" numFmtId="0" xfId="0" applyAlignment="1" applyBorder="1" applyFont="1">
      <alignment horizontal="center" readingOrder="0" shrinkToFit="0" vertical="center" wrapText="1"/>
    </xf>
    <xf borderId="13" fillId="0" fontId="14" numFmtId="0" xfId="0" applyAlignment="1" applyBorder="1" applyFont="1">
      <alignment horizontal="center" readingOrder="0" shrinkToFit="0" vertical="center" wrapText="1"/>
    </xf>
    <xf borderId="11" fillId="0" fontId="3" numFmtId="0" xfId="0" applyAlignment="1" applyBorder="1" applyFont="1">
      <alignment horizontal="center" readingOrder="0" shrinkToFit="0" vertical="center" wrapText="1"/>
    </xf>
    <xf borderId="8" fillId="0" fontId="3" numFmtId="0" xfId="0" applyAlignment="1" applyBorder="1" applyFont="1">
      <alignment horizontal="center" shrinkToFit="0" vertical="center" wrapText="1"/>
    </xf>
    <xf borderId="8" fillId="0" fontId="3" numFmtId="0" xfId="0" applyAlignment="1" applyBorder="1" applyFont="1">
      <alignment horizontal="center" readingOrder="0" vertical="center"/>
    </xf>
    <xf borderId="1" fillId="7" fontId="1" numFmtId="0" xfId="0" applyAlignment="1" applyBorder="1" applyFill="1" applyFont="1">
      <alignment horizontal="center" shrinkToFit="0" vertical="center" wrapText="1"/>
    </xf>
    <xf borderId="1" fillId="7" fontId="3" numFmtId="0" xfId="0" applyAlignment="1" applyBorder="1" applyFont="1">
      <alignment horizontal="center" shrinkToFit="0" vertical="center" wrapText="1"/>
    </xf>
    <xf borderId="1" fillId="7" fontId="3" numFmtId="0" xfId="0" applyAlignment="1" applyBorder="1" applyFont="1">
      <alignment horizontal="center" shrinkToFit="0" vertical="center" wrapText="1"/>
    </xf>
    <xf borderId="7" fillId="0" fontId="3" numFmtId="0" xfId="0" applyAlignment="1" applyBorder="1" applyFont="1">
      <alignment horizontal="center" readingOrder="0" shrinkToFit="0" vertical="center" wrapText="1"/>
    </xf>
    <xf borderId="5" fillId="0" fontId="3" numFmtId="166" xfId="0" applyAlignment="1" applyBorder="1" applyFont="1" applyNumberFormat="1">
      <alignment horizontal="center" readingOrder="0" shrinkToFit="0" vertical="center" wrapText="1"/>
    </xf>
    <xf borderId="1" fillId="0" fontId="3" numFmtId="0" xfId="0" applyAlignment="1" applyBorder="1" applyFont="1">
      <alignment horizontal="center" readingOrder="0" shrinkToFit="0" vertical="center" wrapText="1"/>
    </xf>
    <xf borderId="8" fillId="0" fontId="3" numFmtId="0" xfId="0" applyAlignment="1" applyBorder="1" applyFont="1">
      <alignment horizontal="center" vertical="center"/>
    </xf>
    <xf borderId="1" fillId="8" fontId="1" numFmtId="0" xfId="0" applyAlignment="1" applyBorder="1" applyFill="1" applyFont="1">
      <alignment horizontal="center" shrinkToFit="0" vertical="center" wrapText="1"/>
    </xf>
    <xf borderId="1" fillId="8" fontId="3" numFmtId="0" xfId="0" applyAlignment="1" applyBorder="1" applyFont="1">
      <alignment horizontal="center" shrinkToFit="0" vertical="center" wrapText="1"/>
    </xf>
    <xf borderId="1" fillId="8" fontId="1" numFmtId="0" xfId="0" applyAlignment="1" applyBorder="1" applyFont="1">
      <alignment horizontal="center" shrinkToFit="0" vertical="center" wrapText="1"/>
    </xf>
    <xf borderId="4" fillId="0" fontId="3" numFmtId="0" xfId="0" applyAlignment="1" applyBorder="1" applyFont="1">
      <alignment horizontal="center" shrinkToFit="0" vertical="center" wrapText="1"/>
    </xf>
    <xf borderId="4" fillId="0" fontId="20" numFmtId="0" xfId="0" applyAlignment="1" applyBorder="1" applyFont="1">
      <alignment horizontal="center" readingOrder="0" vertical="center"/>
    </xf>
    <xf borderId="2" fillId="0" fontId="3" numFmtId="0" xfId="0" applyAlignment="1" applyBorder="1" applyFont="1">
      <alignment horizontal="center" vertical="center"/>
    </xf>
    <xf borderId="2" fillId="0" fontId="3" numFmtId="0" xfId="0" applyAlignment="1" applyBorder="1" applyFont="1">
      <alignment horizontal="center" shrinkToFit="0" vertical="center" wrapText="1"/>
    </xf>
    <xf borderId="4" fillId="0" fontId="3" numFmtId="0" xfId="0" applyAlignment="1" applyBorder="1" applyFont="1">
      <alignment horizontal="center" vertical="center"/>
    </xf>
    <xf borderId="0" fillId="0" fontId="21" numFmtId="0" xfId="0" applyAlignment="1" applyFont="1">
      <alignment horizontal="center" vertical="center"/>
    </xf>
    <xf borderId="4" fillId="0" fontId="3" numFmtId="0" xfId="0" applyAlignment="1" applyBorder="1" applyFont="1">
      <alignment horizontal="center" readingOrder="0" vertical="center"/>
    </xf>
    <xf borderId="7" fillId="0" fontId="3" numFmtId="167" xfId="0" applyAlignment="1" applyBorder="1" applyFont="1" applyNumberFormat="1">
      <alignment horizontal="center" shrinkToFit="0" vertical="center" wrapText="1"/>
    </xf>
    <xf borderId="2" fillId="0" fontId="22" numFmtId="0" xfId="0" applyAlignment="1" applyBorder="1" applyFont="1">
      <alignment horizontal="center" shrinkToFit="0" vertical="center" wrapText="1"/>
    </xf>
    <xf borderId="1" fillId="0" fontId="3" numFmtId="0" xfId="0" applyAlignment="1" applyBorder="1" applyFont="1">
      <alignment shrinkToFit="0" vertical="center" wrapText="1"/>
    </xf>
    <xf borderId="1" fillId="9" fontId="1" numFmtId="0" xfId="0" applyAlignment="1" applyBorder="1" applyFill="1" applyFont="1">
      <alignment horizontal="center" shrinkToFit="0" vertical="center" wrapText="1"/>
    </xf>
    <xf borderId="1" fillId="9" fontId="1" numFmtId="0" xfId="0" applyAlignment="1" applyBorder="1" applyFont="1">
      <alignment horizontal="center" shrinkToFit="0" vertical="center" wrapText="1"/>
    </xf>
    <xf borderId="11" fillId="0" fontId="3" numFmtId="0" xfId="0" applyAlignment="1" applyBorder="1" applyFont="1">
      <alignment horizontal="center" readingOrder="0" vertical="center"/>
    </xf>
    <xf borderId="11" fillId="5" fontId="3" numFmtId="0" xfId="0" applyAlignment="1" applyBorder="1" applyFont="1">
      <alignment horizontal="center" readingOrder="0" shrinkToFit="0" vertical="center" wrapText="1"/>
    </xf>
    <xf borderId="13" fillId="0" fontId="3" numFmtId="0" xfId="0" applyAlignment="1" applyBorder="1" applyFont="1">
      <alignment horizontal="center" readingOrder="0" vertical="center"/>
    </xf>
    <xf borderId="8" fillId="0" fontId="3" numFmtId="0" xfId="0" applyAlignment="1" applyBorder="1" applyFont="1">
      <alignment horizontal="left" readingOrder="0" shrinkToFit="0" vertical="center" wrapText="1"/>
    </xf>
    <xf borderId="13" fillId="0" fontId="3" numFmtId="0" xfId="0" applyAlignment="1" applyBorder="1" applyFont="1">
      <alignment horizontal="center" shrinkToFit="0" vertical="center" wrapText="1"/>
    </xf>
    <xf borderId="7" fillId="0" fontId="23" numFmtId="0" xfId="0" applyAlignment="1" applyBorder="1" applyFont="1">
      <alignment horizontal="center" vertical="center"/>
    </xf>
    <xf borderId="1" fillId="5" fontId="1" numFmtId="0" xfId="0" applyAlignment="1" applyBorder="1" applyFont="1">
      <alignment horizontal="center" shrinkToFit="0" vertical="center" wrapText="1"/>
    </xf>
    <xf borderId="1" fillId="0" fontId="3" numFmtId="0" xfId="0" applyAlignment="1" applyBorder="1" applyFont="1">
      <alignment shrinkToFit="0" vertical="center" wrapText="1"/>
    </xf>
    <xf borderId="8" fillId="0" fontId="3" numFmtId="168" xfId="0" applyAlignment="1" applyBorder="1" applyFont="1" applyNumberFormat="1">
      <alignment horizontal="center" readingOrder="0" shrinkToFit="0" vertical="center" wrapText="1"/>
    </xf>
    <xf borderId="7" fillId="0" fontId="3" numFmtId="0" xfId="0" applyAlignment="1" applyBorder="1" applyFont="1">
      <alignment shrinkToFit="0" vertical="center" wrapText="1"/>
    </xf>
    <xf borderId="11" fillId="0" fontId="3" numFmtId="168" xfId="0" applyAlignment="1" applyBorder="1" applyFont="1" applyNumberFormat="1">
      <alignment horizontal="center" shrinkToFit="0" vertical="center" wrapText="1"/>
    </xf>
    <xf borderId="8" fillId="0" fontId="3" numFmtId="168" xfId="0" applyAlignment="1" applyBorder="1" applyFont="1" applyNumberFormat="1">
      <alignment horizontal="center" shrinkToFit="0" vertical="center" wrapText="1"/>
    </xf>
    <xf borderId="5" fillId="0" fontId="3" numFmtId="168" xfId="0" applyAlignment="1" applyBorder="1" applyFont="1" applyNumberFormat="1">
      <alignment horizontal="center" shrinkToFit="0" vertical="center" wrapText="1"/>
    </xf>
    <xf borderId="7" fillId="0" fontId="3" numFmtId="0" xfId="0" applyAlignment="1" applyBorder="1" applyFont="1">
      <alignment horizontal="center" vertical="center"/>
    </xf>
    <xf borderId="12" fillId="0" fontId="3" numFmtId="0" xfId="0" applyAlignment="1" applyBorder="1" applyFont="1">
      <alignment horizontal="center" shrinkToFit="0" vertical="center" wrapText="1"/>
    </xf>
    <xf borderId="14" fillId="0" fontId="3" numFmtId="0" xfId="0" applyAlignment="1" applyBorder="1" applyFont="1">
      <alignment horizontal="center" vertical="center"/>
    </xf>
    <xf borderId="5" fillId="0" fontId="1" numFmtId="0" xfId="0" applyAlignment="1" applyBorder="1" applyFont="1">
      <alignment horizontal="center" shrinkToFit="0" vertical="center" wrapText="1"/>
    </xf>
    <xf borderId="1" fillId="0" fontId="1" numFmtId="0" xfId="0" applyAlignment="1" applyBorder="1" applyFont="1">
      <alignment horizontal="center" vertical="center"/>
    </xf>
    <xf borderId="1" fillId="0" fontId="1" numFmtId="0" xfId="0" applyAlignment="1" applyBorder="1" applyFont="1">
      <alignment horizontal="center" shrinkToFit="0" vertical="center" wrapText="1"/>
    </xf>
    <xf borderId="13" fillId="0" fontId="23" numFmtId="0" xfId="0" applyAlignment="1" applyBorder="1" applyFont="1">
      <alignment horizontal="center" vertical="center"/>
    </xf>
    <xf borderId="1" fillId="0" fontId="23" numFmtId="0" xfId="0" applyAlignment="1" applyBorder="1" applyFont="1">
      <alignment horizontal="center" vertical="center"/>
    </xf>
    <xf borderId="0" fillId="0" fontId="3" numFmtId="0" xfId="0" applyAlignment="1" applyFont="1">
      <alignment horizontal="center" shrinkToFit="0" vertical="center" wrapText="1"/>
    </xf>
    <xf borderId="1" fillId="0" fontId="24" numFmtId="0" xfId="0" applyAlignment="1" applyBorder="1" applyFont="1">
      <alignment horizontal="left" vertical="center"/>
    </xf>
    <xf borderId="13" fillId="0" fontId="23" numFmtId="0" xfId="0" applyAlignment="1" applyBorder="1" applyFont="1">
      <alignment horizontal="left" shrinkToFit="0" vertical="center" wrapText="1"/>
    </xf>
    <xf borderId="13" fillId="0" fontId="23" numFmtId="0" xfId="0" applyAlignment="1" applyBorder="1" applyFont="1">
      <alignment horizontal="center" vertical="center"/>
    </xf>
    <xf borderId="1" fillId="0" fontId="3" numFmtId="0" xfId="0" applyAlignment="1" applyBorder="1" applyFont="1">
      <alignment horizontal="center" vertical="center"/>
    </xf>
    <xf borderId="1" fillId="0" fontId="3" numFmtId="0" xfId="0" applyAlignment="1" applyBorder="1" applyFont="1">
      <alignment horizontal="center" readingOrder="0" vertical="center"/>
    </xf>
    <xf borderId="1" fillId="0" fontId="20" numFmtId="0" xfId="0" applyAlignment="1" applyBorder="1" applyFont="1">
      <alignment horizontal="center" readingOrder="0" vertical="center"/>
    </xf>
    <xf borderId="1" fillId="0" fontId="20" numFmtId="0" xfId="0" applyAlignment="1" applyBorder="1" applyFont="1">
      <alignment horizontal="center" readingOrder="0" shrinkToFit="0" vertical="center" wrapText="1"/>
    </xf>
    <xf borderId="1" fillId="0" fontId="25" numFmtId="0" xfId="0" applyAlignment="1" applyBorder="1" applyFont="1">
      <alignment horizontal="left" vertical="center"/>
    </xf>
    <xf borderId="1" fillId="0" fontId="26" numFmtId="0" xfId="0" applyAlignment="1" applyBorder="1" applyFont="1">
      <alignment horizontal="center" vertical="center"/>
    </xf>
    <xf borderId="1" fillId="0" fontId="27" numFmtId="0" xfId="0" applyAlignment="1" applyBorder="1" applyFont="1">
      <alignment horizontal="center" readingOrder="0" vertical="center"/>
    </xf>
    <xf borderId="1" fillId="0" fontId="3" numFmtId="0" xfId="0" applyAlignment="1" applyBorder="1" applyFont="1">
      <alignment horizontal="left" shrinkToFit="0" vertical="center" wrapText="1"/>
    </xf>
    <xf borderId="0" fillId="0" fontId="13" numFmtId="0" xfId="0" applyAlignment="1" applyFont="1">
      <alignment horizontal="center" shrinkToFit="0" vertical="center" wrapText="1"/>
    </xf>
    <xf borderId="0" fillId="0" fontId="14" numFmtId="0" xfId="0" applyAlignment="1" applyFont="1">
      <alignment horizontal="center" vertical="center"/>
    </xf>
    <xf borderId="0" fillId="0" fontId="14" numFmtId="0" xfId="0" applyAlignment="1" applyFont="1">
      <alignment horizontal="center" shrinkToFit="0" vertical="center" wrapText="1"/>
    </xf>
    <xf borderId="0" fillId="0" fontId="14" numFmtId="0" xfId="0" applyAlignment="1" applyFont="1">
      <alignment horizontal="left" vertical="center"/>
    </xf>
    <xf borderId="0" fillId="0" fontId="14" numFmtId="0" xfId="0" applyAlignment="1" applyFont="1">
      <alignment horizontal="left" readingOrder="0" vertical="center"/>
    </xf>
    <xf borderId="0" fillId="0" fontId="14" numFmtId="0" xfId="0" applyAlignment="1" applyFont="1">
      <alignment horizontal="center" readingOrder="0" shrinkToFit="0" vertical="center" wrapText="1"/>
    </xf>
    <xf borderId="0" fillId="0" fontId="14" numFmtId="0" xfId="0" applyAlignment="1" applyFont="1">
      <alignment horizontal="left" shrinkToFit="0" vertical="center" wrapText="1"/>
    </xf>
    <xf borderId="0" fillId="0" fontId="14" numFmtId="0" xfId="0" applyAlignment="1" applyFont="1">
      <alignment shrinkToFit="0" vertical="center" wrapText="1"/>
    </xf>
    <xf borderId="0" fillId="0" fontId="14" numFmtId="0" xfId="0" applyAlignment="1" applyFont="1">
      <alignment vertical="center"/>
    </xf>
    <xf borderId="0" fillId="0" fontId="28" numFmtId="0" xfId="0" applyAlignment="1" applyFont="1">
      <alignment vertical="center"/>
    </xf>
    <xf borderId="0" fillId="0" fontId="28" numFmtId="0" xfId="0" applyAlignment="1" applyFont="1">
      <alignment horizontal="center" vertical="center"/>
    </xf>
    <xf borderId="0" fillId="0" fontId="28" numFmtId="0" xfId="0" applyAlignment="1" applyFont="1">
      <alignment horizontal="left" vertical="center"/>
    </xf>
    <xf borderId="0" fillId="2" fontId="29" numFmtId="0" xfId="0" applyAlignment="1" applyFont="1">
      <alignment horizontal="center" shrinkToFit="0" vertical="center" wrapText="1"/>
    </xf>
    <xf borderId="1" fillId="10" fontId="29" numFmtId="0" xfId="0" applyAlignment="1" applyBorder="1" applyFill="1" applyFont="1">
      <alignment horizontal="center" shrinkToFit="0" vertical="center" wrapText="1"/>
    </xf>
    <xf borderId="3" fillId="10" fontId="29" numFmtId="0" xfId="0" applyAlignment="1" applyBorder="1" applyFont="1">
      <alignment horizontal="center" shrinkToFit="0" vertical="center" wrapText="1"/>
    </xf>
    <xf borderId="15" fillId="10" fontId="29" numFmtId="0" xfId="0" applyAlignment="1" applyBorder="1" applyFont="1">
      <alignment horizontal="center" shrinkToFit="0" vertical="center" wrapText="1"/>
    </xf>
    <xf borderId="0" fillId="0" fontId="23" numFmtId="0" xfId="0" applyAlignment="1" applyFont="1">
      <alignment vertical="center"/>
    </xf>
    <xf borderId="11" fillId="10" fontId="29" numFmtId="0" xfId="0" applyAlignment="1" applyBorder="1" applyFont="1">
      <alignment horizontal="center" shrinkToFit="0" vertical="center" wrapText="1"/>
    </xf>
    <xf borderId="13" fillId="11" fontId="29" numFmtId="0" xfId="0" applyAlignment="1" applyBorder="1" applyFill="1" applyFont="1">
      <alignment horizontal="center" shrinkToFit="0" vertical="center" wrapText="1"/>
    </xf>
    <xf borderId="12" fillId="11" fontId="29" numFmtId="0" xfId="0" applyAlignment="1" applyBorder="1" applyFont="1">
      <alignment horizontal="center" shrinkToFit="0" vertical="center" wrapText="1"/>
    </xf>
    <xf borderId="11" fillId="0" fontId="23" numFmtId="0" xfId="0" applyAlignment="1" applyBorder="1" applyFont="1">
      <alignment vertical="center"/>
    </xf>
    <xf borderId="11" fillId="0" fontId="29" numFmtId="169" xfId="0" applyAlignment="1" applyBorder="1" applyFont="1" applyNumberFormat="1">
      <alignment horizontal="center" shrinkToFit="0" vertical="center" wrapText="1"/>
    </xf>
    <xf borderId="11" fillId="5" fontId="29" numFmtId="170" xfId="0" applyAlignment="1" applyBorder="1" applyFont="1" applyNumberFormat="1">
      <alignment horizontal="center" shrinkToFit="0" vertical="center" wrapText="1"/>
    </xf>
    <xf borderId="11" fillId="5" fontId="29" numFmtId="169" xfId="0" applyAlignment="1" applyBorder="1" applyFont="1" applyNumberFormat="1">
      <alignment horizontal="center" shrinkToFit="0" vertical="center" wrapText="1"/>
    </xf>
    <xf borderId="7" fillId="0" fontId="29" numFmtId="0" xfId="0" applyAlignment="1" applyBorder="1" applyFont="1">
      <alignment horizontal="center" shrinkToFit="0" vertical="center" wrapText="1"/>
    </xf>
    <xf borderId="11" fillId="5" fontId="23" numFmtId="0" xfId="0" applyAlignment="1" applyBorder="1" applyFont="1">
      <alignment vertical="center"/>
    </xf>
    <xf borderId="4" fillId="0" fontId="29" numFmtId="0" xfId="0" applyAlignment="1" applyBorder="1" applyFont="1">
      <alignment horizontal="center" shrinkToFit="0" vertical="center" wrapText="1"/>
    </xf>
    <xf borderId="4" fillId="0" fontId="29" numFmtId="169" xfId="0" applyAlignment="1" applyBorder="1" applyFont="1" applyNumberFormat="1">
      <alignment horizontal="center" shrinkToFit="0" vertical="center" wrapText="1"/>
    </xf>
    <xf borderId="4" fillId="5" fontId="23" numFmtId="169" xfId="0" applyAlignment="1" applyBorder="1" applyFont="1" applyNumberFormat="1">
      <alignment vertical="center"/>
    </xf>
    <xf borderId="11" fillId="5" fontId="23" numFmtId="169" xfId="0" applyAlignment="1" applyBorder="1" applyFont="1" applyNumberFormat="1">
      <alignment vertical="center"/>
    </xf>
    <xf borderId="13" fillId="0" fontId="29" numFmtId="169" xfId="0" applyAlignment="1" applyBorder="1" applyFont="1" applyNumberFormat="1">
      <alignment horizontal="center" shrinkToFit="0" vertical="center" wrapText="1"/>
    </xf>
    <xf borderId="11" fillId="0" fontId="30" numFmtId="169" xfId="0" applyAlignment="1" applyBorder="1" applyFont="1" applyNumberFormat="1">
      <alignment horizontal="center" shrinkToFit="0" vertical="center" wrapText="1"/>
    </xf>
    <xf borderId="13" fillId="0" fontId="29" numFmtId="171" xfId="0" applyAlignment="1" applyBorder="1" applyFont="1" applyNumberFormat="1">
      <alignment horizontal="center" shrinkToFit="0" vertical="center" wrapText="1"/>
    </xf>
    <xf borderId="11" fillId="5" fontId="23" numFmtId="171" xfId="0" applyAlignment="1" applyBorder="1" applyFont="1" applyNumberFormat="1">
      <alignment vertical="center"/>
    </xf>
    <xf borderId="13" fillId="0" fontId="23" numFmtId="0" xfId="0" applyAlignment="1" applyBorder="1" applyFont="1">
      <alignment vertical="center"/>
    </xf>
    <xf borderId="13" fillId="5" fontId="23" numFmtId="0" xfId="0" applyAlignment="1" applyBorder="1" applyFont="1">
      <alignment vertical="center"/>
    </xf>
    <xf borderId="13" fillId="0" fontId="29" numFmtId="0" xfId="0" applyAlignment="1" applyBorder="1" applyFont="1">
      <alignment horizontal="center" shrinkToFit="0" vertical="center" wrapText="1"/>
    </xf>
    <xf borderId="13" fillId="0" fontId="23" numFmtId="169" xfId="0" applyAlignment="1" applyBorder="1" applyFont="1" applyNumberFormat="1">
      <alignment vertical="center"/>
    </xf>
    <xf borderId="11" fillId="0" fontId="23" numFmtId="169" xfId="0" applyAlignment="1" applyBorder="1" applyFont="1" applyNumberFormat="1">
      <alignment vertical="center"/>
    </xf>
    <xf borderId="12" fillId="5" fontId="23" numFmtId="0" xfId="0" applyAlignment="1" applyBorder="1" applyFont="1">
      <alignment vertical="center"/>
    </xf>
    <xf borderId="12" fillId="0" fontId="29" numFmtId="171" xfId="0" applyAlignment="1" applyBorder="1" applyFont="1" applyNumberFormat="1">
      <alignment horizontal="center" shrinkToFit="0" vertical="center" wrapText="1"/>
    </xf>
    <xf borderId="13" fillId="0" fontId="30" numFmtId="171" xfId="0" applyAlignment="1" applyBorder="1" applyFont="1" applyNumberFormat="1">
      <alignment horizontal="center" shrinkToFit="0" vertical="center" wrapText="1"/>
    </xf>
    <xf borderId="4" fillId="0" fontId="30" numFmtId="0" xfId="0" applyAlignment="1" applyBorder="1" applyFont="1">
      <alignment horizontal="center" shrinkToFit="0" vertical="center" wrapText="1"/>
    </xf>
    <xf borderId="13" fillId="0" fontId="29" numFmtId="0" xfId="0" applyAlignment="1" applyBorder="1" applyFont="1">
      <alignment horizontal="center" shrinkToFit="0" vertical="center" wrapText="1"/>
    </xf>
    <xf borderId="4" fillId="5" fontId="23" numFmtId="171" xfId="0" applyAlignment="1" applyBorder="1" applyFont="1" applyNumberFormat="1">
      <alignment vertical="center"/>
    </xf>
    <xf borderId="13" fillId="0" fontId="30" numFmtId="169" xfId="0" applyAlignment="1" applyBorder="1" applyFont="1" applyNumberFormat="1">
      <alignment horizontal="center" shrinkToFit="0" vertical="center" wrapText="1"/>
    </xf>
    <xf borderId="13" fillId="0" fontId="30" numFmtId="0" xfId="0" applyAlignment="1" applyBorder="1" applyFont="1">
      <alignment horizontal="center" shrinkToFit="0" vertical="center" wrapText="1"/>
    </xf>
    <xf borderId="13" fillId="0" fontId="23" numFmtId="171" xfId="0" applyAlignment="1" applyBorder="1" applyFont="1" applyNumberFormat="1">
      <alignment vertical="center"/>
    </xf>
    <xf borderId="0" fillId="2" fontId="10" numFmtId="0" xfId="0" applyAlignment="1" applyFont="1">
      <alignment shrinkToFit="0" vertical="center" wrapText="0"/>
    </xf>
    <xf borderId="0" fillId="2" fontId="10" numFmtId="0" xfId="0" applyAlignment="1" applyFont="1">
      <alignment shrinkToFit="0" vertical="center" wrapText="1"/>
    </xf>
    <xf borderId="0" fillId="0" fontId="23" numFmtId="0" xfId="0" applyAlignment="1" applyFont="1">
      <alignment horizontal="center" vertical="center"/>
    </xf>
    <xf borderId="0" fillId="5" fontId="23" numFmtId="0" xfId="0" applyAlignment="1" applyFont="1">
      <alignment vertical="center"/>
    </xf>
    <xf borderId="0" fillId="5" fontId="23" numFmtId="169" xfId="0" applyAlignment="1" applyFont="1" applyNumberFormat="1">
      <alignment vertical="center"/>
    </xf>
    <xf borderId="0" fillId="5" fontId="23" numFmtId="171" xfId="0" applyAlignment="1" applyFont="1" applyNumberFormat="1">
      <alignment vertical="center"/>
    </xf>
    <xf borderId="0" fillId="12" fontId="23" numFmtId="0" xfId="0" applyAlignment="1" applyFill="1" applyFont="1">
      <alignment vertical="center"/>
    </xf>
    <xf borderId="0" fillId="12" fontId="23" numFmtId="169" xfId="0" applyAlignment="1" applyFont="1" applyNumberFormat="1">
      <alignment vertical="center"/>
    </xf>
    <xf borderId="0" fillId="12" fontId="23" numFmtId="171" xfId="0" applyAlignment="1" applyFont="1" applyNumberFormat="1">
      <alignment vertical="center"/>
    </xf>
    <xf borderId="13" fillId="2" fontId="1" numFmtId="0" xfId="0" applyAlignment="1" applyBorder="1" applyFont="1">
      <alignment horizontal="center" readingOrder="0" vertical="center"/>
    </xf>
    <xf borderId="15" fillId="2" fontId="1" numFmtId="0" xfId="0" applyAlignment="1" applyBorder="1" applyFont="1">
      <alignment horizontal="center" readingOrder="0" vertical="center"/>
    </xf>
    <xf borderId="0" fillId="0" fontId="3" numFmtId="0" xfId="0" applyAlignment="1" applyFont="1">
      <alignment horizontal="center" readingOrder="0" vertical="center"/>
    </xf>
    <xf borderId="15" fillId="0" fontId="31" numFmtId="0" xfId="0" applyAlignment="1" applyBorder="1" applyFont="1">
      <alignment horizontal="center" readingOrder="0" vertical="center"/>
    </xf>
    <xf borderId="0" fillId="0" fontId="32" numFmtId="0" xfId="0" applyFont="1"/>
    <xf borderId="15" fillId="0" fontId="33" numFmtId="0" xfId="0" applyAlignment="1" applyBorder="1" applyFont="1">
      <alignment horizontal="center" readingOrder="0" vertical="center"/>
    </xf>
    <xf borderId="0" fillId="0" fontId="32" numFmtId="0" xfId="0" applyAlignment="1" applyFont="1">
      <alignment horizontal="center" readingOrder="0" vertical="center"/>
    </xf>
    <xf borderId="0" fillId="0" fontId="32" numFmtId="0" xfId="0" applyAlignment="1" applyFont="1">
      <alignment readingOrder="0"/>
    </xf>
    <xf borderId="1" fillId="0" fontId="34" numFmtId="0" xfId="0" applyAlignment="1" applyBorder="1" applyFont="1">
      <alignment horizontal="center" readingOrder="0" vertical="center"/>
    </xf>
    <xf borderId="13" fillId="0" fontId="35" numFmtId="0" xfId="0" applyAlignment="1" applyBorder="1" applyFont="1">
      <alignment horizontal="center" readingOrder="0" vertical="center"/>
    </xf>
    <xf borderId="0" fillId="0" fontId="28" numFmtId="0" xfId="0" applyAlignment="1" applyFont="1">
      <alignment readingOrder="0"/>
    </xf>
    <xf borderId="13" fillId="0" fontId="34" numFmtId="0" xfId="0" applyAlignment="1" applyBorder="1" applyFont="1">
      <alignment readingOrder="0" vertical="center"/>
    </xf>
    <xf borderId="13" fillId="2" fontId="1" numFmtId="0" xfId="0" applyAlignment="1" applyBorder="1" applyFont="1">
      <alignment horizontal="center" readingOrder="0" shrinkToFit="0" vertical="center" wrapText="1"/>
    </xf>
    <xf borderId="13" fillId="0" fontId="3" numFmtId="0" xfId="0" applyAlignment="1" applyBorder="1" applyFont="1">
      <alignment readingOrder="0" shrinkToFit="0" vertical="center" wrapText="1"/>
    </xf>
    <xf borderId="13" fillId="0" fontId="34" numFmtId="0" xfId="0" applyAlignment="1" applyBorder="1" applyFont="1">
      <alignment readingOrder="0" shrinkToFit="0" vertical="center" wrapText="1"/>
    </xf>
    <xf borderId="16" fillId="0" fontId="29" numFmtId="0" xfId="0" applyAlignment="1" applyBorder="1" applyFont="1">
      <alignment vertical="center"/>
    </xf>
    <xf borderId="0" fillId="0" fontId="36" numFmtId="0" xfId="0" applyAlignment="1" applyFont="1">
      <alignment vertical="center"/>
    </xf>
    <xf borderId="17" fillId="13" fontId="37" numFmtId="0" xfId="0" applyAlignment="1" applyBorder="1" applyFill="1" applyFont="1">
      <alignment vertical="center"/>
    </xf>
    <xf borderId="18" fillId="13" fontId="37" numFmtId="0" xfId="0" applyAlignment="1" applyBorder="1" applyFont="1">
      <alignment vertical="center"/>
    </xf>
    <xf borderId="15" fillId="2" fontId="38" numFmtId="0" xfId="0" applyAlignment="1" applyBorder="1" applyFont="1">
      <alignment horizontal="center" shrinkToFit="0" vertical="center" wrapText="1"/>
    </xf>
    <xf borderId="0" fillId="0" fontId="36" numFmtId="0" xfId="0" applyAlignment="1" applyFont="1">
      <alignment shrinkToFit="0" vertical="center" wrapText="1"/>
    </xf>
    <xf borderId="0" fillId="0" fontId="38" numFmtId="0" xfId="0" applyAlignment="1" applyFont="1">
      <alignment horizontal="center"/>
    </xf>
    <xf borderId="13" fillId="0" fontId="38" numFmtId="0" xfId="0" applyAlignment="1" applyBorder="1" applyFont="1">
      <alignment horizontal="center" shrinkToFit="0" vertical="center" wrapText="1"/>
    </xf>
    <xf borderId="13" fillId="0" fontId="38" numFmtId="0" xfId="0" applyAlignment="1" applyBorder="1" applyFont="1">
      <alignment horizontal="center"/>
    </xf>
    <xf borderId="19" fillId="14" fontId="39" numFmtId="0" xfId="0" applyAlignment="1" applyBorder="1" applyFill="1" applyFont="1">
      <alignment horizontal="center" shrinkToFit="0" vertical="center" wrapText="1"/>
    </xf>
    <xf borderId="0" fillId="0" fontId="37" numFmtId="0" xfId="0" applyFont="1"/>
    <xf borderId="0" fillId="0" fontId="37" numFmtId="0" xfId="0" applyAlignment="1" applyFont="1">
      <alignment shrinkToFit="0" vertical="center" wrapText="1"/>
    </xf>
    <xf borderId="13" fillId="0" fontId="37" numFmtId="0" xfId="0" applyAlignment="1" applyBorder="1" applyFont="1">
      <alignment horizontal="center" shrinkToFit="0" vertical="center" wrapText="1"/>
    </xf>
    <xf borderId="13" fillId="0" fontId="37" numFmtId="0" xfId="0" applyAlignment="1" applyBorder="1" applyFont="1">
      <alignment shrinkToFit="0" vertical="center" wrapText="1"/>
    </xf>
    <xf borderId="13" fillId="5" fontId="40" numFmtId="0" xfId="0" applyAlignment="1" applyBorder="1" applyFont="1">
      <alignment horizontal="center"/>
    </xf>
    <xf borderId="13" fillId="0" fontId="37" numFmtId="14" xfId="0" applyAlignment="1" applyBorder="1" applyFont="1" applyNumberFormat="1">
      <alignment horizontal="center" shrinkToFit="0" vertical="center" wrapText="1"/>
    </xf>
    <xf borderId="13" fillId="0" fontId="41" numFmtId="0" xfId="0" applyAlignment="1" applyBorder="1" applyFont="1">
      <alignment shrinkToFit="0" vertical="center" wrapText="1"/>
    </xf>
    <xf borderId="4" fillId="0" fontId="38" numFmtId="0" xfId="0" applyAlignment="1" applyBorder="1" applyFont="1">
      <alignment horizontal="center"/>
    </xf>
    <xf borderId="4" fillId="0" fontId="38" numFmtId="0" xfId="0" applyAlignment="1" applyBorder="1" applyFont="1">
      <alignment horizontal="center" shrinkToFit="0" vertical="center" wrapText="1"/>
    </xf>
    <xf borderId="12" fillId="0" fontId="37" numFmtId="0" xfId="0" applyAlignment="1" applyBorder="1" applyFont="1">
      <alignment horizontal="center"/>
    </xf>
    <xf borderId="7" fillId="0" fontId="38" numFmtId="0" xfId="0" applyAlignment="1" applyBorder="1" applyFont="1">
      <alignment horizontal="left"/>
    </xf>
    <xf borderId="11" fillId="0" fontId="38" numFmtId="0" xfId="0" applyAlignment="1" applyBorder="1" applyFont="1">
      <alignment shrinkToFit="0" vertical="center" wrapText="1"/>
    </xf>
    <xf borderId="11" fillId="0" fontId="38" numFmtId="0" xfId="0" applyAlignment="1" applyBorder="1" applyFont="1">
      <alignment horizontal="center"/>
    </xf>
    <xf borderId="11" fillId="0" fontId="37" numFmtId="0" xfId="0" applyAlignment="1" applyBorder="1" applyFont="1">
      <alignment horizontal="center" shrinkToFit="0" vertical="center" wrapText="1"/>
    </xf>
    <xf borderId="7" fillId="0" fontId="36" numFmtId="0" xfId="0" applyBorder="1" applyFont="1"/>
    <xf borderId="11" fillId="0" fontId="37" numFmtId="0" xfId="0" applyAlignment="1" applyBorder="1" applyFont="1">
      <alignment shrinkToFit="0" vertical="center" wrapText="1"/>
    </xf>
    <xf borderId="11" fillId="0" fontId="37" numFmtId="0" xfId="0" applyAlignment="1" applyBorder="1" applyFont="1">
      <alignment horizontal="center"/>
    </xf>
    <xf borderId="1" fillId="0" fontId="38" numFmtId="0" xfId="0" applyAlignment="1" applyBorder="1" applyFont="1">
      <alignment horizontal="center"/>
    </xf>
    <xf borderId="13" fillId="0" fontId="42" numFmtId="0" xfId="0" applyAlignment="1" applyBorder="1" applyFont="1">
      <alignment horizontal="center" shrinkToFit="0" vertical="center" wrapText="1"/>
    </xf>
    <xf borderId="12" fillId="0" fontId="36" numFmtId="0" xfId="0" applyBorder="1" applyFont="1"/>
    <xf borderId="13" fillId="0" fontId="37" numFmtId="171" xfId="0" applyAlignment="1" applyBorder="1" applyFont="1" applyNumberFormat="1">
      <alignment horizontal="center" shrinkToFit="0" vertical="center" wrapText="1"/>
    </xf>
    <xf borderId="13" fillId="2" fontId="37" numFmtId="0" xfId="0" applyAlignment="1" applyBorder="1" applyFont="1">
      <alignment shrinkToFit="0" vertical="center" wrapText="1"/>
    </xf>
    <xf borderId="15" fillId="2" fontId="41" numFmtId="0" xfId="0" applyAlignment="1" applyBorder="1" applyFont="1">
      <alignment horizontal="center" shrinkToFit="0" vertical="center" wrapText="1"/>
    </xf>
    <xf borderId="13" fillId="0" fontId="37" numFmtId="0" xfId="0" applyAlignment="1" applyBorder="1" applyFont="1">
      <alignment horizontal="center"/>
    </xf>
    <xf borderId="13" fillId="0" fontId="37" numFmtId="0" xfId="0" applyBorder="1" applyFont="1"/>
    <xf borderId="13" fillId="0" fontId="37" numFmtId="14" xfId="0" applyBorder="1" applyFont="1" applyNumberFormat="1"/>
    <xf borderId="0" fillId="0" fontId="36" numFmtId="0" xfId="0" applyAlignment="1" applyFont="1">
      <alignment horizontal="center" shrinkToFit="0" vertical="center" wrapText="1"/>
    </xf>
    <xf borderId="12" fillId="0" fontId="37" numFmtId="0" xfId="0" applyAlignment="1" applyBorder="1" applyFont="1">
      <alignment horizontal="center" shrinkToFit="0" vertical="center" wrapText="1"/>
    </xf>
    <xf quotePrefix="1" borderId="11" fillId="0" fontId="37" numFmtId="0" xfId="0" applyAlignment="1" applyBorder="1" applyFont="1">
      <alignment horizontal="center" shrinkToFit="0" vertical="center" wrapText="1"/>
    </xf>
    <xf borderId="20" fillId="5" fontId="37" numFmtId="0" xfId="0" applyAlignment="1" applyBorder="1" applyFont="1">
      <alignment horizontal="center" shrinkToFit="0" vertical="center" wrapText="1"/>
    </xf>
    <xf borderId="21" fillId="5" fontId="37" numFmtId="0" xfId="0" applyAlignment="1" applyBorder="1" applyFont="1">
      <alignment shrinkToFit="0" vertical="center" wrapText="1"/>
    </xf>
    <xf borderId="21" fillId="5" fontId="37" numFmtId="0" xfId="0" applyAlignment="1" applyBorder="1" applyFont="1">
      <alignment horizontal="center" shrinkToFit="0" vertical="center" wrapText="1"/>
    </xf>
    <xf borderId="19" fillId="5" fontId="36" numFmtId="0" xfId="0" applyAlignment="1" applyBorder="1" applyFont="1">
      <alignment shrinkToFit="0" vertical="center" wrapText="1"/>
    </xf>
    <xf borderId="20" fillId="2" fontId="37" numFmtId="0" xfId="0" applyAlignment="1" applyBorder="1" applyFont="1">
      <alignment horizontal="center" shrinkToFit="0" vertical="center" wrapText="1"/>
    </xf>
    <xf borderId="21" fillId="2" fontId="37" numFmtId="0" xfId="0" applyAlignment="1" applyBorder="1" applyFont="1">
      <alignment shrinkToFit="0" vertical="center" wrapText="1"/>
    </xf>
    <xf borderId="21" fillId="2" fontId="37" numFmtId="0" xfId="0" applyAlignment="1" applyBorder="1" applyFont="1">
      <alignment horizontal="center" shrinkToFit="0" vertical="center" wrapText="1"/>
    </xf>
    <xf borderId="19" fillId="2" fontId="43" numFmtId="0" xfId="0" applyBorder="1" applyFont="1"/>
    <xf borderId="11" fillId="0" fontId="44" numFmtId="0" xfId="0" applyAlignment="1" applyBorder="1" applyFont="1">
      <alignment horizontal="center" shrinkToFit="0" vertical="center" wrapText="1"/>
    </xf>
    <xf quotePrefix="1" borderId="19" fillId="5" fontId="45" numFmtId="0" xfId="0" applyBorder="1" applyFont="1"/>
    <xf quotePrefix="1" borderId="13" fillId="2" fontId="45" numFmtId="0" xfId="0" applyAlignment="1" applyBorder="1" applyFont="1">
      <alignment horizontal="center" vertical="center"/>
    </xf>
    <xf borderId="13" fillId="2" fontId="43" numFmtId="0" xfId="0" applyAlignment="1" applyBorder="1" applyFont="1">
      <alignment vertical="center"/>
    </xf>
    <xf quotePrefix="1" borderId="21" fillId="2" fontId="37" numFmtId="0" xfId="0" applyAlignment="1" applyBorder="1" applyFont="1">
      <alignment horizontal="center" shrinkToFit="0" vertical="center" wrapText="1"/>
    </xf>
    <xf borderId="19" fillId="2" fontId="36" numFmtId="0" xfId="0" applyAlignment="1" applyBorder="1" applyFont="1">
      <alignment shrinkToFit="0" vertical="center" wrapText="1"/>
    </xf>
    <xf quotePrefix="1" borderId="19" fillId="2" fontId="45" numFmtId="0" xfId="0" applyAlignment="1" applyBorder="1" applyFont="1">
      <alignment horizontal="center" vertical="center"/>
    </xf>
    <xf borderId="19" fillId="5" fontId="43" numFmtId="0" xfId="0" applyBorder="1" applyFont="1"/>
    <xf quotePrefix="1" borderId="19" fillId="2" fontId="45" numFmtId="0" xfId="0" applyBorder="1" applyFont="1"/>
    <xf quotePrefix="1" borderId="13" fillId="5" fontId="3" numFmtId="0" xfId="0" applyBorder="1" applyFont="1"/>
    <xf quotePrefix="1" borderId="19" fillId="5" fontId="46" numFmtId="0" xfId="0" applyAlignment="1" applyBorder="1" applyFont="1">
      <alignment horizontal="center"/>
    </xf>
    <xf borderId="19" fillId="5" fontId="47" numFmtId="0" xfId="0" applyBorder="1" applyFont="1"/>
    <xf borderId="13" fillId="5" fontId="43" numFmtId="0" xfId="0" applyBorder="1" applyFont="1"/>
    <xf borderId="13" fillId="5" fontId="45" numFmtId="0" xfId="0" applyBorder="1" applyFont="1"/>
    <xf borderId="13" fillId="2" fontId="37" numFmtId="0" xfId="0" applyAlignment="1" applyBorder="1" applyFont="1">
      <alignment horizontal="center" shrinkToFit="0" vertical="center" wrapText="1"/>
    </xf>
    <xf borderId="13" fillId="2" fontId="43" numFmtId="0" xfId="0" applyBorder="1" applyFont="1"/>
    <xf borderId="0" fillId="0" fontId="48" numFmtId="0" xfId="0" applyAlignment="1" applyFont="1">
      <alignment shrinkToFit="0" wrapText="1"/>
    </xf>
    <xf borderId="0" fillId="0" fontId="49" numFmtId="0" xfId="0" applyAlignment="1" applyFont="1">
      <alignment horizontal="center" shrinkToFit="0" wrapText="1"/>
    </xf>
    <xf borderId="0" fillId="0" fontId="50" numFmtId="0" xfId="0" applyAlignment="1" applyFont="1">
      <alignment shrinkToFit="0" wrapText="1"/>
    </xf>
    <xf borderId="0" fillId="0" fontId="48" numFmtId="0" xfId="0" applyAlignment="1" applyFont="1">
      <alignment horizontal="center" shrinkToFit="0" wrapText="1"/>
    </xf>
    <xf borderId="0" fillId="0" fontId="51" numFmtId="0" xfId="0" applyAlignment="1" applyFont="1">
      <alignment horizontal="center" shrinkToFit="0" wrapText="1"/>
    </xf>
    <xf borderId="8" fillId="0" fontId="48" numFmtId="0" xfId="0" applyAlignment="1" applyBorder="1" applyFont="1">
      <alignment horizontal="center" shrinkToFit="0" wrapText="1"/>
    </xf>
    <xf borderId="22" fillId="5" fontId="49" numFmtId="0" xfId="0" applyAlignment="1" applyBorder="1" applyFont="1">
      <alignment horizontal="center" shrinkToFit="0" wrapText="1"/>
    </xf>
    <xf borderId="23" fillId="5" fontId="49" numFmtId="0" xfId="0" applyAlignment="1" applyBorder="1" applyFont="1">
      <alignment horizontal="center" shrinkToFit="0" wrapText="1"/>
    </xf>
    <xf borderId="24" fillId="5" fontId="49" numFmtId="0" xfId="0" applyAlignment="1" applyBorder="1" applyFont="1">
      <alignment horizontal="center" shrinkToFit="0" wrapText="1"/>
    </xf>
    <xf borderId="22" fillId="2" fontId="50" numFmtId="0" xfId="0" applyAlignment="1" applyBorder="1" applyFont="1">
      <alignment shrinkToFit="0" wrapText="1"/>
    </xf>
    <xf borderId="20" fillId="5" fontId="49" numFmtId="0" xfId="0" applyAlignment="1" applyBorder="1" applyFont="1">
      <alignment horizontal="center" shrinkToFit="0" wrapText="1"/>
    </xf>
    <xf borderId="21" fillId="5" fontId="49" numFmtId="0" xfId="0" applyAlignment="1" applyBorder="1" applyFont="1">
      <alignment horizontal="center" shrinkToFit="0" wrapText="1"/>
    </xf>
    <xf borderId="20" fillId="2" fontId="50" numFmtId="0" xfId="0" applyAlignment="1" applyBorder="1" applyFont="1">
      <alignment shrinkToFit="0" wrapText="1"/>
    </xf>
    <xf borderId="0" fillId="0" fontId="52" numFmtId="0" xfId="0" applyAlignment="1" applyFont="1">
      <alignment horizontal="center" shrinkToFit="0" wrapText="1"/>
    </xf>
    <xf borderId="12" fillId="0" fontId="48" numFmtId="0" xfId="0" applyAlignment="1" applyBorder="1" applyFont="1">
      <alignment horizontal="center" shrinkToFit="0" wrapText="1"/>
    </xf>
    <xf borderId="11" fillId="0" fontId="48" numFmtId="0" xfId="0" applyAlignment="1" applyBorder="1" applyFont="1">
      <alignment horizontal="center" shrinkToFit="0" wrapText="1"/>
    </xf>
    <xf borderId="11" fillId="0" fontId="52" numFmtId="0" xfId="0" applyAlignment="1" applyBorder="1" applyFont="1">
      <alignment horizontal="left" shrinkToFit="0" wrapText="1"/>
    </xf>
    <xf borderId="11" fillId="0" fontId="52" numFmtId="0" xfId="0" applyAlignment="1" applyBorder="1" applyFont="1">
      <alignment horizontal="center" shrinkToFit="0" wrapText="1"/>
    </xf>
    <xf borderId="11" fillId="0" fontId="52" numFmtId="14" xfId="0" applyAlignment="1" applyBorder="1" applyFont="1" applyNumberFormat="1">
      <alignment horizontal="center" shrinkToFit="0" wrapText="1"/>
    </xf>
    <xf borderId="13" fillId="0" fontId="50" numFmtId="0" xfId="0" applyAlignment="1" applyBorder="1" applyFont="1">
      <alignment shrinkToFit="0" wrapText="1"/>
    </xf>
    <xf borderId="19" fillId="5" fontId="52" numFmtId="0" xfId="0" applyAlignment="1" applyBorder="1" applyFont="1">
      <alignment horizontal="center" shrinkToFit="0" vertical="center" wrapText="1"/>
    </xf>
    <xf borderId="20" fillId="5" fontId="48" numFmtId="0" xfId="0" applyAlignment="1" applyBorder="1" applyFont="1">
      <alignment horizontal="center" shrinkToFit="0" vertical="center" wrapText="1"/>
    </xf>
    <xf borderId="21" fillId="5" fontId="48" numFmtId="0" xfId="0" applyAlignment="1" applyBorder="1" applyFont="1">
      <alignment horizontal="center" shrinkToFit="0" vertical="center" wrapText="1"/>
    </xf>
    <xf borderId="21" fillId="5" fontId="52" numFmtId="0" xfId="0" applyAlignment="1" applyBorder="1" applyFont="1">
      <alignment horizontal="center" shrinkToFit="0" vertical="center" wrapText="1"/>
    </xf>
    <xf borderId="19" fillId="5" fontId="47" numFmtId="0" xfId="0" applyAlignment="1" applyBorder="1" applyFont="1">
      <alignment horizontal="center" vertical="center"/>
    </xf>
    <xf borderId="21" fillId="5" fontId="52" numFmtId="171" xfId="0" applyAlignment="1" applyBorder="1" applyFont="1" applyNumberFormat="1">
      <alignment horizontal="center" shrinkToFit="0" vertical="center" wrapText="1"/>
    </xf>
    <xf borderId="13" fillId="5" fontId="50" numFmtId="0" xfId="0" applyAlignment="1" applyBorder="1" applyFont="1">
      <alignment horizontal="center" shrinkToFit="0" vertical="center" wrapText="1"/>
    </xf>
    <xf borderId="13" fillId="5" fontId="50" numFmtId="0" xfId="0" applyAlignment="1" applyBorder="1" applyFont="1">
      <alignment shrinkToFit="0" wrapText="1"/>
    </xf>
    <xf borderId="19" fillId="5" fontId="50" numFmtId="0" xfId="0" applyAlignment="1" applyBorder="1" applyFont="1">
      <alignment shrinkToFit="0" wrapText="1"/>
    </xf>
    <xf borderId="19" fillId="5" fontId="53" numFmtId="0" xfId="0" applyBorder="1" applyFont="1"/>
    <xf borderId="19" fillId="5" fontId="54" numFmtId="0" xfId="0" applyAlignment="1" applyBorder="1" applyFont="1">
      <alignment horizontal="left"/>
    </xf>
    <xf quotePrefix="1" borderId="11" fillId="0" fontId="52" numFmtId="0" xfId="0" applyAlignment="1" applyBorder="1" applyFont="1">
      <alignment horizontal="center" shrinkToFit="0" wrapText="1"/>
    </xf>
    <xf borderId="19" fillId="2" fontId="52" numFmtId="0" xfId="0" applyAlignment="1" applyBorder="1" applyFont="1">
      <alignment horizontal="center" shrinkToFit="0" wrapText="1"/>
    </xf>
    <xf borderId="20" fillId="2" fontId="48" numFmtId="0" xfId="0" applyAlignment="1" applyBorder="1" applyFont="1">
      <alignment horizontal="center" shrinkToFit="0" wrapText="1"/>
    </xf>
    <xf borderId="21" fillId="2" fontId="48" numFmtId="0" xfId="0" applyAlignment="1" applyBorder="1" applyFont="1">
      <alignment horizontal="center" shrinkToFit="0" wrapText="1"/>
    </xf>
    <xf borderId="21" fillId="2" fontId="52" numFmtId="0" xfId="0" applyAlignment="1" applyBorder="1" applyFont="1">
      <alignment horizontal="left" shrinkToFit="0" wrapText="1"/>
    </xf>
    <xf borderId="21" fillId="2" fontId="52" numFmtId="0" xfId="0" applyAlignment="1" applyBorder="1" applyFont="1">
      <alignment horizontal="center" shrinkToFit="0" wrapText="1"/>
    </xf>
    <xf borderId="21" fillId="2" fontId="52" numFmtId="14" xfId="0" applyAlignment="1" applyBorder="1" applyFont="1" applyNumberFormat="1">
      <alignment horizontal="center" shrinkToFit="0" wrapText="1"/>
    </xf>
    <xf borderId="13" fillId="2" fontId="50" numFmtId="0" xfId="0" applyAlignment="1" applyBorder="1" applyFont="1">
      <alignment shrinkToFit="0" wrapText="1"/>
    </xf>
    <xf borderId="19" fillId="2" fontId="36" numFmtId="0" xfId="0" applyBorder="1" applyFont="1"/>
    <xf quotePrefix="1" borderId="21" fillId="2" fontId="52" numFmtId="0" xfId="0" applyAlignment="1" applyBorder="1" applyFont="1">
      <alignment horizontal="center" shrinkToFit="0" wrapText="1"/>
    </xf>
    <xf borderId="21" fillId="5" fontId="52" numFmtId="0" xfId="0" applyAlignment="1" applyBorder="1" applyFont="1">
      <alignment horizontal="center" shrinkToFit="0" wrapText="1"/>
    </xf>
    <xf borderId="19" fillId="2" fontId="50" numFmtId="0" xfId="0" applyAlignment="1" applyBorder="1" applyFont="1">
      <alignment shrinkToFit="0" wrapText="1"/>
    </xf>
    <xf borderId="19" fillId="2" fontId="53" numFmtId="0" xfId="0" applyBorder="1" applyFont="1"/>
    <xf borderId="11" fillId="0" fontId="52" numFmtId="171" xfId="0" applyAlignment="1" applyBorder="1" applyFont="1" applyNumberFormat="1">
      <alignment horizontal="center" shrinkToFit="0" wrapText="1"/>
    </xf>
    <xf borderId="19" fillId="15" fontId="53" numFmtId="0" xfId="0" applyBorder="1" applyFill="1" applyFont="1"/>
    <xf borderId="19" fillId="2" fontId="52" numFmtId="0" xfId="0" applyAlignment="1" applyBorder="1" applyFont="1">
      <alignment horizontal="center" shrinkToFit="0" vertical="center" wrapText="1"/>
    </xf>
    <xf borderId="20" fillId="2" fontId="48" numFmtId="0" xfId="0" applyAlignment="1" applyBorder="1" applyFont="1">
      <alignment horizontal="center" shrinkToFit="0" vertical="center" wrapText="1"/>
    </xf>
    <xf borderId="21" fillId="2" fontId="48" numFmtId="0" xfId="0" applyAlignment="1" applyBorder="1" applyFont="1">
      <alignment horizontal="center" shrinkToFit="0" vertical="center" wrapText="1"/>
    </xf>
    <xf borderId="21" fillId="2" fontId="52" numFmtId="0" xfId="0" applyAlignment="1" applyBorder="1" applyFont="1">
      <alignment horizontal="center" shrinkToFit="0" vertical="center" wrapText="1"/>
    </xf>
    <xf borderId="21" fillId="2" fontId="52" numFmtId="14" xfId="0" applyAlignment="1" applyBorder="1" applyFont="1" applyNumberFormat="1">
      <alignment horizontal="center" shrinkToFit="0" vertical="center" wrapText="1"/>
    </xf>
    <xf borderId="13" fillId="2" fontId="50" numFmtId="0" xfId="0" applyAlignment="1" applyBorder="1" applyFont="1">
      <alignment horizontal="left" shrinkToFit="0" vertical="center" wrapText="1"/>
    </xf>
    <xf borderId="13" fillId="2" fontId="50" numFmtId="0" xfId="0" applyAlignment="1" applyBorder="1" applyFont="1">
      <alignment horizontal="center" shrinkToFit="0" vertical="center" wrapText="1"/>
    </xf>
    <xf borderId="0" fillId="0" fontId="50" numFmtId="0" xfId="0" applyAlignment="1" applyFont="1">
      <alignment horizontal="center" shrinkToFit="0" vertical="center" wrapText="1"/>
    </xf>
    <xf borderId="19" fillId="5" fontId="52" numFmtId="0" xfId="0" applyAlignment="1" applyBorder="1" applyFont="1">
      <alignment horizontal="center" shrinkToFit="0" wrapText="1"/>
    </xf>
    <xf borderId="20" fillId="5" fontId="48" numFmtId="0" xfId="0" applyAlignment="1" applyBorder="1" applyFont="1">
      <alignment horizontal="center" shrinkToFit="0" wrapText="1"/>
    </xf>
    <xf borderId="21" fillId="5" fontId="48" numFmtId="0" xfId="0" applyAlignment="1" applyBorder="1" applyFont="1">
      <alignment horizontal="center" shrinkToFit="0" wrapText="1"/>
    </xf>
    <xf borderId="21" fillId="5" fontId="52" numFmtId="0" xfId="0" applyAlignment="1" applyBorder="1" applyFont="1">
      <alignment horizontal="left" shrinkToFit="0" wrapText="1"/>
    </xf>
    <xf borderId="21" fillId="5" fontId="52" numFmtId="14" xfId="0" applyAlignment="1" applyBorder="1" applyFont="1" applyNumberFormat="1">
      <alignment horizontal="center" shrinkToFit="0" wrapText="1"/>
    </xf>
    <xf borderId="0" fillId="0" fontId="49" numFmtId="0" xfId="0" applyAlignment="1" applyFont="1">
      <alignment shrinkToFit="0" wrapText="1"/>
    </xf>
    <xf borderId="15" fillId="0" fontId="49" numFmtId="0" xfId="0" applyAlignment="1" applyBorder="1" applyFont="1">
      <alignment horizontal="center" shrinkToFit="0" wrapText="1"/>
    </xf>
    <xf borderId="0" fillId="0" fontId="49" numFmtId="0" xfId="0" applyAlignment="1" applyFont="1">
      <alignment horizontal="left" shrinkToFit="0" wrapText="1"/>
    </xf>
    <xf borderId="0" fillId="0" fontId="48" numFmtId="0" xfId="0" applyAlignment="1" applyFont="1">
      <alignment horizontal="left" shrinkToFit="0" wrapText="1"/>
    </xf>
    <xf borderId="13" fillId="16" fontId="48" numFmtId="0" xfId="0" applyAlignment="1" applyBorder="1" applyFill="1" applyFont="1">
      <alignment shrinkToFit="0" wrapText="1"/>
    </xf>
    <xf borderId="13" fillId="16" fontId="48" numFmtId="0" xfId="0" applyAlignment="1" applyBorder="1" applyFont="1">
      <alignment horizontal="center" shrinkToFit="0" wrapText="1"/>
    </xf>
    <xf borderId="13" fillId="2" fontId="48" numFmtId="0" xfId="0" applyAlignment="1" applyBorder="1" applyFont="1">
      <alignment shrinkToFit="0" wrapText="1"/>
    </xf>
    <xf borderId="0" fillId="0" fontId="36" numFmtId="0" xfId="0" applyAlignment="1" applyFont="1">
      <alignment shrinkToFit="0" wrapText="1"/>
    </xf>
    <xf borderId="13" fillId="0" fontId="48" numFmtId="0" xfId="0" applyAlignment="1" applyBorder="1" applyFont="1">
      <alignment horizontal="center" shrinkToFit="0" wrapText="1"/>
    </xf>
    <xf borderId="13" fillId="17" fontId="48" numFmtId="0" xfId="0" applyAlignment="1" applyBorder="1" applyFill="1" applyFont="1">
      <alignment horizontal="center" shrinkToFit="0" wrapText="1"/>
    </xf>
    <xf borderId="19" fillId="5" fontId="55" numFmtId="0" xfId="0" applyBorder="1" applyFont="1"/>
    <xf borderId="13" fillId="0" fontId="48" numFmtId="0" xfId="0" applyAlignment="1" applyBorder="1" applyFont="1">
      <alignment shrinkToFit="0" wrapText="1"/>
    </xf>
    <xf borderId="13" fillId="5" fontId="48" numFmtId="0" xfId="0" applyAlignment="1" applyBorder="1" applyFont="1">
      <alignment horizontal="center" shrinkToFit="0" wrapText="1"/>
    </xf>
    <xf borderId="13" fillId="0" fontId="48" numFmtId="0" xfId="0" applyAlignment="1" applyBorder="1" applyFont="1">
      <alignment horizontal="right" shrinkToFit="0" wrapText="1"/>
    </xf>
    <xf borderId="13" fillId="0" fontId="48" numFmtId="11" xfId="0" applyAlignment="1" applyBorder="1" applyFont="1" applyNumberFormat="1">
      <alignment horizontal="center" shrinkToFit="0" wrapText="1"/>
    </xf>
    <xf borderId="13" fillId="5" fontId="56" numFmtId="0" xfId="0" applyAlignment="1" applyBorder="1" applyFont="1">
      <alignment horizontal="center"/>
    </xf>
    <xf borderId="13" fillId="18" fontId="48" numFmtId="0" xfId="0" applyAlignment="1" applyBorder="1" applyFill="1" applyFont="1">
      <alignment horizontal="center" shrinkToFit="0" wrapText="1"/>
    </xf>
    <xf borderId="13" fillId="2" fontId="48" numFmtId="0" xfId="0" applyAlignment="1" applyBorder="1" applyFont="1">
      <alignment horizontal="center" shrinkToFit="0" wrapText="1"/>
    </xf>
    <xf quotePrefix="1" borderId="13" fillId="0" fontId="48" numFmtId="0" xfId="0" applyAlignment="1" applyBorder="1" applyFont="1">
      <alignment horizontal="center" shrinkToFit="0" wrapText="1"/>
    </xf>
    <xf borderId="13" fillId="19" fontId="48" numFmtId="0" xfId="0" applyAlignment="1" applyBorder="1" applyFill="1" applyFont="1">
      <alignment horizontal="center" shrinkToFit="0" wrapText="1"/>
    </xf>
    <xf quotePrefix="1" borderId="13" fillId="0" fontId="48" numFmtId="0" xfId="0" applyAlignment="1" applyBorder="1" applyFont="1">
      <alignment shrinkToFit="0" wrapText="1"/>
    </xf>
    <xf borderId="13" fillId="5" fontId="48" numFmtId="0" xfId="0" applyAlignment="1" applyBorder="1" applyFont="1">
      <alignment horizontal="center" shrinkToFit="0" vertical="top" wrapText="1"/>
    </xf>
    <xf borderId="25" fillId="5" fontId="45" numFmtId="0" xfId="0" applyBorder="1" applyFont="1"/>
    <xf borderId="0" fillId="0" fontId="57" numFmtId="0" xfId="0" applyAlignment="1" applyFont="1">
      <alignment vertical="top"/>
    </xf>
    <xf borderId="19" fillId="5" fontId="45" numFmtId="0" xfId="0" applyAlignment="1" applyBorder="1" applyFont="1">
      <alignment vertical="top"/>
    </xf>
    <xf borderId="13" fillId="2" fontId="48" numFmtId="0" xfId="0" applyAlignment="1" applyBorder="1" applyFont="1">
      <alignment horizontal="center" shrinkToFit="0" vertical="center" wrapText="1"/>
    </xf>
    <xf borderId="13" fillId="0" fontId="36" numFmtId="0" xfId="0" applyAlignment="1" applyBorder="1" applyFont="1">
      <alignment shrinkToFit="0" wrapText="1"/>
    </xf>
    <xf borderId="19" fillId="5" fontId="40" numFmtId="0" xfId="0" applyAlignment="1" applyBorder="1" applyFont="1">
      <alignment horizontal="center"/>
    </xf>
    <xf borderId="0" fillId="0" fontId="36" numFmtId="0" xfId="0" applyAlignment="1" applyFont="1">
      <alignment horizontal="center" shrinkToFit="0" wrapText="1"/>
    </xf>
    <xf borderId="19" fillId="5" fontId="53" numFmtId="0" xfId="0" applyAlignment="1" applyBorder="1" applyFont="1">
      <alignment horizontal="center"/>
    </xf>
    <xf borderId="19" fillId="14" fontId="36" numFmtId="0" xfId="0" applyAlignment="1" applyBorder="1" applyFont="1">
      <alignment shrinkToFit="0" wrapText="1"/>
    </xf>
    <xf borderId="13" fillId="2" fontId="36" numFmtId="0" xfId="0" applyAlignment="1" applyBorder="1" applyFont="1">
      <alignment horizontal="center" shrinkToFit="0" wrapText="1"/>
    </xf>
    <xf borderId="13" fillId="5" fontId="53" numFmtId="0" xfId="0" applyBorder="1" applyFont="1"/>
    <xf borderId="13" fillId="5" fontId="58" numFmtId="0" xfId="0" applyAlignment="1" applyBorder="1" applyFont="1">
      <alignment horizontal="center"/>
    </xf>
    <xf borderId="13" fillId="0" fontId="58" numFmtId="0" xfId="0" applyAlignment="1" applyBorder="1" applyFont="1">
      <alignment horizontal="center"/>
    </xf>
    <xf borderId="1" fillId="0" fontId="58" numFmtId="0" xfId="0" applyAlignment="1" applyBorder="1" applyFont="1">
      <alignment horizontal="center"/>
    </xf>
    <xf borderId="1" fillId="0" fontId="58" numFmtId="0" xfId="0" applyAlignment="1" applyBorder="1" applyFont="1">
      <alignment horizontal="center" shrinkToFit="0" wrapText="1"/>
    </xf>
    <xf borderId="13" fillId="2" fontId="46" numFmtId="0" xfId="0" applyAlignment="1" applyBorder="1" applyFont="1">
      <alignment horizontal="center"/>
    </xf>
    <xf borderId="13" fillId="0" fontId="46" numFmtId="0" xfId="0" applyAlignment="1" applyBorder="1" applyFont="1">
      <alignment horizontal="center"/>
    </xf>
    <xf borderId="13" fillId="5" fontId="46" numFmtId="0" xfId="0" applyAlignment="1" applyBorder="1" applyFont="1">
      <alignment horizontal="center"/>
    </xf>
    <xf borderId="13" fillId="0" fontId="59" numFmtId="0" xfId="0" applyAlignment="1" applyBorder="1" applyFont="1">
      <alignment horizontal="center"/>
    </xf>
    <xf borderId="13" fillId="0" fontId="60" numFmtId="0" xfId="0" applyAlignment="1" applyBorder="1" applyFont="1">
      <alignment horizontal="center"/>
    </xf>
    <xf borderId="13" fillId="0" fontId="61" numFmtId="0" xfId="0" applyAlignment="1" applyBorder="1" applyFont="1">
      <alignment horizontal="center"/>
    </xf>
    <xf borderId="13" fillId="0" fontId="62" numFmtId="0" xfId="0" applyAlignment="1" applyBorder="1" applyFont="1">
      <alignment horizontal="center"/>
    </xf>
    <xf borderId="13" fillId="0" fontId="63" numFmtId="0" xfId="0" applyAlignment="1" applyBorder="1" applyFont="1">
      <alignment horizontal="center"/>
    </xf>
    <xf borderId="13" fillId="2" fontId="59" numFmtId="0" xfId="0" applyAlignment="1" applyBorder="1" applyFont="1">
      <alignment horizontal="center"/>
    </xf>
    <xf borderId="13" fillId="0" fontId="46" numFmtId="0" xfId="0" applyAlignment="1" applyBorder="1" applyFont="1">
      <alignment horizontal="left"/>
    </xf>
    <xf borderId="13" fillId="0" fontId="58" numFmtId="0" xfId="0" applyAlignment="1" applyBorder="1" applyFont="1">
      <alignment horizontal="left"/>
    </xf>
    <xf borderId="0" fillId="0" fontId="46" numFmtId="0" xfId="0" applyAlignment="1" applyFont="1">
      <alignment horizontal="left" shrinkToFit="0" wrapText="1"/>
    </xf>
    <xf borderId="0" fillId="0" fontId="46" numFmtId="0" xfId="0" applyAlignment="1" applyFont="1">
      <alignment horizontal="center"/>
    </xf>
    <xf borderId="0" fillId="0" fontId="36" numFmtId="0" xfId="0" applyAlignment="1" applyFont="1">
      <alignment horizontal="center"/>
    </xf>
    <xf borderId="13" fillId="2" fontId="36" numFmtId="0" xfId="0" applyAlignment="1" applyBorder="1" applyFont="1">
      <alignment horizontal="center"/>
    </xf>
    <xf borderId="13" fillId="2" fontId="36" numFmtId="0" xfId="0" applyAlignment="1" applyBorder="1" applyFont="1">
      <alignment horizontal="left"/>
    </xf>
    <xf borderId="13" fillId="0" fontId="36" numFmtId="0" xfId="0" applyAlignment="1" applyBorder="1" applyFont="1">
      <alignment horizontal="center"/>
    </xf>
    <xf borderId="13" fillId="0" fontId="36" numFmtId="0" xfId="0" applyBorder="1" applyFont="1"/>
    <xf quotePrefix="1" borderId="13" fillId="0" fontId="36" numFmtId="0" xfId="0" applyBorder="1" applyFont="1"/>
    <xf borderId="13" fillId="0" fontId="36" numFmtId="0" xfId="0" applyAlignment="1" applyBorder="1" applyFont="1">
      <alignment horizontal="left"/>
    </xf>
    <xf borderId="13" fillId="0" fontId="36" numFmtId="14" xfId="0" applyAlignment="1" applyBorder="1" applyFont="1" applyNumberFormat="1">
      <alignment horizontal="center"/>
    </xf>
    <xf borderId="13" fillId="0" fontId="64" numFmtId="0" xfId="0" applyAlignment="1" applyBorder="1" applyFont="1">
      <alignment horizontal="left"/>
    </xf>
    <xf borderId="19" fillId="5" fontId="65" numFmtId="0" xfId="0" applyAlignment="1" applyBorder="1" applyFont="1">
      <alignment horizontal="left"/>
    </xf>
    <xf borderId="13" fillId="0" fontId="36" numFmtId="171" xfId="0" applyAlignment="1" applyBorder="1" applyFont="1" applyNumberFormat="1">
      <alignment horizontal="center"/>
    </xf>
    <xf borderId="19" fillId="5" fontId="66" numFmtId="0" xfId="0" applyAlignment="1" applyBorder="1" applyFont="1">
      <alignment horizontal="left"/>
    </xf>
    <xf borderId="13" fillId="0" fontId="41" numFmtId="0" xfId="0" applyBorder="1" applyFont="1"/>
    <xf borderId="13" fillId="0" fontId="41" numFmtId="0" xfId="0" applyAlignment="1" applyBorder="1" applyFont="1">
      <alignment horizontal="center"/>
    </xf>
    <xf borderId="13" fillId="0" fontId="41" numFmtId="0" xfId="0" applyAlignment="1" applyBorder="1" applyFont="1">
      <alignment horizontal="left"/>
    </xf>
    <xf borderId="13" fillId="0" fontId="36" numFmtId="171" xfId="0" applyAlignment="1" applyBorder="1" applyFont="1" applyNumberFormat="1">
      <alignment horizontal="center" vertical="center"/>
    </xf>
    <xf borderId="13" fillId="0" fontId="36" numFmtId="0" xfId="0" applyAlignment="1" applyBorder="1" applyFont="1">
      <alignment horizontal="center" vertical="center"/>
    </xf>
    <xf borderId="13" fillId="0" fontId="36" numFmtId="0" xfId="0" applyAlignment="1" applyBorder="1" applyFont="1">
      <alignment horizontal="left" vertical="center"/>
    </xf>
    <xf quotePrefix="1" borderId="13" fillId="0" fontId="36" numFmtId="0" xfId="0" applyAlignment="1" applyBorder="1" applyFont="1">
      <alignment horizontal="center" vertical="center"/>
    </xf>
    <xf borderId="13" fillId="0" fontId="36" numFmtId="171" xfId="0" applyBorder="1" applyFont="1" applyNumberFormat="1"/>
    <xf borderId="0" fillId="0" fontId="36" numFmtId="0" xfId="0" applyFont="1"/>
    <xf borderId="19" fillId="5" fontId="43" numFmtId="0" xfId="0" applyAlignment="1" applyBorder="1" applyFont="1">
      <alignment vertical="top"/>
    </xf>
    <xf borderId="0" fillId="0" fontId="36" numFmtId="0" xfId="0" applyAlignment="1" applyFont="1">
      <alignment horizontal="left"/>
    </xf>
    <xf borderId="15" fillId="2" fontId="39" numFmtId="0" xfId="0" applyAlignment="1" applyBorder="1" applyFont="1">
      <alignment horizontal="center"/>
    </xf>
    <xf borderId="1" fillId="2" fontId="39" numFmtId="0" xfId="0" applyAlignment="1" applyBorder="1" applyFont="1">
      <alignment horizontal="center" vertical="center"/>
    </xf>
    <xf borderId="1" fillId="2" fontId="39" numFmtId="0" xfId="0" applyAlignment="1" applyBorder="1" applyFont="1">
      <alignment horizontal="center" shrinkToFit="0" vertical="center" wrapText="1"/>
    </xf>
    <xf borderId="1" fillId="14" fontId="67" numFmtId="0" xfId="0" applyAlignment="1" applyBorder="1" applyFont="1">
      <alignment horizontal="center" vertical="center"/>
    </xf>
    <xf borderId="15" fillId="14" fontId="67" numFmtId="0" xfId="0" applyAlignment="1" applyBorder="1" applyFont="1">
      <alignment horizontal="center"/>
    </xf>
    <xf borderId="15" fillId="2" fontId="67" numFmtId="0" xfId="0" applyAlignment="1" applyBorder="1" applyFont="1">
      <alignment horizontal="center"/>
    </xf>
    <xf borderId="13" fillId="14" fontId="67" numFmtId="0" xfId="0" applyAlignment="1" applyBorder="1" applyFont="1">
      <alignment horizontal="center"/>
    </xf>
    <xf borderId="19" fillId="14" fontId="39" numFmtId="0" xfId="0" applyAlignment="1" applyBorder="1" applyFont="1">
      <alignment horizontal="center"/>
    </xf>
    <xf borderId="13" fillId="2" fontId="67" numFmtId="0" xfId="0" applyAlignment="1" applyBorder="1" applyFont="1">
      <alignment horizontal="center"/>
    </xf>
    <xf borderId="13" fillId="2" fontId="39" numFmtId="0" xfId="0" applyBorder="1" applyFont="1"/>
    <xf borderId="13" fillId="2" fontId="36" numFmtId="0" xfId="0" applyAlignment="1" applyBorder="1" applyFont="1">
      <alignment horizontal="right"/>
    </xf>
    <xf borderId="13" fillId="0" fontId="67" numFmtId="0" xfId="0" applyAlignment="1" applyBorder="1" applyFont="1">
      <alignment horizontal="center"/>
    </xf>
    <xf borderId="13" fillId="0" fontId="50" numFmtId="0" xfId="0" applyAlignment="1" applyBorder="1" applyFont="1">
      <alignment horizontal="center"/>
    </xf>
    <xf borderId="13" fillId="0" fontId="50" numFmtId="9" xfId="0" applyAlignment="1" applyBorder="1" applyFont="1" applyNumberFormat="1">
      <alignment horizontal="center"/>
    </xf>
    <xf borderId="13" fillId="2" fontId="68" numFmtId="0" xfId="0" applyBorder="1" applyFont="1"/>
    <xf borderId="13" fillId="2" fontId="68" numFmtId="0" xfId="0" applyAlignment="1" applyBorder="1" applyFont="1">
      <alignment horizontal="right"/>
    </xf>
    <xf borderId="13" fillId="2" fontId="69" numFmtId="0" xfId="0" applyAlignment="1" applyBorder="1" applyFont="1">
      <alignment horizontal="right"/>
    </xf>
    <xf borderId="13" fillId="0" fontId="70" numFmtId="0" xfId="0" applyAlignment="1" applyBorder="1" applyFont="1">
      <alignment horizontal="center"/>
    </xf>
    <xf borderId="13" fillId="0" fontId="70" numFmtId="9" xfId="0" applyAlignment="1" applyBorder="1" applyFont="1" applyNumberFormat="1">
      <alignment horizontal="center"/>
    </xf>
    <xf borderId="13" fillId="2" fontId="36" numFmtId="0" xfId="0" applyBorder="1" applyFont="1"/>
    <xf borderId="13" fillId="2" fontId="58" numFmtId="0" xfId="0" applyAlignment="1" applyBorder="1" applyFont="1">
      <alignment horizontal="right"/>
    </xf>
    <xf borderId="13" fillId="2" fontId="39" numFmtId="0" xfId="0" applyAlignment="1" applyBorder="1" applyFont="1">
      <alignment horizontal="right"/>
    </xf>
    <xf borderId="19" fillId="5" fontId="71" numFmtId="0" xfId="0" applyAlignment="1" applyBorder="1" applyFont="1">
      <alignment horizontal="center"/>
    </xf>
    <xf borderId="15" fillId="2" fontId="71" numFmtId="0" xfId="0" applyAlignment="1" applyBorder="1" applyFont="1">
      <alignment horizontal="center"/>
    </xf>
    <xf borderId="15" fillId="2" fontId="39" numFmtId="0" xfId="0" applyAlignment="1" applyBorder="1" applyFont="1">
      <alignment horizontal="center" shrinkToFit="0" wrapText="1"/>
    </xf>
    <xf borderId="19" fillId="2" fontId="72" numFmtId="0" xfId="0" applyAlignment="1" applyBorder="1" applyFont="1">
      <alignment shrinkToFit="0" wrapText="1"/>
    </xf>
    <xf borderId="13" fillId="2" fontId="72" numFmtId="0" xfId="0" applyAlignment="1" applyBorder="1" applyFont="1">
      <alignment horizontal="center" shrinkToFit="0" wrapText="1"/>
    </xf>
    <xf borderId="13" fillId="14" fontId="73" numFmtId="0" xfId="0" applyAlignment="1" applyBorder="1" applyFont="1">
      <alignment horizontal="center"/>
    </xf>
    <xf borderId="13" fillId="2" fontId="41" numFmtId="0" xfId="0" applyAlignment="1" applyBorder="1" applyFont="1">
      <alignment horizontal="center"/>
    </xf>
    <xf borderId="13" fillId="5" fontId="36" numFmtId="0" xfId="0" applyBorder="1" applyFont="1"/>
    <xf borderId="13" fillId="5" fontId="41" numFmtId="10" xfId="0" applyAlignment="1" applyBorder="1" applyFont="1" applyNumberFormat="1">
      <alignment horizontal="center"/>
    </xf>
    <xf borderId="13" fillId="5" fontId="36" numFmtId="0" xfId="0" applyAlignment="1" applyBorder="1" applyFont="1">
      <alignment horizontal="center"/>
    </xf>
    <xf borderId="13" fillId="14" fontId="73" numFmtId="3" xfId="0" applyAlignment="1" applyBorder="1" applyFont="1" applyNumberFormat="1">
      <alignment horizontal="center"/>
    </xf>
    <xf borderId="13" fillId="14" fontId="73" numFmtId="9" xfId="0" applyAlignment="1" applyBorder="1" applyFont="1" applyNumberFormat="1">
      <alignment horizontal="center"/>
    </xf>
    <xf borderId="19" fillId="2" fontId="36" numFmtId="10" xfId="0" applyBorder="1" applyFont="1" applyNumberFormat="1"/>
    <xf borderId="13" fillId="2" fontId="42" numFmtId="0" xfId="0" applyAlignment="1" applyBorder="1" applyFont="1">
      <alignment horizontal="center"/>
    </xf>
    <xf borderId="13" fillId="5" fontId="74" numFmtId="0" xfId="0" applyAlignment="1" applyBorder="1" applyFont="1">
      <alignment horizontal="center"/>
    </xf>
    <xf borderId="13" fillId="5" fontId="61" numFmtId="0" xfId="0" applyAlignment="1" applyBorder="1" applyFont="1">
      <alignment horizontal="center"/>
    </xf>
    <xf borderId="0" fillId="0" fontId="75" numFmtId="0" xfId="0" applyFont="1"/>
    <xf borderId="0" fillId="0" fontId="76" numFmtId="0" xfId="0" applyAlignment="1" applyFont="1">
      <alignment vertical="center"/>
    </xf>
    <xf borderId="26" fillId="14" fontId="71" numFmtId="0" xfId="0" applyAlignment="1" applyBorder="1" applyFont="1">
      <alignment horizontal="center"/>
    </xf>
    <xf borderId="27" fillId="0" fontId="2" numFmtId="0" xfId="0" applyBorder="1" applyFont="1"/>
    <xf borderId="28" fillId="0" fontId="2" numFmtId="0" xfId="0" applyBorder="1" applyFont="1"/>
    <xf borderId="26" fillId="20" fontId="71" numFmtId="0" xfId="0" applyBorder="1" applyFill="1" applyFont="1"/>
    <xf borderId="15" fillId="20" fontId="39" numFmtId="0" xfId="0" applyAlignment="1" applyBorder="1" applyFont="1">
      <alignment horizontal="center" shrinkToFit="0" wrapText="1"/>
    </xf>
    <xf borderId="1" fillId="20" fontId="36" numFmtId="0" xfId="0" applyAlignment="1" applyBorder="1" applyFont="1">
      <alignment horizontal="center" shrinkToFit="0" wrapText="1"/>
    </xf>
    <xf borderId="19" fillId="5" fontId="36" numFmtId="0" xfId="0" applyBorder="1" applyFont="1"/>
    <xf borderId="29" fillId="20" fontId="72" numFmtId="0" xfId="0" applyAlignment="1" applyBorder="1" applyFont="1">
      <alignment shrinkToFit="0" vertical="center" wrapText="1"/>
    </xf>
    <xf borderId="13" fillId="20" fontId="72" numFmtId="0" xfId="0" applyAlignment="1" applyBorder="1" applyFont="1">
      <alignment horizontal="center" shrinkToFit="0" wrapText="1"/>
    </xf>
    <xf borderId="13" fillId="20" fontId="36" numFmtId="0" xfId="0" applyBorder="1" applyFont="1"/>
    <xf borderId="30" fillId="0" fontId="2" numFmtId="0" xfId="0" applyBorder="1" applyFont="1"/>
    <xf borderId="13" fillId="20" fontId="41" numFmtId="0" xfId="0" applyAlignment="1" applyBorder="1" applyFont="1">
      <alignment horizontal="center"/>
    </xf>
    <xf borderId="31" fillId="0" fontId="2" numFmtId="0" xfId="0" applyBorder="1" applyFont="1"/>
    <xf borderId="13" fillId="20" fontId="42" numFmtId="0" xfId="0" applyAlignment="1" applyBorder="1" applyFont="1">
      <alignment horizontal="center"/>
    </xf>
    <xf borderId="0" fillId="0" fontId="36" numFmtId="0" xfId="0" applyAlignment="1" applyFont="1">
      <alignment horizontal="right"/>
    </xf>
    <xf borderId="0" fillId="0" fontId="67" numFmtId="0" xfId="0" applyFont="1"/>
    <xf borderId="19" fillId="5" fontId="77" numFmtId="0" xfId="0" applyAlignment="1" applyBorder="1" applyFont="1">
      <alignment horizontal="center"/>
    </xf>
    <xf borderId="26" fillId="5" fontId="10" numFmtId="0" xfId="0" applyAlignment="1" applyBorder="1" applyFont="1">
      <alignment horizontal="center"/>
    </xf>
    <xf borderId="19" fillId="5" fontId="21" numFmtId="0" xfId="0" applyAlignment="1" applyBorder="1" applyFont="1">
      <alignment horizontal="center"/>
    </xf>
    <xf borderId="19" fillId="5" fontId="10" numFmtId="0" xfId="0" applyAlignment="1" applyBorder="1" applyFont="1">
      <alignment horizontal="center"/>
    </xf>
    <xf borderId="19" fillId="5" fontId="78" numFmtId="0" xfId="0" applyAlignment="1" applyBorder="1" applyFont="1">
      <alignment horizontal="center"/>
    </xf>
    <xf borderId="19" fillId="5" fontId="78" numFmtId="0" xfId="0" applyAlignment="1" applyBorder="1" applyFont="1">
      <alignment horizontal="center" shrinkToFit="0" wrapText="1"/>
    </xf>
    <xf borderId="13" fillId="21" fontId="77" numFmtId="0" xfId="0" applyAlignment="1" applyBorder="1" applyFill="1" applyFont="1">
      <alignment horizontal="center"/>
    </xf>
    <xf borderId="1" fillId="22" fontId="78" numFmtId="0" xfId="0" applyAlignment="1" applyBorder="1" applyFill="1" applyFont="1">
      <alignment horizontal="center" shrinkToFit="0" vertical="center" wrapText="1"/>
    </xf>
    <xf borderId="15" fillId="22" fontId="67" numFmtId="172" xfId="0" applyAlignment="1" applyBorder="1" applyFont="1" applyNumberFormat="1">
      <alignment horizontal="center" vertical="center"/>
    </xf>
    <xf borderId="32" fillId="0" fontId="2" numFmtId="0" xfId="0" applyBorder="1" applyFont="1"/>
    <xf borderId="33" fillId="0" fontId="2" numFmtId="0" xfId="0" applyBorder="1" applyFont="1"/>
    <xf borderId="13" fillId="21" fontId="72" numFmtId="0" xfId="0" applyAlignment="1" applyBorder="1" applyFont="1">
      <alignment horizontal="center" shrinkToFit="0" wrapText="1"/>
    </xf>
    <xf borderId="13" fillId="22" fontId="10" numFmtId="0" xfId="0" applyAlignment="1" applyBorder="1" applyFont="1">
      <alignment horizontal="center"/>
    </xf>
    <xf borderId="19" fillId="22" fontId="36" numFmtId="0" xfId="0" applyBorder="1" applyFont="1"/>
    <xf borderId="13" fillId="21" fontId="72" numFmtId="0" xfId="0" applyAlignment="1" applyBorder="1" applyFont="1">
      <alignment horizontal="center"/>
    </xf>
    <xf borderId="13" fillId="22" fontId="36" numFmtId="0" xfId="0" applyBorder="1" applyFont="1"/>
    <xf borderId="13" fillId="5" fontId="10" numFmtId="0" xfId="0" applyAlignment="1" applyBorder="1" applyFont="1">
      <alignment horizontal="center"/>
    </xf>
    <xf borderId="13" fillId="21" fontId="74" numFmtId="0" xfId="0" applyAlignment="1" applyBorder="1" applyFont="1">
      <alignment horizontal="center"/>
    </xf>
    <xf borderId="15" fillId="0" fontId="79" numFmtId="0" xfId="0" applyAlignment="1" applyBorder="1" applyFont="1">
      <alignment horizontal="center"/>
    </xf>
    <xf borderId="4" fillId="0" fontId="79" numFmtId="0" xfId="0" applyBorder="1" applyFont="1"/>
    <xf borderId="34" fillId="9" fontId="48" numFmtId="0" xfId="0" applyAlignment="1" applyBorder="1" applyFont="1">
      <alignment horizontal="center" shrinkToFit="0" wrapText="1"/>
    </xf>
    <xf borderId="35" fillId="9" fontId="48" numFmtId="0" xfId="0" applyAlignment="1" applyBorder="1" applyFont="1">
      <alignment horizontal="center" shrinkToFit="0" wrapText="1"/>
    </xf>
    <xf borderId="21" fillId="9" fontId="48" numFmtId="0" xfId="0" applyAlignment="1" applyBorder="1" applyFont="1">
      <alignment horizontal="center" shrinkToFit="0" wrapText="1"/>
    </xf>
    <xf borderId="20" fillId="23" fontId="48" numFmtId="0" xfId="0" applyAlignment="1" applyBorder="1" applyFill="1" applyFont="1">
      <alignment horizontal="center"/>
    </xf>
    <xf borderId="21" fillId="23" fontId="48" numFmtId="0" xfId="0" applyAlignment="1" applyBorder="1" applyFont="1">
      <alignment horizontal="center"/>
    </xf>
    <xf borderId="13" fillId="0" fontId="48" numFmtId="0" xfId="0" applyAlignment="1" applyBorder="1" applyFont="1">
      <alignment horizontal="center"/>
    </xf>
    <xf borderId="0" fillId="0" fontId="48" numFmtId="0" xfId="0" applyAlignment="1" applyFont="1">
      <alignment horizontal="center" vertical="top"/>
    </xf>
    <xf borderId="13" fillId="5" fontId="48" numFmtId="0" xfId="0" applyAlignment="1" applyBorder="1" applyFont="1">
      <alignment horizontal="center"/>
    </xf>
    <xf borderId="19" fillId="24" fontId="48" numFmtId="0" xfId="0" applyAlignment="1" applyBorder="1" applyFill="1" applyFont="1">
      <alignment horizontal="center"/>
    </xf>
    <xf borderId="13" fillId="0" fontId="48" numFmtId="14" xfId="0" applyAlignment="1" applyBorder="1" applyFont="1" applyNumberFormat="1">
      <alignment horizontal="center"/>
    </xf>
    <xf borderId="13" fillId="5" fontId="48" numFmtId="14" xfId="0" applyAlignment="1" applyBorder="1" applyFont="1" applyNumberFormat="1">
      <alignment horizontal="center"/>
    </xf>
    <xf borderId="13" fillId="5" fontId="80" numFmtId="0" xfId="0" applyAlignment="1" applyBorder="1" applyFont="1">
      <alignment horizontal="center"/>
    </xf>
    <xf borderId="13" fillId="0" fontId="48" numFmtId="171" xfId="0" applyAlignment="1" applyBorder="1" applyFont="1" applyNumberFormat="1">
      <alignment horizontal="center"/>
    </xf>
    <xf borderId="13" fillId="5" fontId="48" numFmtId="171" xfId="0" applyAlignment="1" applyBorder="1" applyFont="1" applyNumberFormat="1">
      <alignment horizontal="center"/>
    </xf>
    <xf borderId="19" fillId="5" fontId="48" numFmtId="0" xfId="0" applyAlignment="1" applyBorder="1" applyFont="1">
      <alignment horizontal="center"/>
    </xf>
    <xf borderId="13" fillId="0" fontId="81" numFmtId="0" xfId="0" applyAlignment="1" applyBorder="1" applyFont="1">
      <alignment horizontal="center"/>
    </xf>
    <xf borderId="13" fillId="23" fontId="48" numFmtId="0" xfId="0" applyAlignment="1" applyBorder="1" applyFont="1">
      <alignment horizontal="center"/>
    </xf>
    <xf borderId="13" fillId="0" fontId="48" numFmtId="173" xfId="0" applyAlignment="1" applyBorder="1" applyFont="1" applyNumberFormat="1">
      <alignment horizontal="center"/>
    </xf>
    <xf borderId="13" fillId="0" fontId="48" numFmtId="174" xfId="0" applyAlignment="1" applyBorder="1" applyFont="1" applyNumberFormat="1">
      <alignment horizontal="center"/>
    </xf>
    <xf quotePrefix="1" borderId="13" fillId="0" fontId="48" numFmtId="0" xfId="0" applyAlignment="1" applyBorder="1" applyFont="1">
      <alignment horizontal="center"/>
    </xf>
    <xf borderId="0" fillId="0" fontId="82" numFmtId="0" xfId="0" applyAlignment="1" applyFont="1">
      <alignment horizontal="center"/>
    </xf>
    <xf borderId="36" fillId="19" fontId="83" numFmtId="0" xfId="0" applyAlignment="1" applyBorder="1" applyFont="1">
      <alignment horizontal="center"/>
    </xf>
    <xf borderId="37" fillId="2" fontId="49" numFmtId="0" xfId="0" applyAlignment="1" applyBorder="1" applyFont="1">
      <alignment horizontal="center"/>
    </xf>
    <xf borderId="38" fillId="2" fontId="49" numFmtId="0" xfId="0" applyAlignment="1" applyBorder="1" applyFont="1">
      <alignment horizontal="center"/>
    </xf>
    <xf borderId="39" fillId="0" fontId="2" numFmtId="0" xfId="0" applyBorder="1" applyFont="1"/>
    <xf borderId="19" fillId="25" fontId="84" numFmtId="0" xfId="0" applyBorder="1" applyFill="1" applyFont="1"/>
    <xf borderId="26" fillId="8" fontId="49" numFmtId="0" xfId="0" applyAlignment="1" applyBorder="1" applyFont="1">
      <alignment horizontal="center"/>
    </xf>
    <xf borderId="40" fillId="0" fontId="2" numFmtId="0" xfId="0" applyBorder="1" applyFont="1"/>
    <xf borderId="0" fillId="0" fontId="49" numFmtId="0" xfId="0" applyAlignment="1" applyFont="1">
      <alignment horizontal="center"/>
    </xf>
    <xf borderId="0" fillId="0" fontId="48" numFmtId="0" xfId="0" applyAlignment="1" applyFont="1">
      <alignment horizontal="left"/>
    </xf>
    <xf borderId="41" fillId="0" fontId="48" numFmtId="0" xfId="0" applyAlignment="1" applyBorder="1" applyFont="1">
      <alignment horizontal="left"/>
    </xf>
    <xf borderId="19" fillId="8" fontId="84" numFmtId="0" xfId="0" applyBorder="1" applyFont="1"/>
    <xf borderId="0" fillId="0" fontId="48" numFmtId="0" xfId="0" applyAlignment="1" applyFont="1">
      <alignment horizontal="center"/>
    </xf>
    <xf borderId="42" fillId="0" fontId="2" numFmtId="0" xfId="0" applyBorder="1" applyFont="1"/>
    <xf borderId="43" fillId="0" fontId="48" numFmtId="0" xfId="0" applyAlignment="1" applyBorder="1" applyFont="1">
      <alignment horizontal="center"/>
    </xf>
    <xf borderId="43" fillId="0" fontId="48" numFmtId="0" xfId="0" applyAlignment="1" applyBorder="1" applyFont="1">
      <alignment horizontal="left"/>
    </xf>
    <xf borderId="1" fillId="26" fontId="49" numFmtId="0" xfId="0" applyAlignment="1" applyBorder="1" applyFill="1" applyFont="1">
      <alignment horizontal="left" shrinkToFit="0" wrapText="1"/>
    </xf>
    <xf borderId="35" fillId="27" fontId="49" numFmtId="0" xfId="0" applyAlignment="1" applyBorder="1" applyFill="1" applyFont="1">
      <alignment horizontal="left" shrinkToFit="0" wrapText="1"/>
    </xf>
    <xf borderId="1" fillId="26" fontId="79" numFmtId="0" xfId="0" applyAlignment="1" applyBorder="1" applyFont="1">
      <alignment horizontal="left" shrinkToFit="0" wrapText="1"/>
    </xf>
    <xf borderId="1" fillId="26" fontId="62" numFmtId="0" xfId="0" applyAlignment="1" applyBorder="1" applyFont="1">
      <alignment shrinkToFit="0" wrapText="1"/>
    </xf>
    <xf borderId="34" fillId="27" fontId="49" numFmtId="0" xfId="0" applyAlignment="1" applyBorder="1" applyFont="1">
      <alignment horizontal="left" shrinkToFit="0" wrapText="1"/>
    </xf>
    <xf borderId="21" fillId="27" fontId="49" numFmtId="0" xfId="0" applyAlignment="1" applyBorder="1" applyFont="1">
      <alignment horizontal="left" shrinkToFit="0" wrapText="1"/>
    </xf>
    <xf borderId="20" fillId="26" fontId="48" numFmtId="0" xfId="0" applyAlignment="1" applyBorder="1" applyFont="1">
      <alignment horizontal="left" shrinkToFit="0" wrapText="1"/>
    </xf>
    <xf borderId="21" fillId="26" fontId="48" numFmtId="0" xfId="0" applyAlignment="1" applyBorder="1" applyFont="1">
      <alignment horizontal="left" shrinkToFit="0" wrapText="1"/>
    </xf>
    <xf borderId="21" fillId="27" fontId="48" numFmtId="0" xfId="0" applyAlignment="1" applyBorder="1" applyFont="1">
      <alignment horizontal="left" shrinkToFit="0" wrapText="1"/>
    </xf>
    <xf borderId="20" fillId="2" fontId="49" numFmtId="0" xfId="0" applyAlignment="1" applyBorder="1" applyFont="1">
      <alignment horizontal="left" shrinkToFit="0" wrapText="1"/>
    </xf>
    <xf borderId="21" fillId="2" fontId="49" numFmtId="0" xfId="0" applyAlignment="1" applyBorder="1" applyFont="1">
      <alignment horizontal="left" shrinkToFit="0" wrapText="1"/>
    </xf>
    <xf borderId="21" fillId="2" fontId="48" numFmtId="0" xfId="0" applyAlignment="1" applyBorder="1" applyFont="1">
      <alignment horizontal="left" shrinkToFit="0" wrapText="1"/>
    </xf>
    <xf borderId="20" fillId="5" fontId="48" numFmtId="0" xfId="0" applyAlignment="1" applyBorder="1" applyFont="1">
      <alignment horizontal="left" shrinkToFit="0" wrapText="1"/>
    </xf>
    <xf borderId="7" fillId="0" fontId="48" numFmtId="0" xfId="0" applyAlignment="1" applyBorder="1" applyFont="1">
      <alignment horizontal="left" shrinkToFit="0" wrapText="1"/>
    </xf>
    <xf borderId="11" fillId="0" fontId="48" numFmtId="0" xfId="0" applyAlignment="1" applyBorder="1" applyFont="1">
      <alignment horizontal="left" shrinkToFit="0" wrapText="1"/>
    </xf>
    <xf borderId="21" fillId="5" fontId="48" numFmtId="0" xfId="0" applyAlignment="1" applyBorder="1" applyFont="1">
      <alignment horizontal="left" shrinkToFit="0" wrapText="1"/>
    </xf>
    <xf borderId="0" fillId="0" fontId="36" numFmtId="0" xfId="0" applyAlignment="1" applyFont="1">
      <alignment horizontal="left" shrinkToFit="0" wrapText="1"/>
    </xf>
    <xf borderId="13" fillId="0" fontId="48" numFmtId="0" xfId="0" applyAlignment="1" applyBorder="1" applyFont="1">
      <alignment horizontal="left" shrinkToFit="0" wrapText="1"/>
    </xf>
    <xf borderId="19" fillId="5" fontId="46" numFmtId="0" xfId="0" applyAlignment="1" applyBorder="1" applyFont="1">
      <alignment horizontal="left" shrinkToFit="0" wrapText="1"/>
    </xf>
    <xf borderId="13" fillId="5" fontId="36" numFmtId="0" xfId="0" applyAlignment="1" applyBorder="1" applyFont="1">
      <alignment shrinkToFit="0" wrapText="1"/>
    </xf>
    <xf borderId="19" fillId="5" fontId="36" numFmtId="0" xfId="0" applyAlignment="1" applyBorder="1" applyFont="1">
      <alignment shrinkToFit="0" wrapText="1"/>
    </xf>
    <xf borderId="13" fillId="5" fontId="46" numFmtId="0" xfId="0" applyAlignment="1" applyBorder="1" applyFont="1">
      <alignment horizontal="left" shrinkToFit="0" wrapText="1"/>
    </xf>
    <xf borderId="13" fillId="5" fontId="48" numFmtId="3" xfId="0" applyAlignment="1" applyBorder="1" applyFont="1" applyNumberFormat="1">
      <alignment horizontal="left" shrinkToFit="0" wrapText="1"/>
    </xf>
    <xf borderId="13" fillId="0" fontId="48" numFmtId="3" xfId="0" applyAlignment="1" applyBorder="1" applyFont="1" applyNumberFormat="1">
      <alignment horizontal="left" shrinkToFit="0" wrapText="1"/>
    </xf>
    <xf borderId="20" fillId="5" fontId="48" numFmtId="0" xfId="0" applyAlignment="1" applyBorder="1" applyFont="1">
      <alignment horizontal="left" shrinkToFit="0" vertical="center" wrapText="1"/>
    </xf>
    <xf borderId="21" fillId="5" fontId="48" numFmtId="0" xfId="0" applyAlignment="1" applyBorder="1" applyFont="1">
      <alignment horizontal="left" shrinkToFit="0" vertical="center" wrapText="1"/>
    </xf>
    <xf borderId="11" fillId="0" fontId="48" numFmtId="0" xfId="0" applyAlignment="1" applyBorder="1" applyFont="1">
      <alignment horizontal="left" shrinkToFit="0" vertical="center" wrapText="1"/>
    </xf>
    <xf borderId="13" fillId="0" fontId="48" numFmtId="0" xfId="0" applyAlignment="1" applyBorder="1" applyFont="1">
      <alignment horizontal="left" shrinkToFit="0" vertical="center" wrapText="1"/>
    </xf>
    <xf borderId="13" fillId="0" fontId="36" numFmtId="0" xfId="0" applyAlignment="1" applyBorder="1" applyFont="1">
      <alignment shrinkToFit="0" vertical="center" wrapText="1"/>
    </xf>
    <xf quotePrefix="1" borderId="13" fillId="0" fontId="48" numFmtId="0" xfId="0" applyAlignment="1" applyBorder="1" applyFont="1">
      <alignment horizontal="left" shrinkToFit="0" wrapText="1"/>
    </xf>
    <xf borderId="19" fillId="5" fontId="85" numFmtId="3" xfId="0" applyAlignment="1" applyBorder="1" applyFont="1" applyNumberFormat="1">
      <alignment shrinkToFit="0" wrapText="1"/>
    </xf>
    <xf borderId="11" fillId="0" fontId="37" numFmtId="0" xfId="0" applyAlignment="1" applyBorder="1" applyFont="1">
      <alignment horizontal="left" shrinkToFit="0" wrapText="1"/>
    </xf>
    <xf borderId="11" fillId="0" fontId="46" numFmtId="0" xfId="0" applyAlignment="1" applyBorder="1" applyFont="1">
      <alignment horizontal="left" shrinkToFit="0" wrapText="1"/>
    </xf>
    <xf borderId="2" fillId="0" fontId="46" numFmtId="0" xfId="0" applyAlignment="1" applyBorder="1" applyFont="1">
      <alignment shrinkToFit="0" vertical="center" wrapText="1"/>
    </xf>
    <xf quotePrefix="1" borderId="4" fillId="0" fontId="48" numFmtId="0" xfId="0" applyAlignment="1" applyBorder="1" applyFont="1">
      <alignment horizontal="left" shrinkToFit="0" wrapText="1"/>
    </xf>
    <xf quotePrefix="1" borderId="11" fillId="0" fontId="48" numFmtId="0" xfId="0" applyAlignment="1" applyBorder="1" applyFont="1">
      <alignment horizontal="left" shrinkToFit="0" wrapText="1"/>
    </xf>
    <xf borderId="21" fillId="5" fontId="37" numFmtId="0" xfId="0" applyAlignment="1" applyBorder="1" applyFont="1">
      <alignment horizontal="left" shrinkToFit="0" wrapText="1"/>
    </xf>
    <xf quotePrefix="1" borderId="13" fillId="5" fontId="48" numFmtId="0" xfId="0" applyAlignment="1" applyBorder="1" applyFont="1">
      <alignment horizontal="left" shrinkToFit="0" wrapText="1"/>
    </xf>
    <xf borderId="21" fillId="5" fontId="46" numFmtId="0" xfId="0" applyAlignment="1" applyBorder="1" applyFont="1">
      <alignment horizontal="left" shrinkToFit="0" wrapText="1"/>
    </xf>
    <xf borderId="13" fillId="5" fontId="48" numFmtId="0" xfId="0" applyAlignment="1" applyBorder="1" applyFont="1">
      <alignment horizontal="left" shrinkToFit="0" wrapText="1"/>
    </xf>
    <xf borderId="13" fillId="5" fontId="43" numFmtId="0" xfId="0" applyAlignment="1" applyBorder="1" applyFont="1">
      <alignment shrinkToFit="0" wrapText="1"/>
    </xf>
    <xf borderId="12" fillId="0" fontId="48" numFmtId="0" xfId="0" applyAlignment="1" applyBorder="1" applyFont="1">
      <alignment horizontal="left" shrinkToFit="0" wrapText="1"/>
    </xf>
    <xf borderId="13" fillId="2" fontId="48" numFmtId="0" xfId="0" applyAlignment="1" applyBorder="1" applyFont="1">
      <alignment horizontal="left" shrinkToFit="0" wrapText="1"/>
    </xf>
    <xf borderId="13" fillId="2" fontId="36" numFmtId="0" xfId="0" applyAlignment="1" applyBorder="1" applyFont="1">
      <alignment shrinkToFit="0" wrapText="1"/>
    </xf>
    <xf borderId="13" fillId="2" fontId="36" numFmtId="0" xfId="0" applyAlignment="1" applyBorder="1" applyFont="1">
      <alignment horizontal="left" shrinkToFit="0" wrapText="1"/>
    </xf>
    <xf borderId="13" fillId="2" fontId="48" numFmtId="0" xfId="0" applyAlignment="1" applyBorder="1" applyFont="1">
      <alignment shrinkToFit="0" vertical="center" wrapText="1"/>
    </xf>
    <xf borderId="13" fillId="2" fontId="37" numFmtId="0" xfId="0" applyAlignment="1" applyBorder="1" applyFont="1">
      <alignment horizontal="left" shrinkToFit="0" wrapText="1"/>
    </xf>
    <xf borderId="13" fillId="2" fontId="37" numFmtId="0" xfId="0" applyAlignment="1" applyBorder="1" applyFont="1">
      <alignment horizontal="center" shrinkToFit="0" wrapText="1"/>
    </xf>
    <xf borderId="13" fillId="2" fontId="46" numFmtId="0" xfId="0" applyAlignment="1" applyBorder="1" applyFont="1">
      <alignment shrinkToFit="0" wrapText="1"/>
    </xf>
    <xf quotePrefix="1" borderId="13" fillId="2" fontId="86" numFmtId="0" xfId="0" applyAlignment="1" applyBorder="1" applyFont="1">
      <alignment horizontal="left" shrinkToFit="0" wrapText="1"/>
    </xf>
    <xf borderId="0" fillId="0" fontId="52" numFmtId="0" xfId="0" applyAlignment="1" applyFont="1">
      <alignment shrinkToFit="0" vertical="center" wrapText="1"/>
    </xf>
    <xf borderId="0" fillId="0" fontId="52" numFmtId="0" xfId="0" applyAlignment="1" applyFont="1">
      <alignment horizontal="center" shrinkToFit="0" vertical="center" wrapText="1"/>
    </xf>
    <xf borderId="19" fillId="5" fontId="87" numFmtId="0" xfId="0" applyAlignment="1" applyBorder="1" applyFont="1">
      <alignment shrinkToFit="0" vertical="center" wrapText="1"/>
    </xf>
    <xf quotePrefix="1" borderId="0" fillId="0" fontId="52" numFmtId="0" xfId="0" applyAlignment="1" applyFont="1">
      <alignment shrinkToFit="0" vertical="center" wrapText="1"/>
    </xf>
    <xf borderId="19" fillId="5" fontId="88" numFmtId="0" xfId="0" applyAlignment="1" applyBorder="1" applyFont="1">
      <alignment shrinkToFit="0" vertical="center" wrapText="1"/>
    </xf>
    <xf borderId="19" fillId="5" fontId="56" numFmtId="0" xfId="0" applyAlignment="1" applyBorder="1" applyFont="1">
      <alignment shrinkToFit="0" vertical="center" wrapText="1"/>
    </xf>
    <xf borderId="1" fillId="26" fontId="49" numFmtId="0" xfId="0" applyAlignment="1" applyBorder="1" applyFont="1">
      <alignment horizontal="center" shrinkToFit="0" wrapText="1"/>
    </xf>
    <xf borderId="1" fillId="26" fontId="79" numFmtId="0" xfId="0" applyAlignment="1" applyBorder="1" applyFont="1">
      <alignment horizontal="center" shrinkToFit="0" wrapText="1"/>
    </xf>
    <xf borderId="35" fillId="27" fontId="49" numFmtId="0" xfId="0" applyAlignment="1" applyBorder="1" applyFont="1">
      <alignment horizontal="center" shrinkToFit="0" wrapText="1"/>
    </xf>
    <xf borderId="1" fillId="26" fontId="49" numFmtId="0" xfId="0" applyAlignment="1" applyBorder="1" applyFont="1">
      <alignment shrinkToFit="0" vertical="center" wrapText="1"/>
    </xf>
    <xf borderId="1" fillId="26" fontId="49" numFmtId="0" xfId="0" applyAlignment="1" applyBorder="1" applyFont="1">
      <alignment horizontal="left" shrinkToFit="0" vertical="center" wrapText="1"/>
    </xf>
    <xf borderId="1" fillId="0" fontId="89" numFmtId="0" xfId="0" applyAlignment="1" applyBorder="1" applyFont="1">
      <alignment horizontal="left" shrinkToFit="0" wrapText="1"/>
    </xf>
    <xf borderId="34" fillId="27" fontId="49" numFmtId="0" xfId="0" applyAlignment="1" applyBorder="1" applyFont="1">
      <alignment horizontal="center" shrinkToFit="0" wrapText="1"/>
    </xf>
    <xf borderId="21" fillId="27" fontId="49" numFmtId="0" xfId="0" applyAlignment="1" applyBorder="1" applyFont="1">
      <alignment horizontal="center" shrinkToFit="0" wrapText="1"/>
    </xf>
    <xf borderId="20" fillId="2" fontId="49" numFmtId="0" xfId="0" applyAlignment="1" applyBorder="1" applyFont="1">
      <alignment horizontal="center" shrinkToFit="0" wrapText="1"/>
    </xf>
    <xf borderId="21" fillId="2" fontId="79" numFmtId="0" xfId="0" applyAlignment="1" applyBorder="1" applyFont="1">
      <alignment horizontal="center" shrinkToFit="0" wrapText="1"/>
    </xf>
    <xf borderId="21" fillId="2" fontId="79" numFmtId="0" xfId="0" applyAlignment="1" applyBorder="1" applyFont="1">
      <alignment horizontal="left" shrinkToFit="0" wrapText="1"/>
    </xf>
    <xf borderId="21" fillId="2" fontId="49" numFmtId="0" xfId="0" applyAlignment="1" applyBorder="1" applyFont="1">
      <alignment horizontal="center" shrinkToFit="0" wrapText="1"/>
    </xf>
    <xf borderId="24" fillId="2" fontId="49" numFmtId="0" xfId="0" applyAlignment="1" applyBorder="1" applyFont="1">
      <alignment horizontal="center" shrinkToFit="0" wrapText="1"/>
    </xf>
    <xf borderId="21" fillId="2" fontId="48" numFmtId="0" xfId="0" applyAlignment="1" applyBorder="1" applyFont="1">
      <alignment shrinkToFit="0" wrapText="1"/>
    </xf>
    <xf borderId="7" fillId="0" fontId="48" numFmtId="0" xfId="0" applyAlignment="1" applyBorder="1" applyFont="1">
      <alignment horizontal="center" shrinkToFit="0" wrapText="1"/>
    </xf>
    <xf borderId="11" fillId="0" fontId="37" numFmtId="0" xfId="0" applyAlignment="1" applyBorder="1" applyFont="1">
      <alignment shrinkToFit="0" wrapText="1"/>
    </xf>
    <xf borderId="44" fillId="5" fontId="37" numFmtId="0" xfId="0" applyAlignment="1" applyBorder="1" applyFont="1">
      <alignment shrinkToFit="0" wrapText="1"/>
    </xf>
    <xf borderId="44" fillId="5" fontId="37" numFmtId="0" xfId="0" applyAlignment="1" applyBorder="1" applyFont="1">
      <alignment horizontal="center" shrinkToFit="0" wrapText="1"/>
    </xf>
    <xf borderId="11" fillId="0" fontId="37" numFmtId="0" xfId="0" applyAlignment="1" applyBorder="1" applyFont="1">
      <alignment horizontal="center" shrinkToFit="0" wrapText="1"/>
    </xf>
    <xf borderId="21" fillId="5" fontId="48" numFmtId="0" xfId="0" applyAlignment="1" applyBorder="1" applyFont="1">
      <alignment shrinkToFit="0" wrapText="1"/>
    </xf>
    <xf borderId="11" fillId="0" fontId="90" numFmtId="0" xfId="0" applyAlignment="1" applyBorder="1" applyFont="1">
      <alignment horizontal="center" shrinkToFit="0" wrapText="1"/>
    </xf>
    <xf borderId="13" fillId="0" fontId="91" numFmtId="0" xfId="0" applyAlignment="1" applyBorder="1" applyFont="1">
      <alignment horizontal="left" shrinkToFit="0" wrapText="1"/>
    </xf>
    <xf borderId="45" fillId="5" fontId="37" numFmtId="0" xfId="0" applyAlignment="1" applyBorder="1" applyFont="1">
      <alignment shrinkToFit="0" wrapText="1"/>
    </xf>
    <xf borderId="45" fillId="5" fontId="37" numFmtId="0" xfId="0" applyAlignment="1" applyBorder="1" applyFont="1">
      <alignment horizontal="center" shrinkToFit="0" wrapText="1"/>
    </xf>
    <xf borderId="8" fillId="0" fontId="37" numFmtId="0" xfId="0" applyAlignment="1" applyBorder="1" applyFont="1">
      <alignment shrinkToFit="0" wrapText="1"/>
    </xf>
    <xf borderId="2" fillId="0" fontId="37" numFmtId="0" xfId="0" applyAlignment="1" applyBorder="1" applyFont="1">
      <alignment shrinkToFit="0" wrapText="1"/>
    </xf>
    <xf borderId="13" fillId="0" fontId="37" numFmtId="0" xfId="0" applyAlignment="1" applyBorder="1" applyFont="1">
      <alignment shrinkToFit="0" wrapText="1"/>
    </xf>
    <xf borderId="13" fillId="5" fontId="37" numFmtId="0" xfId="0" applyAlignment="1" applyBorder="1" applyFont="1">
      <alignment shrinkToFit="0" wrapText="1"/>
    </xf>
    <xf borderId="13" fillId="5" fontId="37" numFmtId="0" xfId="0" applyAlignment="1" applyBorder="1" applyFont="1">
      <alignment horizontal="center" shrinkToFit="0" wrapText="1"/>
    </xf>
    <xf borderId="1" fillId="0" fontId="48" numFmtId="0" xfId="0" applyAlignment="1" applyBorder="1" applyFont="1">
      <alignment horizontal="center" shrinkToFit="0" vertical="center" wrapText="1"/>
    </xf>
    <xf borderId="24" fillId="5" fontId="37" numFmtId="0" xfId="0" applyAlignment="1" applyBorder="1" applyFont="1">
      <alignment shrinkToFit="0" wrapText="1"/>
    </xf>
    <xf borderId="1" fillId="0" fontId="48" numFmtId="0" xfId="0" applyAlignment="1" applyBorder="1" applyFont="1">
      <alignment horizontal="left" shrinkToFit="0" wrapText="1"/>
    </xf>
    <xf borderId="21" fillId="5" fontId="37" numFmtId="0" xfId="0" applyAlignment="1" applyBorder="1" applyFont="1">
      <alignment shrinkToFit="0" wrapText="1"/>
    </xf>
    <xf borderId="11" fillId="0" fontId="92" numFmtId="0" xfId="0" applyAlignment="1" applyBorder="1" applyFont="1">
      <alignment horizontal="center" shrinkToFit="0" wrapText="1"/>
    </xf>
    <xf borderId="13" fillId="0" fontId="52" numFmtId="0" xfId="0" applyAlignment="1" applyBorder="1" applyFont="1">
      <alignment horizontal="left" shrinkToFit="0" wrapText="1"/>
    </xf>
    <xf borderId="13" fillId="5" fontId="37" numFmtId="0" xfId="0" applyBorder="1" applyFont="1"/>
    <xf borderId="19" fillId="5" fontId="48" numFmtId="0" xfId="0" applyAlignment="1" applyBorder="1" applyFont="1">
      <alignment horizontal="left" shrinkToFit="0" wrapText="1"/>
    </xf>
    <xf borderId="12" fillId="0" fontId="37" numFmtId="0" xfId="0" applyAlignment="1" applyBorder="1" applyFont="1">
      <alignment horizontal="left"/>
    </xf>
    <xf borderId="13" fillId="5" fontId="52" numFmtId="0" xfId="0" applyAlignment="1" applyBorder="1" applyFont="1">
      <alignment horizontal="left" shrinkToFit="0" wrapText="1"/>
    </xf>
    <xf borderId="45" fillId="5" fontId="37" numFmtId="0" xfId="0" applyBorder="1" applyFont="1"/>
    <xf borderId="13" fillId="0" fontId="41" numFmtId="0" xfId="0" applyAlignment="1" applyBorder="1" applyFont="1">
      <alignment horizontal="center" shrinkToFit="0" wrapText="1"/>
    </xf>
    <xf borderId="24" fillId="5" fontId="48" numFmtId="0" xfId="0" applyAlignment="1" applyBorder="1" applyFont="1">
      <alignment horizontal="left" shrinkToFit="0" wrapText="1"/>
    </xf>
    <xf borderId="13" fillId="0" fontId="37" numFmtId="0" xfId="0" applyAlignment="1" applyBorder="1" applyFont="1">
      <alignment horizontal="left"/>
    </xf>
    <xf borderId="24" fillId="5" fontId="37" numFmtId="0" xfId="0" applyAlignment="1" applyBorder="1" applyFont="1">
      <alignment horizontal="center" shrinkToFit="0" wrapText="1"/>
    </xf>
    <xf borderId="11" fillId="0" fontId="48" numFmtId="0" xfId="0" applyAlignment="1" applyBorder="1" applyFont="1">
      <alignment shrinkToFit="0" wrapText="1"/>
    </xf>
    <xf borderId="21" fillId="5" fontId="37" numFmtId="0" xfId="0" applyAlignment="1" applyBorder="1" applyFont="1">
      <alignment horizontal="center" shrinkToFit="0" wrapText="1"/>
    </xf>
    <xf borderId="8" fillId="0" fontId="37" numFmtId="0" xfId="0" applyAlignment="1" applyBorder="1" applyFont="1">
      <alignment horizontal="center" shrinkToFit="0" wrapText="1"/>
    </xf>
    <xf borderId="13" fillId="0" fontId="37" numFmtId="0" xfId="0" applyAlignment="1" applyBorder="1" applyFont="1">
      <alignment horizontal="center" shrinkToFit="0" wrapText="1"/>
    </xf>
    <xf borderId="13" fillId="20" fontId="38" numFmtId="0" xfId="0" applyAlignment="1" applyBorder="1" applyFont="1">
      <alignment horizontal="center" shrinkToFit="0" wrapText="1"/>
    </xf>
    <xf borderId="24" fillId="20" fontId="38" numFmtId="0" xfId="0" applyAlignment="1" applyBorder="1" applyFont="1">
      <alignment horizontal="center" shrinkToFit="0" wrapText="1"/>
    </xf>
    <xf borderId="24" fillId="20" fontId="38" numFmtId="0" xfId="0" applyAlignment="1" applyBorder="1" applyFont="1">
      <alignment horizontal="left" shrinkToFit="0" wrapText="1"/>
    </xf>
    <xf borderId="0" fillId="0" fontId="93" numFmtId="0" xfId="0" applyAlignment="1" applyFont="1">
      <alignment shrinkToFit="0" wrapText="1"/>
    </xf>
    <xf borderId="20" fillId="28" fontId="38" numFmtId="0" xfId="0" applyAlignment="1" applyBorder="1" applyFill="1" applyFont="1">
      <alignment horizontal="center" shrinkToFit="0" wrapText="1"/>
    </xf>
    <xf borderId="21" fillId="28" fontId="38" numFmtId="0" xfId="0" applyAlignment="1" applyBorder="1" applyFont="1">
      <alignment horizontal="center" shrinkToFit="0" wrapText="1"/>
    </xf>
    <xf borderId="25" fillId="28" fontId="38" numFmtId="0" xfId="0" applyAlignment="1" applyBorder="1" applyFont="1">
      <alignment horizontal="left" shrinkToFit="0" wrapText="1"/>
    </xf>
    <xf borderId="21" fillId="28" fontId="46" numFmtId="0" xfId="0" applyAlignment="1" applyBorder="1" applyFont="1">
      <alignment shrinkToFit="0" wrapText="1"/>
    </xf>
    <xf borderId="25" fillId="28" fontId="94" numFmtId="0" xfId="0" applyAlignment="1" applyBorder="1" applyFont="1">
      <alignment horizontal="right" shrinkToFit="0" wrapText="1"/>
    </xf>
    <xf borderId="19" fillId="5" fontId="46" numFmtId="0" xfId="0" applyAlignment="1" applyBorder="1" applyFont="1">
      <alignment shrinkToFit="0" wrapText="1"/>
    </xf>
    <xf borderId="20" fillId="5" fontId="37" numFmtId="0" xfId="0" applyAlignment="1" applyBorder="1" applyFont="1">
      <alignment horizontal="left" shrinkToFit="0" wrapText="1"/>
    </xf>
    <xf borderId="21" fillId="5" fontId="38" numFmtId="0" xfId="0" applyAlignment="1" applyBorder="1" applyFont="1">
      <alignment horizontal="center" shrinkToFit="0" wrapText="1"/>
    </xf>
    <xf borderId="21" fillId="5" fontId="46" numFmtId="0" xfId="0" applyAlignment="1" applyBorder="1" applyFont="1">
      <alignment shrinkToFit="0" wrapText="1"/>
    </xf>
    <xf borderId="11" fillId="0" fontId="46" numFmtId="0" xfId="0" applyAlignment="1" applyBorder="1" applyFont="1">
      <alignment shrinkToFit="0" wrapText="1"/>
    </xf>
    <xf borderId="21" fillId="5" fontId="37" numFmtId="175" xfId="0" applyAlignment="1" applyBorder="1" applyFont="1" applyNumberFormat="1">
      <alignment horizontal="center" shrinkToFit="0" wrapText="1"/>
    </xf>
    <xf borderId="25" fillId="5" fontId="37" numFmtId="0" xfId="0" applyAlignment="1" applyBorder="1" applyFont="1">
      <alignment horizontal="left" shrinkToFit="0" wrapText="1"/>
    </xf>
    <xf borderId="11" fillId="0" fontId="37" numFmtId="175" xfId="0" applyAlignment="1" applyBorder="1" applyFont="1" applyNumberFormat="1">
      <alignment horizontal="center" shrinkToFit="0" wrapText="1"/>
    </xf>
    <xf borderId="21" fillId="5" fontId="37" numFmtId="175" xfId="0" applyAlignment="1" applyBorder="1" applyFont="1" applyNumberFormat="1">
      <alignment horizontal="center" shrinkToFit="0" vertical="center" wrapText="1"/>
    </xf>
    <xf borderId="21" fillId="25" fontId="37" numFmtId="0" xfId="0" applyAlignment="1" applyBorder="1" applyFont="1">
      <alignment horizontal="left" shrinkToFit="0" vertical="center" wrapText="1"/>
    </xf>
    <xf borderId="21" fillId="25" fontId="46" numFmtId="0" xfId="0" applyAlignment="1" applyBorder="1" applyFont="1">
      <alignment shrinkToFit="0" vertical="center" wrapText="1"/>
    </xf>
    <xf borderId="25" fillId="25" fontId="46" numFmtId="0" xfId="0" applyAlignment="1" applyBorder="1" applyFont="1">
      <alignment shrinkToFit="0" vertical="center" wrapText="1"/>
    </xf>
    <xf borderId="1" fillId="25" fontId="46" numFmtId="0" xfId="0" applyAlignment="1" applyBorder="1" applyFont="1">
      <alignment horizontal="center" shrinkToFit="0" vertical="center" wrapText="1"/>
    </xf>
    <xf borderId="21" fillId="5" fontId="46" numFmtId="0" xfId="0" applyAlignment="1" applyBorder="1" applyFont="1">
      <alignment shrinkToFit="0" vertical="center" wrapText="1"/>
    </xf>
    <xf borderId="13" fillId="25" fontId="37" numFmtId="0" xfId="0" applyAlignment="1" applyBorder="1" applyFont="1">
      <alignment horizontal="left" shrinkToFit="0" vertical="center" wrapText="1"/>
    </xf>
    <xf borderId="21" fillId="21" fontId="37" numFmtId="0" xfId="0" applyAlignment="1" applyBorder="1" applyFont="1">
      <alignment horizontal="left" shrinkToFit="0" wrapText="1"/>
    </xf>
    <xf borderId="21" fillId="21" fontId="46" numFmtId="0" xfId="0" applyAlignment="1" applyBorder="1" applyFont="1">
      <alignment shrinkToFit="0" wrapText="1"/>
    </xf>
    <xf borderId="29" fillId="21" fontId="46" numFmtId="0" xfId="0" applyAlignment="1" applyBorder="1" applyFont="1">
      <alignment horizontal="left" shrinkToFit="0" vertical="center" wrapText="1"/>
    </xf>
    <xf borderId="21" fillId="21" fontId="38" numFmtId="0" xfId="0" applyAlignment="1" applyBorder="1" applyFont="1">
      <alignment horizontal="center" shrinkToFit="0" wrapText="1"/>
    </xf>
    <xf borderId="1" fillId="29" fontId="50" numFmtId="0" xfId="0" applyAlignment="1" applyBorder="1" applyFill="1" applyFont="1">
      <alignment horizontal="center" shrinkToFit="0" vertical="center" wrapText="1"/>
    </xf>
    <xf borderId="15" fillId="2" fontId="95" numFmtId="0" xfId="0" applyAlignment="1" applyBorder="1" applyFont="1">
      <alignment horizontal="center" shrinkToFit="0" vertical="center" wrapText="1"/>
    </xf>
    <xf borderId="15" fillId="14" fontId="95" numFmtId="0" xfId="0" applyAlignment="1" applyBorder="1" applyFont="1">
      <alignment horizontal="center" shrinkToFit="0" vertical="center" wrapText="1"/>
    </xf>
    <xf borderId="13" fillId="2" fontId="95" numFmtId="0" xfId="0" applyAlignment="1" applyBorder="1" applyFont="1">
      <alignment horizontal="center" shrinkToFit="0" vertical="center" wrapText="1"/>
    </xf>
    <xf borderId="15" fillId="14" fontId="95" numFmtId="0" xfId="0" applyAlignment="1" applyBorder="1" applyFont="1">
      <alignment horizontal="center" vertical="center"/>
    </xf>
    <xf borderId="13" fillId="29" fontId="50" numFmtId="0" xfId="0" applyAlignment="1" applyBorder="1" applyFont="1">
      <alignment horizontal="center" shrinkToFit="0" vertical="center" wrapText="1"/>
    </xf>
    <xf borderId="13" fillId="20" fontId="50" numFmtId="0" xfId="0" applyAlignment="1" applyBorder="1" applyFont="1">
      <alignment horizontal="center" shrinkToFit="0" vertical="center" wrapText="1"/>
    </xf>
    <xf borderId="13" fillId="30" fontId="96" numFmtId="0" xfId="0" applyAlignment="1" applyBorder="1" applyFill="1" applyFont="1">
      <alignment horizontal="center" shrinkToFit="0" vertical="center" wrapText="1"/>
    </xf>
    <xf borderId="13" fillId="30" fontId="50" numFmtId="176" xfId="0" applyAlignment="1" applyBorder="1" applyFont="1" applyNumberFormat="1">
      <alignment horizontal="center" shrinkToFit="0" vertical="center" wrapText="1"/>
    </xf>
    <xf borderId="13" fillId="30" fontId="50" numFmtId="0" xfId="0" applyAlignment="1" applyBorder="1" applyFont="1">
      <alignment horizontal="center" shrinkToFit="0" vertical="center" wrapText="1"/>
    </xf>
    <xf borderId="1" fillId="5" fontId="97" numFmtId="171" xfId="0" applyAlignment="1" applyBorder="1" applyFont="1" applyNumberFormat="1">
      <alignment horizontal="right" vertical="center"/>
    </xf>
    <xf borderId="13" fillId="0" fontId="36" numFmtId="0" xfId="0" applyAlignment="1" applyBorder="1" applyFont="1">
      <alignment horizontal="center" shrinkToFit="0" vertical="center" wrapText="1"/>
    </xf>
    <xf borderId="13" fillId="0" fontId="36" numFmtId="176" xfId="0" applyAlignment="1" applyBorder="1" applyFont="1" applyNumberFormat="1">
      <alignment horizontal="center" vertical="center"/>
    </xf>
    <xf borderId="1" fillId="31" fontId="97" numFmtId="171" xfId="0" applyAlignment="1" applyBorder="1" applyFill="1" applyFont="1" applyNumberFormat="1">
      <alignment horizontal="right" vertical="center"/>
    </xf>
    <xf borderId="13" fillId="31" fontId="36" numFmtId="0" xfId="0" applyAlignment="1" applyBorder="1" applyFont="1">
      <alignment horizontal="center" shrinkToFit="0" vertical="center" wrapText="1"/>
    </xf>
    <xf borderId="1" fillId="26" fontId="97" numFmtId="171" xfId="0" applyAlignment="1" applyBorder="1" applyFont="1" applyNumberFormat="1">
      <alignment horizontal="right" vertical="center"/>
    </xf>
    <xf borderId="13" fillId="26" fontId="36" numFmtId="0" xfId="0" applyAlignment="1" applyBorder="1" applyFont="1">
      <alignment horizontal="center" shrinkToFit="0" vertical="center" wrapText="1"/>
    </xf>
    <xf borderId="0" fillId="0" fontId="98" numFmtId="0" xfId="0" applyFont="1"/>
    <xf borderId="0" fillId="0" fontId="36" numFmtId="176" xfId="0" applyAlignment="1" applyFont="1" applyNumberFormat="1">
      <alignment horizontal="center" vertical="center"/>
    </xf>
    <xf borderId="0" fillId="0" fontId="36" numFmtId="0" xfId="0" applyAlignment="1" applyFont="1">
      <alignment horizontal="center" vertical="center"/>
    </xf>
    <xf borderId="46" fillId="32" fontId="77" numFmtId="0" xfId="0" applyAlignment="1" applyBorder="1" applyFill="1" applyFont="1">
      <alignment horizontal="center" vertical="center"/>
    </xf>
    <xf borderId="47" fillId="32" fontId="94" numFmtId="0" xfId="0" applyAlignment="1" applyBorder="1" applyFont="1">
      <alignment horizontal="center" vertical="center"/>
    </xf>
    <xf borderId="48" fillId="0" fontId="2" numFmtId="0" xfId="0" applyBorder="1" applyFont="1"/>
    <xf borderId="49" fillId="0" fontId="2" numFmtId="0" xfId="0" applyBorder="1" applyFont="1"/>
    <xf borderId="46" fillId="32" fontId="93" numFmtId="0" xfId="0" applyAlignment="1" applyBorder="1" applyFont="1">
      <alignment horizontal="center" vertical="center"/>
    </xf>
    <xf borderId="47" fillId="14" fontId="99" numFmtId="0" xfId="0" applyAlignment="1" applyBorder="1" applyFont="1">
      <alignment horizontal="center" vertical="center"/>
    </xf>
    <xf borderId="47" fillId="32" fontId="93" numFmtId="0" xfId="0" applyAlignment="1" applyBorder="1" applyFont="1">
      <alignment horizontal="center" vertical="center"/>
    </xf>
    <xf borderId="47" fillId="20" fontId="99" numFmtId="0" xfId="0" applyAlignment="1" applyBorder="1" applyFont="1">
      <alignment horizontal="center" vertical="center"/>
    </xf>
    <xf borderId="46" fillId="32" fontId="100" numFmtId="0" xfId="0" applyAlignment="1" applyBorder="1" applyFont="1">
      <alignment horizontal="center" vertical="center"/>
    </xf>
    <xf borderId="46" fillId="32" fontId="94" numFmtId="0" xfId="0" applyAlignment="1" applyBorder="1" applyFont="1">
      <alignment horizontal="center" vertical="center"/>
    </xf>
    <xf borderId="46" fillId="32" fontId="99" numFmtId="0" xfId="0" applyAlignment="1" applyBorder="1" applyFont="1">
      <alignment horizontal="center" vertical="center"/>
    </xf>
    <xf borderId="46" fillId="20" fontId="99" numFmtId="0" xfId="0" applyAlignment="1" applyBorder="1" applyFont="1">
      <alignment horizontal="center" vertical="center"/>
    </xf>
    <xf borderId="46" fillId="20" fontId="94" numFmtId="0" xfId="0" applyAlignment="1" applyBorder="1" applyFont="1">
      <alignment horizontal="center" vertical="center"/>
    </xf>
    <xf borderId="46" fillId="0" fontId="93" numFmtId="0" xfId="0" applyAlignment="1" applyBorder="1" applyFont="1">
      <alignment horizontal="center" vertical="center"/>
    </xf>
    <xf borderId="46" fillId="0" fontId="101" numFmtId="0" xfId="0" applyAlignment="1" applyBorder="1" applyFont="1">
      <alignment horizontal="center" vertical="center"/>
    </xf>
    <xf borderId="46" fillId="20" fontId="101" numFmtId="0" xfId="0" applyAlignment="1" applyBorder="1" applyFont="1">
      <alignment horizontal="center" vertical="center"/>
    </xf>
    <xf borderId="46" fillId="20" fontId="93" numFmtId="0" xfId="0" applyAlignment="1" applyBorder="1" applyFont="1">
      <alignment horizontal="center" vertical="center"/>
    </xf>
    <xf borderId="46" fillId="32" fontId="101" numFmtId="0" xfId="0" applyAlignment="1" applyBorder="1" applyFont="1">
      <alignment horizontal="center" vertical="center"/>
    </xf>
    <xf borderId="46" fillId="28" fontId="102" numFmtId="0" xfId="0" applyAlignment="1" applyBorder="1" applyFont="1">
      <alignment horizontal="center" vertical="center"/>
    </xf>
    <xf borderId="46" fillId="14" fontId="77" numFmtId="0" xfId="0" applyAlignment="1" applyBorder="1" applyFont="1">
      <alignment horizontal="center" vertical="center"/>
    </xf>
    <xf borderId="46" fillId="14" fontId="102" numFmtId="0" xfId="0" applyAlignment="1" applyBorder="1" applyFont="1">
      <alignment horizontal="center" vertical="center"/>
    </xf>
    <xf borderId="46" fillId="14" fontId="94" numFmtId="0" xfId="0" applyAlignment="1" applyBorder="1" applyFont="1">
      <alignment horizontal="center" vertical="center"/>
    </xf>
    <xf borderId="46" fillId="33" fontId="94" numFmtId="0" xfId="0" applyAlignment="1" applyBorder="1" applyFill="1" applyFont="1">
      <alignment horizontal="center" vertical="center"/>
    </xf>
    <xf borderId="46" fillId="0" fontId="94" numFmtId="0" xfId="0" applyAlignment="1" applyBorder="1" applyFont="1">
      <alignment horizontal="center" vertical="center"/>
    </xf>
    <xf borderId="46" fillId="0" fontId="99" numFmtId="0" xfId="0" applyAlignment="1" applyBorder="1" applyFont="1">
      <alignment horizontal="center" vertical="center"/>
    </xf>
    <xf borderId="46" fillId="0" fontId="94" numFmtId="9" xfId="0" applyAlignment="1" applyBorder="1" applyFont="1" applyNumberFormat="1">
      <alignment horizontal="center" vertical="center"/>
    </xf>
    <xf borderId="46" fillId="0" fontId="99" numFmtId="1" xfId="0" applyAlignment="1" applyBorder="1" applyFont="1" applyNumberFormat="1">
      <alignment horizontal="center" vertical="center"/>
    </xf>
    <xf borderId="46" fillId="32" fontId="94" numFmtId="9" xfId="0" applyAlignment="1" applyBorder="1" applyFont="1" applyNumberFormat="1">
      <alignment horizontal="center" vertical="center"/>
    </xf>
    <xf borderId="46" fillId="19" fontId="77" numFmtId="0" xfId="0" applyAlignment="1" applyBorder="1" applyFont="1">
      <alignment horizontal="center" vertical="center"/>
    </xf>
    <xf borderId="47" fillId="19" fontId="94" numFmtId="0" xfId="0" applyAlignment="1" applyBorder="1" applyFont="1">
      <alignment horizontal="center" vertical="center"/>
    </xf>
    <xf borderId="50" fillId="2" fontId="99" numFmtId="0" xfId="0" applyAlignment="1" applyBorder="1" applyFont="1">
      <alignment horizontal="center" vertical="center"/>
    </xf>
    <xf borderId="46" fillId="2" fontId="94" numFmtId="0" xfId="0" applyAlignment="1" applyBorder="1" applyFont="1">
      <alignment horizontal="center" shrinkToFit="0" vertical="center" wrapText="1"/>
    </xf>
    <xf borderId="46" fillId="0" fontId="94" numFmtId="4" xfId="0" applyAlignment="1" applyBorder="1" applyFont="1" applyNumberFormat="1">
      <alignment horizontal="center" vertical="center"/>
    </xf>
    <xf borderId="46" fillId="2" fontId="94" numFmtId="1" xfId="0" applyAlignment="1" applyBorder="1" applyFont="1" applyNumberFormat="1">
      <alignment horizontal="center" vertical="center"/>
    </xf>
    <xf borderId="46" fillId="2" fontId="94" numFmtId="0" xfId="0" applyAlignment="1" applyBorder="1" applyFont="1">
      <alignment horizontal="center" vertical="center"/>
    </xf>
    <xf borderId="46" fillId="0" fontId="94" numFmtId="1" xfId="0" applyAlignment="1" applyBorder="1" applyFont="1" applyNumberFormat="1">
      <alignment horizontal="center" vertical="center"/>
    </xf>
    <xf borderId="46" fillId="0" fontId="77" numFmtId="9" xfId="0" applyAlignment="1" applyBorder="1" applyFont="1" applyNumberFormat="1">
      <alignment horizontal="center" vertical="center"/>
    </xf>
    <xf borderId="51" fillId="0" fontId="94" numFmtId="0" xfId="0" applyAlignment="1" applyBorder="1" applyFont="1">
      <alignment horizontal="center" vertical="center"/>
    </xf>
    <xf borderId="52" fillId="0" fontId="2" numFmtId="0" xfId="0" applyBorder="1" applyFont="1"/>
    <xf borderId="46" fillId="0" fontId="103" numFmtId="0" xfId="0" applyAlignment="1" applyBorder="1" applyFont="1">
      <alignment horizontal="center" vertical="center"/>
    </xf>
    <xf borderId="46" fillId="32" fontId="93" numFmtId="10" xfId="0" applyAlignment="1" applyBorder="1" applyFont="1" applyNumberFormat="1">
      <alignment horizontal="center" vertical="center"/>
    </xf>
    <xf borderId="46" fillId="32" fontId="93" numFmtId="4" xfId="0" applyAlignment="1" applyBorder="1" applyFont="1" applyNumberFormat="1">
      <alignment horizontal="center" vertical="center"/>
    </xf>
    <xf borderId="46" fillId="32" fontId="93" numFmtId="1" xfId="0" applyAlignment="1" applyBorder="1" applyFont="1" applyNumberFormat="1">
      <alignment horizontal="center" vertical="center"/>
    </xf>
    <xf borderId="46" fillId="32" fontId="101" numFmtId="1" xfId="0" applyAlignment="1" applyBorder="1" applyFont="1" applyNumberFormat="1">
      <alignment horizontal="center" vertical="center"/>
    </xf>
    <xf borderId="46" fillId="32" fontId="77" numFmtId="9" xfId="0" applyAlignment="1" applyBorder="1" applyFont="1" applyNumberFormat="1">
      <alignment horizontal="center" vertical="center"/>
    </xf>
    <xf borderId="47" fillId="14" fontId="99" numFmtId="10" xfId="0" applyAlignment="1" applyBorder="1" applyFont="1" applyNumberFormat="1">
      <alignment horizontal="center" vertical="center"/>
    </xf>
    <xf borderId="53" fillId="0" fontId="2" numFmtId="0" xfId="0" applyBorder="1" applyFont="1"/>
    <xf borderId="46" fillId="26" fontId="93" numFmtId="0" xfId="0" applyAlignment="1" applyBorder="1" applyFont="1">
      <alignment horizontal="center" vertical="center"/>
    </xf>
    <xf borderId="46" fillId="26" fontId="94" numFmtId="0" xfId="0" applyAlignment="1" applyBorder="1" applyFont="1">
      <alignment horizontal="center" vertical="center"/>
    </xf>
    <xf borderId="46" fillId="26" fontId="99" numFmtId="0" xfId="0" applyAlignment="1" applyBorder="1" applyFont="1">
      <alignment horizontal="center" vertical="center"/>
    </xf>
    <xf borderId="46" fillId="26" fontId="94" numFmtId="9" xfId="0" applyAlignment="1" applyBorder="1" applyFont="1" applyNumberFormat="1">
      <alignment horizontal="center" vertical="center"/>
    </xf>
    <xf borderId="46" fillId="26" fontId="94" numFmtId="1" xfId="0" applyAlignment="1" applyBorder="1" applyFont="1" applyNumberFormat="1">
      <alignment horizontal="center" vertical="center"/>
    </xf>
    <xf borderId="46" fillId="26" fontId="99" numFmtId="1" xfId="0" applyAlignment="1" applyBorder="1" applyFont="1" applyNumberFormat="1">
      <alignment horizontal="center" vertical="center"/>
    </xf>
    <xf borderId="51" fillId="26" fontId="99" numFmtId="0" xfId="0" applyAlignment="1" applyBorder="1" applyFont="1">
      <alignment horizontal="center" vertical="center"/>
    </xf>
    <xf borderId="51" fillId="26" fontId="94" numFmtId="9" xfId="0" applyAlignment="1" applyBorder="1" applyFont="1" applyNumberFormat="1">
      <alignment horizontal="center" vertical="center"/>
    </xf>
    <xf borderId="46" fillId="26" fontId="101" numFmtId="0" xfId="0" applyAlignment="1" applyBorder="1" applyFont="1">
      <alignment horizontal="center" vertical="center"/>
    </xf>
    <xf borderId="54" fillId="32" fontId="77" numFmtId="0" xfId="0" applyAlignment="1" applyBorder="1" applyFont="1">
      <alignment horizontal="center" vertical="center"/>
    </xf>
    <xf borderId="54" fillId="32" fontId="101" numFmtId="0" xfId="0" applyAlignment="1" applyBorder="1" applyFont="1">
      <alignment horizontal="center" vertical="center"/>
    </xf>
    <xf borderId="46" fillId="28" fontId="99" numFmtId="9" xfId="0" applyAlignment="1" applyBorder="1" applyFont="1" applyNumberFormat="1">
      <alignment horizontal="center" vertical="center"/>
    </xf>
    <xf borderId="46" fillId="26" fontId="99" numFmtId="9" xfId="0" applyAlignment="1" applyBorder="1" applyFont="1" applyNumberFormat="1">
      <alignment horizontal="center" vertical="center"/>
    </xf>
    <xf borderId="55" fillId="14" fontId="99" numFmtId="0" xfId="0" applyAlignment="1" applyBorder="1" applyFont="1">
      <alignment horizontal="center" vertical="center"/>
    </xf>
    <xf borderId="56" fillId="14" fontId="99" numFmtId="0" xfId="0" applyAlignment="1" applyBorder="1" applyFont="1">
      <alignment horizontal="center" vertical="center"/>
    </xf>
    <xf borderId="57" fillId="14" fontId="99" numFmtId="0" xfId="0" applyAlignment="1" applyBorder="1" applyFont="1">
      <alignment horizontal="center" vertical="center"/>
    </xf>
    <xf borderId="54" fillId="32" fontId="93" numFmtId="0" xfId="0" applyAlignment="1" applyBorder="1" applyFont="1">
      <alignment horizontal="center" vertical="center"/>
    </xf>
    <xf borderId="47" fillId="0" fontId="93" numFmtId="0" xfId="0" applyAlignment="1" applyBorder="1" applyFont="1">
      <alignment horizontal="center" vertical="center"/>
    </xf>
    <xf borderId="58" fillId="0" fontId="10" numFmtId="0" xfId="0" applyAlignment="1" applyBorder="1" applyFont="1">
      <alignment horizontal="center"/>
    </xf>
    <xf borderId="49" fillId="0" fontId="94" numFmtId="0" xfId="0" applyAlignment="1" applyBorder="1" applyFont="1">
      <alignment horizontal="center" vertical="center"/>
    </xf>
    <xf borderId="46" fillId="2" fontId="94" numFmtId="9" xfId="0" applyAlignment="1" applyBorder="1" applyFont="1" applyNumberFormat="1">
      <alignment horizontal="center" vertical="center"/>
    </xf>
    <xf borderId="46" fillId="2" fontId="94" numFmtId="3" xfId="0" applyAlignment="1" applyBorder="1" applyFont="1" applyNumberFormat="1">
      <alignment horizontal="center" vertical="center"/>
    </xf>
    <xf borderId="58" fillId="0" fontId="94" numFmtId="0" xfId="0" applyAlignment="1" applyBorder="1" applyFont="1">
      <alignment horizontal="center" vertical="center"/>
    </xf>
    <xf borderId="58" fillId="0" fontId="93" numFmtId="0" xfId="0" applyAlignment="1" applyBorder="1" applyFont="1">
      <alignment horizontal="center" vertical="center"/>
    </xf>
    <xf borderId="59" fillId="0" fontId="94" numFmtId="0" xfId="0" applyAlignment="1" applyBorder="1" applyFont="1">
      <alignment horizontal="center" vertical="center"/>
    </xf>
    <xf borderId="46" fillId="0" fontId="10" numFmtId="0" xfId="0" applyAlignment="1" applyBorder="1" applyFont="1">
      <alignment horizontal="center"/>
    </xf>
    <xf borderId="51" fillId="0" fontId="99" numFmtId="0" xfId="0" applyAlignment="1" applyBorder="1" applyFont="1">
      <alignment horizontal="center" vertical="center"/>
    </xf>
    <xf borderId="51" fillId="2" fontId="94" numFmtId="9" xfId="0" applyAlignment="1" applyBorder="1" applyFont="1" applyNumberFormat="1">
      <alignment horizontal="center" vertical="center"/>
    </xf>
    <xf borderId="59" fillId="0" fontId="10" numFmtId="0" xfId="0" applyAlignment="1" applyBorder="1" applyFont="1">
      <alignment horizontal="center"/>
    </xf>
    <xf borderId="47" fillId="0" fontId="94" numFmtId="0" xfId="0" applyAlignment="1" applyBorder="1" applyFont="1">
      <alignment horizontal="center" vertical="center"/>
    </xf>
    <xf borderId="55" fillId="5" fontId="93" numFmtId="0" xfId="0" applyAlignment="1" applyBorder="1" applyFont="1">
      <alignment horizontal="center" vertical="center"/>
    </xf>
    <xf borderId="58" fillId="5" fontId="10" numFmtId="0" xfId="0" applyAlignment="1" applyBorder="1" applyFont="1">
      <alignment horizontal="center"/>
    </xf>
    <xf borderId="57" fillId="5" fontId="94" numFmtId="0" xfId="0" applyAlignment="1" applyBorder="1" applyFont="1">
      <alignment horizontal="center" vertical="center"/>
    </xf>
    <xf borderId="46" fillId="5" fontId="94" numFmtId="0" xfId="0" applyAlignment="1" applyBorder="1" applyFont="1">
      <alignment horizontal="center" vertical="center"/>
    </xf>
    <xf borderId="46" fillId="5" fontId="93" numFmtId="0" xfId="0" applyAlignment="1" applyBorder="1" applyFont="1">
      <alignment horizontal="center" vertical="center"/>
    </xf>
    <xf borderId="46" fillId="5" fontId="99" numFmtId="0" xfId="0" applyAlignment="1" applyBorder="1" applyFont="1">
      <alignment horizontal="center" vertical="center"/>
    </xf>
    <xf borderId="46" fillId="5" fontId="94" numFmtId="1" xfId="0" applyAlignment="1" applyBorder="1" applyFont="1" applyNumberFormat="1">
      <alignment horizontal="center" vertical="center"/>
    </xf>
    <xf borderId="46" fillId="5" fontId="99" numFmtId="1" xfId="0" applyAlignment="1" applyBorder="1" applyFont="1" applyNumberFormat="1">
      <alignment horizontal="center" vertical="center"/>
    </xf>
    <xf borderId="46" fillId="5" fontId="94" numFmtId="9" xfId="0" applyAlignment="1" applyBorder="1" applyFont="1" applyNumberFormat="1">
      <alignment horizontal="center" vertical="center"/>
    </xf>
    <xf borderId="46" fillId="2" fontId="93" numFmtId="10" xfId="0" applyAlignment="1" applyBorder="1" applyFont="1" applyNumberFormat="1">
      <alignment horizontal="center" vertical="center"/>
    </xf>
    <xf borderId="46" fillId="2" fontId="93" numFmtId="0" xfId="0" applyAlignment="1" applyBorder="1" applyFont="1">
      <alignment horizontal="center" vertical="center"/>
    </xf>
    <xf borderId="60" fillId="32" fontId="101" numFmtId="0" xfId="0" applyAlignment="1" applyBorder="1" applyFont="1">
      <alignment horizontal="center" vertical="center"/>
    </xf>
    <xf borderId="46" fillId="32" fontId="101" numFmtId="10" xfId="0" applyAlignment="1" applyBorder="1" applyFont="1" applyNumberFormat="1">
      <alignment horizontal="center" vertical="center"/>
    </xf>
    <xf borderId="46" fillId="0" fontId="94" numFmtId="3" xfId="0" applyAlignment="1" applyBorder="1" applyFont="1" applyNumberFormat="1">
      <alignment horizontal="center" vertical="center"/>
    </xf>
    <xf borderId="46" fillId="32" fontId="93" numFmtId="3" xfId="0" applyAlignment="1" applyBorder="1" applyFont="1" applyNumberFormat="1">
      <alignment horizontal="center" vertical="center"/>
    </xf>
    <xf borderId="46" fillId="0" fontId="36" numFmtId="0" xfId="0" applyAlignment="1" applyBorder="1" applyFont="1">
      <alignment horizontal="center" vertical="center"/>
    </xf>
    <xf borderId="46" fillId="0" fontId="61" numFmtId="0" xfId="0" applyAlignment="1" applyBorder="1" applyFont="1">
      <alignment horizontal="center" vertical="center"/>
    </xf>
    <xf borderId="47" fillId="2" fontId="77" numFmtId="0" xfId="0" applyAlignment="1" applyBorder="1" applyFont="1">
      <alignment horizontal="center" vertical="center"/>
    </xf>
    <xf borderId="46" fillId="2" fontId="101" numFmtId="0" xfId="0" applyAlignment="1" applyBorder="1" applyFont="1">
      <alignment horizontal="center" vertical="center"/>
    </xf>
    <xf borderId="46" fillId="0" fontId="36" numFmtId="9" xfId="0" applyAlignment="1" applyBorder="1" applyFont="1" applyNumberFormat="1">
      <alignment horizontal="center" vertical="center"/>
    </xf>
    <xf borderId="46" fillId="2" fontId="77" numFmtId="0" xfId="0" applyAlignment="1" applyBorder="1" applyFont="1">
      <alignment horizontal="center" vertical="center"/>
    </xf>
    <xf borderId="46" fillId="2" fontId="102" numFmtId="0" xfId="0" applyAlignment="1" applyBorder="1" applyFont="1">
      <alignment horizontal="center" vertical="center"/>
    </xf>
    <xf borderId="46" fillId="5" fontId="102" numFmtId="0" xfId="0" applyAlignment="1" applyBorder="1" applyFont="1">
      <alignment horizontal="center" vertical="center"/>
    </xf>
    <xf borderId="46" fillId="0" fontId="99" numFmtId="9" xfId="0" applyAlignment="1" applyBorder="1" applyFont="1" applyNumberFormat="1">
      <alignment horizontal="center" vertical="center"/>
    </xf>
    <xf borderId="46" fillId="0" fontId="61" numFmtId="0" xfId="0" applyAlignment="1" applyBorder="1" applyFont="1">
      <alignment horizontal="center"/>
    </xf>
    <xf borderId="47" fillId="19" fontId="10" numFmtId="0" xfId="0" applyAlignment="1" applyBorder="1" applyFont="1">
      <alignment horizontal="center"/>
    </xf>
    <xf borderId="46" fillId="19" fontId="94" numFmtId="0" xfId="0" applyAlignment="1" applyBorder="1" applyFont="1">
      <alignment horizontal="center" vertical="center"/>
    </xf>
    <xf borderId="56" fillId="14" fontId="99" numFmtId="10" xfId="0" applyAlignment="1" applyBorder="1" applyFont="1" applyNumberFormat="1">
      <alignment horizontal="center" vertical="center"/>
    </xf>
    <xf borderId="57" fillId="2" fontId="93" numFmtId="0" xfId="0" applyAlignment="1" applyBorder="1" applyFont="1">
      <alignment horizontal="center" vertical="center"/>
    </xf>
    <xf borderId="19" fillId="32" fontId="94" numFmtId="0" xfId="0" applyAlignment="1" applyBorder="1" applyFont="1">
      <alignment horizontal="center" vertical="center"/>
    </xf>
    <xf borderId="46" fillId="2" fontId="104" numFmtId="0" xfId="0" applyAlignment="1" applyBorder="1" applyFont="1">
      <alignment horizontal="center"/>
    </xf>
    <xf borderId="46" fillId="32" fontId="78" numFmtId="0" xfId="0" applyAlignment="1" applyBorder="1" applyFont="1">
      <alignment horizontal="center"/>
    </xf>
    <xf borderId="51" fillId="0" fontId="94" numFmtId="9" xfId="0" applyAlignment="1" applyBorder="1" applyFont="1" applyNumberFormat="1">
      <alignment horizontal="center" vertical="center"/>
    </xf>
    <xf borderId="46" fillId="0" fontId="78" numFmtId="0" xfId="0" applyAlignment="1" applyBorder="1" applyFont="1">
      <alignment horizontal="center"/>
    </xf>
    <xf borderId="19" fillId="5" fontId="94" numFmtId="0" xfId="0" applyAlignment="1" applyBorder="1" applyFont="1">
      <alignment horizontal="center"/>
    </xf>
    <xf borderId="46" fillId="0" fontId="99" numFmtId="0" xfId="0" applyAlignment="1" applyBorder="1" applyFont="1">
      <alignment horizontal="center"/>
    </xf>
    <xf borderId="47" fillId="14" fontId="99" numFmtId="0" xfId="0" applyAlignment="1" applyBorder="1" applyFont="1">
      <alignment horizontal="left" vertical="center"/>
    </xf>
    <xf borderId="11" fillId="0" fontId="10" numFmtId="0" xfId="0" applyAlignment="1" applyBorder="1" applyFont="1">
      <alignment horizontal="center"/>
    </xf>
    <xf borderId="11" fillId="0" fontId="36" numFmtId="0" xfId="0" applyBorder="1" applyFont="1"/>
    <xf borderId="46" fillId="19" fontId="102" numFmtId="0" xfId="0" applyAlignment="1" applyBorder="1" applyFont="1">
      <alignment horizontal="center" vertical="center"/>
    </xf>
    <xf borderId="46" fillId="32" fontId="101" numFmtId="9" xfId="0" applyAlignment="1" applyBorder="1" applyFont="1" applyNumberFormat="1">
      <alignment horizontal="center" vertical="center"/>
    </xf>
    <xf borderId="46" fillId="0" fontId="61" numFmtId="10" xfId="0" applyAlignment="1" applyBorder="1" applyFont="1" applyNumberFormat="1">
      <alignment horizontal="center" vertical="center"/>
    </xf>
    <xf borderId="15" fillId="34" fontId="78" numFmtId="0" xfId="0" applyAlignment="1" applyBorder="1" applyFill="1" applyFont="1">
      <alignment horizontal="center"/>
    </xf>
    <xf borderId="15" fillId="35" fontId="72" numFmtId="0" xfId="0" applyAlignment="1" applyBorder="1" applyFill="1" applyFont="1">
      <alignment horizontal="center"/>
    </xf>
    <xf borderId="15" fillId="2" fontId="72" numFmtId="0" xfId="0" applyAlignment="1" applyBorder="1" applyFont="1">
      <alignment horizontal="center"/>
    </xf>
    <xf borderId="47" fillId="2" fontId="67" numFmtId="0" xfId="0" applyAlignment="1" applyBorder="1" applyFont="1">
      <alignment horizontal="center" vertical="center"/>
    </xf>
    <xf borderId="47" fillId="2" fontId="36" numFmtId="0" xfId="0" applyAlignment="1" applyBorder="1" applyFont="1">
      <alignment horizontal="center" vertical="center"/>
    </xf>
    <xf borderId="46" fillId="2" fontId="36" numFmtId="0" xfId="0" applyAlignment="1" applyBorder="1" applyFont="1">
      <alignment horizontal="center" vertical="center"/>
    </xf>
    <xf borderId="13" fillId="19" fontId="72" numFmtId="0" xfId="0" applyAlignment="1" applyBorder="1" applyFont="1">
      <alignment horizontal="center" shrinkToFit="0" vertical="center" wrapText="1"/>
    </xf>
    <xf borderId="13" fillId="0" fontId="72" numFmtId="0" xfId="0" applyAlignment="1" applyBorder="1" applyFont="1">
      <alignment horizontal="center" shrinkToFit="0" wrapText="1"/>
    </xf>
    <xf borderId="13" fillId="0" fontId="74" numFmtId="0" xfId="0" applyAlignment="1" applyBorder="1" applyFont="1">
      <alignment horizontal="center" shrinkToFit="0" wrapText="1"/>
    </xf>
    <xf borderId="15" fillId="0" fontId="74" numFmtId="0" xfId="0" applyAlignment="1" applyBorder="1" applyFont="1">
      <alignment horizontal="center" shrinkToFit="0" wrapText="1"/>
    </xf>
    <xf borderId="13" fillId="0" fontId="72" numFmtId="3" xfId="0" applyAlignment="1" applyBorder="1" applyFont="1" applyNumberFormat="1">
      <alignment horizontal="center" shrinkToFit="0" wrapText="1"/>
    </xf>
    <xf borderId="13" fillId="0" fontId="72" numFmtId="49" xfId="0" applyAlignment="1" applyBorder="1" applyFont="1" applyNumberFormat="1">
      <alignment horizontal="center" shrinkToFit="0" wrapText="1"/>
    </xf>
    <xf borderId="13" fillId="20" fontId="10" numFmtId="0" xfId="0" applyAlignment="1" applyBorder="1" applyFont="1">
      <alignment horizontal="center" shrinkToFit="0" wrapText="1"/>
    </xf>
    <xf borderId="13" fillId="0" fontId="10" numFmtId="0" xfId="0" applyAlignment="1" applyBorder="1" applyFont="1">
      <alignment horizontal="center" shrinkToFit="0" wrapText="1"/>
    </xf>
    <xf borderId="13" fillId="0" fontId="10" numFmtId="0" xfId="0" applyAlignment="1" applyBorder="1" applyFont="1">
      <alignment shrinkToFit="0" wrapText="1"/>
    </xf>
    <xf borderId="46" fillId="20" fontId="39" numFmtId="0" xfId="0" applyAlignment="1" applyBorder="1" applyFont="1">
      <alignment horizontal="center" vertical="center"/>
    </xf>
    <xf borderId="46" fillId="20" fontId="102" numFmtId="0" xfId="0" applyAlignment="1" applyBorder="1" applyFont="1">
      <alignment horizontal="center" vertical="center"/>
    </xf>
    <xf borderId="13" fillId="0" fontId="72" numFmtId="0" xfId="0" applyAlignment="1" applyBorder="1" applyFont="1">
      <alignment horizontal="center"/>
    </xf>
    <xf borderId="13" fillId="0" fontId="41" numFmtId="10" xfId="0" applyAlignment="1" applyBorder="1" applyFont="1" applyNumberFormat="1">
      <alignment horizontal="center"/>
    </xf>
    <xf borderId="13" fillId="0" fontId="74" numFmtId="0" xfId="0" applyAlignment="1" applyBorder="1" applyFont="1">
      <alignment horizontal="center"/>
    </xf>
    <xf borderId="13" fillId="20" fontId="10" numFmtId="0" xfId="0" applyAlignment="1" applyBorder="1" applyFont="1">
      <alignment horizontal="center"/>
    </xf>
    <xf borderId="13" fillId="0" fontId="10" numFmtId="0" xfId="0" applyAlignment="1" applyBorder="1" applyFont="1">
      <alignment horizontal="center"/>
    </xf>
    <xf borderId="13" fillId="0" fontId="10" numFmtId="0" xfId="0" applyAlignment="1" applyBorder="1" applyFont="1">
      <alignment horizontal="right"/>
    </xf>
    <xf borderId="46" fillId="20" fontId="36" numFmtId="0" xfId="0" applyAlignment="1" applyBorder="1" applyFont="1">
      <alignment horizontal="center" vertical="center"/>
    </xf>
    <xf borderId="46" fillId="20" fontId="36" numFmtId="10" xfId="0" applyAlignment="1" applyBorder="1" applyFont="1" applyNumberFormat="1">
      <alignment horizontal="center" vertical="center"/>
    </xf>
    <xf borderId="13" fillId="5" fontId="41" numFmtId="0" xfId="0" applyAlignment="1" applyBorder="1" applyFont="1">
      <alignment horizontal="center"/>
    </xf>
    <xf borderId="13" fillId="5" fontId="72" numFmtId="0" xfId="0" applyAlignment="1" applyBorder="1" applyFont="1">
      <alignment horizontal="center"/>
    </xf>
    <xf borderId="13" fillId="0" fontId="42" numFmtId="0" xfId="0" applyAlignment="1" applyBorder="1" applyFont="1">
      <alignment horizontal="center"/>
    </xf>
    <xf borderId="13" fillId="0" fontId="99" numFmtId="0" xfId="0" applyAlignment="1" applyBorder="1" applyFont="1">
      <alignment horizontal="center"/>
    </xf>
    <xf borderId="13" fillId="36" fontId="10" numFmtId="0" xfId="0" applyAlignment="1" applyBorder="1" applyFill="1" applyFont="1">
      <alignment horizontal="center"/>
    </xf>
    <xf borderId="13" fillId="2" fontId="10" numFmtId="0" xfId="0" applyAlignment="1" applyBorder="1" applyFont="1">
      <alignment horizontal="right"/>
    </xf>
    <xf borderId="46" fillId="20" fontId="61" numFmtId="0" xfId="0" applyAlignment="1" applyBorder="1" applyFont="1">
      <alignment horizontal="center" vertical="center"/>
    </xf>
    <xf borderId="46" fillId="2" fontId="99" numFmtId="9" xfId="0" applyAlignment="1" applyBorder="1" applyFont="1" applyNumberFormat="1">
      <alignment horizontal="center" vertical="center"/>
    </xf>
    <xf borderId="46" fillId="2" fontId="61" numFmtId="0" xfId="0" applyAlignment="1" applyBorder="1" applyFont="1">
      <alignment horizontal="center" vertical="center"/>
    </xf>
    <xf borderId="47" fillId="14" fontId="67" numFmtId="0" xfId="0" applyAlignment="1" applyBorder="1" applyFont="1">
      <alignment horizontal="center" vertical="center"/>
    </xf>
    <xf borderId="47" fillId="20" fontId="36" numFmtId="0" xfId="0" applyAlignment="1" applyBorder="1" applyFont="1">
      <alignment horizontal="center" vertical="center"/>
    </xf>
    <xf borderId="20" fillId="19" fontId="78" numFmtId="0" xfId="0" applyAlignment="1" applyBorder="1" applyFont="1">
      <alignment horizontal="center"/>
    </xf>
    <xf borderId="21" fillId="19" fontId="78" numFmtId="0" xfId="0" applyAlignment="1" applyBorder="1" applyFont="1">
      <alignment horizontal="center"/>
    </xf>
    <xf borderId="21" fillId="19" fontId="78" numFmtId="0" xfId="0" applyBorder="1" applyFont="1"/>
    <xf borderId="13" fillId="19" fontId="78" numFmtId="0" xfId="0" applyAlignment="1" applyBorder="1" applyFont="1">
      <alignment horizontal="center"/>
    </xf>
    <xf borderId="54" fillId="14" fontId="102" numFmtId="0" xfId="0" applyAlignment="1" applyBorder="1" applyFont="1">
      <alignment horizontal="center" vertical="center"/>
    </xf>
    <xf borderId="12" fillId="0" fontId="10" numFmtId="0" xfId="0" applyAlignment="1" applyBorder="1" applyFont="1">
      <alignment horizontal="center"/>
    </xf>
    <xf borderId="11" fillId="0" fontId="78" numFmtId="0" xfId="0" applyAlignment="1" applyBorder="1" applyFont="1">
      <alignment horizontal="center"/>
    </xf>
    <xf borderId="11" fillId="0" fontId="10" numFmtId="10" xfId="0" applyAlignment="1" applyBorder="1" applyFont="1" applyNumberFormat="1">
      <alignment horizontal="center"/>
    </xf>
    <xf borderId="55" fillId="2" fontId="39" numFmtId="0" xfId="0" applyAlignment="1" applyBorder="1" applyFont="1">
      <alignment horizontal="center" vertical="center"/>
    </xf>
    <xf borderId="46" fillId="2" fontId="36" numFmtId="1" xfId="0" applyAlignment="1" applyBorder="1" applyFont="1" applyNumberFormat="1">
      <alignment horizontal="center"/>
    </xf>
    <xf borderId="57" fillId="2" fontId="36" numFmtId="9" xfId="0" applyAlignment="1" applyBorder="1" applyFont="1" applyNumberFormat="1">
      <alignment horizontal="center" vertical="center"/>
    </xf>
    <xf borderId="46" fillId="5" fontId="36" numFmtId="0" xfId="0" applyAlignment="1" applyBorder="1" applyFont="1">
      <alignment horizontal="center" vertical="center"/>
    </xf>
    <xf borderId="46" fillId="20" fontId="46" numFmtId="10" xfId="0" applyAlignment="1" applyBorder="1" applyFont="1" applyNumberFormat="1">
      <alignment horizontal="center" vertical="center"/>
    </xf>
    <xf borderId="20" fillId="5" fontId="10" numFmtId="0" xfId="0" applyAlignment="1" applyBorder="1" applyFont="1">
      <alignment horizontal="center"/>
    </xf>
    <xf borderId="21" fillId="5" fontId="10" numFmtId="0" xfId="0" applyAlignment="1" applyBorder="1" applyFont="1">
      <alignment horizontal="center"/>
    </xf>
    <xf borderId="21" fillId="5" fontId="78" numFmtId="0" xfId="0" applyAlignment="1" applyBorder="1" applyFont="1">
      <alignment horizontal="center"/>
    </xf>
    <xf borderId="11" fillId="0" fontId="36" numFmtId="0" xfId="0" applyAlignment="1" applyBorder="1" applyFont="1">
      <alignment horizontal="center"/>
    </xf>
    <xf borderId="12" fillId="0" fontId="99" numFmtId="0" xfId="0" applyAlignment="1" applyBorder="1" applyFont="1">
      <alignment horizontal="center"/>
    </xf>
    <xf borderId="11" fillId="0" fontId="77" numFmtId="0" xfId="0" applyAlignment="1" applyBorder="1" applyFont="1">
      <alignment horizontal="center"/>
    </xf>
    <xf borderId="11" fillId="0" fontId="99" numFmtId="10" xfId="0" applyAlignment="1" applyBorder="1" applyFont="1" applyNumberFormat="1">
      <alignment horizontal="center"/>
    </xf>
    <xf borderId="11" fillId="0" fontId="99" numFmtId="0" xfId="0" applyAlignment="1" applyBorder="1" applyFont="1">
      <alignment horizontal="center"/>
    </xf>
    <xf borderId="46" fillId="2" fontId="58" numFmtId="0" xfId="0" applyAlignment="1" applyBorder="1" applyFont="1">
      <alignment horizontal="center" vertical="center"/>
    </xf>
    <xf borderId="60" fillId="2" fontId="61" numFmtId="0" xfId="0" applyAlignment="1" applyBorder="1" applyFont="1">
      <alignment horizontal="center" vertical="center"/>
    </xf>
    <xf borderId="46" fillId="2" fontId="61" numFmtId="9" xfId="0" applyAlignment="1" applyBorder="1" applyFont="1" applyNumberFormat="1">
      <alignment horizontal="center" vertical="center"/>
    </xf>
    <xf borderId="46" fillId="5" fontId="61" numFmtId="0" xfId="0" applyAlignment="1" applyBorder="1" applyFont="1">
      <alignment horizontal="center" vertical="center"/>
    </xf>
    <xf borderId="46" fillId="20" fontId="61" numFmtId="10" xfId="0" applyAlignment="1" applyBorder="1" applyFont="1" applyNumberFormat="1">
      <alignment horizontal="center" vertical="center"/>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7"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drive/folders/1hoZmvBZ80okWHy_BBu36XD291JZHhqor?usp=drive_link" TargetMode="External"/><Relationship Id="rId20" Type="http://schemas.openxmlformats.org/officeDocument/2006/relationships/hyperlink" Target="https://drive.google.com/file/d/1j-KxrF8UgWcnmp6eC9jk4zV2jPGzonP1/view?usp=drive_link" TargetMode="External"/><Relationship Id="rId42" Type="http://schemas.openxmlformats.org/officeDocument/2006/relationships/hyperlink" Target="https://drive.google.com/drive/folders/19V5_AUbABfMA_FwwdECyqh_--KcSxmJv?usp=drive_link" TargetMode="External"/><Relationship Id="rId41" Type="http://schemas.openxmlformats.org/officeDocument/2006/relationships/hyperlink" Target="https://drive.google.com/drive/folders/1A3Hb2GMIcSUCE5VkZCbXOQM8Ywj5SqlV?usp=drive_link" TargetMode="External"/><Relationship Id="rId22" Type="http://schemas.openxmlformats.org/officeDocument/2006/relationships/hyperlink" Target="https://drive.google.com/drive/folders/1PWW6F3TK8U_NGoQhBx4ACaHsex0KX9nT?usp=sharing" TargetMode="External"/><Relationship Id="rId44" Type="http://schemas.openxmlformats.org/officeDocument/2006/relationships/hyperlink" Target="https://drive.google.com/drive/folders/16Or25v_zJgdsGt91_znN8N9u_BxulZFu?usp=sharing" TargetMode="External"/><Relationship Id="rId21" Type="http://schemas.openxmlformats.org/officeDocument/2006/relationships/hyperlink" Target="https://drive.google.com/drive/folders/1UihYH17Hrzr3PbKbKQ9naRdosboDHCi8?usp=sharing" TargetMode="External"/><Relationship Id="rId43" Type="http://schemas.openxmlformats.org/officeDocument/2006/relationships/hyperlink" Target="https://drive.google.com/drive/folders/1ddboepIYAmUIxDW469Uxhjl7Kj__bnGV?usp=drive_link" TargetMode="External"/><Relationship Id="rId24" Type="http://schemas.openxmlformats.org/officeDocument/2006/relationships/hyperlink" Target="https://drive.google.com/drive/folders/1fZePIAmEzHGVRJ2IY7Gt3Oi2o_dYEZX_?usp=sharing" TargetMode="External"/><Relationship Id="rId46" Type="http://schemas.openxmlformats.org/officeDocument/2006/relationships/hyperlink" Target="https://drive.google.com/file/d/1_VEbR9HXUy7KKDDcmac2In7rUS47tELa/view?usp=sharing" TargetMode="External"/><Relationship Id="rId23" Type="http://schemas.openxmlformats.org/officeDocument/2006/relationships/hyperlink" Target="https://drive.google.com/drive/folders/1hyaQz_lJ9E6J559ZrSUklV-jfXXPA3eI?usp=sharing" TargetMode="External"/><Relationship Id="rId45" Type="http://schemas.openxmlformats.org/officeDocument/2006/relationships/hyperlink" Target="https://drive.google.com/file/d/1EhAvB6uM0wxes4FPJ1fF4tlrheeVs83t/view?usp=drive_link" TargetMode="External"/><Relationship Id="rId1" Type="http://schemas.openxmlformats.org/officeDocument/2006/relationships/hyperlink" Target="https://drive.google.com/drive/folders/1cW1Eqmd8YUGTJi-0ROISQORHgKL55jyg?usp=sharing" TargetMode="External"/><Relationship Id="rId2" Type="http://schemas.openxmlformats.org/officeDocument/2006/relationships/hyperlink" Target="https://drive.google.com/drive/folders/1qF7jeal-aCCM3Of9XRUelM0k3ttH1PYy?usp=sharing" TargetMode="External"/><Relationship Id="rId3" Type="http://schemas.openxmlformats.org/officeDocument/2006/relationships/hyperlink" Target="https://drive.google.com/drive/folders/1zYV1wHnH6zyL6Ty1qMKLrjmFlhuDc5Hb?usp=sharing" TargetMode="External"/><Relationship Id="rId4" Type="http://schemas.openxmlformats.org/officeDocument/2006/relationships/hyperlink" Target="https://drive.google.com/file/d/1IoNPdg5s410cOy1mT5tlD3AlJXHKZE7b/view?usp=sharing" TargetMode="External"/><Relationship Id="rId9" Type="http://schemas.openxmlformats.org/officeDocument/2006/relationships/hyperlink" Target="https://drive.google.com/drive/folders/1lMCtBIQYzckSj87I9JCMZp7BKfc-LQck?usp=sharing" TargetMode="External"/><Relationship Id="rId26" Type="http://schemas.openxmlformats.org/officeDocument/2006/relationships/hyperlink" Target="https://drive.google.com/drive/folders/12KgOn5-HrZLBM5CDxE3KRaxlKOS-InsZ?usp=drive_link" TargetMode="External"/><Relationship Id="rId25" Type="http://schemas.openxmlformats.org/officeDocument/2006/relationships/hyperlink" Target="https://drive.google.com/drive/folders/1Ryxvno2elN5SWxaDcZ2Y0vdBtpLh6C8P?usp=sharing" TargetMode="External"/><Relationship Id="rId47" Type="http://schemas.openxmlformats.org/officeDocument/2006/relationships/drawing" Target="../drawings/drawing1.xml"/><Relationship Id="rId28" Type="http://schemas.openxmlformats.org/officeDocument/2006/relationships/hyperlink" Target="https://drive.google.com/drive/folders/1KB2NbaiJw-C8PNVFNNCXeCS-KQZKLIcg?usp=sharing" TargetMode="External"/><Relationship Id="rId27" Type="http://schemas.openxmlformats.org/officeDocument/2006/relationships/hyperlink" Target="https://drive.google.com/file/d/14utFWfdkjXI_Ri-Vq6aRdv4hOjEftnDX/view?usp=sharing" TargetMode="External"/><Relationship Id="rId5" Type="http://schemas.openxmlformats.org/officeDocument/2006/relationships/hyperlink" Target="https://drive.google.com/drive/folders/1Yb8szMra31pvm6wG_Q3MkUFELAg8C9CP?usp=sharing" TargetMode="External"/><Relationship Id="rId6" Type="http://schemas.openxmlformats.org/officeDocument/2006/relationships/hyperlink" Target="https://drive.google.com/drive/folders/1dIPEaMTcZapcDvEhXkFDisD8-hIpoWNP?usp=sharing" TargetMode="External"/><Relationship Id="rId29" Type="http://schemas.openxmlformats.org/officeDocument/2006/relationships/hyperlink" Target="https://drive.google.com/file/d/10KqAO7BmrR2mYQDVtFLcoGT1OpIF9s-D/view?usp=sharing" TargetMode="External"/><Relationship Id="rId7" Type="http://schemas.openxmlformats.org/officeDocument/2006/relationships/hyperlink" Target="https://drive.google.com/drive/folders/1TWIZFEb9Ebo2csZJJUmEmlMGP2wAP-Yd?usp=sharing" TargetMode="External"/><Relationship Id="rId8" Type="http://schemas.openxmlformats.org/officeDocument/2006/relationships/hyperlink" Target="https://drive.google.com/file/d/19lXVeXLUpSnhzaiadB-dTv83unUZZESC/view?usp=drive_link" TargetMode="External"/><Relationship Id="rId31" Type="http://schemas.openxmlformats.org/officeDocument/2006/relationships/hyperlink" Target="https://drive.google.com/drive/folders/1Yn2VnlduPzpqAVfAS4ERuIWa1F70Q1X4?usp=sharing" TargetMode="External"/><Relationship Id="rId30" Type="http://schemas.openxmlformats.org/officeDocument/2006/relationships/hyperlink" Target="https://drive.google.com/drive/folders/1eVMF8r70PsW0SX04oPUS_yZkjCJKsd6U?usp=sharing" TargetMode="External"/><Relationship Id="rId11" Type="http://schemas.openxmlformats.org/officeDocument/2006/relationships/hyperlink" Target="https://drive.google.com/drive/folders/1MhoUl4N7oC1nx7bpnXyM8XzmhAhLT7dN?usp=sharing" TargetMode="External"/><Relationship Id="rId33" Type="http://schemas.openxmlformats.org/officeDocument/2006/relationships/hyperlink" Target="https://drive.google.com/file/d/1AN6vgb1DfQsx8zkZtJCHq1RMGcxc9gvu/view?usp=sharing" TargetMode="External"/><Relationship Id="rId10" Type="http://schemas.openxmlformats.org/officeDocument/2006/relationships/hyperlink" Target="https://drive.google.com/file/d/1OC2YBLWxIdVMJrV3_VfD80mr-u80lueF/view?usp=sharing" TargetMode="External"/><Relationship Id="rId32" Type="http://schemas.openxmlformats.org/officeDocument/2006/relationships/hyperlink" Target="https://drive.google.com/drive/folders/1op12tDOJxiHV0kYS1G7biWs0BTeHZUmK?usp=sharing" TargetMode="External"/><Relationship Id="rId13" Type="http://schemas.openxmlformats.org/officeDocument/2006/relationships/hyperlink" Target="https://drive.google.com/drive/folders/1bljR4wgrGyv-rqQIJm42jScq_u2jDJfc?usp=sharing" TargetMode="External"/><Relationship Id="rId35" Type="http://schemas.openxmlformats.org/officeDocument/2006/relationships/hyperlink" Target="https://drive.google.com/file/d/1KgG-Y_WPMJcKwAlXdHs8TZ2VjU1dyPKW/view?usp=sharing" TargetMode="External"/><Relationship Id="rId12" Type="http://schemas.openxmlformats.org/officeDocument/2006/relationships/hyperlink" Target="https://drive.google.com/file/d/177RAWO2lOamcGVfQfTK5_72FG9tsFtgD/view?usp=sharing" TargetMode="External"/><Relationship Id="rId34" Type="http://schemas.openxmlformats.org/officeDocument/2006/relationships/hyperlink" Target="https://drive.google.com/drive/folders/1SqO6hkZZK-iursrguuyp_IBpAjhmrXKZ?usp=sharing" TargetMode="External"/><Relationship Id="rId15" Type="http://schemas.openxmlformats.org/officeDocument/2006/relationships/hyperlink" Target="https://drive.google.com/drive/folders/1BCwLLD8HtftvW_xyr2Okf3rLmewx5pUC?usp=sharing" TargetMode="External"/><Relationship Id="rId37" Type="http://schemas.openxmlformats.org/officeDocument/2006/relationships/hyperlink" Target="https://drive.google.com/file/d/1N8GlcwNXQYRh17HSPgFO7q9pVzAKpNwu/view?usp=sharing" TargetMode="External"/><Relationship Id="rId14" Type="http://schemas.openxmlformats.org/officeDocument/2006/relationships/hyperlink" Target="https://drive.google.com/drive/folders/1eKnvoGtKpNeSRpQp1OfdphRg97g6msfu?usp=sharing" TargetMode="External"/><Relationship Id="rId36" Type="http://schemas.openxmlformats.org/officeDocument/2006/relationships/hyperlink" Target="https://drive.google.com/drive/folders/1qWG2jpEtHzWYZYMLdiQh842VK9PG6UOL?usp=sharing" TargetMode="External"/><Relationship Id="rId17" Type="http://schemas.openxmlformats.org/officeDocument/2006/relationships/hyperlink" Target="https://drive.google.com/drive/folders/1Nct9zxu9BZYaljLhepS0iZMLt_HmPgFW?usp=sharing" TargetMode="External"/><Relationship Id="rId39" Type="http://schemas.openxmlformats.org/officeDocument/2006/relationships/hyperlink" Target="https://drive.google.com/drive/folders/1OFAYMk_DH9WlT4eoSd3uf50DZkG60sDX?usp=sharing" TargetMode="External"/><Relationship Id="rId16" Type="http://schemas.openxmlformats.org/officeDocument/2006/relationships/hyperlink" Target="https://drive.google.com/file/d/1XP8fKYmohfuF0SAD8J5blgU4YCYa0--G/view?usp=drive_link" TargetMode="External"/><Relationship Id="rId38" Type="http://schemas.openxmlformats.org/officeDocument/2006/relationships/hyperlink" Target="https://drive.google.com/drive/folders/1H8HT7Dllrr2erbVvvbaLiR2BNTS7YyE8?usp=sharing" TargetMode="External"/><Relationship Id="rId19" Type="http://schemas.openxmlformats.org/officeDocument/2006/relationships/hyperlink" Target="https://drive.google.com/drive/folders/1-6j11wSoaBQlj1ZcLGAeU5eUfs4taTYG?usp=sharing" TargetMode="External"/><Relationship Id="rId18" Type="http://schemas.openxmlformats.org/officeDocument/2006/relationships/hyperlink" Target="https://drive.google.com/file/d/1C0xMk0FHvsSPUzrlBHmsz2B6MBFByupQ/view?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document/d/1b5dxAwzVgKM3eYu6VKa77SlKuzTFRNkJ/edit?usp=drive_link&amp;ouid=106483587162645971038&amp;rtpof=true&amp;sd=true" TargetMode="External"/><Relationship Id="rId2" Type="http://schemas.openxmlformats.org/officeDocument/2006/relationships/hyperlink" Target="https://drive.google.com/drive/folders/1IE2xSqTdYnXc-6D9xqs9jNjt9HnUMs7o?usp=drive_link"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hoangtung.dhkt1gmail.com/"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dll.hn/" TargetMode="External"/><Relationship Id="rId2"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0"/>
  <cols>
    <col customWidth="1" min="1" max="1" width="6.63"/>
    <col customWidth="1" min="2" max="2" width="23.5"/>
    <col customWidth="1" min="3" max="3" width="39.13"/>
    <col customWidth="1" min="4" max="4" width="71.88"/>
    <col customWidth="1" min="5" max="7" width="7.88"/>
    <col customWidth="1" min="8" max="9" width="9.38"/>
    <col customWidth="1" min="10" max="10" width="7.88"/>
    <col customWidth="1" min="11" max="11" width="30.25"/>
    <col customWidth="1" min="12" max="12" width="17.13"/>
    <col customWidth="1" min="13" max="13" width="17.88"/>
    <col customWidth="1" min="14" max="14" width="49.25"/>
    <col customWidth="1" min="15" max="15" width="89.25"/>
    <col customWidth="1" min="16" max="16" width="41.5"/>
    <col customWidth="1" min="17" max="17" width="37.63"/>
    <col customWidth="1" min="18" max="18" width="27.63"/>
    <col customWidth="1" min="19" max="21" width="25.5"/>
    <col customWidth="1" min="22" max="22" width="40.25"/>
    <col customWidth="1" min="23" max="23" width="85.38"/>
    <col customWidth="1" min="24" max="24" width="17.88"/>
    <col customWidth="1" min="25" max="25" width="19.63"/>
    <col customWidth="1" min="26" max="26" width="40.13"/>
    <col customWidth="1" min="27" max="27" width="17.88"/>
    <col customWidth="1" min="28" max="29" width="14.38"/>
  </cols>
  <sheetData>
    <row r="1" ht="20.25" customHeight="1">
      <c r="A1" s="1" t="s">
        <v>0</v>
      </c>
      <c r="B1" s="2" t="s">
        <v>1</v>
      </c>
      <c r="C1" s="2" t="s">
        <v>2</v>
      </c>
      <c r="D1" s="3" t="s">
        <v>3</v>
      </c>
      <c r="E1" s="4" t="s">
        <v>4</v>
      </c>
      <c r="F1" s="5"/>
      <c r="G1" s="5"/>
      <c r="H1" s="5"/>
      <c r="I1" s="5"/>
      <c r="J1" s="6"/>
      <c r="K1" s="7" t="s">
        <v>5</v>
      </c>
      <c r="L1" s="8"/>
      <c r="M1" s="8"/>
      <c r="N1" s="8"/>
      <c r="O1" s="9" t="s">
        <v>6</v>
      </c>
      <c r="P1" s="10"/>
      <c r="Q1" s="2" t="s">
        <v>7</v>
      </c>
      <c r="R1" s="9" t="s">
        <v>8</v>
      </c>
      <c r="S1" s="8"/>
      <c r="T1" s="8"/>
      <c r="U1" s="8"/>
      <c r="V1" s="10"/>
      <c r="W1" s="1" t="s">
        <v>9</v>
      </c>
      <c r="X1" s="7" t="s">
        <v>10</v>
      </c>
      <c r="Y1" s="8"/>
      <c r="Z1" s="8"/>
      <c r="AA1" s="8"/>
      <c r="AB1" s="8"/>
      <c r="AC1" s="10"/>
    </row>
    <row r="2" ht="18.0" customHeight="1">
      <c r="A2" s="11"/>
      <c r="B2" s="11"/>
      <c r="C2" s="11"/>
      <c r="D2" s="12"/>
      <c r="E2" s="4" t="s">
        <v>11</v>
      </c>
      <c r="F2" s="5"/>
      <c r="G2" s="5"/>
      <c r="H2" s="5"/>
      <c r="I2" s="5"/>
      <c r="J2" s="6"/>
      <c r="K2" s="13"/>
      <c r="L2" s="14"/>
      <c r="M2" s="14"/>
      <c r="N2" s="14"/>
      <c r="O2" s="13"/>
      <c r="P2" s="15"/>
      <c r="Q2" s="11"/>
      <c r="R2" s="13"/>
      <c r="S2" s="14"/>
      <c r="T2" s="14"/>
      <c r="U2" s="14"/>
      <c r="V2" s="15"/>
      <c r="W2" s="16"/>
      <c r="X2" s="13"/>
      <c r="Y2" s="14"/>
      <c r="Z2" s="14"/>
      <c r="AA2" s="14"/>
      <c r="AB2" s="14"/>
      <c r="AC2" s="15"/>
    </row>
    <row r="3" ht="39.0" customHeight="1">
      <c r="A3" s="16"/>
      <c r="B3" s="16"/>
      <c r="C3" s="16"/>
      <c r="D3" s="15"/>
      <c r="E3" s="17" t="s">
        <v>12</v>
      </c>
      <c r="F3" s="17" t="s">
        <v>13</v>
      </c>
      <c r="G3" s="17" t="s">
        <v>14</v>
      </c>
      <c r="H3" s="17" t="s">
        <v>15</v>
      </c>
      <c r="I3" s="17" t="s">
        <v>16</v>
      </c>
      <c r="J3" s="17" t="s">
        <v>17</v>
      </c>
      <c r="K3" s="17" t="s">
        <v>18</v>
      </c>
      <c r="L3" s="17" t="s">
        <v>19</v>
      </c>
      <c r="M3" s="17" t="s">
        <v>20</v>
      </c>
      <c r="N3" s="18" t="s">
        <v>21</v>
      </c>
      <c r="O3" s="19" t="s">
        <v>22</v>
      </c>
      <c r="P3" s="20" t="s">
        <v>23</v>
      </c>
      <c r="Q3" s="16"/>
      <c r="R3" s="20" t="s">
        <v>24</v>
      </c>
      <c r="S3" s="20" t="s">
        <v>25</v>
      </c>
      <c r="T3" s="20" t="s">
        <v>26</v>
      </c>
      <c r="U3" s="21" t="s">
        <v>27</v>
      </c>
      <c r="V3" s="20" t="s">
        <v>28</v>
      </c>
      <c r="W3" s="22" t="s">
        <v>29</v>
      </c>
      <c r="X3" s="23" t="s">
        <v>30</v>
      </c>
      <c r="Y3" s="23" t="s">
        <v>31</v>
      </c>
      <c r="Z3" s="23" t="s">
        <v>32</v>
      </c>
      <c r="AA3" s="23" t="s">
        <v>33</v>
      </c>
      <c r="AB3" s="23" t="s">
        <v>34</v>
      </c>
      <c r="AC3" s="23" t="s">
        <v>35</v>
      </c>
    </row>
    <row r="4" ht="63.75" customHeight="1">
      <c r="A4" s="24">
        <v>1.0</v>
      </c>
      <c r="B4" s="24" t="s">
        <v>36</v>
      </c>
      <c r="C4" s="25" t="s">
        <v>37</v>
      </c>
      <c r="D4" s="26" t="s">
        <v>38</v>
      </c>
      <c r="E4" s="27">
        <v>4.0</v>
      </c>
      <c r="F4" s="28" t="s">
        <v>39</v>
      </c>
      <c r="G4" s="10"/>
      <c r="H4" s="29">
        <v>2.0</v>
      </c>
      <c r="I4" s="8"/>
      <c r="J4" s="10"/>
      <c r="K4" s="25" t="s">
        <v>40</v>
      </c>
      <c r="L4" s="30" t="s">
        <v>41</v>
      </c>
      <c r="M4" s="31" t="s">
        <v>42</v>
      </c>
      <c r="N4" s="32" t="s">
        <v>43</v>
      </c>
      <c r="O4" s="33" t="s">
        <v>44</v>
      </c>
      <c r="P4" s="27" t="s">
        <v>45</v>
      </c>
      <c r="Q4" s="34" t="s">
        <v>46</v>
      </c>
      <c r="R4" s="35" t="s">
        <v>47</v>
      </c>
      <c r="S4" s="35" t="s">
        <v>48</v>
      </c>
      <c r="T4" s="35" t="s">
        <v>48</v>
      </c>
      <c r="U4" s="36" t="s">
        <v>49</v>
      </c>
      <c r="V4" s="36" t="s">
        <v>50</v>
      </c>
      <c r="W4" s="37" t="s">
        <v>51</v>
      </c>
      <c r="X4" s="38" t="s">
        <v>52</v>
      </c>
      <c r="Y4" s="39" t="s">
        <v>53</v>
      </c>
      <c r="Z4" s="40" t="s">
        <v>54</v>
      </c>
      <c r="AA4" s="38" t="s">
        <v>55</v>
      </c>
      <c r="AB4" s="41" t="s">
        <v>56</v>
      </c>
      <c r="AC4" s="10"/>
    </row>
    <row r="5" ht="63.75" customHeight="1">
      <c r="A5" s="11"/>
      <c r="B5" s="11"/>
      <c r="C5" s="25" t="s">
        <v>57</v>
      </c>
      <c r="D5" s="12"/>
      <c r="E5" s="11"/>
      <c r="F5" s="42"/>
      <c r="G5" s="12"/>
      <c r="H5" s="42"/>
      <c r="J5" s="12"/>
      <c r="K5" s="25" t="s">
        <v>58</v>
      </c>
      <c r="L5" s="11"/>
      <c r="M5" s="11"/>
      <c r="N5" s="42"/>
      <c r="O5" s="11"/>
      <c r="P5" s="11"/>
      <c r="Q5" s="12"/>
      <c r="R5" s="11"/>
      <c r="S5" s="11"/>
      <c r="T5" s="11"/>
      <c r="U5" s="11"/>
      <c r="V5" s="11"/>
      <c r="W5" s="11"/>
      <c r="X5" s="11"/>
      <c r="Y5" s="11"/>
      <c r="Z5" s="11"/>
      <c r="AA5" s="11"/>
      <c r="AB5" s="42"/>
      <c r="AC5" s="12"/>
    </row>
    <row r="6" ht="63.75" customHeight="1">
      <c r="A6" s="11"/>
      <c r="B6" s="11"/>
      <c r="C6" s="25" t="s">
        <v>59</v>
      </c>
      <c r="D6" s="12"/>
      <c r="E6" s="11"/>
      <c r="F6" s="42"/>
      <c r="G6" s="12"/>
      <c r="H6" s="42"/>
      <c r="J6" s="12"/>
      <c r="K6" s="25" t="s">
        <v>60</v>
      </c>
      <c r="L6" s="11"/>
      <c r="M6" s="11"/>
      <c r="N6" s="42"/>
      <c r="O6" s="11"/>
      <c r="P6" s="11"/>
      <c r="Q6" s="12"/>
      <c r="R6" s="11"/>
      <c r="S6" s="11"/>
      <c r="T6" s="11"/>
      <c r="U6" s="11"/>
      <c r="V6" s="11"/>
      <c r="W6" s="11"/>
      <c r="X6" s="11"/>
      <c r="Y6" s="11"/>
      <c r="Z6" s="11"/>
      <c r="AA6" s="11"/>
      <c r="AB6" s="42"/>
      <c r="AC6" s="12"/>
    </row>
    <row r="7" ht="63.75" customHeight="1">
      <c r="A7" s="16"/>
      <c r="B7" s="16"/>
      <c r="C7" s="25" t="s">
        <v>61</v>
      </c>
      <c r="D7" s="15"/>
      <c r="E7" s="16"/>
      <c r="F7" s="13"/>
      <c r="G7" s="15"/>
      <c r="H7" s="13"/>
      <c r="I7" s="14"/>
      <c r="J7" s="15"/>
      <c r="K7" s="25" t="s">
        <v>58</v>
      </c>
      <c r="L7" s="16"/>
      <c r="M7" s="16"/>
      <c r="N7" s="13"/>
      <c r="O7" s="16"/>
      <c r="P7" s="16"/>
      <c r="Q7" s="15"/>
      <c r="R7" s="16"/>
      <c r="S7" s="16"/>
      <c r="T7" s="16"/>
      <c r="U7" s="16"/>
      <c r="V7" s="16"/>
      <c r="W7" s="16"/>
      <c r="X7" s="16"/>
      <c r="Y7" s="16"/>
      <c r="Z7" s="16"/>
      <c r="AA7" s="11"/>
      <c r="AB7" s="42"/>
      <c r="AC7" s="12"/>
    </row>
    <row r="8" ht="83.25" customHeight="1">
      <c r="A8" s="43">
        <v>2.0</v>
      </c>
      <c r="B8" s="24" t="s">
        <v>62</v>
      </c>
      <c r="C8" s="25" t="s">
        <v>63</v>
      </c>
      <c r="D8" s="44" t="s">
        <v>64</v>
      </c>
      <c r="E8" s="25">
        <v>4.0</v>
      </c>
      <c r="F8" s="29" t="s">
        <v>65</v>
      </c>
      <c r="G8" s="8"/>
      <c r="H8" s="8"/>
      <c r="I8" s="8"/>
      <c r="J8" s="10"/>
      <c r="K8" s="45" t="s">
        <v>40</v>
      </c>
      <c r="L8" s="30" t="s">
        <v>41</v>
      </c>
      <c r="M8" s="46">
        <v>510.0</v>
      </c>
      <c r="N8" s="32" t="s">
        <v>66</v>
      </c>
      <c r="O8" s="47" t="s">
        <v>67</v>
      </c>
      <c r="P8" s="27" t="s">
        <v>48</v>
      </c>
      <c r="Q8" s="35" t="s">
        <v>68</v>
      </c>
      <c r="R8" s="35" t="s">
        <v>69</v>
      </c>
      <c r="S8" s="35" t="s">
        <v>48</v>
      </c>
      <c r="T8" s="35" t="s">
        <v>48</v>
      </c>
      <c r="U8" s="48" t="s">
        <v>70</v>
      </c>
      <c r="V8" s="35" t="s">
        <v>48</v>
      </c>
      <c r="W8" s="49" t="s">
        <v>71</v>
      </c>
      <c r="X8" s="50" t="s">
        <v>72</v>
      </c>
      <c r="Y8" s="38" t="s">
        <v>73</v>
      </c>
      <c r="Z8" s="51" t="s">
        <v>74</v>
      </c>
      <c r="AA8" s="38" t="s">
        <v>75</v>
      </c>
      <c r="AB8" s="42"/>
      <c r="AC8" s="12"/>
    </row>
    <row r="9" ht="83.25" customHeight="1">
      <c r="A9" s="11"/>
      <c r="B9" s="11"/>
      <c r="C9" s="25" t="s">
        <v>76</v>
      </c>
      <c r="D9" s="12"/>
      <c r="E9" s="52">
        <v>45781.0</v>
      </c>
      <c r="F9" s="42"/>
      <c r="J9" s="12"/>
      <c r="K9" s="45" t="s">
        <v>77</v>
      </c>
      <c r="L9" s="11"/>
      <c r="M9" s="46">
        <v>530.0</v>
      </c>
      <c r="N9" s="42"/>
      <c r="O9" s="47" t="s">
        <v>78</v>
      </c>
      <c r="P9" s="11"/>
      <c r="Q9" s="11"/>
      <c r="R9" s="11"/>
      <c r="S9" s="11"/>
      <c r="T9" s="11"/>
      <c r="U9" s="11"/>
      <c r="V9" s="11"/>
      <c r="W9" s="11"/>
      <c r="X9" s="11"/>
      <c r="Y9" s="11"/>
      <c r="Z9" s="11"/>
      <c r="AA9" s="11"/>
      <c r="AB9" s="42"/>
      <c r="AC9" s="12"/>
    </row>
    <row r="10" ht="83.25" customHeight="1">
      <c r="A10" s="16"/>
      <c r="B10" s="16"/>
      <c r="C10" s="25" t="s">
        <v>79</v>
      </c>
      <c r="D10" s="15"/>
      <c r="E10" s="16"/>
      <c r="F10" s="13"/>
      <c r="G10" s="14"/>
      <c r="H10" s="14"/>
      <c r="I10" s="14"/>
      <c r="J10" s="15"/>
      <c r="K10" s="45" t="s">
        <v>77</v>
      </c>
      <c r="L10" s="16"/>
      <c r="M10" s="46">
        <v>530.0</v>
      </c>
      <c r="N10" s="13"/>
      <c r="O10" s="47" t="s">
        <v>80</v>
      </c>
      <c r="P10" s="16"/>
      <c r="Q10" s="16"/>
      <c r="R10" s="16"/>
      <c r="S10" s="16"/>
      <c r="T10" s="16"/>
      <c r="U10" s="16"/>
      <c r="V10" s="16"/>
      <c r="W10" s="16"/>
      <c r="X10" s="16"/>
      <c r="Y10" s="16"/>
      <c r="Z10" s="16"/>
      <c r="AA10" s="16"/>
      <c r="AB10" s="42"/>
      <c r="AC10" s="12"/>
    </row>
    <row r="11" ht="28.5" customHeight="1">
      <c r="A11" s="53">
        <v>3.0</v>
      </c>
      <c r="B11" s="53" t="s">
        <v>81</v>
      </c>
      <c r="C11" s="54" t="s">
        <v>82</v>
      </c>
      <c r="D11" s="55" t="s">
        <v>83</v>
      </c>
      <c r="E11" s="56">
        <v>4.0</v>
      </c>
      <c r="F11" s="57" t="s">
        <v>84</v>
      </c>
      <c r="G11" s="10"/>
      <c r="H11" s="54"/>
      <c r="I11" s="58">
        <v>2.5</v>
      </c>
      <c r="J11" s="6"/>
      <c r="K11" s="59" t="s">
        <v>85</v>
      </c>
      <c r="L11" s="60" t="s">
        <v>41</v>
      </c>
      <c r="M11" s="61" t="s">
        <v>86</v>
      </c>
      <c r="N11" s="62" t="s">
        <v>87</v>
      </c>
      <c r="O11" s="63" t="s">
        <v>88</v>
      </c>
      <c r="P11" s="64" t="s">
        <v>48</v>
      </c>
      <c r="Q11" s="65" t="s">
        <v>89</v>
      </c>
      <c r="R11" s="66" t="s">
        <v>90</v>
      </c>
      <c r="S11" s="67" t="s">
        <v>91</v>
      </c>
      <c r="T11" s="67" t="s">
        <v>92</v>
      </c>
      <c r="U11" s="68" t="s">
        <v>93</v>
      </c>
      <c r="V11" s="67" t="s">
        <v>94</v>
      </c>
      <c r="W11" s="69" t="s">
        <v>95</v>
      </c>
      <c r="X11" s="70" t="s">
        <v>96</v>
      </c>
      <c r="Y11" s="71" t="s">
        <v>97</v>
      </c>
      <c r="Z11" s="72" t="s">
        <v>98</v>
      </c>
      <c r="AA11" s="71" t="s">
        <v>99</v>
      </c>
      <c r="AB11" s="42"/>
      <c r="AC11" s="12"/>
    </row>
    <row r="12" ht="28.5" customHeight="1">
      <c r="A12" s="11"/>
      <c r="B12" s="11"/>
      <c r="C12" s="54" t="s">
        <v>100</v>
      </c>
      <c r="D12" s="11"/>
      <c r="E12" s="12"/>
      <c r="F12" s="42"/>
      <c r="G12" s="12"/>
      <c r="H12" s="54"/>
      <c r="I12" s="54">
        <v>2.0</v>
      </c>
      <c r="J12" s="54">
        <v>2.5</v>
      </c>
      <c r="K12" s="59" t="s">
        <v>101</v>
      </c>
      <c r="L12" s="11"/>
      <c r="M12" s="11"/>
      <c r="N12" s="42"/>
      <c r="O12" s="11"/>
      <c r="P12" s="11"/>
      <c r="Q12" s="11"/>
      <c r="R12" s="11"/>
      <c r="S12" s="11"/>
      <c r="T12" s="11"/>
      <c r="U12" s="11"/>
      <c r="V12" s="11"/>
      <c r="W12" s="11"/>
      <c r="X12" s="11"/>
      <c r="Y12" s="11"/>
      <c r="Z12" s="11"/>
      <c r="AA12" s="11"/>
      <c r="AB12" s="42"/>
      <c r="AC12" s="12"/>
    </row>
    <row r="13" ht="28.5" customHeight="1">
      <c r="A13" s="11"/>
      <c r="B13" s="11"/>
      <c r="C13" s="54" t="s">
        <v>61</v>
      </c>
      <c r="D13" s="11"/>
      <c r="E13" s="12"/>
      <c r="F13" s="42"/>
      <c r="G13" s="12"/>
      <c r="H13" s="73">
        <v>0.0</v>
      </c>
      <c r="I13" s="74" t="s">
        <v>102</v>
      </c>
      <c r="J13" s="74">
        <v>2.0</v>
      </c>
      <c r="K13" s="59" t="s">
        <v>103</v>
      </c>
      <c r="L13" s="11"/>
      <c r="M13" s="11"/>
      <c r="N13" s="42"/>
      <c r="O13" s="11"/>
      <c r="P13" s="11"/>
      <c r="Q13" s="11"/>
      <c r="R13" s="11"/>
      <c r="S13" s="11"/>
      <c r="T13" s="11"/>
      <c r="U13" s="11"/>
      <c r="V13" s="11"/>
      <c r="W13" s="11"/>
      <c r="X13" s="11"/>
      <c r="Y13" s="11"/>
      <c r="Z13" s="11"/>
      <c r="AA13" s="11"/>
      <c r="AB13" s="42"/>
      <c r="AC13" s="12"/>
    </row>
    <row r="14" ht="28.5" customHeight="1">
      <c r="A14" s="11"/>
      <c r="B14" s="11"/>
      <c r="C14" s="54" t="s">
        <v>59</v>
      </c>
      <c r="D14" s="11"/>
      <c r="E14" s="12"/>
      <c r="F14" s="42"/>
      <c r="G14" s="12"/>
      <c r="H14" s="11"/>
      <c r="I14" s="11"/>
      <c r="J14" s="11"/>
      <c r="K14" s="75" t="s">
        <v>104</v>
      </c>
      <c r="L14" s="11"/>
      <c r="M14" s="11"/>
      <c r="N14" s="42"/>
      <c r="O14" s="11"/>
      <c r="P14" s="11"/>
      <c r="Q14" s="11"/>
      <c r="R14" s="11"/>
      <c r="S14" s="11"/>
      <c r="T14" s="11"/>
      <c r="U14" s="11"/>
      <c r="V14" s="11"/>
      <c r="W14" s="11"/>
      <c r="X14" s="11"/>
      <c r="Y14" s="11"/>
      <c r="Z14" s="11"/>
      <c r="AA14" s="11"/>
      <c r="AB14" s="42"/>
      <c r="AC14" s="12"/>
    </row>
    <row r="15" ht="28.5" customHeight="1">
      <c r="A15" s="11"/>
      <c r="B15" s="11"/>
      <c r="C15" s="54" t="s">
        <v>105</v>
      </c>
      <c r="D15" s="11"/>
      <c r="E15" s="12"/>
      <c r="F15" s="42"/>
      <c r="G15" s="12"/>
      <c r="H15" s="11"/>
      <c r="I15" s="11"/>
      <c r="J15" s="11"/>
      <c r="K15" s="59" t="s">
        <v>106</v>
      </c>
      <c r="L15" s="11"/>
      <c r="M15" s="11"/>
      <c r="N15" s="42"/>
      <c r="O15" s="11"/>
      <c r="P15" s="11"/>
      <c r="Q15" s="11"/>
      <c r="R15" s="11"/>
      <c r="S15" s="11"/>
      <c r="T15" s="11"/>
      <c r="U15" s="11"/>
      <c r="V15" s="11"/>
      <c r="W15" s="11"/>
      <c r="X15" s="11"/>
      <c r="Y15" s="11"/>
      <c r="Z15" s="11"/>
      <c r="AA15" s="11"/>
      <c r="AB15" s="42"/>
      <c r="AC15" s="12"/>
    </row>
    <row r="16" ht="28.5" customHeight="1">
      <c r="A16" s="11"/>
      <c r="B16" s="11"/>
      <c r="C16" s="54" t="s">
        <v>107</v>
      </c>
      <c r="D16" s="11"/>
      <c r="E16" s="12"/>
      <c r="F16" s="42"/>
      <c r="G16" s="12"/>
      <c r="H16" s="11"/>
      <c r="I16" s="11"/>
      <c r="J16" s="11"/>
      <c r="K16" s="59" t="s">
        <v>108</v>
      </c>
      <c r="L16" s="11"/>
      <c r="M16" s="11"/>
      <c r="N16" s="42"/>
      <c r="O16" s="11"/>
      <c r="P16" s="11"/>
      <c r="Q16" s="11"/>
      <c r="R16" s="11"/>
      <c r="S16" s="11"/>
      <c r="T16" s="11"/>
      <c r="U16" s="11"/>
      <c r="V16" s="11"/>
      <c r="W16" s="11"/>
      <c r="X16" s="11"/>
      <c r="Y16" s="11"/>
      <c r="Z16" s="11"/>
      <c r="AA16" s="11"/>
      <c r="AB16" s="42"/>
      <c r="AC16" s="12"/>
    </row>
    <row r="17" ht="28.5" customHeight="1">
      <c r="A17" s="11"/>
      <c r="B17" s="11"/>
      <c r="C17" s="54" t="s">
        <v>109</v>
      </c>
      <c r="D17" s="11"/>
      <c r="E17" s="12"/>
      <c r="F17" s="42"/>
      <c r="G17" s="12"/>
      <c r="H17" s="11"/>
      <c r="I17" s="11"/>
      <c r="J17" s="11"/>
      <c r="K17" s="75" t="s">
        <v>104</v>
      </c>
      <c r="L17" s="11"/>
      <c r="M17" s="11"/>
      <c r="N17" s="42"/>
      <c r="O17" s="11"/>
      <c r="P17" s="11"/>
      <c r="Q17" s="11"/>
      <c r="R17" s="11"/>
      <c r="S17" s="11"/>
      <c r="T17" s="11"/>
      <c r="U17" s="11"/>
      <c r="V17" s="11"/>
      <c r="W17" s="11"/>
      <c r="X17" s="11"/>
      <c r="Y17" s="11"/>
      <c r="Z17" s="11"/>
      <c r="AA17" s="11"/>
      <c r="AB17" s="42"/>
      <c r="AC17" s="12"/>
    </row>
    <row r="18" ht="28.5" customHeight="1">
      <c r="A18" s="11"/>
      <c r="B18" s="11"/>
      <c r="C18" s="54" t="s">
        <v>79</v>
      </c>
      <c r="D18" s="11"/>
      <c r="E18" s="12"/>
      <c r="F18" s="42"/>
      <c r="G18" s="12"/>
      <c r="H18" s="11"/>
      <c r="I18" s="11"/>
      <c r="J18" s="11"/>
      <c r="K18" s="76" t="s">
        <v>110</v>
      </c>
      <c r="L18" s="11"/>
      <c r="M18" s="11"/>
      <c r="N18" s="42"/>
      <c r="O18" s="11"/>
      <c r="P18" s="11"/>
      <c r="Q18" s="11"/>
      <c r="R18" s="11"/>
      <c r="S18" s="11"/>
      <c r="T18" s="11"/>
      <c r="U18" s="11"/>
      <c r="V18" s="11"/>
      <c r="W18" s="11"/>
      <c r="X18" s="11"/>
      <c r="Y18" s="11"/>
      <c r="Z18" s="11"/>
      <c r="AA18" s="11"/>
      <c r="AB18" s="42"/>
      <c r="AC18" s="12"/>
    </row>
    <row r="19" ht="28.5" customHeight="1">
      <c r="A19" s="11"/>
      <c r="B19" s="11"/>
      <c r="C19" s="54" t="s">
        <v>111</v>
      </c>
      <c r="D19" s="11"/>
      <c r="E19" s="12"/>
      <c r="F19" s="42"/>
      <c r="G19" s="12"/>
      <c r="H19" s="11"/>
      <c r="I19" s="11"/>
      <c r="J19" s="11"/>
      <c r="K19" s="76" t="s">
        <v>112</v>
      </c>
      <c r="L19" s="11"/>
      <c r="M19" s="11"/>
      <c r="N19" s="42"/>
      <c r="O19" s="11"/>
      <c r="P19" s="11"/>
      <c r="Q19" s="11"/>
      <c r="R19" s="11"/>
      <c r="S19" s="11"/>
      <c r="T19" s="11"/>
      <c r="U19" s="11"/>
      <c r="V19" s="11"/>
      <c r="W19" s="11"/>
      <c r="X19" s="11"/>
      <c r="Y19" s="11"/>
      <c r="Z19" s="11"/>
      <c r="AA19" s="11"/>
      <c r="AB19" s="42"/>
      <c r="AC19" s="12"/>
    </row>
    <row r="20" ht="28.5" customHeight="1">
      <c r="A20" s="16"/>
      <c r="B20" s="16"/>
      <c r="C20" s="54" t="s">
        <v>113</v>
      </c>
      <c r="D20" s="16"/>
      <c r="E20" s="15"/>
      <c r="F20" s="77">
        <v>0.0</v>
      </c>
      <c r="G20" s="77">
        <v>2.5</v>
      </c>
      <c r="H20" s="78">
        <v>0.0</v>
      </c>
      <c r="I20" s="78">
        <v>2.0</v>
      </c>
      <c r="J20" s="78">
        <v>2.0</v>
      </c>
      <c r="K20" s="59" t="s">
        <v>114</v>
      </c>
      <c r="L20" s="16"/>
      <c r="M20" s="16"/>
      <c r="N20" s="13"/>
      <c r="O20" s="16"/>
      <c r="P20" s="16"/>
      <c r="Q20" s="16"/>
      <c r="R20" s="16"/>
      <c r="S20" s="16"/>
      <c r="T20" s="16"/>
      <c r="U20" s="16"/>
      <c r="V20" s="16"/>
      <c r="W20" s="16"/>
      <c r="X20" s="16"/>
      <c r="Y20" s="16"/>
      <c r="Z20" s="16"/>
      <c r="AA20" s="16"/>
      <c r="AB20" s="42"/>
      <c r="AC20" s="12"/>
    </row>
    <row r="21" ht="124.5" customHeight="1">
      <c r="A21" s="24">
        <v>4.0</v>
      </c>
      <c r="B21" s="24" t="s">
        <v>115</v>
      </c>
      <c r="C21" s="79" t="s">
        <v>37</v>
      </c>
      <c r="D21" s="80" t="s">
        <v>116</v>
      </c>
      <c r="E21" s="27">
        <v>4.0</v>
      </c>
      <c r="F21" s="29">
        <v>4.0</v>
      </c>
      <c r="G21" s="10"/>
      <c r="H21" s="52">
        <v>45779.0</v>
      </c>
      <c r="I21" s="27">
        <v>2.0</v>
      </c>
      <c r="J21" s="27" t="s">
        <v>117</v>
      </c>
      <c r="K21" s="25" t="s">
        <v>118</v>
      </c>
      <c r="L21" s="30" t="s">
        <v>41</v>
      </c>
      <c r="M21" s="81" t="s">
        <v>119</v>
      </c>
      <c r="N21" s="32" t="s">
        <v>43</v>
      </c>
      <c r="O21" s="24" t="s">
        <v>120</v>
      </c>
      <c r="P21" s="27" t="s">
        <v>48</v>
      </c>
      <c r="Q21" s="35" t="s">
        <v>121</v>
      </c>
      <c r="R21" s="82" t="s">
        <v>122</v>
      </c>
      <c r="S21" s="83" t="s">
        <v>48</v>
      </c>
      <c r="T21" s="83" t="s">
        <v>48</v>
      </c>
      <c r="U21" s="84" t="s">
        <v>48</v>
      </c>
      <c r="V21" s="83" t="s">
        <v>48</v>
      </c>
      <c r="W21" s="37" t="s">
        <v>123</v>
      </c>
      <c r="X21" s="39" t="s">
        <v>124</v>
      </c>
      <c r="Y21" s="38" t="s">
        <v>125</v>
      </c>
      <c r="Z21" s="51" t="s">
        <v>126</v>
      </c>
      <c r="AA21" s="38" t="s">
        <v>127</v>
      </c>
      <c r="AB21" s="42"/>
      <c r="AC21" s="12"/>
    </row>
    <row r="22" ht="124.5" customHeight="1">
      <c r="A22" s="16"/>
      <c r="B22" s="16"/>
      <c r="C22" s="79" t="s">
        <v>59</v>
      </c>
      <c r="D22" s="15"/>
      <c r="E22" s="16"/>
      <c r="F22" s="13"/>
      <c r="G22" s="15"/>
      <c r="H22" s="16"/>
      <c r="I22" s="16"/>
      <c r="J22" s="16"/>
      <c r="K22" s="25" t="s">
        <v>118</v>
      </c>
      <c r="L22" s="16"/>
      <c r="M22" s="12"/>
      <c r="N22" s="13"/>
      <c r="O22" s="16"/>
      <c r="P22" s="16"/>
      <c r="Q22" s="16"/>
      <c r="R22" s="16"/>
      <c r="S22" s="16"/>
      <c r="T22" s="16"/>
      <c r="U22" s="16"/>
      <c r="V22" s="16"/>
      <c r="W22" s="16"/>
      <c r="X22" s="16"/>
      <c r="Y22" s="16"/>
      <c r="Z22" s="16"/>
      <c r="AA22" s="16"/>
      <c r="AB22" s="42"/>
      <c r="AC22" s="12"/>
    </row>
    <row r="23" ht="63.75" customHeight="1">
      <c r="A23" s="43">
        <v>5.0</v>
      </c>
      <c r="B23" s="24" t="s">
        <v>128</v>
      </c>
      <c r="C23" s="80" t="s">
        <v>129</v>
      </c>
      <c r="D23" s="44" t="s">
        <v>130</v>
      </c>
      <c r="E23" s="85" t="s">
        <v>131</v>
      </c>
      <c r="F23" s="86">
        <v>45749.0</v>
      </c>
      <c r="G23" s="10"/>
      <c r="H23" s="28" t="s">
        <v>132</v>
      </c>
      <c r="I23" s="10"/>
      <c r="J23" s="87" t="s">
        <v>132</v>
      </c>
      <c r="K23" s="88" t="s">
        <v>133</v>
      </c>
      <c r="L23" s="27" t="s">
        <v>41</v>
      </c>
      <c r="M23" s="88" t="s">
        <v>134</v>
      </c>
      <c r="N23" s="27" t="s">
        <v>43</v>
      </c>
      <c r="O23" s="80" t="s">
        <v>135</v>
      </c>
      <c r="P23" s="27" t="s">
        <v>48</v>
      </c>
      <c r="Q23" s="35" t="s">
        <v>136</v>
      </c>
      <c r="R23" s="89" t="s">
        <v>137</v>
      </c>
      <c r="S23" s="90" t="s">
        <v>48</v>
      </c>
      <c r="T23" s="90" t="s">
        <v>48</v>
      </c>
      <c r="U23" s="91" t="s">
        <v>138</v>
      </c>
      <c r="V23" s="90" t="s">
        <v>48</v>
      </c>
      <c r="W23" s="37" t="s">
        <v>139</v>
      </c>
      <c r="X23" s="39" t="s">
        <v>140</v>
      </c>
      <c r="Y23" s="38" t="s">
        <v>141</v>
      </c>
      <c r="Z23" s="51" t="s">
        <v>142</v>
      </c>
      <c r="AA23" s="38" t="s">
        <v>143</v>
      </c>
      <c r="AB23" s="42"/>
      <c r="AC23" s="12"/>
    </row>
    <row r="24" ht="63.75" customHeight="1">
      <c r="A24" s="11"/>
      <c r="B24" s="11"/>
      <c r="C24" s="92" t="s">
        <v>144</v>
      </c>
      <c r="D24" s="12"/>
      <c r="E24" s="11"/>
      <c r="F24" s="42"/>
      <c r="G24" s="12"/>
      <c r="H24" s="42"/>
      <c r="I24" s="12"/>
      <c r="J24" s="11"/>
      <c r="K24" s="93" t="s">
        <v>145</v>
      </c>
      <c r="L24" s="11"/>
      <c r="M24" s="94" t="s">
        <v>134</v>
      </c>
      <c r="N24" s="11"/>
      <c r="O24" s="95" t="s">
        <v>146</v>
      </c>
      <c r="P24" s="11"/>
      <c r="Q24" s="11"/>
      <c r="R24" s="11"/>
      <c r="S24" s="11"/>
      <c r="T24" s="11"/>
      <c r="U24" s="11"/>
      <c r="V24" s="11"/>
      <c r="W24" s="11"/>
      <c r="X24" s="11"/>
      <c r="Y24" s="11"/>
      <c r="Z24" s="11"/>
      <c r="AA24" s="11"/>
      <c r="AB24" s="42"/>
      <c r="AC24" s="12"/>
    </row>
    <row r="25" ht="63.75" customHeight="1">
      <c r="A25" s="11"/>
      <c r="B25" s="11"/>
      <c r="C25" s="80" t="s">
        <v>147</v>
      </c>
      <c r="D25" s="12"/>
      <c r="E25" s="11"/>
      <c r="F25" s="42"/>
      <c r="G25" s="12"/>
      <c r="H25" s="42"/>
      <c r="I25" s="12"/>
      <c r="J25" s="11"/>
      <c r="K25" s="45" t="s">
        <v>148</v>
      </c>
      <c r="L25" s="11"/>
      <c r="M25" s="94" t="s">
        <v>134</v>
      </c>
      <c r="N25" s="11"/>
      <c r="O25" s="95" t="s">
        <v>149</v>
      </c>
      <c r="P25" s="11"/>
      <c r="Q25" s="11"/>
      <c r="R25" s="11"/>
      <c r="S25" s="11"/>
      <c r="T25" s="11"/>
      <c r="U25" s="11"/>
      <c r="V25" s="11"/>
      <c r="W25" s="11"/>
      <c r="X25" s="11"/>
      <c r="Y25" s="11"/>
      <c r="Z25" s="11"/>
      <c r="AA25" s="11"/>
      <c r="AB25" s="42"/>
      <c r="AC25" s="12"/>
    </row>
    <row r="26" ht="63.75" customHeight="1">
      <c r="A26" s="11"/>
      <c r="B26" s="11"/>
      <c r="C26" s="92" t="s">
        <v>150</v>
      </c>
      <c r="D26" s="12"/>
      <c r="E26" s="11"/>
      <c r="F26" s="42"/>
      <c r="G26" s="12"/>
      <c r="H26" s="42"/>
      <c r="I26" s="12"/>
      <c r="J26" s="11"/>
      <c r="K26" s="45" t="s">
        <v>151</v>
      </c>
      <c r="L26" s="11"/>
      <c r="M26" s="96" t="s">
        <v>152</v>
      </c>
      <c r="N26" s="11"/>
      <c r="O26" s="95" t="s">
        <v>153</v>
      </c>
      <c r="P26" s="11"/>
      <c r="Q26" s="11"/>
      <c r="R26" s="11"/>
      <c r="S26" s="11"/>
      <c r="T26" s="11"/>
      <c r="U26" s="11"/>
      <c r="V26" s="11"/>
      <c r="W26" s="11"/>
      <c r="X26" s="11"/>
      <c r="Y26" s="11"/>
      <c r="Z26" s="11"/>
      <c r="AA26" s="11"/>
      <c r="AB26" s="42"/>
      <c r="AC26" s="12"/>
    </row>
    <row r="27" ht="63.75" customHeight="1">
      <c r="A27" s="16"/>
      <c r="B27" s="16"/>
      <c r="C27" s="25" t="s">
        <v>154</v>
      </c>
      <c r="D27" s="15"/>
      <c r="E27" s="16"/>
      <c r="F27" s="13"/>
      <c r="G27" s="15"/>
      <c r="H27" s="13"/>
      <c r="I27" s="15"/>
      <c r="J27" s="16"/>
      <c r="K27" s="97" t="s">
        <v>155</v>
      </c>
      <c r="L27" s="16"/>
      <c r="M27" s="45" t="s">
        <v>152</v>
      </c>
      <c r="N27" s="16"/>
      <c r="O27" s="95" t="s">
        <v>156</v>
      </c>
      <c r="P27" s="16"/>
      <c r="Q27" s="16"/>
      <c r="R27" s="16"/>
      <c r="S27" s="16"/>
      <c r="T27" s="16"/>
      <c r="U27" s="16"/>
      <c r="V27" s="16"/>
      <c r="W27" s="16"/>
      <c r="X27" s="16"/>
      <c r="Y27" s="16"/>
      <c r="Z27" s="16"/>
      <c r="AA27" s="16"/>
      <c r="AB27" s="42"/>
      <c r="AC27" s="12"/>
    </row>
    <row r="28" ht="28.5" customHeight="1">
      <c r="A28" s="43">
        <v>6.0</v>
      </c>
      <c r="B28" s="24" t="s">
        <v>157</v>
      </c>
      <c r="C28" s="76" t="s">
        <v>37</v>
      </c>
      <c r="D28" s="87" t="s">
        <v>158</v>
      </c>
      <c r="E28" s="28" t="s">
        <v>159</v>
      </c>
      <c r="F28" s="8"/>
      <c r="G28" s="8"/>
      <c r="H28" s="8"/>
      <c r="I28" s="8"/>
      <c r="J28" s="10"/>
      <c r="K28" s="98" t="s">
        <v>160</v>
      </c>
      <c r="L28" s="30" t="s">
        <v>41</v>
      </c>
      <c r="M28" s="99">
        <v>596.0</v>
      </c>
      <c r="N28" s="33" t="s">
        <v>43</v>
      </c>
      <c r="O28" s="100" t="s">
        <v>161</v>
      </c>
      <c r="P28" s="33" t="s">
        <v>48</v>
      </c>
      <c r="Q28" s="101" t="s">
        <v>162</v>
      </c>
      <c r="R28" s="102" t="s">
        <v>163</v>
      </c>
      <c r="S28" s="102" t="s">
        <v>48</v>
      </c>
      <c r="T28" s="103" t="s">
        <v>48</v>
      </c>
      <c r="U28" s="103" t="s">
        <v>164</v>
      </c>
      <c r="V28" s="102" t="s">
        <v>48</v>
      </c>
      <c r="W28" s="40" t="s">
        <v>165</v>
      </c>
      <c r="X28" s="38" t="s">
        <v>166</v>
      </c>
      <c r="Y28" s="39" t="s">
        <v>167</v>
      </c>
      <c r="Z28" s="51" t="s">
        <v>168</v>
      </c>
      <c r="AA28" s="38" t="s">
        <v>169</v>
      </c>
      <c r="AB28" s="42"/>
      <c r="AC28" s="12"/>
    </row>
    <row r="29" ht="28.5" customHeight="1">
      <c r="A29" s="11"/>
      <c r="B29" s="11"/>
      <c r="C29" s="76" t="s">
        <v>63</v>
      </c>
      <c r="D29" s="11"/>
      <c r="E29" s="42"/>
      <c r="J29" s="12"/>
      <c r="K29" s="98" t="s">
        <v>160</v>
      </c>
      <c r="L29" s="11"/>
      <c r="M29" s="11"/>
      <c r="N29" s="11"/>
      <c r="O29" s="12"/>
      <c r="P29" s="11"/>
      <c r="Q29" s="11"/>
      <c r="R29" s="11"/>
      <c r="S29" s="11"/>
      <c r="T29" s="11"/>
      <c r="U29" s="11"/>
      <c r="V29" s="11"/>
      <c r="W29" s="11"/>
      <c r="X29" s="11"/>
      <c r="Y29" s="11"/>
      <c r="Z29" s="11"/>
      <c r="AA29" s="11"/>
      <c r="AB29" s="42"/>
      <c r="AC29" s="12"/>
    </row>
    <row r="30" ht="28.5" customHeight="1">
      <c r="A30" s="11"/>
      <c r="B30" s="11"/>
      <c r="C30" s="76" t="s">
        <v>170</v>
      </c>
      <c r="D30" s="11"/>
      <c r="E30" s="42"/>
      <c r="J30" s="12"/>
      <c r="K30" s="104" t="s">
        <v>171</v>
      </c>
      <c r="L30" s="11"/>
      <c r="M30" s="11"/>
      <c r="N30" s="11"/>
      <c r="O30" s="12"/>
      <c r="P30" s="11"/>
      <c r="Q30" s="11"/>
      <c r="R30" s="11"/>
      <c r="S30" s="11"/>
      <c r="T30" s="11"/>
      <c r="U30" s="11"/>
      <c r="V30" s="11"/>
      <c r="W30" s="11"/>
      <c r="X30" s="11"/>
      <c r="Y30" s="11"/>
      <c r="Z30" s="11"/>
      <c r="AA30" s="11"/>
      <c r="AB30" s="42"/>
      <c r="AC30" s="12"/>
    </row>
    <row r="31" ht="28.5" customHeight="1">
      <c r="A31" s="11"/>
      <c r="B31" s="11"/>
      <c r="C31" s="105" t="s">
        <v>172</v>
      </c>
      <c r="D31" s="11"/>
      <c r="E31" s="42"/>
      <c r="J31" s="12"/>
      <c r="K31" s="104" t="s">
        <v>171</v>
      </c>
      <c r="L31" s="11"/>
      <c r="M31" s="11"/>
      <c r="N31" s="11"/>
      <c r="O31" s="12"/>
      <c r="P31" s="11"/>
      <c r="Q31" s="11"/>
      <c r="R31" s="11"/>
      <c r="S31" s="11"/>
      <c r="T31" s="11"/>
      <c r="U31" s="11"/>
      <c r="V31" s="11"/>
      <c r="W31" s="11"/>
      <c r="X31" s="11"/>
      <c r="Y31" s="11"/>
      <c r="Z31" s="11"/>
      <c r="AA31" s="11"/>
      <c r="AB31" s="42"/>
      <c r="AC31" s="12"/>
    </row>
    <row r="32" ht="28.5" customHeight="1">
      <c r="A32" s="11"/>
      <c r="B32" s="11"/>
      <c r="C32" s="105" t="s">
        <v>173</v>
      </c>
      <c r="D32" s="11"/>
      <c r="E32" s="42"/>
      <c r="J32" s="12"/>
      <c r="K32" s="98" t="s">
        <v>160</v>
      </c>
      <c r="L32" s="11"/>
      <c r="M32" s="11"/>
      <c r="N32" s="11"/>
      <c r="O32" s="12"/>
      <c r="P32" s="11"/>
      <c r="Q32" s="11"/>
      <c r="R32" s="11"/>
      <c r="S32" s="11"/>
      <c r="T32" s="11"/>
      <c r="U32" s="11"/>
      <c r="V32" s="11"/>
      <c r="W32" s="11"/>
      <c r="X32" s="11"/>
      <c r="Y32" s="11"/>
      <c r="Z32" s="11"/>
      <c r="AA32" s="11"/>
      <c r="AB32" s="42"/>
      <c r="AC32" s="12"/>
    </row>
    <row r="33" ht="31.5" customHeight="1">
      <c r="A33" s="11"/>
      <c r="B33" s="11"/>
      <c r="C33" s="76" t="s">
        <v>57</v>
      </c>
      <c r="D33" s="11"/>
      <c r="E33" s="42"/>
      <c r="J33" s="12"/>
      <c r="K33" s="98" t="s">
        <v>160</v>
      </c>
      <c r="L33" s="11"/>
      <c r="M33" s="11"/>
      <c r="N33" s="11"/>
      <c r="O33" s="12"/>
      <c r="P33" s="11"/>
      <c r="Q33" s="11"/>
      <c r="R33" s="11"/>
      <c r="S33" s="11"/>
      <c r="T33" s="11"/>
      <c r="U33" s="11"/>
      <c r="V33" s="11"/>
      <c r="W33" s="11"/>
      <c r="X33" s="11"/>
      <c r="Y33" s="11"/>
      <c r="Z33" s="11"/>
      <c r="AA33" s="11"/>
      <c r="AB33" s="42"/>
      <c r="AC33" s="12"/>
    </row>
    <row r="34" ht="31.5" customHeight="1">
      <c r="A34" s="11"/>
      <c r="B34" s="11"/>
      <c r="C34" s="106" t="s">
        <v>107</v>
      </c>
      <c r="D34" s="16"/>
      <c r="E34" s="42"/>
      <c r="J34" s="12"/>
      <c r="K34" s="98" t="s">
        <v>160</v>
      </c>
      <c r="L34" s="11"/>
      <c r="M34" s="11"/>
      <c r="N34" s="11"/>
      <c r="O34" s="12"/>
      <c r="P34" s="11"/>
      <c r="Q34" s="11"/>
      <c r="R34" s="11"/>
      <c r="S34" s="11"/>
      <c r="T34" s="11"/>
      <c r="U34" s="11"/>
      <c r="V34" s="11"/>
      <c r="W34" s="11"/>
      <c r="X34" s="11"/>
      <c r="Y34" s="11"/>
      <c r="Z34" s="11"/>
      <c r="AA34" s="11"/>
      <c r="AB34" s="42"/>
      <c r="AC34" s="12"/>
    </row>
    <row r="35" ht="107.25" customHeight="1">
      <c r="A35" s="11"/>
      <c r="B35" s="11"/>
      <c r="C35" s="25" t="s">
        <v>61</v>
      </c>
      <c r="D35" s="107" t="s">
        <v>174</v>
      </c>
      <c r="E35" s="42"/>
      <c r="J35" s="12"/>
      <c r="K35" s="104" t="s">
        <v>171</v>
      </c>
      <c r="L35" s="11"/>
      <c r="M35" s="11"/>
      <c r="N35" s="11"/>
      <c r="O35" s="12"/>
      <c r="P35" s="11"/>
      <c r="Q35" s="11"/>
      <c r="R35" s="11"/>
      <c r="S35" s="11"/>
      <c r="T35" s="11"/>
      <c r="U35" s="11"/>
      <c r="V35" s="11"/>
      <c r="W35" s="11"/>
      <c r="X35" s="11"/>
      <c r="Y35" s="11"/>
      <c r="Z35" s="11"/>
      <c r="AA35" s="11"/>
      <c r="AB35" s="42"/>
      <c r="AC35" s="12"/>
    </row>
    <row r="36" ht="151.5" customHeight="1">
      <c r="A36" s="11"/>
      <c r="B36" s="11"/>
      <c r="C36" s="25" t="s">
        <v>113</v>
      </c>
      <c r="D36" s="12"/>
      <c r="E36" s="42"/>
      <c r="J36" s="12"/>
      <c r="K36" s="104" t="s">
        <v>171</v>
      </c>
      <c r="L36" s="11"/>
      <c r="M36" s="11"/>
      <c r="N36" s="11"/>
      <c r="O36" s="12"/>
      <c r="P36" s="11"/>
      <c r="Q36" s="11"/>
      <c r="R36" s="11"/>
      <c r="S36" s="11"/>
      <c r="T36" s="11"/>
      <c r="U36" s="11"/>
      <c r="V36" s="11"/>
      <c r="W36" s="11"/>
      <c r="X36" s="11"/>
      <c r="Y36" s="11"/>
      <c r="Z36" s="11"/>
      <c r="AA36" s="11"/>
      <c r="AB36" s="42"/>
      <c r="AC36" s="12"/>
    </row>
    <row r="37" ht="31.5" customHeight="1">
      <c r="A37" s="11"/>
      <c r="B37" s="11"/>
      <c r="C37" s="25" t="s">
        <v>144</v>
      </c>
      <c r="D37" s="87" t="s">
        <v>175</v>
      </c>
      <c r="E37" s="42"/>
      <c r="J37" s="12"/>
      <c r="K37" s="98" t="s">
        <v>160</v>
      </c>
      <c r="L37" s="11"/>
      <c r="M37" s="11"/>
      <c r="N37" s="11"/>
      <c r="O37" s="12"/>
      <c r="P37" s="11"/>
      <c r="Q37" s="11"/>
      <c r="R37" s="11"/>
      <c r="S37" s="11"/>
      <c r="T37" s="11"/>
      <c r="U37" s="11"/>
      <c r="V37" s="11"/>
      <c r="W37" s="11"/>
      <c r="X37" s="11"/>
      <c r="Y37" s="11"/>
      <c r="Z37" s="11"/>
      <c r="AA37" s="11"/>
      <c r="AB37" s="42"/>
      <c r="AC37" s="12"/>
    </row>
    <row r="38" ht="31.5" customHeight="1">
      <c r="A38" s="16"/>
      <c r="B38" s="16"/>
      <c r="C38" s="25" t="s">
        <v>176</v>
      </c>
      <c r="D38" s="16"/>
      <c r="E38" s="13"/>
      <c r="F38" s="14"/>
      <c r="G38" s="14"/>
      <c r="H38" s="14"/>
      <c r="I38" s="14"/>
      <c r="J38" s="15"/>
      <c r="K38" s="98" t="s">
        <v>160</v>
      </c>
      <c r="L38" s="16"/>
      <c r="M38" s="16"/>
      <c r="N38" s="16"/>
      <c r="O38" s="12"/>
      <c r="P38" s="16"/>
      <c r="Q38" s="16"/>
      <c r="R38" s="16"/>
      <c r="S38" s="16"/>
      <c r="T38" s="16"/>
      <c r="U38" s="16"/>
      <c r="V38" s="16"/>
      <c r="W38" s="16"/>
      <c r="X38" s="16"/>
      <c r="Y38" s="16"/>
      <c r="Z38" s="16"/>
      <c r="AA38" s="16"/>
      <c r="AB38" s="42"/>
      <c r="AC38" s="12"/>
    </row>
    <row r="39" ht="33.75" customHeight="1">
      <c r="A39" s="43">
        <v>7.0</v>
      </c>
      <c r="B39" s="24" t="s">
        <v>177</v>
      </c>
      <c r="C39" s="25" t="s">
        <v>178</v>
      </c>
      <c r="D39" s="80" t="s">
        <v>179</v>
      </c>
      <c r="E39" s="29" t="s">
        <v>180</v>
      </c>
      <c r="F39" s="8"/>
      <c r="G39" s="8"/>
      <c r="H39" s="8"/>
      <c r="I39" s="8"/>
      <c r="J39" s="10"/>
      <c r="K39" s="45" t="s">
        <v>181</v>
      </c>
      <c r="L39" s="27" t="s">
        <v>182</v>
      </c>
      <c r="M39" s="45">
        <v>600.0</v>
      </c>
      <c r="N39" s="32" t="s">
        <v>43</v>
      </c>
      <c r="O39" s="108" t="s">
        <v>183</v>
      </c>
      <c r="P39" s="109"/>
      <c r="Q39" s="35" t="s">
        <v>184</v>
      </c>
      <c r="R39" s="35" t="s">
        <v>137</v>
      </c>
      <c r="S39" s="35" t="s">
        <v>48</v>
      </c>
      <c r="T39" s="35" t="s">
        <v>185</v>
      </c>
      <c r="U39" s="110" t="s">
        <v>138</v>
      </c>
      <c r="V39" s="35" t="s">
        <v>186</v>
      </c>
      <c r="W39" s="40" t="s">
        <v>187</v>
      </c>
      <c r="X39" s="39" t="s">
        <v>188</v>
      </c>
      <c r="Y39" s="39" t="s">
        <v>53</v>
      </c>
      <c r="Z39" s="111" t="s">
        <v>189</v>
      </c>
      <c r="AA39" s="38" t="s">
        <v>55</v>
      </c>
      <c r="AB39" s="42"/>
      <c r="AC39" s="12"/>
    </row>
    <row r="40" ht="33.75" customHeight="1">
      <c r="A40" s="11"/>
      <c r="B40" s="11"/>
      <c r="C40" s="25" t="s">
        <v>190</v>
      </c>
      <c r="D40" s="12"/>
      <c r="E40" s="42"/>
      <c r="J40" s="12"/>
      <c r="K40" s="45" t="s">
        <v>191</v>
      </c>
      <c r="L40" s="11"/>
      <c r="M40" s="112">
        <v>520.0</v>
      </c>
      <c r="N40" s="42"/>
      <c r="O40" s="113" t="s">
        <v>192</v>
      </c>
      <c r="P40" s="11"/>
      <c r="Q40" s="11"/>
      <c r="R40" s="11"/>
      <c r="S40" s="11"/>
      <c r="T40" s="11"/>
      <c r="U40" s="11"/>
      <c r="V40" s="11"/>
      <c r="W40" s="11"/>
      <c r="X40" s="11"/>
      <c r="Y40" s="11"/>
      <c r="Z40" s="11"/>
      <c r="AA40" s="11"/>
      <c r="AB40" s="42"/>
      <c r="AC40" s="12"/>
    </row>
    <row r="41" ht="33.75" customHeight="1">
      <c r="A41" s="11"/>
      <c r="B41" s="11"/>
      <c r="C41" s="27" t="s">
        <v>193</v>
      </c>
      <c r="D41" s="12"/>
      <c r="E41" s="42"/>
      <c r="J41" s="12"/>
      <c r="K41" s="45" t="s">
        <v>194</v>
      </c>
      <c r="L41" s="11"/>
      <c r="M41" s="12"/>
      <c r="N41" s="42"/>
      <c r="O41" s="11"/>
      <c r="P41" s="11"/>
      <c r="Q41" s="11"/>
      <c r="R41" s="11"/>
      <c r="S41" s="11"/>
      <c r="T41" s="11"/>
      <c r="U41" s="11"/>
      <c r="V41" s="11"/>
      <c r="W41" s="11"/>
      <c r="X41" s="11"/>
      <c r="Y41" s="11"/>
      <c r="Z41" s="11"/>
      <c r="AA41" s="11"/>
      <c r="AB41" s="42"/>
      <c r="AC41" s="12"/>
    </row>
    <row r="42" ht="27.75" customHeight="1">
      <c r="A42" s="11"/>
      <c r="B42" s="11"/>
      <c r="C42" s="16"/>
      <c r="D42" s="12"/>
      <c r="E42" s="42"/>
      <c r="J42" s="12"/>
      <c r="K42" s="45" t="s">
        <v>195</v>
      </c>
      <c r="L42" s="11"/>
      <c r="M42" s="12"/>
      <c r="N42" s="42"/>
      <c r="O42" s="11"/>
      <c r="P42" s="11"/>
      <c r="Q42" s="11"/>
      <c r="R42" s="11"/>
      <c r="S42" s="11"/>
      <c r="T42" s="11"/>
      <c r="U42" s="11"/>
      <c r="V42" s="11"/>
      <c r="W42" s="11"/>
      <c r="X42" s="11"/>
      <c r="Y42" s="11"/>
      <c r="Z42" s="11"/>
      <c r="AA42" s="11"/>
      <c r="AB42" s="42"/>
      <c r="AC42" s="12"/>
    </row>
    <row r="43" ht="33.75" customHeight="1">
      <c r="A43" s="11"/>
      <c r="B43" s="11"/>
      <c r="C43" s="25"/>
      <c r="D43" s="12"/>
      <c r="E43" s="42"/>
      <c r="J43" s="12"/>
      <c r="K43" s="45" t="s">
        <v>196</v>
      </c>
      <c r="L43" s="11"/>
      <c r="M43" s="12"/>
      <c r="N43" s="42"/>
      <c r="O43" s="11"/>
      <c r="P43" s="11"/>
      <c r="Q43" s="11"/>
      <c r="R43" s="11"/>
      <c r="S43" s="11"/>
      <c r="T43" s="11"/>
      <c r="U43" s="11"/>
      <c r="V43" s="11"/>
      <c r="W43" s="11"/>
      <c r="X43" s="11"/>
      <c r="Y43" s="11"/>
      <c r="Z43" s="11"/>
      <c r="AA43" s="11"/>
      <c r="AB43" s="42"/>
      <c r="AC43" s="12"/>
    </row>
    <row r="44" ht="33.75" customHeight="1">
      <c r="A44" s="11"/>
      <c r="B44" s="11"/>
      <c r="C44" s="27" t="s">
        <v>197</v>
      </c>
      <c r="D44" s="12"/>
      <c r="E44" s="42"/>
      <c r="J44" s="12"/>
      <c r="K44" s="45" t="s">
        <v>198</v>
      </c>
      <c r="L44" s="11"/>
      <c r="M44" s="12"/>
      <c r="N44" s="42"/>
      <c r="O44" s="11"/>
      <c r="P44" s="11"/>
      <c r="Q44" s="11"/>
      <c r="R44" s="11"/>
      <c r="S44" s="11"/>
      <c r="T44" s="11"/>
      <c r="U44" s="11"/>
      <c r="V44" s="11"/>
      <c r="W44" s="11"/>
      <c r="X44" s="11"/>
      <c r="Y44" s="11"/>
      <c r="Z44" s="11"/>
      <c r="AA44" s="11"/>
      <c r="AB44" s="42"/>
      <c r="AC44" s="12"/>
    </row>
    <row r="45" ht="32.25" customHeight="1">
      <c r="A45" s="11"/>
      <c r="B45" s="11"/>
      <c r="C45" s="16"/>
      <c r="D45" s="12"/>
      <c r="E45" s="42"/>
      <c r="J45" s="12"/>
      <c r="K45" s="45" t="s">
        <v>199</v>
      </c>
      <c r="L45" s="11"/>
      <c r="M45" s="12"/>
      <c r="N45" s="42"/>
      <c r="O45" s="11"/>
      <c r="P45" s="11"/>
      <c r="Q45" s="11"/>
      <c r="R45" s="11"/>
      <c r="S45" s="11"/>
      <c r="T45" s="11"/>
      <c r="U45" s="11"/>
      <c r="V45" s="11"/>
      <c r="W45" s="11"/>
      <c r="X45" s="11"/>
      <c r="Y45" s="11"/>
      <c r="Z45" s="11"/>
      <c r="AA45" s="11"/>
      <c r="AB45" s="42"/>
      <c r="AC45" s="12"/>
    </row>
    <row r="46" ht="33.75" customHeight="1">
      <c r="A46" s="11"/>
      <c r="B46" s="11"/>
      <c r="C46" s="27" t="s">
        <v>200</v>
      </c>
      <c r="D46" s="12"/>
      <c r="E46" s="42"/>
      <c r="J46" s="12"/>
      <c r="K46" s="45" t="s">
        <v>201</v>
      </c>
      <c r="L46" s="11"/>
      <c r="M46" s="12"/>
      <c r="N46" s="42"/>
      <c r="O46" s="11"/>
      <c r="P46" s="11"/>
      <c r="Q46" s="11"/>
      <c r="R46" s="11"/>
      <c r="S46" s="11"/>
      <c r="T46" s="11"/>
      <c r="U46" s="11"/>
      <c r="V46" s="11"/>
      <c r="W46" s="11"/>
      <c r="X46" s="11"/>
      <c r="Y46" s="11"/>
      <c r="Z46" s="11"/>
      <c r="AA46" s="11"/>
      <c r="AB46" s="42"/>
      <c r="AC46" s="12"/>
    </row>
    <row r="47" ht="18.0" customHeight="1">
      <c r="A47" s="11"/>
      <c r="B47" s="11"/>
      <c r="C47" s="16"/>
      <c r="D47" s="12"/>
      <c r="E47" s="42"/>
      <c r="J47" s="12"/>
      <c r="K47" s="45" t="s">
        <v>202</v>
      </c>
      <c r="L47" s="11"/>
      <c r="M47" s="12"/>
      <c r="N47" s="42"/>
      <c r="O47" s="11"/>
      <c r="P47" s="11"/>
      <c r="Q47" s="11"/>
      <c r="R47" s="11"/>
      <c r="S47" s="11"/>
      <c r="T47" s="11"/>
      <c r="U47" s="11"/>
      <c r="V47" s="11"/>
      <c r="W47" s="11"/>
      <c r="X47" s="11"/>
      <c r="Y47" s="11"/>
      <c r="Z47" s="11"/>
      <c r="AA47" s="11"/>
      <c r="AB47" s="42"/>
      <c r="AC47" s="12"/>
    </row>
    <row r="48" ht="33.75" customHeight="1">
      <c r="A48" s="11"/>
      <c r="B48" s="11"/>
      <c r="C48" s="25" t="s">
        <v>203</v>
      </c>
      <c r="D48" s="12"/>
      <c r="E48" s="42"/>
      <c r="J48" s="12"/>
      <c r="K48" s="45" t="s">
        <v>204</v>
      </c>
      <c r="L48" s="11"/>
      <c r="M48" s="12"/>
      <c r="N48" s="42"/>
      <c r="O48" s="11"/>
      <c r="P48" s="11"/>
      <c r="Q48" s="11"/>
      <c r="R48" s="11"/>
      <c r="S48" s="11"/>
      <c r="T48" s="11"/>
      <c r="U48" s="11"/>
      <c r="V48" s="11"/>
      <c r="W48" s="11"/>
      <c r="X48" s="11"/>
      <c r="Y48" s="11"/>
      <c r="Z48" s="11"/>
      <c r="AA48" s="11"/>
      <c r="AB48" s="42"/>
      <c r="AC48" s="12"/>
    </row>
    <row r="49" ht="33.75" customHeight="1">
      <c r="A49" s="11"/>
      <c r="B49" s="11"/>
      <c r="C49" s="27" t="s">
        <v>205</v>
      </c>
      <c r="D49" s="12"/>
      <c r="E49" s="42"/>
      <c r="J49" s="12"/>
      <c r="K49" s="45" t="s">
        <v>206</v>
      </c>
      <c r="L49" s="11"/>
      <c r="M49" s="12"/>
      <c r="N49" s="42"/>
      <c r="O49" s="11"/>
      <c r="P49" s="11"/>
      <c r="Q49" s="11"/>
      <c r="R49" s="11"/>
      <c r="S49" s="11"/>
      <c r="T49" s="11"/>
      <c r="U49" s="11"/>
      <c r="V49" s="11"/>
      <c r="W49" s="11"/>
      <c r="X49" s="11"/>
      <c r="Y49" s="11"/>
      <c r="Z49" s="11"/>
      <c r="AA49" s="11"/>
      <c r="AB49" s="42"/>
      <c r="AC49" s="12"/>
    </row>
    <row r="50" ht="26.25" customHeight="1">
      <c r="A50" s="11"/>
      <c r="B50" s="11"/>
      <c r="C50" s="16"/>
      <c r="D50" s="12"/>
      <c r="E50" s="42"/>
      <c r="J50" s="12"/>
      <c r="K50" s="45" t="s">
        <v>207</v>
      </c>
      <c r="L50" s="11"/>
      <c r="M50" s="12"/>
      <c r="N50" s="42"/>
      <c r="O50" s="11"/>
      <c r="P50" s="11"/>
      <c r="Q50" s="11"/>
      <c r="R50" s="11"/>
      <c r="S50" s="11"/>
      <c r="T50" s="11"/>
      <c r="U50" s="11"/>
      <c r="V50" s="11"/>
      <c r="W50" s="11"/>
      <c r="X50" s="11"/>
      <c r="Y50" s="11"/>
      <c r="Z50" s="11"/>
      <c r="AA50" s="11"/>
      <c r="AB50" s="42"/>
      <c r="AC50" s="12"/>
    </row>
    <row r="51" ht="33.75" customHeight="1">
      <c r="A51" s="11"/>
      <c r="B51" s="11"/>
      <c r="C51" s="25" t="s">
        <v>208</v>
      </c>
      <c r="D51" s="12"/>
      <c r="E51" s="42"/>
      <c r="J51" s="12"/>
      <c r="K51" s="45" t="s">
        <v>209</v>
      </c>
      <c r="L51" s="11"/>
      <c r="M51" s="12"/>
      <c r="N51" s="42"/>
      <c r="O51" s="11"/>
      <c r="P51" s="11"/>
      <c r="Q51" s="11"/>
      <c r="R51" s="11"/>
      <c r="S51" s="11"/>
      <c r="T51" s="11"/>
      <c r="U51" s="11"/>
      <c r="V51" s="11"/>
      <c r="W51" s="11"/>
      <c r="X51" s="11"/>
      <c r="Y51" s="11"/>
      <c r="Z51" s="11"/>
      <c r="AA51" s="11"/>
      <c r="AB51" s="42"/>
      <c r="AC51" s="12"/>
    </row>
    <row r="52" ht="33.75" customHeight="1">
      <c r="A52" s="11"/>
      <c r="B52" s="11"/>
      <c r="C52" s="25" t="s">
        <v>210</v>
      </c>
      <c r="D52" s="12"/>
      <c r="E52" s="42"/>
      <c r="J52" s="12"/>
      <c r="K52" s="45" t="s">
        <v>211</v>
      </c>
      <c r="L52" s="11"/>
      <c r="M52" s="12"/>
      <c r="N52" s="42"/>
      <c r="O52" s="11"/>
      <c r="P52" s="11"/>
      <c r="Q52" s="11"/>
      <c r="R52" s="11"/>
      <c r="S52" s="11"/>
      <c r="T52" s="11"/>
      <c r="U52" s="11"/>
      <c r="V52" s="11"/>
      <c r="W52" s="11"/>
      <c r="X52" s="11"/>
      <c r="Y52" s="11"/>
      <c r="Z52" s="11"/>
      <c r="AA52" s="11"/>
      <c r="AB52" s="42"/>
      <c r="AC52" s="12"/>
    </row>
    <row r="53" ht="33.75" customHeight="1">
      <c r="A53" s="16"/>
      <c r="B53" s="16"/>
      <c r="C53" s="114" t="s">
        <v>212</v>
      </c>
      <c r="D53" s="15"/>
      <c r="E53" s="13"/>
      <c r="F53" s="14"/>
      <c r="G53" s="14"/>
      <c r="H53" s="14"/>
      <c r="I53" s="14"/>
      <c r="J53" s="15"/>
      <c r="K53" s="45" t="s">
        <v>213</v>
      </c>
      <c r="L53" s="16"/>
      <c r="M53" s="15"/>
      <c r="N53" s="13"/>
      <c r="O53" s="16"/>
      <c r="P53" s="16"/>
      <c r="Q53" s="16"/>
      <c r="R53" s="16"/>
      <c r="S53" s="16"/>
      <c r="T53" s="16"/>
      <c r="U53" s="16"/>
      <c r="V53" s="16"/>
      <c r="W53" s="16"/>
      <c r="X53" s="16"/>
      <c r="Y53" s="16"/>
      <c r="Z53" s="16"/>
      <c r="AA53" s="16"/>
      <c r="AB53" s="42"/>
      <c r="AC53" s="12"/>
    </row>
    <row r="54" ht="156.0" customHeight="1">
      <c r="A54" s="43">
        <v>8.0</v>
      </c>
      <c r="B54" s="24" t="s">
        <v>214</v>
      </c>
      <c r="C54" s="114" t="s">
        <v>144</v>
      </c>
      <c r="D54" s="115" t="s">
        <v>215</v>
      </c>
      <c r="E54" s="27" t="s">
        <v>216</v>
      </c>
      <c r="F54" s="29" t="s">
        <v>217</v>
      </c>
      <c r="G54" s="10"/>
      <c r="H54" s="116" t="s">
        <v>218</v>
      </c>
      <c r="I54" s="8"/>
      <c r="J54" s="10"/>
      <c r="K54" s="117" t="s">
        <v>219</v>
      </c>
      <c r="L54" s="27" t="s">
        <v>182</v>
      </c>
      <c r="M54" s="45">
        <v>550.0</v>
      </c>
      <c r="N54" s="32" t="s">
        <v>43</v>
      </c>
      <c r="O54" s="118" t="s">
        <v>220</v>
      </c>
      <c r="P54" s="27" t="s">
        <v>221</v>
      </c>
      <c r="Q54" s="35" t="s">
        <v>222</v>
      </c>
      <c r="R54" s="35" t="s">
        <v>223</v>
      </c>
      <c r="S54" s="35" t="s">
        <v>48</v>
      </c>
      <c r="T54" s="35" t="s">
        <v>48</v>
      </c>
      <c r="U54" s="36" t="s">
        <v>224</v>
      </c>
      <c r="V54" s="35" t="s">
        <v>48</v>
      </c>
      <c r="W54" s="49" t="s">
        <v>225</v>
      </c>
      <c r="X54" s="38" t="s">
        <v>226</v>
      </c>
      <c r="Y54" s="39" t="s">
        <v>73</v>
      </c>
      <c r="Z54" s="51" t="s">
        <v>227</v>
      </c>
      <c r="AA54" s="38" t="s">
        <v>228</v>
      </c>
      <c r="AB54" s="42"/>
      <c r="AC54" s="12"/>
    </row>
    <row r="55" ht="79.5" customHeight="1">
      <c r="A55" s="11"/>
      <c r="B55" s="11"/>
      <c r="C55" s="114" t="s">
        <v>61</v>
      </c>
      <c r="D55" s="12"/>
      <c r="E55" s="11"/>
      <c r="F55" s="42"/>
      <c r="G55" s="12"/>
      <c r="H55" s="42"/>
      <c r="J55" s="12"/>
      <c r="K55" s="11"/>
      <c r="L55" s="11"/>
      <c r="M55" s="45">
        <v>515.0</v>
      </c>
      <c r="N55" s="42"/>
      <c r="O55" s="118" t="s">
        <v>229</v>
      </c>
      <c r="P55" s="11"/>
      <c r="Q55" s="11"/>
      <c r="R55" s="11"/>
      <c r="S55" s="11"/>
      <c r="T55" s="11"/>
      <c r="U55" s="11"/>
      <c r="V55" s="11"/>
      <c r="W55" s="11"/>
      <c r="X55" s="11"/>
      <c r="Y55" s="11"/>
      <c r="Z55" s="11"/>
      <c r="AA55" s="11"/>
      <c r="AB55" s="42"/>
      <c r="AC55" s="12"/>
    </row>
    <row r="56" ht="79.5" customHeight="1">
      <c r="A56" s="16"/>
      <c r="B56" s="16"/>
      <c r="C56" s="114" t="s">
        <v>230</v>
      </c>
      <c r="D56" s="15"/>
      <c r="E56" s="16"/>
      <c r="F56" s="13"/>
      <c r="G56" s="15"/>
      <c r="H56" s="13"/>
      <c r="I56" s="14"/>
      <c r="J56" s="15"/>
      <c r="K56" s="16"/>
      <c r="L56" s="16"/>
      <c r="M56" s="45">
        <v>550.0</v>
      </c>
      <c r="N56" s="42"/>
      <c r="O56" s="118" t="s">
        <v>231</v>
      </c>
      <c r="P56" s="16"/>
      <c r="Q56" s="16"/>
      <c r="R56" s="16"/>
      <c r="S56" s="16"/>
      <c r="T56" s="16"/>
      <c r="U56" s="16"/>
      <c r="V56" s="16"/>
      <c r="W56" s="16"/>
      <c r="X56" s="16"/>
      <c r="Y56" s="16"/>
      <c r="Z56" s="16"/>
      <c r="AA56" s="16"/>
      <c r="AB56" s="42"/>
      <c r="AC56" s="12"/>
    </row>
    <row r="57" ht="135.0" customHeight="1">
      <c r="A57" s="43">
        <v>9.0</v>
      </c>
      <c r="B57" s="24" t="s">
        <v>232</v>
      </c>
      <c r="C57" s="114" t="s">
        <v>59</v>
      </c>
      <c r="D57" s="115" t="s">
        <v>233</v>
      </c>
      <c r="E57" s="29" t="s">
        <v>234</v>
      </c>
      <c r="F57" s="8"/>
      <c r="G57" s="10"/>
      <c r="H57" s="29" t="s">
        <v>235</v>
      </c>
      <c r="I57" s="8"/>
      <c r="J57" s="10"/>
      <c r="K57" s="117" t="s">
        <v>236</v>
      </c>
      <c r="L57" s="27" t="s">
        <v>182</v>
      </c>
      <c r="M57" s="119">
        <v>450.0</v>
      </c>
      <c r="N57" s="35" t="s">
        <v>237</v>
      </c>
      <c r="O57" s="27" t="s">
        <v>238</v>
      </c>
      <c r="P57" s="27" t="s">
        <v>48</v>
      </c>
      <c r="Q57" s="35" t="s">
        <v>239</v>
      </c>
      <c r="R57" s="120" t="s">
        <v>240</v>
      </c>
      <c r="S57" s="8"/>
      <c r="T57" s="8"/>
      <c r="U57" s="8"/>
      <c r="V57" s="10"/>
      <c r="W57" s="37" t="s">
        <v>241</v>
      </c>
      <c r="X57" s="38" t="s">
        <v>242</v>
      </c>
      <c r="Y57" s="38" t="s">
        <v>141</v>
      </c>
      <c r="Z57" s="51" t="s">
        <v>243</v>
      </c>
      <c r="AA57" s="38" t="s">
        <v>244</v>
      </c>
      <c r="AB57" s="42"/>
      <c r="AC57" s="12"/>
    </row>
    <row r="58" ht="135.0" customHeight="1">
      <c r="A58" s="11"/>
      <c r="B58" s="11"/>
      <c r="C58" s="114" t="s">
        <v>37</v>
      </c>
      <c r="D58" s="12"/>
      <c r="E58" s="42"/>
      <c r="G58" s="12"/>
      <c r="H58" s="42"/>
      <c r="J58" s="12"/>
      <c r="K58" s="11"/>
      <c r="L58" s="11"/>
      <c r="M58" s="42"/>
      <c r="N58" s="11"/>
      <c r="O58" s="11"/>
      <c r="P58" s="11"/>
      <c r="Q58" s="11"/>
      <c r="R58" s="42"/>
      <c r="V58" s="12"/>
      <c r="W58" s="11"/>
      <c r="X58" s="11"/>
      <c r="Y58" s="11"/>
      <c r="Z58" s="11"/>
      <c r="AA58" s="11"/>
      <c r="AB58" s="42"/>
      <c r="AC58" s="12"/>
    </row>
    <row r="59" ht="135.0" customHeight="1">
      <c r="A59" s="11"/>
      <c r="B59" s="11"/>
      <c r="C59" s="114" t="s">
        <v>245</v>
      </c>
      <c r="D59" s="12"/>
      <c r="E59" s="42"/>
      <c r="G59" s="12"/>
      <c r="H59" s="42"/>
      <c r="J59" s="12"/>
      <c r="K59" s="11"/>
      <c r="L59" s="11"/>
      <c r="M59" s="42"/>
      <c r="N59" s="11"/>
      <c r="O59" s="11"/>
      <c r="P59" s="11"/>
      <c r="Q59" s="11"/>
      <c r="R59" s="42"/>
      <c r="V59" s="12"/>
      <c r="W59" s="11"/>
      <c r="X59" s="11"/>
      <c r="Y59" s="11"/>
      <c r="Z59" s="11"/>
      <c r="AA59" s="11"/>
      <c r="AB59" s="42"/>
      <c r="AC59" s="12"/>
    </row>
    <row r="60" ht="135.0" customHeight="1">
      <c r="A60" s="16"/>
      <c r="B60" s="16"/>
      <c r="C60" s="79" t="s">
        <v>172</v>
      </c>
      <c r="D60" s="15"/>
      <c r="E60" s="13"/>
      <c r="F60" s="14"/>
      <c r="G60" s="15"/>
      <c r="H60" s="13"/>
      <c r="I60" s="14"/>
      <c r="J60" s="15"/>
      <c r="K60" s="16"/>
      <c r="L60" s="16"/>
      <c r="M60" s="13"/>
      <c r="N60" s="16"/>
      <c r="O60" s="16"/>
      <c r="P60" s="16"/>
      <c r="Q60" s="16"/>
      <c r="R60" s="13"/>
      <c r="S60" s="14"/>
      <c r="T60" s="14"/>
      <c r="U60" s="14"/>
      <c r="V60" s="15"/>
      <c r="W60" s="16"/>
      <c r="X60" s="16"/>
      <c r="Y60" s="16"/>
      <c r="Z60" s="16"/>
      <c r="AA60" s="16"/>
      <c r="AB60" s="13"/>
      <c r="AC60" s="15"/>
    </row>
    <row r="61" ht="61.5" customHeight="1">
      <c r="A61" s="121">
        <v>10.0</v>
      </c>
      <c r="B61" s="122" t="s">
        <v>246</v>
      </c>
      <c r="C61" s="108" t="s">
        <v>113</v>
      </c>
      <c r="D61" s="35" t="s">
        <v>247</v>
      </c>
      <c r="E61" s="123"/>
      <c r="F61" s="123"/>
      <c r="G61" s="123"/>
      <c r="H61" s="123"/>
      <c r="I61" s="123"/>
      <c r="J61" s="123"/>
      <c r="K61" s="123"/>
      <c r="L61" s="27" t="s">
        <v>182</v>
      </c>
      <c r="M61" s="124"/>
      <c r="N61" s="125" t="s">
        <v>87</v>
      </c>
      <c r="O61" s="123"/>
      <c r="P61" s="123"/>
      <c r="Q61" s="123"/>
      <c r="R61" s="123"/>
      <c r="S61" s="123"/>
      <c r="T61" s="123"/>
      <c r="U61" s="123"/>
      <c r="V61" s="123"/>
      <c r="W61" s="126" t="s">
        <v>248</v>
      </c>
      <c r="X61" s="123"/>
      <c r="Y61" s="123"/>
      <c r="Z61" s="127"/>
      <c r="AA61" s="38" t="s">
        <v>249</v>
      </c>
      <c r="AB61" s="123"/>
      <c r="AC61" s="123"/>
    </row>
    <row r="62" ht="61.5" customHeight="1">
      <c r="A62" s="11"/>
      <c r="B62" s="11"/>
      <c r="C62" s="108" t="s">
        <v>250</v>
      </c>
      <c r="D62" s="11"/>
      <c r="E62" s="123"/>
      <c r="F62" s="123"/>
      <c r="G62" s="123"/>
      <c r="H62" s="123"/>
      <c r="I62" s="123"/>
      <c r="J62" s="123"/>
      <c r="K62" s="123"/>
      <c r="L62" s="11"/>
      <c r="M62" s="11"/>
      <c r="O62" s="123"/>
      <c r="P62" s="123"/>
      <c r="Q62" s="123"/>
      <c r="R62" s="123"/>
      <c r="S62" s="123"/>
      <c r="T62" s="123"/>
      <c r="U62" s="123"/>
      <c r="V62" s="123"/>
      <c r="W62" s="11"/>
      <c r="X62" s="123"/>
      <c r="Y62" s="123"/>
      <c r="Z62" s="127"/>
      <c r="AA62" s="11"/>
      <c r="AB62" s="123"/>
      <c r="AC62" s="123"/>
    </row>
    <row r="63" ht="61.5" customHeight="1">
      <c r="A63" s="16"/>
      <c r="B63" s="16"/>
      <c r="C63" s="108" t="s">
        <v>100</v>
      </c>
      <c r="D63" s="16"/>
      <c r="E63" s="123"/>
      <c r="F63" s="123"/>
      <c r="G63" s="123"/>
      <c r="H63" s="123"/>
      <c r="I63" s="123"/>
      <c r="J63" s="123"/>
      <c r="K63" s="123"/>
      <c r="L63" s="16"/>
      <c r="M63" s="16"/>
      <c r="O63" s="123"/>
      <c r="P63" s="123"/>
      <c r="Q63" s="123"/>
      <c r="R63" s="123"/>
      <c r="S63" s="123"/>
      <c r="T63" s="123"/>
      <c r="U63" s="123"/>
      <c r="V63" s="128"/>
      <c r="W63" s="16"/>
      <c r="X63" s="123"/>
      <c r="Y63" s="123"/>
      <c r="Z63" s="127"/>
      <c r="AA63" s="16"/>
      <c r="AB63" s="123"/>
      <c r="AC63" s="123"/>
    </row>
    <row r="64" ht="28.5" customHeight="1">
      <c r="A64" s="121">
        <v>11.0</v>
      </c>
      <c r="B64" s="122" t="s">
        <v>251</v>
      </c>
      <c r="C64" s="108" t="s">
        <v>113</v>
      </c>
      <c r="D64" s="87" t="s">
        <v>252</v>
      </c>
      <c r="E64" s="35" t="s">
        <v>216</v>
      </c>
      <c r="F64" s="29" t="s">
        <v>253</v>
      </c>
      <c r="G64" s="10"/>
      <c r="H64" s="35" t="s">
        <v>254</v>
      </c>
      <c r="I64" s="35" t="s">
        <v>254</v>
      </c>
      <c r="J64" s="35" t="s">
        <v>255</v>
      </c>
      <c r="K64" s="129" t="s">
        <v>256</v>
      </c>
      <c r="L64" s="35" t="s">
        <v>182</v>
      </c>
      <c r="M64" s="130">
        <v>700.0</v>
      </c>
      <c r="N64" s="35" t="s">
        <v>87</v>
      </c>
      <c r="O64" s="33" t="s">
        <v>257</v>
      </c>
      <c r="P64" s="123"/>
      <c r="Q64" s="35" t="s">
        <v>258</v>
      </c>
      <c r="R64" s="35" t="s">
        <v>259</v>
      </c>
      <c r="S64" s="131" t="s">
        <v>260</v>
      </c>
      <c r="T64" s="131" t="s">
        <v>261</v>
      </c>
      <c r="U64" s="132" t="s">
        <v>262</v>
      </c>
      <c r="V64" s="131" t="s">
        <v>261</v>
      </c>
      <c r="W64" s="133" t="s">
        <v>263</v>
      </c>
      <c r="X64" s="134" t="s">
        <v>264</v>
      </c>
      <c r="Y64" s="135" t="s">
        <v>265</v>
      </c>
      <c r="Z64" s="136" t="s">
        <v>266</v>
      </c>
      <c r="AA64" s="38" t="s">
        <v>267</v>
      </c>
      <c r="AB64" s="135" t="s">
        <v>268</v>
      </c>
      <c r="AC64" s="123"/>
    </row>
    <row r="65" ht="28.5" customHeight="1">
      <c r="A65" s="11"/>
      <c r="B65" s="11"/>
      <c r="C65" s="108" t="s">
        <v>269</v>
      </c>
      <c r="D65" s="11"/>
      <c r="E65" s="11"/>
      <c r="F65" s="42"/>
      <c r="G65" s="12"/>
      <c r="H65" s="11"/>
      <c r="I65" s="11"/>
      <c r="J65" s="11"/>
      <c r="K65" s="11"/>
      <c r="L65" s="11"/>
      <c r="M65" s="11"/>
      <c r="N65" s="11"/>
      <c r="O65" s="11"/>
      <c r="P65" s="123"/>
      <c r="Q65" s="11"/>
      <c r="R65" s="11"/>
      <c r="S65" s="11"/>
      <c r="T65" s="11"/>
      <c r="U65" s="11"/>
      <c r="V65" s="11"/>
      <c r="W65" s="11"/>
      <c r="X65" s="11"/>
      <c r="Y65" s="11"/>
      <c r="Z65" s="11"/>
      <c r="AA65" s="11"/>
      <c r="AB65" s="11"/>
      <c r="AC65" s="123"/>
    </row>
    <row r="66" ht="28.5" customHeight="1">
      <c r="A66" s="11"/>
      <c r="B66" s="11"/>
      <c r="C66" s="108" t="s">
        <v>270</v>
      </c>
      <c r="D66" s="11"/>
      <c r="E66" s="11"/>
      <c r="F66" s="42"/>
      <c r="G66" s="12"/>
      <c r="H66" s="11"/>
      <c r="I66" s="11"/>
      <c r="J66" s="11"/>
      <c r="K66" s="11"/>
      <c r="L66" s="11"/>
      <c r="M66" s="11"/>
      <c r="N66" s="11"/>
      <c r="O66" s="11"/>
      <c r="P66" s="123"/>
      <c r="Q66" s="11"/>
      <c r="R66" s="11"/>
      <c r="S66" s="11"/>
      <c r="T66" s="11"/>
      <c r="U66" s="11"/>
      <c r="V66" s="11"/>
      <c r="W66" s="11"/>
      <c r="X66" s="11"/>
      <c r="Y66" s="11"/>
      <c r="Z66" s="11"/>
      <c r="AA66" s="11"/>
      <c r="AB66" s="11"/>
      <c r="AC66" s="123"/>
    </row>
    <row r="67" ht="28.5" customHeight="1">
      <c r="A67" s="11"/>
      <c r="B67" s="11"/>
      <c r="C67" s="108" t="s">
        <v>271</v>
      </c>
      <c r="D67" s="11"/>
      <c r="E67" s="11"/>
      <c r="F67" s="42"/>
      <c r="G67" s="12"/>
      <c r="H67" s="11"/>
      <c r="I67" s="11"/>
      <c r="J67" s="11"/>
      <c r="K67" s="11"/>
      <c r="L67" s="11"/>
      <c r="M67" s="11"/>
      <c r="N67" s="11"/>
      <c r="O67" s="11"/>
      <c r="P67" s="123"/>
      <c r="Q67" s="11"/>
      <c r="R67" s="11"/>
      <c r="S67" s="11"/>
      <c r="T67" s="11"/>
      <c r="U67" s="11"/>
      <c r="V67" s="11"/>
      <c r="W67" s="11"/>
      <c r="X67" s="11"/>
      <c r="Y67" s="11"/>
      <c r="Z67" s="11"/>
      <c r="AA67" s="11"/>
      <c r="AB67" s="11"/>
      <c r="AC67" s="123"/>
    </row>
    <row r="68" ht="28.5" customHeight="1">
      <c r="A68" s="11"/>
      <c r="B68" s="11"/>
      <c r="C68" s="108" t="s">
        <v>230</v>
      </c>
      <c r="D68" s="11"/>
      <c r="E68" s="11"/>
      <c r="F68" s="42"/>
      <c r="G68" s="12"/>
      <c r="H68" s="11"/>
      <c r="I68" s="11"/>
      <c r="J68" s="11"/>
      <c r="K68" s="11"/>
      <c r="L68" s="11"/>
      <c r="M68" s="11"/>
      <c r="N68" s="11"/>
      <c r="O68" s="11"/>
      <c r="P68" s="123"/>
      <c r="Q68" s="11"/>
      <c r="R68" s="11"/>
      <c r="S68" s="11"/>
      <c r="T68" s="11"/>
      <c r="U68" s="11"/>
      <c r="V68" s="11"/>
      <c r="W68" s="11"/>
      <c r="X68" s="11"/>
      <c r="Y68" s="11"/>
      <c r="Z68" s="11"/>
      <c r="AA68" s="11"/>
      <c r="AB68" s="11"/>
      <c r="AC68" s="123"/>
    </row>
    <row r="69" ht="28.5" customHeight="1">
      <c r="A69" s="16"/>
      <c r="B69" s="16"/>
      <c r="C69" s="108" t="s">
        <v>82</v>
      </c>
      <c r="D69" s="16"/>
      <c r="E69" s="16"/>
      <c r="F69" s="13"/>
      <c r="G69" s="15"/>
      <c r="H69" s="16"/>
      <c r="I69" s="16"/>
      <c r="J69" s="16"/>
      <c r="K69" s="16"/>
      <c r="L69" s="16"/>
      <c r="M69" s="16"/>
      <c r="N69" s="16"/>
      <c r="O69" s="16"/>
      <c r="P69" s="123"/>
      <c r="Q69" s="16"/>
      <c r="R69" s="16"/>
      <c r="S69" s="16"/>
      <c r="T69" s="16"/>
      <c r="U69" s="16"/>
      <c r="V69" s="16"/>
      <c r="W69" s="16"/>
      <c r="X69" s="16"/>
      <c r="Y69" s="16"/>
      <c r="Z69" s="16"/>
      <c r="AA69" s="16"/>
      <c r="AB69" s="16"/>
      <c r="AC69" s="123"/>
    </row>
    <row r="70" ht="15.75" customHeight="1">
      <c r="A70" s="137"/>
      <c r="B70" s="138"/>
      <c r="C70" s="139"/>
      <c r="D70" s="139"/>
      <c r="E70" s="139"/>
      <c r="F70" s="139"/>
      <c r="G70" s="139"/>
      <c r="H70" s="139"/>
      <c r="I70" s="139"/>
      <c r="J70" s="138"/>
      <c r="K70" s="139"/>
      <c r="L70" s="138"/>
      <c r="M70" s="139"/>
      <c r="N70" s="139"/>
      <c r="O70" s="139"/>
      <c r="P70" s="139"/>
      <c r="Q70" s="139"/>
      <c r="R70" s="139"/>
      <c r="S70" s="139"/>
      <c r="T70" s="139"/>
      <c r="U70" s="139"/>
      <c r="V70" s="138"/>
      <c r="W70" s="140"/>
      <c r="X70" s="139"/>
      <c r="Y70" s="138"/>
      <c r="Z70" s="139"/>
      <c r="AA70" s="138"/>
      <c r="AB70" s="138"/>
      <c r="AC70" s="138"/>
    </row>
    <row r="71" ht="15.75" customHeight="1">
      <c r="A71" s="137"/>
      <c r="B71" s="138"/>
      <c r="C71" s="139"/>
      <c r="D71" s="139"/>
      <c r="E71" s="139"/>
      <c r="F71" s="139"/>
      <c r="G71" s="139"/>
      <c r="H71" s="139"/>
      <c r="I71" s="139"/>
      <c r="J71" s="138"/>
      <c r="K71" s="139"/>
      <c r="L71" s="138"/>
      <c r="M71" s="139"/>
      <c r="N71" s="139"/>
      <c r="O71" s="139"/>
      <c r="P71" s="139"/>
      <c r="Q71" s="139"/>
      <c r="R71" s="139"/>
      <c r="S71" s="139"/>
      <c r="T71" s="139"/>
      <c r="U71" s="139"/>
      <c r="V71" s="138"/>
      <c r="W71" s="140"/>
      <c r="X71" s="139"/>
      <c r="Y71" s="138"/>
      <c r="Z71" s="139"/>
      <c r="AA71" s="138"/>
      <c r="AB71" s="138"/>
      <c r="AC71" s="138"/>
    </row>
    <row r="72" ht="15.75" customHeight="1">
      <c r="A72" s="137"/>
      <c r="B72" s="138"/>
      <c r="C72" s="139"/>
      <c r="D72" s="139"/>
      <c r="E72" s="139"/>
      <c r="F72" s="139"/>
      <c r="G72" s="139"/>
      <c r="H72" s="139"/>
      <c r="I72" s="139"/>
      <c r="J72" s="138"/>
      <c r="K72" s="139"/>
      <c r="L72" s="138"/>
      <c r="M72" s="139"/>
      <c r="N72" s="139"/>
      <c r="O72" s="139"/>
      <c r="P72" s="139"/>
      <c r="Q72" s="139"/>
      <c r="R72" s="139"/>
      <c r="S72" s="139"/>
      <c r="T72" s="139"/>
      <c r="U72" s="139"/>
      <c r="V72" s="138"/>
      <c r="W72" s="140"/>
      <c r="X72" s="139"/>
      <c r="Y72" s="138"/>
      <c r="Z72" s="139"/>
      <c r="AA72" s="138"/>
      <c r="AB72" s="138"/>
      <c r="AC72" s="138"/>
    </row>
    <row r="73" ht="15.75" customHeight="1">
      <c r="A73" s="137"/>
      <c r="B73" s="138"/>
      <c r="C73" s="139"/>
      <c r="D73" s="139"/>
      <c r="E73" s="139"/>
      <c r="F73" s="139"/>
      <c r="G73" s="139"/>
      <c r="H73" s="139"/>
      <c r="I73" s="139"/>
      <c r="J73" s="138"/>
      <c r="K73" s="139"/>
      <c r="L73" s="138"/>
      <c r="M73" s="139"/>
      <c r="N73" s="139"/>
      <c r="O73" s="139"/>
      <c r="P73" s="139"/>
      <c r="Q73" s="139"/>
      <c r="R73" s="139"/>
      <c r="S73" s="139"/>
      <c r="T73" s="139"/>
      <c r="U73" s="139"/>
      <c r="V73" s="138"/>
      <c r="W73" s="140"/>
      <c r="X73" s="139"/>
      <c r="Y73" s="138"/>
      <c r="Z73" s="139"/>
      <c r="AA73" s="138"/>
      <c r="AB73" s="138"/>
      <c r="AC73" s="138"/>
    </row>
    <row r="74" ht="15.75" customHeight="1">
      <c r="A74" s="137"/>
      <c r="B74" s="138"/>
      <c r="C74" s="139"/>
      <c r="D74" s="139"/>
      <c r="E74" s="139"/>
      <c r="F74" s="139"/>
      <c r="G74" s="139"/>
      <c r="H74" s="139"/>
      <c r="I74" s="139"/>
      <c r="J74" s="138"/>
      <c r="K74" s="139"/>
      <c r="L74" s="138"/>
      <c r="M74" s="139"/>
      <c r="N74" s="139"/>
      <c r="O74" s="139"/>
      <c r="P74" s="139"/>
      <c r="Q74" s="139"/>
      <c r="R74" s="139"/>
      <c r="S74" s="139"/>
      <c r="T74" s="139"/>
      <c r="U74" s="139"/>
      <c r="V74" s="138"/>
      <c r="W74" s="141"/>
      <c r="X74" s="142"/>
      <c r="Y74" s="138"/>
      <c r="Z74" s="139"/>
      <c r="AA74" s="138"/>
      <c r="AB74" s="138"/>
      <c r="AC74" s="138"/>
    </row>
    <row r="75" ht="15.75" customHeight="1">
      <c r="A75" s="137"/>
      <c r="B75" s="138"/>
      <c r="C75" s="139"/>
      <c r="D75" s="139"/>
      <c r="E75" s="139"/>
      <c r="F75" s="139"/>
      <c r="G75" s="139"/>
      <c r="H75" s="139"/>
      <c r="I75" s="139"/>
      <c r="J75" s="138"/>
      <c r="K75" s="139"/>
      <c r="L75" s="138"/>
      <c r="M75" s="139"/>
      <c r="N75" s="139"/>
      <c r="O75" s="139"/>
      <c r="P75" s="139"/>
      <c r="Q75" s="139"/>
      <c r="R75" s="139"/>
      <c r="S75" s="139"/>
      <c r="T75" s="139"/>
      <c r="U75" s="139"/>
      <c r="V75" s="138"/>
      <c r="W75" s="140"/>
      <c r="X75" s="139"/>
      <c r="Y75" s="138"/>
      <c r="Z75" s="138"/>
      <c r="AA75" s="138"/>
      <c r="AB75" s="138"/>
      <c r="AC75" s="138"/>
    </row>
    <row r="76" ht="15.75" customHeight="1">
      <c r="A76" s="137"/>
      <c r="B76" s="138"/>
      <c r="C76" s="139"/>
      <c r="D76" s="139"/>
      <c r="E76" s="139"/>
      <c r="F76" s="139"/>
      <c r="G76" s="139"/>
      <c r="H76" s="139"/>
      <c r="I76" s="139"/>
      <c r="J76" s="138"/>
      <c r="K76" s="139"/>
      <c r="L76" s="138"/>
      <c r="M76" s="139"/>
      <c r="N76" s="139"/>
      <c r="O76" s="139"/>
      <c r="P76" s="139"/>
      <c r="Q76" s="139"/>
      <c r="R76" s="139"/>
      <c r="S76" s="139"/>
      <c r="T76" s="139"/>
      <c r="U76" s="139"/>
      <c r="V76" s="138"/>
      <c r="W76" s="140"/>
      <c r="X76" s="139"/>
      <c r="Y76" s="138"/>
      <c r="Z76" s="138"/>
      <c r="AA76" s="138"/>
      <c r="AB76" s="138"/>
      <c r="AC76" s="138"/>
    </row>
    <row r="77" ht="15.75" customHeight="1">
      <c r="A77" s="137"/>
      <c r="B77" s="138"/>
      <c r="C77" s="139"/>
      <c r="D77" s="139"/>
      <c r="E77" s="139"/>
      <c r="F77" s="139"/>
      <c r="G77" s="139"/>
      <c r="H77" s="139"/>
      <c r="I77" s="139"/>
      <c r="J77" s="138"/>
      <c r="K77" s="139"/>
      <c r="L77" s="138"/>
      <c r="M77" s="139"/>
      <c r="N77" s="139"/>
      <c r="O77" s="139"/>
      <c r="P77" s="139"/>
      <c r="Q77" s="139"/>
      <c r="R77" s="139"/>
      <c r="S77" s="139"/>
      <c r="T77" s="139"/>
      <c r="U77" s="139"/>
      <c r="V77" s="138"/>
      <c r="W77" s="140"/>
      <c r="X77" s="139"/>
      <c r="Y77" s="138"/>
      <c r="Z77" s="138"/>
      <c r="AA77" s="138"/>
      <c r="AB77" s="138"/>
      <c r="AC77" s="138"/>
    </row>
    <row r="78" ht="15.75" customHeight="1">
      <c r="A78" s="137"/>
      <c r="B78" s="138"/>
      <c r="C78" s="139"/>
      <c r="D78" s="139"/>
      <c r="E78" s="139"/>
      <c r="F78" s="139"/>
      <c r="G78" s="139"/>
      <c r="H78" s="139"/>
      <c r="I78" s="139"/>
      <c r="J78" s="138"/>
      <c r="K78" s="139"/>
      <c r="L78" s="138"/>
      <c r="M78" s="139"/>
      <c r="N78" s="139"/>
      <c r="O78" s="139"/>
      <c r="P78" s="139"/>
      <c r="Q78" s="139"/>
      <c r="R78" s="139"/>
      <c r="S78" s="139"/>
      <c r="T78" s="139"/>
      <c r="U78" s="139"/>
      <c r="V78" s="138"/>
      <c r="W78" s="140"/>
      <c r="X78" s="139"/>
      <c r="Y78" s="138"/>
      <c r="Z78" s="138"/>
      <c r="AA78" s="138"/>
      <c r="AB78" s="138"/>
      <c r="AC78" s="138"/>
    </row>
    <row r="79" ht="15.75" customHeight="1">
      <c r="A79" s="137"/>
      <c r="B79" s="138"/>
      <c r="C79" s="139"/>
      <c r="D79" s="139"/>
      <c r="E79" s="139"/>
      <c r="F79" s="139"/>
      <c r="G79" s="139"/>
      <c r="H79" s="139"/>
      <c r="I79" s="139"/>
      <c r="J79" s="138"/>
      <c r="K79" s="139"/>
      <c r="L79" s="138"/>
      <c r="M79" s="139"/>
      <c r="N79" s="139"/>
      <c r="O79" s="139"/>
      <c r="P79" s="139"/>
      <c r="Q79" s="139"/>
      <c r="R79" s="139"/>
      <c r="S79" s="139"/>
      <c r="T79" s="139"/>
      <c r="U79" s="139"/>
      <c r="V79" s="138"/>
      <c r="W79" s="140"/>
      <c r="X79" s="138"/>
      <c r="Y79" s="138"/>
      <c r="Z79" s="138"/>
      <c r="AA79" s="138"/>
      <c r="AB79" s="138"/>
      <c r="AC79" s="138"/>
    </row>
    <row r="80" ht="15.75" customHeight="1">
      <c r="A80" s="137"/>
      <c r="B80" s="138"/>
      <c r="C80" s="139"/>
      <c r="D80" s="139"/>
      <c r="E80" s="139"/>
      <c r="F80" s="139"/>
      <c r="G80" s="139"/>
      <c r="H80" s="139"/>
      <c r="I80" s="139"/>
      <c r="J80" s="138"/>
      <c r="K80" s="139"/>
      <c r="L80" s="138"/>
      <c r="M80" s="139"/>
      <c r="N80" s="139"/>
      <c r="O80" s="139"/>
      <c r="P80" s="139"/>
      <c r="Q80" s="139"/>
      <c r="R80" s="139"/>
      <c r="S80" s="139"/>
      <c r="T80" s="139"/>
      <c r="U80" s="139"/>
      <c r="V80" s="138"/>
      <c r="W80" s="140"/>
      <c r="X80" s="138"/>
      <c r="Y80" s="138"/>
      <c r="Z80" s="138"/>
      <c r="AA80" s="138"/>
      <c r="AB80" s="138"/>
      <c r="AC80" s="138"/>
    </row>
    <row r="81" ht="15.75" customHeight="1">
      <c r="A81" s="137"/>
      <c r="B81" s="138"/>
      <c r="C81" s="139"/>
      <c r="D81" s="139"/>
      <c r="E81" s="139"/>
      <c r="F81" s="139"/>
      <c r="G81" s="139"/>
      <c r="H81" s="139"/>
      <c r="I81" s="139"/>
      <c r="J81" s="138"/>
      <c r="K81" s="139"/>
      <c r="L81" s="138"/>
      <c r="M81" s="139"/>
      <c r="N81" s="139"/>
      <c r="O81" s="139"/>
      <c r="P81" s="139"/>
      <c r="Q81" s="139"/>
      <c r="R81" s="139"/>
      <c r="S81" s="139"/>
      <c r="T81" s="139"/>
      <c r="U81" s="139"/>
      <c r="V81" s="138"/>
      <c r="W81" s="140"/>
      <c r="X81" s="138"/>
      <c r="Y81" s="138"/>
      <c r="Z81" s="138"/>
      <c r="AA81" s="138"/>
      <c r="AB81" s="138"/>
      <c r="AC81" s="138"/>
    </row>
    <row r="82" ht="15.75" customHeight="1">
      <c r="A82" s="137"/>
      <c r="B82" s="138"/>
      <c r="C82" s="139"/>
      <c r="D82" s="139"/>
      <c r="E82" s="139"/>
      <c r="F82" s="139"/>
      <c r="G82" s="139"/>
      <c r="H82" s="139"/>
      <c r="I82" s="139"/>
      <c r="J82" s="138"/>
      <c r="K82" s="139"/>
      <c r="L82" s="138"/>
      <c r="M82" s="139"/>
      <c r="N82" s="139"/>
      <c r="O82" s="139"/>
      <c r="P82" s="139"/>
      <c r="Q82" s="139"/>
      <c r="R82" s="139"/>
      <c r="S82" s="139"/>
      <c r="T82" s="139"/>
      <c r="U82" s="139"/>
      <c r="V82" s="138"/>
      <c r="W82" s="140"/>
      <c r="X82" s="138"/>
      <c r="Y82" s="138"/>
      <c r="Z82" s="138"/>
      <c r="AA82" s="138"/>
      <c r="AB82" s="138"/>
      <c r="AC82" s="138"/>
    </row>
    <row r="83" ht="15.75" customHeight="1">
      <c r="A83" s="137"/>
      <c r="B83" s="138"/>
      <c r="C83" s="139"/>
      <c r="D83" s="139"/>
      <c r="E83" s="139"/>
      <c r="F83" s="139"/>
      <c r="G83" s="139"/>
      <c r="H83" s="139"/>
      <c r="I83" s="139"/>
      <c r="J83" s="138"/>
      <c r="K83" s="139"/>
      <c r="L83" s="138"/>
      <c r="M83" s="139"/>
      <c r="N83" s="139"/>
      <c r="O83" s="139"/>
      <c r="P83" s="139"/>
      <c r="Q83" s="139"/>
      <c r="R83" s="139"/>
      <c r="S83" s="139"/>
      <c r="T83" s="139"/>
      <c r="U83" s="139"/>
      <c r="V83" s="138"/>
      <c r="W83" s="140"/>
      <c r="X83" s="138"/>
      <c r="Y83" s="138"/>
      <c r="Z83" s="138"/>
      <c r="AA83" s="138"/>
      <c r="AB83" s="138"/>
      <c r="AC83" s="138"/>
    </row>
    <row r="84" ht="15.75" customHeight="1">
      <c r="A84" s="137"/>
      <c r="B84" s="138"/>
      <c r="C84" s="139"/>
      <c r="D84" s="139"/>
      <c r="E84" s="139"/>
      <c r="F84" s="139"/>
      <c r="G84" s="139"/>
      <c r="H84" s="139"/>
      <c r="I84" s="139"/>
      <c r="J84" s="138"/>
      <c r="K84" s="139"/>
      <c r="L84" s="138"/>
      <c r="M84" s="139"/>
      <c r="N84" s="139"/>
      <c r="O84" s="139"/>
      <c r="P84" s="139"/>
      <c r="Q84" s="139"/>
      <c r="R84" s="139"/>
      <c r="S84" s="139"/>
      <c r="T84" s="139"/>
      <c r="U84" s="139"/>
      <c r="V84" s="138"/>
      <c r="W84" s="140"/>
      <c r="X84" s="138"/>
      <c r="Y84" s="138"/>
      <c r="Z84" s="138"/>
      <c r="AA84" s="138"/>
      <c r="AB84" s="138"/>
      <c r="AC84" s="138"/>
    </row>
    <row r="85" ht="15.75" customHeight="1">
      <c r="A85" s="137"/>
      <c r="B85" s="138"/>
      <c r="C85" s="139"/>
      <c r="D85" s="139"/>
      <c r="E85" s="139"/>
      <c r="F85" s="139"/>
      <c r="G85" s="139"/>
      <c r="H85" s="139"/>
      <c r="I85" s="139"/>
      <c r="J85" s="138"/>
      <c r="K85" s="139"/>
      <c r="L85" s="138"/>
      <c r="M85" s="139"/>
      <c r="N85" s="139"/>
      <c r="O85" s="139"/>
      <c r="P85" s="139"/>
      <c r="Q85" s="139"/>
      <c r="R85" s="139"/>
      <c r="S85" s="139"/>
      <c r="T85" s="139"/>
      <c r="U85" s="139"/>
      <c r="V85" s="138"/>
      <c r="W85" s="140"/>
      <c r="X85" s="138"/>
      <c r="Y85" s="138"/>
      <c r="Z85" s="138"/>
      <c r="AA85" s="138"/>
      <c r="AB85" s="138"/>
      <c r="AC85" s="138"/>
    </row>
    <row r="86" ht="15.75" customHeight="1">
      <c r="A86" s="137"/>
      <c r="B86" s="138"/>
      <c r="C86" s="139"/>
      <c r="D86" s="139"/>
      <c r="E86" s="139"/>
      <c r="F86" s="139"/>
      <c r="G86" s="139"/>
      <c r="H86" s="139"/>
      <c r="I86" s="139"/>
      <c r="J86" s="138"/>
      <c r="K86" s="139"/>
      <c r="L86" s="138"/>
      <c r="M86" s="139"/>
      <c r="N86" s="139"/>
      <c r="O86" s="139"/>
      <c r="P86" s="139"/>
      <c r="Q86" s="139"/>
      <c r="R86" s="139"/>
      <c r="S86" s="139"/>
      <c r="T86" s="139"/>
      <c r="U86" s="139"/>
      <c r="V86" s="138"/>
      <c r="W86" s="140"/>
      <c r="X86" s="138"/>
      <c r="Y86" s="138"/>
      <c r="Z86" s="138"/>
      <c r="AA86" s="138"/>
      <c r="AB86" s="138"/>
      <c r="AC86" s="138"/>
    </row>
    <row r="87" ht="15.75" customHeight="1">
      <c r="A87" s="137"/>
      <c r="B87" s="138"/>
      <c r="C87" s="143"/>
      <c r="D87" s="139"/>
      <c r="E87" s="139"/>
      <c r="F87" s="139"/>
      <c r="G87" s="139"/>
      <c r="H87" s="139"/>
      <c r="I87" s="139"/>
      <c r="J87" s="138"/>
      <c r="K87" s="139"/>
      <c r="L87" s="138"/>
      <c r="M87" s="144"/>
      <c r="N87" s="143"/>
      <c r="O87" s="139"/>
      <c r="P87" s="144"/>
      <c r="Q87" s="144"/>
      <c r="R87" s="144"/>
      <c r="S87" s="144"/>
      <c r="T87" s="144"/>
      <c r="U87" s="144"/>
      <c r="V87" s="140"/>
      <c r="W87" s="140"/>
      <c r="X87" s="145"/>
      <c r="Y87" s="145"/>
      <c r="Z87" s="145"/>
      <c r="AA87" s="145"/>
      <c r="AB87" s="145"/>
      <c r="AC87" s="145"/>
    </row>
    <row r="88" ht="15.75" customHeight="1">
      <c r="A88" s="137"/>
      <c r="B88" s="138"/>
      <c r="C88" s="143"/>
      <c r="D88" s="139"/>
      <c r="E88" s="139"/>
      <c r="F88" s="139"/>
      <c r="G88" s="139"/>
      <c r="H88" s="139"/>
      <c r="I88" s="139"/>
      <c r="J88" s="138"/>
      <c r="K88" s="139"/>
      <c r="L88" s="138"/>
      <c r="M88" s="144"/>
      <c r="N88" s="143"/>
      <c r="O88" s="139"/>
      <c r="P88" s="144"/>
      <c r="Q88" s="144"/>
      <c r="R88" s="144"/>
      <c r="S88" s="144"/>
      <c r="T88" s="144"/>
      <c r="U88" s="144"/>
      <c r="V88" s="140"/>
      <c r="W88" s="140"/>
      <c r="X88" s="145"/>
      <c r="Y88" s="145"/>
      <c r="Z88" s="145"/>
      <c r="AA88" s="145"/>
      <c r="AB88" s="145"/>
      <c r="AC88" s="145"/>
    </row>
    <row r="89" ht="15.75" customHeight="1">
      <c r="A89" s="137"/>
      <c r="B89" s="138"/>
      <c r="C89" s="143"/>
      <c r="D89" s="139"/>
      <c r="E89" s="139"/>
      <c r="F89" s="139"/>
      <c r="G89" s="139"/>
      <c r="H89" s="139"/>
      <c r="I89" s="139"/>
      <c r="J89" s="138"/>
      <c r="K89" s="139"/>
      <c r="L89" s="138"/>
      <c r="M89" s="144"/>
      <c r="N89" s="143"/>
      <c r="O89" s="139"/>
      <c r="P89" s="144"/>
      <c r="Q89" s="144"/>
      <c r="R89" s="144"/>
      <c r="S89" s="144"/>
      <c r="T89" s="144"/>
      <c r="U89" s="144"/>
      <c r="V89" s="140"/>
      <c r="W89" s="140"/>
      <c r="X89" s="145"/>
      <c r="Y89" s="145"/>
      <c r="Z89" s="145"/>
      <c r="AA89" s="145"/>
      <c r="AB89" s="145"/>
      <c r="AC89" s="145"/>
    </row>
    <row r="90" ht="15.75" customHeight="1">
      <c r="A90" s="137"/>
      <c r="B90" s="138"/>
      <c r="C90" s="143"/>
      <c r="D90" s="139"/>
      <c r="E90" s="139"/>
      <c r="F90" s="139"/>
      <c r="G90" s="139"/>
      <c r="H90" s="139"/>
      <c r="I90" s="139"/>
      <c r="J90" s="138"/>
      <c r="K90" s="139"/>
      <c r="L90" s="138"/>
      <c r="M90" s="144"/>
      <c r="N90" s="143"/>
      <c r="O90" s="139"/>
      <c r="P90" s="144"/>
      <c r="Q90" s="144"/>
      <c r="R90" s="144"/>
      <c r="S90" s="144"/>
      <c r="T90" s="144"/>
      <c r="U90" s="144"/>
      <c r="V90" s="140"/>
      <c r="W90" s="140"/>
      <c r="X90" s="145"/>
      <c r="Y90" s="145"/>
      <c r="Z90" s="145"/>
      <c r="AA90" s="145"/>
      <c r="AB90" s="145"/>
      <c r="AC90" s="145"/>
    </row>
    <row r="91" ht="15.75" customHeight="1">
      <c r="A91" s="137"/>
      <c r="B91" s="138"/>
      <c r="C91" s="143"/>
      <c r="D91" s="139"/>
      <c r="E91" s="139"/>
      <c r="F91" s="139"/>
      <c r="G91" s="139"/>
      <c r="H91" s="139"/>
      <c r="I91" s="139"/>
      <c r="J91" s="138"/>
      <c r="K91" s="139"/>
      <c r="L91" s="138"/>
      <c r="M91" s="144"/>
      <c r="N91" s="143"/>
      <c r="O91" s="139"/>
      <c r="P91" s="144"/>
      <c r="Q91" s="144"/>
      <c r="R91" s="144"/>
      <c r="S91" s="144"/>
      <c r="T91" s="144"/>
      <c r="U91" s="144"/>
      <c r="V91" s="140"/>
      <c r="W91" s="140"/>
      <c r="X91" s="145"/>
      <c r="Y91" s="145"/>
      <c r="Z91" s="145"/>
      <c r="AA91" s="145"/>
      <c r="AB91" s="145"/>
      <c r="AC91" s="145"/>
    </row>
    <row r="92" ht="15.75" customHeight="1">
      <c r="A92" s="137"/>
      <c r="B92" s="138"/>
      <c r="C92" s="143"/>
      <c r="D92" s="139"/>
      <c r="E92" s="139"/>
      <c r="F92" s="139"/>
      <c r="G92" s="139"/>
      <c r="H92" s="139"/>
      <c r="I92" s="139"/>
      <c r="J92" s="138"/>
      <c r="K92" s="139"/>
      <c r="L92" s="138"/>
      <c r="M92" s="144"/>
      <c r="N92" s="143"/>
      <c r="O92" s="139"/>
      <c r="P92" s="144"/>
      <c r="Q92" s="144"/>
      <c r="R92" s="144"/>
      <c r="S92" s="144"/>
      <c r="T92" s="144"/>
      <c r="U92" s="144"/>
      <c r="V92" s="140"/>
      <c r="W92" s="140"/>
      <c r="X92" s="145"/>
      <c r="Y92" s="145"/>
      <c r="Z92" s="145"/>
      <c r="AA92" s="145"/>
      <c r="AB92" s="145"/>
      <c r="AC92" s="145"/>
    </row>
    <row r="93" ht="15.75" customHeight="1">
      <c r="A93" s="137"/>
      <c r="B93" s="138"/>
      <c r="C93" s="143"/>
      <c r="D93" s="139"/>
      <c r="E93" s="139"/>
      <c r="F93" s="139"/>
      <c r="G93" s="139"/>
      <c r="H93" s="139"/>
      <c r="I93" s="139"/>
      <c r="J93" s="138"/>
      <c r="K93" s="139"/>
      <c r="L93" s="138"/>
      <c r="M93" s="144"/>
      <c r="N93" s="143"/>
      <c r="O93" s="139"/>
      <c r="P93" s="144"/>
      <c r="Q93" s="144"/>
      <c r="R93" s="144"/>
      <c r="S93" s="144"/>
      <c r="T93" s="144"/>
      <c r="U93" s="144"/>
      <c r="V93" s="140"/>
      <c r="W93" s="140"/>
      <c r="X93" s="145"/>
      <c r="Y93" s="145"/>
      <c r="Z93" s="145"/>
      <c r="AA93" s="145"/>
      <c r="AB93" s="145"/>
      <c r="AC93" s="145"/>
    </row>
    <row r="94" ht="15.75" customHeight="1">
      <c r="A94" s="137"/>
      <c r="B94" s="138"/>
      <c r="C94" s="143"/>
      <c r="D94" s="139"/>
      <c r="E94" s="139"/>
      <c r="F94" s="139"/>
      <c r="G94" s="139"/>
      <c r="H94" s="139"/>
      <c r="I94" s="139"/>
      <c r="J94" s="138"/>
      <c r="K94" s="139"/>
      <c r="L94" s="138"/>
      <c r="M94" s="144"/>
      <c r="N94" s="143"/>
      <c r="O94" s="139"/>
      <c r="P94" s="144"/>
      <c r="Q94" s="144"/>
      <c r="R94" s="144"/>
      <c r="S94" s="144"/>
      <c r="T94" s="144"/>
      <c r="U94" s="144"/>
      <c r="V94" s="140"/>
      <c r="W94" s="140"/>
      <c r="X94" s="145"/>
      <c r="Y94" s="145"/>
      <c r="Z94" s="145"/>
      <c r="AA94" s="145"/>
      <c r="AB94" s="145"/>
      <c r="AC94" s="145"/>
    </row>
    <row r="95" ht="15.75" customHeight="1">
      <c r="A95" s="137"/>
      <c r="B95" s="138"/>
      <c r="C95" s="143"/>
      <c r="D95" s="139"/>
      <c r="E95" s="139"/>
      <c r="F95" s="139"/>
      <c r="G95" s="139"/>
      <c r="H95" s="139"/>
      <c r="I95" s="139"/>
      <c r="J95" s="138"/>
      <c r="K95" s="139"/>
      <c r="L95" s="138"/>
      <c r="M95" s="144"/>
      <c r="N95" s="143"/>
      <c r="O95" s="139"/>
      <c r="P95" s="144"/>
      <c r="Q95" s="144"/>
      <c r="R95" s="144"/>
      <c r="S95" s="144"/>
      <c r="T95" s="144"/>
      <c r="U95" s="144"/>
      <c r="V95" s="140"/>
      <c r="W95" s="140"/>
      <c r="X95" s="145"/>
      <c r="Y95" s="145"/>
      <c r="Z95" s="145"/>
      <c r="AA95" s="145"/>
      <c r="AB95" s="145"/>
      <c r="AC95" s="145"/>
    </row>
    <row r="96" ht="15.75" customHeight="1">
      <c r="A96" s="137"/>
      <c r="B96" s="138"/>
      <c r="C96" s="143"/>
      <c r="D96" s="139"/>
      <c r="E96" s="139"/>
      <c r="F96" s="139"/>
      <c r="G96" s="139"/>
      <c r="H96" s="139"/>
      <c r="I96" s="139"/>
      <c r="J96" s="138"/>
      <c r="K96" s="139"/>
      <c r="L96" s="138"/>
      <c r="M96" s="144"/>
      <c r="N96" s="143"/>
      <c r="O96" s="139"/>
      <c r="P96" s="144"/>
      <c r="Q96" s="144"/>
      <c r="R96" s="144"/>
      <c r="S96" s="144"/>
      <c r="T96" s="144"/>
      <c r="U96" s="144"/>
      <c r="V96" s="140"/>
      <c r="W96" s="140"/>
      <c r="X96" s="145"/>
      <c r="Y96" s="145"/>
      <c r="Z96" s="145"/>
      <c r="AA96" s="145"/>
      <c r="AB96" s="145"/>
      <c r="AC96" s="145"/>
    </row>
    <row r="97" ht="15.75" customHeight="1">
      <c r="A97" s="137"/>
      <c r="B97" s="138"/>
      <c r="C97" s="143"/>
      <c r="D97" s="139"/>
      <c r="E97" s="139"/>
      <c r="F97" s="139"/>
      <c r="G97" s="139"/>
      <c r="H97" s="139"/>
      <c r="I97" s="139"/>
      <c r="J97" s="138"/>
      <c r="K97" s="139"/>
      <c r="L97" s="138"/>
      <c r="M97" s="144"/>
      <c r="N97" s="143"/>
      <c r="O97" s="139"/>
      <c r="P97" s="144"/>
      <c r="Q97" s="144"/>
      <c r="R97" s="144"/>
      <c r="S97" s="144"/>
      <c r="T97" s="144"/>
      <c r="U97" s="144"/>
      <c r="V97" s="140"/>
      <c r="W97" s="140"/>
      <c r="X97" s="145"/>
      <c r="Y97" s="145"/>
      <c r="Z97" s="145"/>
      <c r="AA97" s="145"/>
      <c r="AB97" s="145"/>
      <c r="AC97" s="145"/>
    </row>
    <row r="98" ht="15.75" customHeight="1">
      <c r="A98" s="137"/>
      <c r="B98" s="138"/>
      <c r="C98" s="143"/>
      <c r="D98" s="139"/>
      <c r="E98" s="139"/>
      <c r="F98" s="139"/>
      <c r="G98" s="139"/>
      <c r="H98" s="139"/>
      <c r="I98" s="139"/>
      <c r="J98" s="138"/>
      <c r="K98" s="139"/>
      <c r="L98" s="138"/>
      <c r="M98" s="144"/>
      <c r="N98" s="143"/>
      <c r="O98" s="139"/>
      <c r="P98" s="144"/>
      <c r="Q98" s="144"/>
      <c r="R98" s="144"/>
      <c r="S98" s="144"/>
      <c r="T98" s="144"/>
      <c r="U98" s="144"/>
      <c r="V98" s="140"/>
      <c r="W98" s="140"/>
      <c r="X98" s="145"/>
      <c r="Y98" s="145"/>
      <c r="Z98" s="145"/>
      <c r="AA98" s="145"/>
      <c r="AB98" s="145"/>
      <c r="AC98" s="145"/>
    </row>
    <row r="99" ht="15.75" customHeight="1">
      <c r="A99" s="137"/>
      <c r="B99" s="138"/>
      <c r="C99" s="143"/>
      <c r="D99" s="139"/>
      <c r="E99" s="139"/>
      <c r="F99" s="139"/>
      <c r="G99" s="139"/>
      <c r="H99" s="139"/>
      <c r="I99" s="139"/>
      <c r="J99" s="138"/>
      <c r="K99" s="139"/>
      <c r="L99" s="138"/>
      <c r="M99" s="144"/>
      <c r="N99" s="143"/>
      <c r="O99" s="139"/>
      <c r="P99" s="144"/>
      <c r="Q99" s="144"/>
      <c r="R99" s="144"/>
      <c r="S99" s="144"/>
      <c r="T99" s="144"/>
      <c r="U99" s="144"/>
      <c r="V99" s="140"/>
      <c r="W99" s="140"/>
      <c r="X99" s="145"/>
      <c r="Y99" s="145"/>
      <c r="Z99" s="145"/>
      <c r="AA99" s="145"/>
      <c r="AB99" s="145"/>
      <c r="AC99" s="145"/>
    </row>
    <row r="100" ht="15.75" customHeight="1">
      <c r="A100" s="137"/>
      <c r="B100" s="138"/>
      <c r="C100" s="143"/>
      <c r="D100" s="139"/>
      <c r="E100" s="139"/>
      <c r="F100" s="139"/>
      <c r="G100" s="139"/>
      <c r="H100" s="139"/>
      <c r="I100" s="139"/>
      <c r="J100" s="138"/>
      <c r="K100" s="139"/>
      <c r="L100" s="138"/>
      <c r="M100" s="144"/>
      <c r="N100" s="143"/>
      <c r="O100" s="139"/>
      <c r="P100" s="144"/>
      <c r="Q100" s="144"/>
      <c r="R100" s="144"/>
      <c r="S100" s="144"/>
      <c r="T100" s="144"/>
      <c r="U100" s="144"/>
      <c r="V100" s="140"/>
      <c r="W100" s="140"/>
      <c r="X100" s="145"/>
      <c r="Y100" s="145"/>
      <c r="Z100" s="145"/>
      <c r="AA100" s="145"/>
      <c r="AB100" s="145"/>
      <c r="AC100" s="145"/>
    </row>
    <row r="101" ht="15.75" customHeight="1">
      <c r="A101" s="137"/>
      <c r="B101" s="138"/>
      <c r="C101" s="143"/>
      <c r="D101" s="139"/>
      <c r="E101" s="139"/>
      <c r="F101" s="139"/>
      <c r="G101" s="139"/>
      <c r="H101" s="139"/>
      <c r="I101" s="139"/>
      <c r="J101" s="138"/>
      <c r="K101" s="139"/>
      <c r="L101" s="138"/>
      <c r="M101" s="144"/>
      <c r="N101" s="143"/>
      <c r="O101" s="139"/>
      <c r="P101" s="144"/>
      <c r="Q101" s="144"/>
      <c r="R101" s="144"/>
      <c r="S101" s="144"/>
      <c r="T101" s="144"/>
      <c r="U101" s="144"/>
      <c r="V101" s="140"/>
      <c r="W101" s="140"/>
      <c r="X101" s="145"/>
      <c r="Y101" s="145"/>
      <c r="Z101" s="145"/>
      <c r="AA101" s="145"/>
      <c r="AB101" s="145"/>
      <c r="AC101" s="145"/>
    </row>
    <row r="102" ht="15.75" customHeight="1">
      <c r="A102" s="137"/>
      <c r="B102" s="138"/>
      <c r="C102" s="143"/>
      <c r="D102" s="139"/>
      <c r="E102" s="139"/>
      <c r="F102" s="139"/>
      <c r="G102" s="139"/>
      <c r="H102" s="139"/>
      <c r="I102" s="139"/>
      <c r="J102" s="138"/>
      <c r="K102" s="139"/>
      <c r="L102" s="138"/>
      <c r="M102" s="144"/>
      <c r="N102" s="143"/>
      <c r="O102" s="139"/>
      <c r="P102" s="144"/>
      <c r="Q102" s="144"/>
      <c r="R102" s="144"/>
      <c r="S102" s="144"/>
      <c r="T102" s="144"/>
      <c r="U102" s="144"/>
      <c r="V102" s="140"/>
      <c r="W102" s="140"/>
      <c r="X102" s="145"/>
      <c r="Y102" s="145"/>
      <c r="Z102" s="145"/>
      <c r="AA102" s="145"/>
      <c r="AB102" s="145"/>
      <c r="AC102" s="145"/>
    </row>
    <row r="103" ht="15.75" customHeight="1">
      <c r="A103" s="137"/>
      <c r="B103" s="138"/>
      <c r="C103" s="143"/>
      <c r="D103" s="139"/>
      <c r="E103" s="139"/>
      <c r="F103" s="139"/>
      <c r="G103" s="139"/>
      <c r="H103" s="139"/>
      <c r="I103" s="139"/>
      <c r="J103" s="138"/>
      <c r="K103" s="139"/>
      <c r="L103" s="138"/>
      <c r="M103" s="144"/>
      <c r="N103" s="143"/>
      <c r="O103" s="139"/>
      <c r="P103" s="144"/>
      <c r="Q103" s="144"/>
      <c r="R103" s="144"/>
      <c r="S103" s="144"/>
      <c r="T103" s="144"/>
      <c r="U103" s="144"/>
      <c r="V103" s="140"/>
      <c r="W103" s="140"/>
      <c r="X103" s="145"/>
      <c r="Y103" s="145"/>
      <c r="Z103" s="145"/>
      <c r="AA103" s="145"/>
      <c r="AB103" s="145"/>
      <c r="AC103" s="145"/>
    </row>
    <row r="104" ht="15.75" customHeight="1">
      <c r="A104" s="137"/>
      <c r="B104" s="138"/>
      <c r="C104" s="143"/>
      <c r="D104" s="139"/>
      <c r="E104" s="139"/>
      <c r="F104" s="139"/>
      <c r="G104" s="139"/>
      <c r="H104" s="139"/>
      <c r="I104" s="139"/>
      <c r="J104" s="138"/>
      <c r="K104" s="139"/>
      <c r="L104" s="138"/>
      <c r="M104" s="144"/>
      <c r="N104" s="143"/>
      <c r="O104" s="139"/>
      <c r="P104" s="144"/>
      <c r="Q104" s="144"/>
      <c r="R104" s="144"/>
      <c r="S104" s="144"/>
      <c r="T104" s="144"/>
      <c r="U104" s="144"/>
      <c r="V104" s="140"/>
      <c r="W104" s="140"/>
      <c r="X104" s="145"/>
      <c r="Y104" s="145"/>
      <c r="Z104" s="145"/>
      <c r="AA104" s="145"/>
      <c r="AB104" s="145"/>
      <c r="AC104" s="145"/>
    </row>
    <row r="105" ht="15.75" customHeight="1">
      <c r="A105" s="137"/>
      <c r="B105" s="138"/>
      <c r="C105" s="143"/>
      <c r="D105" s="139"/>
      <c r="E105" s="139"/>
      <c r="F105" s="139"/>
      <c r="G105" s="139"/>
      <c r="H105" s="139"/>
      <c r="I105" s="139"/>
      <c r="J105" s="138"/>
      <c r="K105" s="139"/>
      <c r="L105" s="138"/>
      <c r="M105" s="144"/>
      <c r="N105" s="143"/>
      <c r="O105" s="139"/>
      <c r="P105" s="144"/>
      <c r="Q105" s="144"/>
      <c r="R105" s="144"/>
      <c r="S105" s="144"/>
      <c r="T105" s="144"/>
      <c r="U105" s="144"/>
      <c r="V105" s="140"/>
      <c r="W105" s="140"/>
      <c r="X105" s="145"/>
      <c r="Y105" s="145"/>
      <c r="Z105" s="145"/>
      <c r="AA105" s="145"/>
      <c r="AB105" s="145"/>
      <c r="AC105" s="145"/>
    </row>
    <row r="106" ht="15.75" customHeight="1">
      <c r="A106" s="137"/>
      <c r="B106" s="138"/>
      <c r="C106" s="143"/>
      <c r="D106" s="139"/>
      <c r="E106" s="139"/>
      <c r="F106" s="139"/>
      <c r="G106" s="139"/>
      <c r="H106" s="139"/>
      <c r="I106" s="139"/>
      <c r="J106" s="138"/>
      <c r="K106" s="139"/>
      <c r="L106" s="138"/>
      <c r="M106" s="144"/>
      <c r="N106" s="143"/>
      <c r="O106" s="139"/>
      <c r="P106" s="144"/>
      <c r="Q106" s="144"/>
      <c r="R106" s="144"/>
      <c r="S106" s="144"/>
      <c r="T106" s="144"/>
      <c r="U106" s="144"/>
      <c r="V106" s="140"/>
      <c r="W106" s="140"/>
      <c r="X106" s="145"/>
      <c r="Y106" s="145"/>
      <c r="Z106" s="145"/>
      <c r="AA106" s="145"/>
      <c r="AB106" s="145"/>
      <c r="AC106" s="145"/>
    </row>
    <row r="107" ht="15.75" customHeight="1">
      <c r="A107" s="137"/>
      <c r="B107" s="138"/>
      <c r="C107" s="143"/>
      <c r="D107" s="139"/>
      <c r="E107" s="139"/>
      <c r="F107" s="139"/>
      <c r="G107" s="139"/>
      <c r="H107" s="139"/>
      <c r="I107" s="139"/>
      <c r="J107" s="138"/>
      <c r="K107" s="139"/>
      <c r="L107" s="138"/>
      <c r="M107" s="144"/>
      <c r="N107" s="143"/>
      <c r="O107" s="139"/>
      <c r="P107" s="144"/>
      <c r="Q107" s="144"/>
      <c r="R107" s="144"/>
      <c r="S107" s="144"/>
      <c r="T107" s="144"/>
      <c r="U107" s="144"/>
      <c r="V107" s="140"/>
      <c r="W107" s="140"/>
      <c r="X107" s="145"/>
      <c r="Y107" s="145"/>
      <c r="Z107" s="145"/>
      <c r="AA107" s="145"/>
      <c r="AB107" s="145"/>
      <c r="AC107" s="145"/>
    </row>
    <row r="108" ht="15.75" customHeight="1">
      <c r="A108" s="137"/>
      <c r="B108" s="138"/>
      <c r="C108" s="143"/>
      <c r="D108" s="139"/>
      <c r="E108" s="139"/>
      <c r="F108" s="139"/>
      <c r="G108" s="139"/>
      <c r="H108" s="139"/>
      <c r="I108" s="139"/>
      <c r="J108" s="138"/>
      <c r="K108" s="139"/>
      <c r="L108" s="138"/>
      <c r="M108" s="144"/>
      <c r="N108" s="143"/>
      <c r="O108" s="139"/>
      <c r="P108" s="144"/>
      <c r="Q108" s="144"/>
      <c r="R108" s="144"/>
      <c r="S108" s="144"/>
      <c r="T108" s="144"/>
      <c r="U108" s="144"/>
      <c r="V108" s="140"/>
      <c r="W108" s="140"/>
      <c r="X108" s="145"/>
      <c r="Y108" s="145"/>
      <c r="Z108" s="145"/>
      <c r="AA108" s="145"/>
      <c r="AB108" s="145"/>
      <c r="AC108" s="145"/>
    </row>
    <row r="109" ht="15.75" customHeight="1">
      <c r="A109" s="137"/>
      <c r="B109" s="138"/>
      <c r="C109" s="143"/>
      <c r="D109" s="139"/>
      <c r="E109" s="139"/>
      <c r="F109" s="139"/>
      <c r="G109" s="139"/>
      <c r="H109" s="139"/>
      <c r="I109" s="139"/>
      <c r="J109" s="138"/>
      <c r="K109" s="139"/>
      <c r="L109" s="138"/>
      <c r="M109" s="144"/>
      <c r="N109" s="143"/>
      <c r="O109" s="139"/>
      <c r="P109" s="144"/>
      <c r="Q109" s="144"/>
      <c r="R109" s="144"/>
      <c r="S109" s="144"/>
      <c r="T109" s="144"/>
      <c r="U109" s="144"/>
      <c r="V109" s="140"/>
      <c r="W109" s="140"/>
      <c r="X109" s="145"/>
      <c r="Y109" s="145"/>
      <c r="Z109" s="145"/>
      <c r="AA109" s="145"/>
      <c r="AB109" s="145"/>
      <c r="AC109" s="145"/>
    </row>
    <row r="110" ht="15.75" customHeight="1">
      <c r="A110" s="137"/>
      <c r="B110" s="138"/>
      <c r="C110" s="143"/>
      <c r="D110" s="139"/>
      <c r="E110" s="139"/>
      <c r="F110" s="139"/>
      <c r="G110" s="139"/>
      <c r="H110" s="139"/>
      <c r="I110" s="139"/>
      <c r="J110" s="138"/>
      <c r="K110" s="139"/>
      <c r="L110" s="138"/>
      <c r="M110" s="144"/>
      <c r="N110" s="143"/>
      <c r="O110" s="139"/>
      <c r="P110" s="144"/>
      <c r="Q110" s="144"/>
      <c r="R110" s="144"/>
      <c r="S110" s="144"/>
      <c r="T110" s="144"/>
      <c r="U110" s="144"/>
      <c r="V110" s="140"/>
      <c r="W110" s="140"/>
      <c r="X110" s="145"/>
      <c r="Y110" s="145"/>
      <c r="Z110" s="145"/>
      <c r="AA110" s="145"/>
      <c r="AB110" s="145"/>
      <c r="AC110" s="145"/>
    </row>
    <row r="111" ht="15.75" customHeight="1">
      <c r="A111" s="137"/>
      <c r="B111" s="138"/>
      <c r="C111" s="143"/>
      <c r="D111" s="139"/>
      <c r="E111" s="139"/>
      <c r="F111" s="139"/>
      <c r="G111" s="139"/>
      <c r="H111" s="139"/>
      <c r="I111" s="139"/>
      <c r="J111" s="138"/>
      <c r="K111" s="139"/>
      <c r="L111" s="138"/>
      <c r="M111" s="144"/>
      <c r="N111" s="143"/>
      <c r="O111" s="139"/>
      <c r="P111" s="144"/>
      <c r="Q111" s="144"/>
      <c r="R111" s="144"/>
      <c r="S111" s="144"/>
      <c r="T111" s="144"/>
      <c r="U111" s="144"/>
      <c r="V111" s="140"/>
      <c r="W111" s="140"/>
      <c r="X111" s="145"/>
      <c r="Y111" s="145"/>
      <c r="Z111" s="145"/>
      <c r="AA111" s="145"/>
      <c r="AB111" s="145"/>
      <c r="AC111" s="145"/>
    </row>
    <row r="112" ht="15.75" customHeight="1">
      <c r="A112" s="137"/>
      <c r="B112" s="138"/>
      <c r="C112" s="143"/>
      <c r="D112" s="139"/>
      <c r="E112" s="139"/>
      <c r="F112" s="139"/>
      <c r="G112" s="139"/>
      <c r="H112" s="139"/>
      <c r="I112" s="139"/>
      <c r="J112" s="138"/>
      <c r="K112" s="139"/>
      <c r="L112" s="138"/>
      <c r="M112" s="144"/>
      <c r="N112" s="143"/>
      <c r="O112" s="139"/>
      <c r="P112" s="144"/>
      <c r="Q112" s="144"/>
      <c r="R112" s="144"/>
      <c r="S112" s="144"/>
      <c r="T112" s="144"/>
      <c r="U112" s="144"/>
      <c r="V112" s="140"/>
      <c r="W112" s="140"/>
      <c r="X112" s="145"/>
      <c r="Y112" s="145"/>
      <c r="Z112" s="145"/>
      <c r="AA112" s="145"/>
      <c r="AB112" s="145"/>
      <c r="AC112" s="145"/>
    </row>
    <row r="113" ht="15.75" customHeight="1">
      <c r="A113" s="137"/>
      <c r="B113" s="138"/>
      <c r="C113" s="143"/>
      <c r="D113" s="139"/>
      <c r="E113" s="139"/>
      <c r="F113" s="139"/>
      <c r="G113" s="139"/>
      <c r="H113" s="139"/>
      <c r="I113" s="139"/>
      <c r="J113" s="138"/>
      <c r="K113" s="139"/>
      <c r="L113" s="138"/>
      <c r="M113" s="144"/>
      <c r="N113" s="143"/>
      <c r="O113" s="139"/>
      <c r="P113" s="144"/>
      <c r="Q113" s="144"/>
      <c r="R113" s="144"/>
      <c r="S113" s="144"/>
      <c r="T113" s="144"/>
      <c r="U113" s="144"/>
      <c r="V113" s="140"/>
      <c r="W113" s="140"/>
      <c r="X113" s="145"/>
      <c r="Y113" s="145"/>
      <c r="Z113" s="145"/>
      <c r="AA113" s="145"/>
      <c r="AB113" s="145"/>
      <c r="AC113" s="145"/>
    </row>
    <row r="114" ht="15.75" customHeight="1">
      <c r="A114" s="137"/>
      <c r="B114" s="138"/>
      <c r="C114" s="143"/>
      <c r="D114" s="139"/>
      <c r="E114" s="139"/>
      <c r="F114" s="139"/>
      <c r="G114" s="139"/>
      <c r="H114" s="139"/>
      <c r="I114" s="139"/>
      <c r="J114" s="138"/>
      <c r="K114" s="139"/>
      <c r="L114" s="138"/>
      <c r="M114" s="144"/>
      <c r="N114" s="143"/>
      <c r="O114" s="139"/>
      <c r="P114" s="144"/>
      <c r="Q114" s="144"/>
      <c r="R114" s="144"/>
      <c r="S114" s="144"/>
      <c r="T114" s="144"/>
      <c r="U114" s="144"/>
      <c r="V114" s="140"/>
      <c r="W114" s="140"/>
      <c r="X114" s="145"/>
      <c r="Y114" s="145"/>
      <c r="Z114" s="145"/>
      <c r="AA114" s="145"/>
      <c r="AB114" s="145"/>
      <c r="AC114" s="145"/>
    </row>
    <row r="115" ht="15.75" customHeight="1">
      <c r="A115" s="137"/>
      <c r="B115" s="138"/>
      <c r="C115" s="143"/>
      <c r="D115" s="139"/>
      <c r="E115" s="139"/>
      <c r="F115" s="139"/>
      <c r="G115" s="139"/>
      <c r="H115" s="139"/>
      <c r="I115" s="139"/>
      <c r="J115" s="138"/>
      <c r="K115" s="139"/>
      <c r="L115" s="138"/>
      <c r="M115" s="144"/>
      <c r="N115" s="143"/>
      <c r="O115" s="139"/>
      <c r="P115" s="144"/>
      <c r="Q115" s="144"/>
      <c r="R115" s="144"/>
      <c r="S115" s="144"/>
      <c r="T115" s="144"/>
      <c r="U115" s="144"/>
      <c r="V115" s="140"/>
      <c r="W115" s="140"/>
      <c r="X115" s="145"/>
      <c r="Y115" s="145"/>
      <c r="Z115" s="145"/>
      <c r="AA115" s="145"/>
      <c r="AB115" s="145"/>
      <c r="AC115" s="145"/>
    </row>
    <row r="116" ht="15.75" customHeight="1">
      <c r="A116" s="137"/>
      <c r="B116" s="138"/>
      <c r="C116" s="143"/>
      <c r="D116" s="139"/>
      <c r="E116" s="139"/>
      <c r="F116" s="139"/>
      <c r="G116" s="139"/>
      <c r="H116" s="139"/>
      <c r="I116" s="139"/>
      <c r="J116" s="138"/>
      <c r="K116" s="139"/>
      <c r="L116" s="138"/>
      <c r="M116" s="144"/>
      <c r="N116" s="143"/>
      <c r="O116" s="139"/>
      <c r="P116" s="144"/>
      <c r="Q116" s="144"/>
      <c r="R116" s="144"/>
      <c r="S116" s="144"/>
      <c r="T116" s="144"/>
      <c r="U116" s="144"/>
      <c r="V116" s="140"/>
      <c r="W116" s="140"/>
      <c r="X116" s="145"/>
      <c r="Y116" s="145"/>
      <c r="Z116" s="145"/>
      <c r="AA116" s="145"/>
      <c r="AB116" s="145"/>
      <c r="AC116" s="145"/>
    </row>
    <row r="117" ht="15.75" customHeight="1">
      <c r="A117" s="137"/>
      <c r="B117" s="138"/>
      <c r="C117" s="143"/>
      <c r="D117" s="139"/>
      <c r="E117" s="139"/>
      <c r="F117" s="139"/>
      <c r="G117" s="139"/>
      <c r="H117" s="139"/>
      <c r="I117" s="139"/>
      <c r="J117" s="138"/>
      <c r="K117" s="139"/>
      <c r="L117" s="138"/>
      <c r="M117" s="144"/>
      <c r="N117" s="143"/>
      <c r="O117" s="139"/>
      <c r="P117" s="144"/>
      <c r="Q117" s="144"/>
      <c r="R117" s="144"/>
      <c r="S117" s="144"/>
      <c r="T117" s="144"/>
      <c r="U117" s="144"/>
      <c r="V117" s="140"/>
      <c r="W117" s="140"/>
      <c r="X117" s="145"/>
      <c r="Y117" s="145"/>
      <c r="Z117" s="145"/>
      <c r="AA117" s="145"/>
      <c r="AB117" s="145"/>
      <c r="AC117" s="145"/>
    </row>
    <row r="118" ht="15.75" customHeight="1">
      <c r="A118" s="137"/>
      <c r="B118" s="138"/>
      <c r="C118" s="143"/>
      <c r="D118" s="139"/>
      <c r="E118" s="139"/>
      <c r="F118" s="139"/>
      <c r="G118" s="139"/>
      <c r="H118" s="139"/>
      <c r="I118" s="139"/>
      <c r="J118" s="138"/>
      <c r="K118" s="139"/>
      <c r="L118" s="138"/>
      <c r="M118" s="144"/>
      <c r="N118" s="143"/>
      <c r="O118" s="139"/>
      <c r="P118" s="144"/>
      <c r="Q118" s="144"/>
      <c r="R118" s="144"/>
      <c r="S118" s="144"/>
      <c r="T118" s="144"/>
      <c r="U118" s="144"/>
      <c r="V118" s="140"/>
      <c r="W118" s="140"/>
      <c r="X118" s="145"/>
      <c r="Y118" s="145"/>
      <c r="Z118" s="145"/>
      <c r="AA118" s="145"/>
      <c r="AB118" s="145"/>
      <c r="AC118" s="145"/>
    </row>
    <row r="119" ht="15.75" customHeight="1">
      <c r="A119" s="137"/>
      <c r="B119" s="138"/>
      <c r="C119" s="143"/>
      <c r="D119" s="139"/>
      <c r="E119" s="139"/>
      <c r="F119" s="139"/>
      <c r="G119" s="139"/>
      <c r="H119" s="139"/>
      <c r="I119" s="139"/>
      <c r="J119" s="138"/>
      <c r="K119" s="139"/>
      <c r="L119" s="138"/>
      <c r="M119" s="144"/>
      <c r="N119" s="143"/>
      <c r="O119" s="139"/>
      <c r="P119" s="144"/>
      <c r="Q119" s="144"/>
      <c r="R119" s="144"/>
      <c r="S119" s="144"/>
      <c r="T119" s="144"/>
      <c r="U119" s="144"/>
      <c r="V119" s="140"/>
      <c r="W119" s="140"/>
      <c r="X119" s="145"/>
      <c r="Y119" s="145"/>
      <c r="Z119" s="145"/>
      <c r="AA119" s="145"/>
      <c r="AB119" s="145"/>
      <c r="AC119" s="145"/>
    </row>
    <row r="120" ht="15.75" customHeight="1">
      <c r="A120" s="137"/>
      <c r="B120" s="138"/>
      <c r="C120" s="143"/>
      <c r="D120" s="139"/>
      <c r="E120" s="139"/>
      <c r="F120" s="139"/>
      <c r="G120" s="139"/>
      <c r="H120" s="139"/>
      <c r="I120" s="139"/>
      <c r="J120" s="138"/>
      <c r="K120" s="139"/>
      <c r="L120" s="138"/>
      <c r="M120" s="144"/>
      <c r="N120" s="143"/>
      <c r="O120" s="139"/>
      <c r="P120" s="144"/>
      <c r="Q120" s="144"/>
      <c r="R120" s="144"/>
      <c r="S120" s="144"/>
      <c r="T120" s="144"/>
      <c r="U120" s="144"/>
      <c r="V120" s="140"/>
      <c r="W120" s="140"/>
      <c r="X120" s="145"/>
      <c r="Y120" s="145"/>
      <c r="Z120" s="145"/>
      <c r="AA120" s="145"/>
      <c r="AB120" s="145"/>
      <c r="AC120" s="145"/>
    </row>
    <row r="121" ht="15.75" customHeight="1">
      <c r="A121" s="137"/>
      <c r="B121" s="138"/>
      <c r="C121" s="143"/>
      <c r="D121" s="139"/>
      <c r="E121" s="139"/>
      <c r="F121" s="139"/>
      <c r="G121" s="139"/>
      <c r="H121" s="139"/>
      <c r="I121" s="139"/>
      <c r="J121" s="138"/>
      <c r="K121" s="139"/>
      <c r="L121" s="138"/>
      <c r="M121" s="144"/>
      <c r="N121" s="143"/>
      <c r="O121" s="139"/>
      <c r="P121" s="144"/>
      <c r="Q121" s="144"/>
      <c r="R121" s="144"/>
      <c r="S121" s="144"/>
      <c r="T121" s="144"/>
      <c r="U121" s="144"/>
      <c r="V121" s="140"/>
      <c r="W121" s="140"/>
      <c r="X121" s="145"/>
      <c r="Y121" s="145"/>
      <c r="Z121" s="145"/>
      <c r="AA121" s="145"/>
      <c r="AB121" s="145"/>
      <c r="AC121" s="145"/>
    </row>
    <row r="122" ht="15.75" customHeight="1">
      <c r="A122" s="137"/>
      <c r="B122" s="138"/>
      <c r="C122" s="143"/>
      <c r="D122" s="139"/>
      <c r="E122" s="139"/>
      <c r="F122" s="139"/>
      <c r="G122" s="139"/>
      <c r="H122" s="139"/>
      <c r="I122" s="139"/>
      <c r="J122" s="138"/>
      <c r="K122" s="139"/>
      <c r="L122" s="138"/>
      <c r="M122" s="144"/>
      <c r="N122" s="143"/>
      <c r="O122" s="139"/>
      <c r="P122" s="144"/>
      <c r="Q122" s="144"/>
      <c r="R122" s="144"/>
      <c r="S122" s="144"/>
      <c r="T122" s="144"/>
      <c r="U122" s="144"/>
      <c r="V122" s="140"/>
      <c r="W122" s="140"/>
      <c r="X122" s="145"/>
      <c r="Y122" s="145"/>
      <c r="Z122" s="145"/>
      <c r="AA122" s="145"/>
      <c r="AB122" s="145"/>
      <c r="AC122" s="145"/>
    </row>
    <row r="123" ht="15.75" customHeight="1">
      <c r="A123" s="137"/>
      <c r="B123" s="138"/>
      <c r="C123" s="143"/>
      <c r="D123" s="139"/>
      <c r="E123" s="139"/>
      <c r="F123" s="139"/>
      <c r="G123" s="139"/>
      <c r="H123" s="139"/>
      <c r="I123" s="139"/>
      <c r="J123" s="138"/>
      <c r="K123" s="139"/>
      <c r="L123" s="138"/>
      <c r="M123" s="144"/>
      <c r="N123" s="143"/>
      <c r="O123" s="139"/>
      <c r="P123" s="144"/>
      <c r="Q123" s="144"/>
      <c r="R123" s="144"/>
      <c r="S123" s="144"/>
      <c r="T123" s="144"/>
      <c r="U123" s="144"/>
      <c r="V123" s="140"/>
      <c r="W123" s="140"/>
      <c r="X123" s="145"/>
      <c r="Y123" s="145"/>
      <c r="Z123" s="145"/>
      <c r="AA123" s="145"/>
      <c r="AB123" s="145"/>
      <c r="AC123" s="145"/>
    </row>
    <row r="124" ht="15.75" customHeight="1">
      <c r="A124" s="137"/>
      <c r="B124" s="138"/>
      <c r="C124" s="143"/>
      <c r="D124" s="139"/>
      <c r="E124" s="139"/>
      <c r="F124" s="139"/>
      <c r="G124" s="139"/>
      <c r="H124" s="139"/>
      <c r="I124" s="139"/>
      <c r="J124" s="138"/>
      <c r="K124" s="139"/>
      <c r="L124" s="138"/>
      <c r="M124" s="144"/>
      <c r="N124" s="143"/>
      <c r="O124" s="139"/>
      <c r="P124" s="144"/>
      <c r="Q124" s="144"/>
      <c r="R124" s="144"/>
      <c r="S124" s="144"/>
      <c r="T124" s="144"/>
      <c r="U124" s="144"/>
      <c r="V124" s="140"/>
      <c r="W124" s="140"/>
      <c r="X124" s="145"/>
      <c r="Y124" s="145"/>
      <c r="Z124" s="145"/>
      <c r="AA124" s="145"/>
      <c r="AB124" s="145"/>
      <c r="AC124" s="145"/>
    </row>
    <row r="125" ht="15.75" customHeight="1">
      <c r="A125" s="137"/>
      <c r="B125" s="138"/>
      <c r="C125" s="143"/>
      <c r="D125" s="139"/>
      <c r="E125" s="139"/>
      <c r="F125" s="139"/>
      <c r="G125" s="139"/>
      <c r="H125" s="139"/>
      <c r="I125" s="139"/>
      <c r="J125" s="138"/>
      <c r="K125" s="139"/>
      <c r="L125" s="138"/>
      <c r="M125" s="144"/>
      <c r="N125" s="143"/>
      <c r="O125" s="139"/>
      <c r="P125" s="144"/>
      <c r="Q125" s="144"/>
      <c r="R125" s="144"/>
      <c r="S125" s="144"/>
      <c r="T125" s="144"/>
      <c r="U125" s="144"/>
      <c r="V125" s="140"/>
      <c r="W125" s="140"/>
      <c r="X125" s="145"/>
      <c r="Y125" s="145"/>
      <c r="Z125" s="145"/>
      <c r="AA125" s="145"/>
      <c r="AB125" s="145"/>
      <c r="AC125" s="145"/>
    </row>
    <row r="126" ht="15.75" customHeight="1">
      <c r="A126" s="137"/>
      <c r="B126" s="138"/>
      <c r="C126" s="143"/>
      <c r="D126" s="139"/>
      <c r="E126" s="139"/>
      <c r="F126" s="139"/>
      <c r="G126" s="139"/>
      <c r="H126" s="139"/>
      <c r="I126" s="139"/>
      <c r="J126" s="138"/>
      <c r="K126" s="139"/>
      <c r="L126" s="138"/>
      <c r="M126" s="144"/>
      <c r="N126" s="143"/>
      <c r="O126" s="139"/>
      <c r="P126" s="144"/>
      <c r="Q126" s="144"/>
      <c r="R126" s="144"/>
      <c r="S126" s="144"/>
      <c r="T126" s="144"/>
      <c r="U126" s="144"/>
      <c r="V126" s="140"/>
      <c r="W126" s="140"/>
      <c r="X126" s="145"/>
      <c r="Y126" s="145"/>
      <c r="Z126" s="145"/>
      <c r="AA126" s="145"/>
      <c r="AB126" s="145"/>
      <c r="AC126" s="145"/>
    </row>
    <row r="127" ht="15.75" customHeight="1">
      <c r="A127" s="137"/>
      <c r="B127" s="138"/>
      <c r="C127" s="143"/>
      <c r="D127" s="139"/>
      <c r="E127" s="139"/>
      <c r="F127" s="139"/>
      <c r="G127" s="139"/>
      <c r="H127" s="139"/>
      <c r="I127" s="139"/>
      <c r="J127" s="138"/>
      <c r="K127" s="139"/>
      <c r="L127" s="138"/>
      <c r="M127" s="144"/>
      <c r="N127" s="143"/>
      <c r="O127" s="139"/>
      <c r="P127" s="144"/>
      <c r="Q127" s="144"/>
      <c r="R127" s="144"/>
      <c r="S127" s="144"/>
      <c r="T127" s="144"/>
      <c r="U127" s="144"/>
      <c r="V127" s="140"/>
      <c r="W127" s="140"/>
      <c r="X127" s="145"/>
      <c r="Y127" s="145"/>
      <c r="Z127" s="145"/>
      <c r="AA127" s="145"/>
      <c r="AB127" s="145"/>
      <c r="AC127" s="145"/>
    </row>
    <row r="128" ht="15.75" customHeight="1">
      <c r="A128" s="137"/>
      <c r="B128" s="138"/>
      <c r="C128" s="143"/>
      <c r="D128" s="139"/>
      <c r="E128" s="139"/>
      <c r="F128" s="139"/>
      <c r="G128" s="139"/>
      <c r="H128" s="139"/>
      <c r="I128" s="139"/>
      <c r="J128" s="138"/>
      <c r="K128" s="139"/>
      <c r="L128" s="138"/>
      <c r="M128" s="144"/>
      <c r="N128" s="143"/>
      <c r="O128" s="139"/>
      <c r="P128" s="144"/>
      <c r="Q128" s="144"/>
      <c r="R128" s="144"/>
      <c r="S128" s="144"/>
      <c r="T128" s="144"/>
      <c r="U128" s="144"/>
      <c r="V128" s="140"/>
      <c r="W128" s="140"/>
      <c r="X128" s="145"/>
      <c r="Y128" s="145"/>
      <c r="Z128" s="145"/>
      <c r="AA128" s="145"/>
      <c r="AB128" s="145"/>
      <c r="AC128" s="145"/>
    </row>
    <row r="129" ht="15.75" customHeight="1">
      <c r="A129" s="137"/>
      <c r="B129" s="138"/>
      <c r="C129" s="143"/>
      <c r="D129" s="139"/>
      <c r="E129" s="139"/>
      <c r="F129" s="139"/>
      <c r="G129" s="139"/>
      <c r="H129" s="139"/>
      <c r="I129" s="139"/>
      <c r="J129" s="138"/>
      <c r="K129" s="139"/>
      <c r="L129" s="138"/>
      <c r="M129" s="144"/>
      <c r="N129" s="143"/>
      <c r="O129" s="139"/>
      <c r="P129" s="144"/>
      <c r="Q129" s="144"/>
      <c r="R129" s="144"/>
      <c r="S129" s="144"/>
      <c r="T129" s="144"/>
      <c r="U129" s="144"/>
      <c r="V129" s="140"/>
      <c r="W129" s="140"/>
      <c r="X129" s="145"/>
      <c r="Y129" s="145"/>
      <c r="Z129" s="145"/>
      <c r="AA129" s="145"/>
      <c r="AB129" s="145"/>
      <c r="AC129" s="145"/>
    </row>
    <row r="130" ht="15.75" customHeight="1">
      <c r="A130" s="137"/>
      <c r="B130" s="138"/>
      <c r="C130" s="143"/>
      <c r="D130" s="139"/>
      <c r="E130" s="139"/>
      <c r="F130" s="139"/>
      <c r="G130" s="139"/>
      <c r="H130" s="139"/>
      <c r="I130" s="139"/>
      <c r="J130" s="138"/>
      <c r="K130" s="139"/>
      <c r="L130" s="138"/>
      <c r="M130" s="144"/>
      <c r="N130" s="143"/>
      <c r="O130" s="139"/>
      <c r="P130" s="144"/>
      <c r="Q130" s="144"/>
      <c r="R130" s="144"/>
      <c r="S130" s="144"/>
      <c r="T130" s="144"/>
      <c r="U130" s="144"/>
      <c r="V130" s="140"/>
      <c r="W130" s="140"/>
      <c r="X130" s="145"/>
      <c r="Y130" s="145"/>
      <c r="Z130" s="145"/>
      <c r="AA130" s="145"/>
      <c r="AB130" s="145"/>
      <c r="AC130" s="145"/>
    </row>
    <row r="131" ht="15.75" customHeight="1">
      <c r="A131" s="137"/>
      <c r="B131" s="138"/>
      <c r="C131" s="143"/>
      <c r="D131" s="139"/>
      <c r="E131" s="139"/>
      <c r="F131" s="139"/>
      <c r="G131" s="139"/>
      <c r="H131" s="139"/>
      <c r="I131" s="139"/>
      <c r="J131" s="138"/>
      <c r="K131" s="139"/>
      <c r="L131" s="138"/>
      <c r="M131" s="144"/>
      <c r="N131" s="143"/>
      <c r="O131" s="139"/>
      <c r="P131" s="144"/>
      <c r="Q131" s="144"/>
      <c r="R131" s="144"/>
      <c r="S131" s="144"/>
      <c r="T131" s="144"/>
      <c r="U131" s="144"/>
      <c r="V131" s="140"/>
      <c r="W131" s="140"/>
      <c r="X131" s="145"/>
      <c r="Y131" s="145"/>
      <c r="Z131" s="145"/>
      <c r="AA131" s="145"/>
      <c r="AB131" s="145"/>
      <c r="AC131" s="145"/>
    </row>
    <row r="132" ht="15.75" customHeight="1">
      <c r="A132" s="137"/>
      <c r="B132" s="138"/>
      <c r="C132" s="143"/>
      <c r="D132" s="139"/>
      <c r="E132" s="139"/>
      <c r="F132" s="139"/>
      <c r="G132" s="139"/>
      <c r="H132" s="139"/>
      <c r="I132" s="139"/>
      <c r="J132" s="138"/>
      <c r="K132" s="139"/>
      <c r="L132" s="138"/>
      <c r="M132" s="144"/>
      <c r="N132" s="143"/>
      <c r="O132" s="139"/>
      <c r="P132" s="144"/>
      <c r="Q132" s="144"/>
      <c r="R132" s="144"/>
      <c r="S132" s="144"/>
      <c r="T132" s="144"/>
      <c r="U132" s="144"/>
      <c r="V132" s="140"/>
      <c r="W132" s="140"/>
      <c r="X132" s="145"/>
      <c r="Y132" s="145"/>
      <c r="Z132" s="145"/>
      <c r="AA132" s="145"/>
      <c r="AB132" s="145"/>
      <c r="AC132" s="145"/>
    </row>
    <row r="133" ht="15.75" customHeight="1">
      <c r="A133" s="137"/>
      <c r="B133" s="138"/>
      <c r="C133" s="143"/>
      <c r="D133" s="139"/>
      <c r="E133" s="139"/>
      <c r="F133" s="139"/>
      <c r="G133" s="139"/>
      <c r="H133" s="139"/>
      <c r="I133" s="139"/>
      <c r="J133" s="138"/>
      <c r="K133" s="139"/>
      <c r="L133" s="138"/>
      <c r="M133" s="144"/>
      <c r="N133" s="143"/>
      <c r="O133" s="139"/>
      <c r="P133" s="144"/>
      <c r="Q133" s="144"/>
      <c r="R133" s="144"/>
      <c r="S133" s="144"/>
      <c r="T133" s="144"/>
      <c r="U133" s="144"/>
      <c r="V133" s="140"/>
      <c r="W133" s="140"/>
      <c r="X133" s="145"/>
      <c r="Y133" s="145"/>
      <c r="Z133" s="145"/>
      <c r="AA133" s="145"/>
      <c r="AB133" s="145"/>
      <c r="AC133" s="145"/>
    </row>
    <row r="134" ht="15.75" customHeight="1">
      <c r="A134" s="137"/>
      <c r="B134" s="138"/>
      <c r="C134" s="143"/>
      <c r="D134" s="139"/>
      <c r="E134" s="139"/>
      <c r="F134" s="139"/>
      <c r="G134" s="139"/>
      <c r="H134" s="139"/>
      <c r="I134" s="139"/>
      <c r="J134" s="138"/>
      <c r="K134" s="139"/>
      <c r="L134" s="138"/>
      <c r="M134" s="144"/>
      <c r="N134" s="143"/>
      <c r="O134" s="139"/>
      <c r="P134" s="144"/>
      <c r="Q134" s="144"/>
      <c r="R134" s="144"/>
      <c r="S134" s="144"/>
      <c r="T134" s="144"/>
      <c r="U134" s="144"/>
      <c r="V134" s="140"/>
      <c r="W134" s="140"/>
      <c r="X134" s="145"/>
      <c r="Y134" s="145"/>
      <c r="Z134" s="145"/>
      <c r="AA134" s="145"/>
      <c r="AB134" s="145"/>
      <c r="AC134" s="145"/>
    </row>
    <row r="135" ht="15.75" customHeight="1">
      <c r="A135" s="137"/>
      <c r="B135" s="138"/>
      <c r="C135" s="143"/>
      <c r="D135" s="139"/>
      <c r="E135" s="139"/>
      <c r="F135" s="139"/>
      <c r="G135" s="139"/>
      <c r="H135" s="139"/>
      <c r="I135" s="139"/>
      <c r="J135" s="138"/>
      <c r="K135" s="139"/>
      <c r="L135" s="138"/>
      <c r="M135" s="144"/>
      <c r="N135" s="143"/>
      <c r="O135" s="139"/>
      <c r="P135" s="144"/>
      <c r="Q135" s="144"/>
      <c r="R135" s="144"/>
      <c r="S135" s="144"/>
      <c r="T135" s="144"/>
      <c r="U135" s="144"/>
      <c r="V135" s="140"/>
      <c r="W135" s="140"/>
      <c r="X135" s="145"/>
      <c r="Y135" s="145"/>
      <c r="Z135" s="145"/>
      <c r="AA135" s="145"/>
      <c r="AB135" s="145"/>
      <c r="AC135" s="145"/>
    </row>
    <row r="136" ht="15.75" customHeight="1">
      <c r="A136" s="137"/>
      <c r="B136" s="138"/>
      <c r="C136" s="143"/>
      <c r="D136" s="139"/>
      <c r="E136" s="139"/>
      <c r="F136" s="139"/>
      <c r="G136" s="139"/>
      <c r="H136" s="139"/>
      <c r="I136" s="139"/>
      <c r="J136" s="138"/>
      <c r="K136" s="139"/>
      <c r="L136" s="138"/>
      <c r="M136" s="144"/>
      <c r="N136" s="143"/>
      <c r="O136" s="139"/>
      <c r="P136" s="144"/>
      <c r="Q136" s="144"/>
      <c r="R136" s="144"/>
      <c r="S136" s="144"/>
      <c r="T136" s="144"/>
      <c r="U136" s="144"/>
      <c r="V136" s="140"/>
      <c r="W136" s="140"/>
      <c r="X136" s="145"/>
      <c r="Y136" s="145"/>
      <c r="Z136" s="145"/>
      <c r="AA136" s="145"/>
      <c r="AB136" s="145"/>
      <c r="AC136" s="145"/>
    </row>
    <row r="137" ht="15.75" customHeight="1">
      <c r="A137" s="137"/>
      <c r="B137" s="138"/>
      <c r="C137" s="143"/>
      <c r="D137" s="139"/>
      <c r="E137" s="139"/>
      <c r="F137" s="139"/>
      <c r="G137" s="139"/>
      <c r="H137" s="139"/>
      <c r="I137" s="139"/>
      <c r="J137" s="138"/>
      <c r="K137" s="139"/>
      <c r="L137" s="138"/>
      <c r="M137" s="144"/>
      <c r="N137" s="143"/>
      <c r="O137" s="139"/>
      <c r="P137" s="144"/>
      <c r="Q137" s="144"/>
      <c r="R137" s="144"/>
      <c r="S137" s="144"/>
      <c r="T137" s="144"/>
      <c r="U137" s="144"/>
      <c r="V137" s="140"/>
      <c r="W137" s="140"/>
      <c r="X137" s="145"/>
      <c r="Y137" s="145"/>
      <c r="Z137" s="145"/>
      <c r="AA137" s="145"/>
      <c r="AB137" s="145"/>
      <c r="AC137" s="145"/>
    </row>
    <row r="138" ht="15.75" customHeight="1">
      <c r="A138" s="137"/>
      <c r="B138" s="138"/>
      <c r="C138" s="143"/>
      <c r="D138" s="139"/>
      <c r="E138" s="139"/>
      <c r="F138" s="139"/>
      <c r="G138" s="139"/>
      <c r="H138" s="139"/>
      <c r="I138" s="139"/>
      <c r="J138" s="138"/>
      <c r="K138" s="139"/>
      <c r="L138" s="138"/>
      <c r="M138" s="144"/>
      <c r="N138" s="143"/>
      <c r="O138" s="139"/>
      <c r="P138" s="144"/>
      <c r="Q138" s="144"/>
      <c r="R138" s="144"/>
      <c r="S138" s="144"/>
      <c r="T138" s="144"/>
      <c r="U138" s="144"/>
      <c r="V138" s="140"/>
      <c r="W138" s="140"/>
      <c r="X138" s="145"/>
      <c r="Y138" s="145"/>
      <c r="Z138" s="145"/>
      <c r="AA138" s="145"/>
      <c r="AB138" s="145"/>
      <c r="AC138" s="145"/>
    </row>
    <row r="139" ht="15.75" customHeight="1">
      <c r="A139" s="137"/>
      <c r="B139" s="138"/>
      <c r="C139" s="143"/>
      <c r="D139" s="139"/>
      <c r="E139" s="139"/>
      <c r="F139" s="139"/>
      <c r="G139" s="139"/>
      <c r="H139" s="139"/>
      <c r="I139" s="139"/>
      <c r="J139" s="138"/>
      <c r="K139" s="139"/>
      <c r="L139" s="138"/>
      <c r="M139" s="144"/>
      <c r="N139" s="143"/>
      <c r="O139" s="139"/>
      <c r="P139" s="144"/>
      <c r="Q139" s="144"/>
      <c r="R139" s="144"/>
      <c r="S139" s="144"/>
      <c r="T139" s="144"/>
      <c r="U139" s="144"/>
      <c r="V139" s="140"/>
      <c r="W139" s="140"/>
      <c r="X139" s="145"/>
      <c r="Y139" s="145"/>
      <c r="Z139" s="145"/>
      <c r="AA139" s="145"/>
      <c r="AB139" s="145"/>
      <c r="AC139" s="145"/>
    </row>
    <row r="140" ht="15.75" customHeight="1">
      <c r="A140" s="137"/>
      <c r="B140" s="138"/>
      <c r="C140" s="143"/>
      <c r="D140" s="139"/>
      <c r="E140" s="139"/>
      <c r="F140" s="139"/>
      <c r="G140" s="139"/>
      <c r="H140" s="139"/>
      <c r="I140" s="139"/>
      <c r="J140" s="138"/>
      <c r="K140" s="139"/>
      <c r="L140" s="138"/>
      <c r="M140" s="144"/>
      <c r="N140" s="143"/>
      <c r="O140" s="139"/>
      <c r="P140" s="144"/>
      <c r="Q140" s="144"/>
      <c r="R140" s="144"/>
      <c r="S140" s="144"/>
      <c r="T140" s="144"/>
      <c r="U140" s="144"/>
      <c r="V140" s="140"/>
      <c r="W140" s="140"/>
      <c r="X140" s="145"/>
      <c r="Y140" s="145"/>
      <c r="Z140" s="145"/>
      <c r="AA140" s="145"/>
      <c r="AB140" s="145"/>
      <c r="AC140" s="145"/>
    </row>
    <row r="141" ht="15.75" customHeight="1">
      <c r="A141" s="137"/>
      <c r="B141" s="138"/>
      <c r="C141" s="143"/>
      <c r="D141" s="139"/>
      <c r="E141" s="139"/>
      <c r="F141" s="139"/>
      <c r="G141" s="139"/>
      <c r="H141" s="139"/>
      <c r="I141" s="139"/>
      <c r="J141" s="138"/>
      <c r="K141" s="139"/>
      <c r="L141" s="138"/>
      <c r="M141" s="144"/>
      <c r="N141" s="143"/>
      <c r="O141" s="139"/>
      <c r="P141" s="144"/>
      <c r="Q141" s="144"/>
      <c r="R141" s="144"/>
      <c r="S141" s="144"/>
      <c r="T141" s="144"/>
      <c r="U141" s="144"/>
      <c r="V141" s="140"/>
      <c r="W141" s="140"/>
      <c r="X141" s="145"/>
      <c r="Y141" s="145"/>
      <c r="Z141" s="145"/>
      <c r="AA141" s="145"/>
      <c r="AB141" s="145"/>
      <c r="AC141" s="145"/>
    </row>
    <row r="142" ht="15.75" customHeight="1">
      <c r="A142" s="137"/>
      <c r="B142" s="138"/>
      <c r="C142" s="143"/>
      <c r="D142" s="139"/>
      <c r="E142" s="139"/>
      <c r="F142" s="139"/>
      <c r="G142" s="139"/>
      <c r="H142" s="139"/>
      <c r="I142" s="139"/>
      <c r="J142" s="138"/>
      <c r="K142" s="139"/>
      <c r="L142" s="138"/>
      <c r="M142" s="144"/>
      <c r="N142" s="143"/>
      <c r="O142" s="139"/>
      <c r="P142" s="144"/>
      <c r="Q142" s="144"/>
      <c r="R142" s="144"/>
      <c r="S142" s="144"/>
      <c r="T142" s="144"/>
      <c r="U142" s="144"/>
      <c r="V142" s="140"/>
      <c r="W142" s="140"/>
      <c r="X142" s="145"/>
      <c r="Y142" s="145"/>
      <c r="Z142" s="145"/>
      <c r="AA142" s="145"/>
      <c r="AB142" s="145"/>
      <c r="AC142" s="145"/>
    </row>
    <row r="143" ht="15.75" customHeight="1">
      <c r="A143" s="137"/>
      <c r="B143" s="138"/>
      <c r="C143" s="143"/>
      <c r="D143" s="139"/>
      <c r="E143" s="139"/>
      <c r="F143" s="139"/>
      <c r="G143" s="139"/>
      <c r="H143" s="139"/>
      <c r="I143" s="139"/>
      <c r="J143" s="138"/>
      <c r="K143" s="139"/>
      <c r="L143" s="138"/>
      <c r="M143" s="144"/>
      <c r="N143" s="143"/>
      <c r="O143" s="139"/>
      <c r="P143" s="144"/>
      <c r="Q143" s="144"/>
      <c r="R143" s="144"/>
      <c r="S143" s="144"/>
      <c r="T143" s="144"/>
      <c r="U143" s="144"/>
      <c r="V143" s="140"/>
      <c r="W143" s="140"/>
      <c r="X143" s="145"/>
      <c r="Y143" s="145"/>
      <c r="Z143" s="145"/>
      <c r="AA143" s="145"/>
      <c r="AB143" s="145"/>
      <c r="AC143" s="145"/>
    </row>
    <row r="144" ht="15.75" customHeight="1">
      <c r="A144" s="137"/>
      <c r="B144" s="138"/>
      <c r="C144" s="143"/>
      <c r="D144" s="139"/>
      <c r="E144" s="139"/>
      <c r="F144" s="139"/>
      <c r="G144" s="139"/>
      <c r="H144" s="139"/>
      <c r="I144" s="139"/>
      <c r="J144" s="138"/>
      <c r="K144" s="139"/>
      <c r="L144" s="138"/>
      <c r="M144" s="144"/>
      <c r="N144" s="143"/>
      <c r="O144" s="139"/>
      <c r="P144" s="144"/>
      <c r="Q144" s="144"/>
      <c r="R144" s="144"/>
      <c r="S144" s="144"/>
      <c r="T144" s="144"/>
      <c r="U144" s="144"/>
      <c r="V144" s="140"/>
      <c r="W144" s="140"/>
      <c r="X144" s="145"/>
      <c r="Y144" s="145"/>
      <c r="Z144" s="145"/>
      <c r="AA144" s="145"/>
      <c r="AB144" s="145"/>
      <c r="AC144" s="145"/>
    </row>
    <row r="145" ht="15.75" customHeight="1">
      <c r="A145" s="137"/>
      <c r="B145" s="138"/>
      <c r="C145" s="143"/>
      <c r="D145" s="139"/>
      <c r="E145" s="139"/>
      <c r="F145" s="139"/>
      <c r="G145" s="139"/>
      <c r="H145" s="139"/>
      <c r="I145" s="139"/>
      <c r="J145" s="138"/>
      <c r="K145" s="139"/>
      <c r="L145" s="138"/>
      <c r="M145" s="144"/>
      <c r="N145" s="143"/>
      <c r="O145" s="139"/>
      <c r="P145" s="144"/>
      <c r="Q145" s="144"/>
      <c r="R145" s="144"/>
      <c r="S145" s="144"/>
      <c r="T145" s="144"/>
      <c r="U145" s="144"/>
      <c r="V145" s="140"/>
      <c r="W145" s="140"/>
      <c r="X145" s="145"/>
      <c r="Y145" s="145"/>
      <c r="Z145" s="145"/>
      <c r="AA145" s="145"/>
      <c r="AB145" s="145"/>
      <c r="AC145" s="145"/>
    </row>
    <row r="146" ht="15.75" customHeight="1">
      <c r="A146" s="137"/>
      <c r="B146" s="138"/>
      <c r="C146" s="143"/>
      <c r="D146" s="139"/>
      <c r="E146" s="139"/>
      <c r="F146" s="139"/>
      <c r="G146" s="139"/>
      <c r="H146" s="139"/>
      <c r="I146" s="139"/>
      <c r="J146" s="138"/>
      <c r="K146" s="139"/>
      <c r="L146" s="138"/>
      <c r="M146" s="144"/>
      <c r="N146" s="143"/>
      <c r="O146" s="139"/>
      <c r="P146" s="144"/>
      <c r="Q146" s="144"/>
      <c r="R146" s="144"/>
      <c r="S146" s="144"/>
      <c r="T146" s="144"/>
      <c r="U146" s="144"/>
      <c r="V146" s="140"/>
      <c r="W146" s="140"/>
      <c r="X146" s="145"/>
      <c r="Y146" s="145"/>
      <c r="Z146" s="145"/>
      <c r="AA146" s="145"/>
      <c r="AB146" s="145"/>
      <c r="AC146" s="145"/>
    </row>
    <row r="147" ht="15.75" customHeight="1">
      <c r="A147" s="137"/>
      <c r="B147" s="138"/>
      <c r="C147" s="143"/>
      <c r="D147" s="139"/>
      <c r="E147" s="139"/>
      <c r="F147" s="139"/>
      <c r="G147" s="139"/>
      <c r="H147" s="139"/>
      <c r="I147" s="139"/>
      <c r="J147" s="138"/>
      <c r="K147" s="139"/>
      <c r="L147" s="138"/>
      <c r="M147" s="144"/>
      <c r="N147" s="143"/>
      <c r="O147" s="139"/>
      <c r="P147" s="144"/>
      <c r="Q147" s="144"/>
      <c r="R147" s="144"/>
      <c r="S147" s="144"/>
      <c r="T147" s="144"/>
      <c r="U147" s="144"/>
      <c r="V147" s="140"/>
      <c r="W147" s="140"/>
      <c r="X147" s="145"/>
      <c r="Y147" s="145"/>
      <c r="Z147" s="145"/>
      <c r="AA147" s="145"/>
      <c r="AB147" s="145"/>
      <c r="AC147" s="145"/>
    </row>
    <row r="148" ht="15.75" customHeight="1">
      <c r="A148" s="137"/>
      <c r="B148" s="138"/>
      <c r="C148" s="143"/>
      <c r="D148" s="139"/>
      <c r="E148" s="139"/>
      <c r="F148" s="139"/>
      <c r="G148" s="139"/>
      <c r="H148" s="139"/>
      <c r="I148" s="139"/>
      <c r="J148" s="138"/>
      <c r="K148" s="139"/>
      <c r="L148" s="138"/>
      <c r="M148" s="144"/>
      <c r="N148" s="143"/>
      <c r="O148" s="139"/>
      <c r="P148" s="144"/>
      <c r="Q148" s="144"/>
      <c r="R148" s="144"/>
      <c r="S148" s="144"/>
      <c r="T148" s="144"/>
      <c r="U148" s="144"/>
      <c r="V148" s="140"/>
      <c r="W148" s="140"/>
      <c r="X148" s="145"/>
      <c r="Y148" s="145"/>
      <c r="Z148" s="145"/>
      <c r="AA148" s="145"/>
      <c r="AB148" s="145"/>
      <c r="AC148" s="145"/>
    </row>
    <row r="149" ht="15.75" customHeight="1">
      <c r="A149" s="137"/>
      <c r="B149" s="138"/>
      <c r="C149" s="143"/>
      <c r="D149" s="139"/>
      <c r="E149" s="139"/>
      <c r="F149" s="139"/>
      <c r="G149" s="139"/>
      <c r="H149" s="139"/>
      <c r="I149" s="139"/>
      <c r="J149" s="138"/>
      <c r="K149" s="139"/>
      <c r="L149" s="138"/>
      <c r="M149" s="144"/>
      <c r="N149" s="143"/>
      <c r="O149" s="139"/>
      <c r="P149" s="144"/>
      <c r="Q149" s="144"/>
      <c r="R149" s="144"/>
      <c r="S149" s="144"/>
      <c r="T149" s="144"/>
      <c r="U149" s="144"/>
      <c r="V149" s="140"/>
      <c r="W149" s="140"/>
      <c r="X149" s="145"/>
      <c r="Y149" s="145"/>
      <c r="Z149" s="145"/>
      <c r="AA149" s="145"/>
      <c r="AB149" s="145"/>
      <c r="AC149" s="145"/>
    </row>
    <row r="150" ht="15.75" customHeight="1">
      <c r="A150" s="137"/>
      <c r="B150" s="138"/>
      <c r="C150" s="143"/>
      <c r="D150" s="139"/>
      <c r="E150" s="139"/>
      <c r="F150" s="139"/>
      <c r="G150" s="139"/>
      <c r="H150" s="139"/>
      <c r="I150" s="139"/>
      <c r="J150" s="138"/>
      <c r="K150" s="139"/>
      <c r="L150" s="138"/>
      <c r="M150" s="144"/>
      <c r="N150" s="143"/>
      <c r="O150" s="139"/>
      <c r="P150" s="144"/>
      <c r="Q150" s="144"/>
      <c r="R150" s="144"/>
      <c r="S150" s="144"/>
      <c r="T150" s="144"/>
      <c r="U150" s="144"/>
      <c r="V150" s="140"/>
      <c r="W150" s="140"/>
      <c r="X150" s="145"/>
      <c r="Y150" s="145"/>
      <c r="Z150" s="145"/>
      <c r="AA150" s="145"/>
      <c r="AB150" s="145"/>
      <c r="AC150" s="145"/>
    </row>
    <row r="151" ht="15.75" customHeight="1">
      <c r="A151" s="137"/>
      <c r="B151" s="138"/>
      <c r="C151" s="143"/>
      <c r="D151" s="139"/>
      <c r="E151" s="139"/>
      <c r="F151" s="139"/>
      <c r="G151" s="139"/>
      <c r="H151" s="139"/>
      <c r="I151" s="139"/>
      <c r="J151" s="138"/>
      <c r="K151" s="139"/>
      <c r="L151" s="138"/>
      <c r="M151" s="144"/>
      <c r="N151" s="143"/>
      <c r="O151" s="139"/>
      <c r="P151" s="144"/>
      <c r="Q151" s="144"/>
      <c r="R151" s="144"/>
      <c r="S151" s="144"/>
      <c r="T151" s="144"/>
      <c r="U151" s="144"/>
      <c r="V151" s="140"/>
      <c r="W151" s="140"/>
      <c r="X151" s="145"/>
      <c r="Y151" s="145"/>
      <c r="Z151" s="145"/>
      <c r="AA151" s="145"/>
      <c r="AB151" s="145"/>
      <c r="AC151" s="145"/>
    </row>
    <row r="152" ht="15.75" customHeight="1">
      <c r="A152" s="137"/>
      <c r="B152" s="138"/>
      <c r="C152" s="143"/>
      <c r="D152" s="139"/>
      <c r="E152" s="139"/>
      <c r="F152" s="139"/>
      <c r="G152" s="139"/>
      <c r="H152" s="139"/>
      <c r="I152" s="139"/>
      <c r="J152" s="138"/>
      <c r="K152" s="139"/>
      <c r="L152" s="138"/>
      <c r="M152" s="144"/>
      <c r="N152" s="143"/>
      <c r="O152" s="139"/>
      <c r="P152" s="144"/>
      <c r="Q152" s="144"/>
      <c r="R152" s="144"/>
      <c r="S152" s="144"/>
      <c r="T152" s="144"/>
      <c r="U152" s="144"/>
      <c r="V152" s="140"/>
      <c r="W152" s="140"/>
      <c r="X152" s="145"/>
      <c r="Y152" s="145"/>
      <c r="Z152" s="145"/>
      <c r="AA152" s="145"/>
      <c r="AB152" s="145"/>
      <c r="AC152" s="145"/>
    </row>
    <row r="153" ht="15.75" customHeight="1">
      <c r="A153" s="137"/>
      <c r="B153" s="138"/>
      <c r="C153" s="143"/>
      <c r="D153" s="139"/>
      <c r="E153" s="139"/>
      <c r="F153" s="139"/>
      <c r="G153" s="139"/>
      <c r="H153" s="139"/>
      <c r="I153" s="139"/>
      <c r="J153" s="138"/>
      <c r="K153" s="139"/>
      <c r="L153" s="138"/>
      <c r="M153" s="144"/>
      <c r="N153" s="143"/>
      <c r="O153" s="139"/>
      <c r="P153" s="144"/>
      <c r="Q153" s="144"/>
      <c r="R153" s="144"/>
      <c r="S153" s="144"/>
      <c r="T153" s="144"/>
      <c r="U153" s="144"/>
      <c r="V153" s="140"/>
      <c r="W153" s="140"/>
      <c r="X153" s="145"/>
      <c r="Y153" s="145"/>
      <c r="Z153" s="145"/>
      <c r="AA153" s="145"/>
      <c r="AB153" s="145"/>
      <c r="AC153" s="145"/>
    </row>
    <row r="154" ht="15.75" customHeight="1">
      <c r="A154" s="137"/>
      <c r="B154" s="138"/>
      <c r="C154" s="143"/>
      <c r="D154" s="139"/>
      <c r="E154" s="139"/>
      <c r="F154" s="139"/>
      <c r="G154" s="139"/>
      <c r="H154" s="139"/>
      <c r="I154" s="139"/>
      <c r="J154" s="138"/>
      <c r="K154" s="139"/>
      <c r="L154" s="138"/>
      <c r="M154" s="144"/>
      <c r="N154" s="143"/>
      <c r="O154" s="139"/>
      <c r="P154" s="144"/>
      <c r="Q154" s="144"/>
      <c r="R154" s="144"/>
      <c r="S154" s="144"/>
      <c r="T154" s="144"/>
      <c r="U154" s="144"/>
      <c r="V154" s="140"/>
      <c r="W154" s="140"/>
      <c r="X154" s="145"/>
      <c r="Y154" s="145"/>
      <c r="Z154" s="145"/>
      <c r="AA154" s="145"/>
      <c r="AB154" s="145"/>
      <c r="AC154" s="145"/>
    </row>
    <row r="155" ht="15.75" customHeight="1">
      <c r="A155" s="137"/>
      <c r="B155" s="138"/>
      <c r="C155" s="143"/>
      <c r="D155" s="139"/>
      <c r="E155" s="139"/>
      <c r="F155" s="139"/>
      <c r="G155" s="139"/>
      <c r="H155" s="139"/>
      <c r="I155" s="139"/>
      <c r="J155" s="138"/>
      <c r="K155" s="139"/>
      <c r="L155" s="138"/>
      <c r="M155" s="144"/>
      <c r="N155" s="143"/>
      <c r="O155" s="139"/>
      <c r="P155" s="144"/>
      <c r="Q155" s="144"/>
      <c r="R155" s="144"/>
      <c r="S155" s="144"/>
      <c r="T155" s="144"/>
      <c r="U155" s="144"/>
      <c r="V155" s="140"/>
      <c r="W155" s="140"/>
      <c r="X155" s="145"/>
      <c r="Y155" s="145"/>
      <c r="Z155" s="145"/>
      <c r="AA155" s="145"/>
      <c r="AB155" s="145"/>
      <c r="AC155" s="145"/>
    </row>
    <row r="156" ht="15.75" customHeight="1">
      <c r="A156" s="137"/>
      <c r="B156" s="138"/>
      <c r="C156" s="143"/>
      <c r="D156" s="139"/>
      <c r="E156" s="139"/>
      <c r="F156" s="139"/>
      <c r="G156" s="139"/>
      <c r="H156" s="139"/>
      <c r="I156" s="139"/>
      <c r="J156" s="138"/>
      <c r="K156" s="139"/>
      <c r="L156" s="138"/>
      <c r="M156" s="144"/>
      <c r="N156" s="143"/>
      <c r="O156" s="139"/>
      <c r="P156" s="144"/>
      <c r="Q156" s="144"/>
      <c r="R156" s="144"/>
      <c r="S156" s="144"/>
      <c r="T156" s="144"/>
      <c r="U156" s="144"/>
      <c r="V156" s="140"/>
      <c r="W156" s="140"/>
      <c r="X156" s="145"/>
      <c r="Y156" s="145"/>
      <c r="Z156" s="145"/>
      <c r="AA156" s="145"/>
      <c r="AB156" s="145"/>
      <c r="AC156" s="145"/>
    </row>
    <row r="157" ht="15.75" customHeight="1">
      <c r="A157" s="137"/>
      <c r="B157" s="138"/>
      <c r="C157" s="143"/>
      <c r="D157" s="139"/>
      <c r="E157" s="139"/>
      <c r="F157" s="139"/>
      <c r="G157" s="139"/>
      <c r="H157" s="139"/>
      <c r="I157" s="139"/>
      <c r="J157" s="138"/>
      <c r="K157" s="139"/>
      <c r="L157" s="138"/>
      <c r="M157" s="144"/>
      <c r="N157" s="143"/>
      <c r="O157" s="139"/>
      <c r="P157" s="144"/>
      <c r="Q157" s="144"/>
      <c r="R157" s="144"/>
      <c r="S157" s="144"/>
      <c r="T157" s="144"/>
      <c r="U157" s="144"/>
      <c r="V157" s="140"/>
      <c r="W157" s="140"/>
      <c r="X157" s="145"/>
      <c r="Y157" s="145"/>
      <c r="Z157" s="145"/>
      <c r="AA157" s="145"/>
      <c r="AB157" s="145"/>
      <c r="AC157" s="145"/>
    </row>
    <row r="158" ht="15.75" customHeight="1">
      <c r="A158" s="137"/>
      <c r="B158" s="138"/>
      <c r="C158" s="143"/>
      <c r="D158" s="139"/>
      <c r="E158" s="139"/>
      <c r="F158" s="139"/>
      <c r="G158" s="139"/>
      <c r="H158" s="139"/>
      <c r="I158" s="139"/>
      <c r="J158" s="138"/>
      <c r="K158" s="139"/>
      <c r="L158" s="138"/>
      <c r="M158" s="144"/>
      <c r="N158" s="143"/>
      <c r="O158" s="139"/>
      <c r="P158" s="144"/>
      <c r="Q158" s="144"/>
      <c r="R158" s="144"/>
      <c r="S158" s="144"/>
      <c r="T158" s="144"/>
      <c r="U158" s="144"/>
      <c r="V158" s="140"/>
      <c r="W158" s="140"/>
      <c r="X158" s="145"/>
      <c r="Y158" s="145"/>
      <c r="Z158" s="145"/>
      <c r="AA158" s="145"/>
      <c r="AB158" s="145"/>
      <c r="AC158" s="145"/>
    </row>
    <row r="159" ht="15.75" customHeight="1">
      <c r="A159" s="137"/>
      <c r="B159" s="138"/>
      <c r="C159" s="143"/>
      <c r="D159" s="139"/>
      <c r="E159" s="139"/>
      <c r="F159" s="139"/>
      <c r="G159" s="139"/>
      <c r="H159" s="139"/>
      <c r="I159" s="139"/>
      <c r="J159" s="138"/>
      <c r="K159" s="139"/>
      <c r="L159" s="138"/>
      <c r="M159" s="144"/>
      <c r="N159" s="143"/>
      <c r="O159" s="139"/>
      <c r="P159" s="144"/>
      <c r="Q159" s="144"/>
      <c r="R159" s="144"/>
      <c r="S159" s="144"/>
      <c r="T159" s="144"/>
      <c r="U159" s="144"/>
      <c r="V159" s="140"/>
      <c r="W159" s="140"/>
      <c r="X159" s="145"/>
      <c r="Y159" s="145"/>
      <c r="Z159" s="145"/>
      <c r="AA159" s="145"/>
      <c r="AB159" s="145"/>
      <c r="AC159" s="145"/>
    </row>
    <row r="160" ht="15.75" customHeight="1">
      <c r="A160" s="137"/>
      <c r="B160" s="138"/>
      <c r="C160" s="143"/>
      <c r="D160" s="139"/>
      <c r="E160" s="139"/>
      <c r="F160" s="139"/>
      <c r="G160" s="139"/>
      <c r="H160" s="139"/>
      <c r="I160" s="139"/>
      <c r="J160" s="138"/>
      <c r="K160" s="139"/>
      <c r="L160" s="138"/>
      <c r="M160" s="144"/>
      <c r="N160" s="143"/>
      <c r="O160" s="139"/>
      <c r="P160" s="144"/>
      <c r="Q160" s="144"/>
      <c r="R160" s="144"/>
      <c r="S160" s="144"/>
      <c r="T160" s="144"/>
      <c r="U160" s="144"/>
      <c r="V160" s="140"/>
      <c r="W160" s="140"/>
      <c r="X160" s="145"/>
      <c r="Y160" s="145"/>
      <c r="Z160" s="145"/>
      <c r="AA160" s="145"/>
      <c r="AB160" s="145"/>
      <c r="AC160" s="145"/>
    </row>
    <row r="161" ht="15.75" customHeight="1">
      <c r="A161" s="137"/>
      <c r="B161" s="138"/>
      <c r="C161" s="143"/>
      <c r="D161" s="139"/>
      <c r="E161" s="139"/>
      <c r="F161" s="139"/>
      <c r="G161" s="139"/>
      <c r="H161" s="139"/>
      <c r="I161" s="139"/>
      <c r="J161" s="138"/>
      <c r="K161" s="139"/>
      <c r="L161" s="138"/>
      <c r="M161" s="144"/>
      <c r="N161" s="143"/>
      <c r="O161" s="139"/>
      <c r="P161" s="144"/>
      <c r="Q161" s="144"/>
      <c r="R161" s="144"/>
      <c r="S161" s="144"/>
      <c r="T161" s="144"/>
      <c r="U161" s="144"/>
      <c r="V161" s="140"/>
      <c r="W161" s="140"/>
      <c r="X161" s="145"/>
      <c r="Y161" s="145"/>
      <c r="Z161" s="145"/>
      <c r="AA161" s="145"/>
      <c r="AB161" s="145"/>
      <c r="AC161" s="145"/>
    </row>
    <row r="162" ht="15.75" customHeight="1">
      <c r="A162" s="137"/>
      <c r="B162" s="138"/>
      <c r="C162" s="143"/>
      <c r="D162" s="139"/>
      <c r="E162" s="139"/>
      <c r="F162" s="139"/>
      <c r="G162" s="139"/>
      <c r="H162" s="139"/>
      <c r="I162" s="139"/>
      <c r="J162" s="138"/>
      <c r="K162" s="139"/>
      <c r="L162" s="138"/>
      <c r="M162" s="144"/>
      <c r="N162" s="143"/>
      <c r="O162" s="139"/>
      <c r="P162" s="144"/>
      <c r="Q162" s="144"/>
      <c r="R162" s="144"/>
      <c r="S162" s="144"/>
      <c r="T162" s="144"/>
      <c r="U162" s="144"/>
      <c r="V162" s="140"/>
      <c r="W162" s="140"/>
      <c r="X162" s="145"/>
      <c r="Y162" s="145"/>
      <c r="Z162" s="145"/>
      <c r="AA162" s="145"/>
      <c r="AB162" s="145"/>
      <c r="AC162" s="145"/>
    </row>
    <row r="163" ht="15.75" customHeight="1">
      <c r="A163" s="137"/>
      <c r="B163" s="138"/>
      <c r="C163" s="143"/>
      <c r="D163" s="139"/>
      <c r="E163" s="139"/>
      <c r="F163" s="139"/>
      <c r="G163" s="139"/>
      <c r="H163" s="139"/>
      <c r="I163" s="139"/>
      <c r="J163" s="138"/>
      <c r="K163" s="139"/>
      <c r="L163" s="138"/>
      <c r="M163" s="144"/>
      <c r="N163" s="143"/>
      <c r="O163" s="139"/>
      <c r="P163" s="144"/>
      <c r="Q163" s="144"/>
      <c r="R163" s="144"/>
      <c r="S163" s="144"/>
      <c r="T163" s="144"/>
      <c r="U163" s="144"/>
      <c r="V163" s="140"/>
      <c r="W163" s="140"/>
      <c r="X163" s="145"/>
      <c r="Y163" s="145"/>
      <c r="Z163" s="145"/>
      <c r="AA163" s="145"/>
      <c r="AB163" s="145"/>
      <c r="AC163" s="145"/>
    </row>
    <row r="164" ht="15.75" customHeight="1">
      <c r="A164" s="137"/>
      <c r="B164" s="138"/>
      <c r="C164" s="143"/>
      <c r="D164" s="139"/>
      <c r="E164" s="139"/>
      <c r="F164" s="139"/>
      <c r="G164" s="139"/>
      <c r="H164" s="139"/>
      <c r="I164" s="139"/>
      <c r="J164" s="138"/>
      <c r="K164" s="139"/>
      <c r="L164" s="138"/>
      <c r="M164" s="144"/>
      <c r="N164" s="143"/>
      <c r="O164" s="139"/>
      <c r="P164" s="144"/>
      <c r="Q164" s="144"/>
      <c r="R164" s="144"/>
      <c r="S164" s="144"/>
      <c r="T164" s="144"/>
      <c r="U164" s="144"/>
      <c r="V164" s="140"/>
      <c r="W164" s="140"/>
      <c r="X164" s="145"/>
      <c r="Y164" s="145"/>
      <c r="Z164" s="145"/>
      <c r="AA164" s="145"/>
      <c r="AB164" s="145"/>
      <c r="AC164" s="145"/>
    </row>
    <row r="165" ht="15.75" customHeight="1">
      <c r="A165" s="137"/>
      <c r="B165" s="138"/>
      <c r="C165" s="143"/>
      <c r="D165" s="139"/>
      <c r="E165" s="139"/>
      <c r="F165" s="139"/>
      <c r="G165" s="139"/>
      <c r="H165" s="139"/>
      <c r="I165" s="139"/>
      <c r="J165" s="138"/>
      <c r="K165" s="139"/>
      <c r="L165" s="138"/>
      <c r="M165" s="144"/>
      <c r="N165" s="143"/>
      <c r="O165" s="139"/>
      <c r="P165" s="144"/>
      <c r="Q165" s="144"/>
      <c r="R165" s="144"/>
      <c r="S165" s="144"/>
      <c r="T165" s="144"/>
      <c r="U165" s="144"/>
      <c r="V165" s="140"/>
      <c r="W165" s="140"/>
      <c r="X165" s="145"/>
      <c r="Y165" s="145"/>
      <c r="Z165" s="145"/>
      <c r="AA165" s="145"/>
      <c r="AB165" s="145"/>
      <c r="AC165" s="145"/>
    </row>
    <row r="166" ht="15.75" customHeight="1">
      <c r="A166" s="137"/>
      <c r="B166" s="138"/>
      <c r="C166" s="143"/>
      <c r="D166" s="139"/>
      <c r="E166" s="139"/>
      <c r="F166" s="139"/>
      <c r="G166" s="139"/>
      <c r="H166" s="139"/>
      <c r="I166" s="139"/>
      <c r="J166" s="138"/>
      <c r="K166" s="139"/>
      <c r="L166" s="138"/>
      <c r="M166" s="144"/>
      <c r="N166" s="143"/>
      <c r="O166" s="139"/>
      <c r="P166" s="144"/>
      <c r="Q166" s="144"/>
      <c r="R166" s="144"/>
      <c r="S166" s="144"/>
      <c r="T166" s="144"/>
      <c r="U166" s="144"/>
      <c r="V166" s="140"/>
      <c r="W166" s="140"/>
      <c r="X166" s="145"/>
      <c r="Y166" s="145"/>
      <c r="Z166" s="145"/>
      <c r="AA166" s="145"/>
      <c r="AB166" s="145"/>
      <c r="AC166" s="145"/>
    </row>
    <row r="167" ht="15.75" customHeight="1">
      <c r="A167" s="137"/>
      <c r="B167" s="138"/>
      <c r="C167" s="143"/>
      <c r="D167" s="139"/>
      <c r="E167" s="139"/>
      <c r="F167" s="139"/>
      <c r="G167" s="139"/>
      <c r="H167" s="139"/>
      <c r="I167" s="139"/>
      <c r="J167" s="138"/>
      <c r="K167" s="139"/>
      <c r="L167" s="138"/>
      <c r="M167" s="144"/>
      <c r="N167" s="143"/>
      <c r="O167" s="139"/>
      <c r="P167" s="144"/>
      <c r="Q167" s="144"/>
      <c r="R167" s="144"/>
      <c r="S167" s="144"/>
      <c r="T167" s="144"/>
      <c r="U167" s="144"/>
      <c r="V167" s="140"/>
      <c r="W167" s="140"/>
      <c r="X167" s="145"/>
      <c r="Y167" s="145"/>
      <c r="Z167" s="145"/>
      <c r="AA167" s="145"/>
      <c r="AB167" s="145"/>
      <c r="AC167" s="145"/>
    </row>
    <row r="168" ht="15.75" customHeight="1">
      <c r="A168" s="137"/>
      <c r="B168" s="138"/>
      <c r="C168" s="143"/>
      <c r="D168" s="139"/>
      <c r="E168" s="139"/>
      <c r="F168" s="139"/>
      <c r="G168" s="139"/>
      <c r="H168" s="139"/>
      <c r="I168" s="139"/>
      <c r="J168" s="138"/>
      <c r="K168" s="139"/>
      <c r="L168" s="138"/>
      <c r="M168" s="144"/>
      <c r="N168" s="143"/>
      <c r="O168" s="139"/>
      <c r="P168" s="144"/>
      <c r="Q168" s="144"/>
      <c r="R168" s="144"/>
      <c r="S168" s="144"/>
      <c r="T168" s="144"/>
      <c r="U168" s="144"/>
      <c r="V168" s="140"/>
      <c r="W168" s="140"/>
      <c r="X168" s="145"/>
      <c r="Y168" s="145"/>
      <c r="Z168" s="145"/>
      <c r="AA168" s="145"/>
      <c r="AB168" s="145"/>
      <c r="AC168" s="145"/>
    </row>
    <row r="169" ht="15.75" customHeight="1">
      <c r="A169" s="137"/>
      <c r="B169" s="138"/>
      <c r="C169" s="143"/>
      <c r="D169" s="139"/>
      <c r="E169" s="139"/>
      <c r="F169" s="139"/>
      <c r="G169" s="139"/>
      <c r="H169" s="139"/>
      <c r="I169" s="139"/>
      <c r="J169" s="138"/>
      <c r="K169" s="139"/>
      <c r="L169" s="138"/>
      <c r="M169" s="144"/>
      <c r="N169" s="143"/>
      <c r="O169" s="139"/>
      <c r="P169" s="144"/>
      <c r="Q169" s="144"/>
      <c r="R169" s="144"/>
      <c r="S169" s="144"/>
      <c r="T169" s="144"/>
      <c r="U169" s="144"/>
      <c r="V169" s="140"/>
      <c r="W169" s="140"/>
      <c r="X169" s="145"/>
      <c r="Y169" s="145"/>
      <c r="Z169" s="145"/>
      <c r="AA169" s="145"/>
      <c r="AB169" s="145"/>
      <c r="AC169" s="145"/>
    </row>
    <row r="170" ht="15.75" customHeight="1">
      <c r="A170" s="137"/>
      <c r="B170" s="138"/>
      <c r="C170" s="143"/>
      <c r="D170" s="139"/>
      <c r="E170" s="139"/>
      <c r="F170" s="139"/>
      <c r="G170" s="139"/>
      <c r="H170" s="139"/>
      <c r="I170" s="139"/>
      <c r="J170" s="138"/>
      <c r="K170" s="139"/>
      <c r="L170" s="138"/>
      <c r="M170" s="144"/>
      <c r="N170" s="143"/>
      <c r="O170" s="139"/>
      <c r="P170" s="144"/>
      <c r="Q170" s="144"/>
      <c r="R170" s="144"/>
      <c r="S170" s="144"/>
      <c r="T170" s="144"/>
      <c r="U170" s="144"/>
      <c r="V170" s="140"/>
      <c r="W170" s="140"/>
      <c r="X170" s="145"/>
      <c r="Y170" s="145"/>
      <c r="Z170" s="145"/>
      <c r="AA170" s="145"/>
      <c r="AB170" s="145"/>
      <c r="AC170" s="145"/>
    </row>
    <row r="171" ht="15.75" customHeight="1">
      <c r="A171" s="137"/>
      <c r="B171" s="138"/>
      <c r="C171" s="143"/>
      <c r="D171" s="139"/>
      <c r="E171" s="139"/>
      <c r="F171" s="139"/>
      <c r="G171" s="139"/>
      <c r="H171" s="139"/>
      <c r="I171" s="139"/>
      <c r="J171" s="138"/>
      <c r="K171" s="139"/>
      <c r="L171" s="138"/>
      <c r="M171" s="144"/>
      <c r="N171" s="143"/>
      <c r="O171" s="139"/>
      <c r="P171" s="144"/>
      <c r="Q171" s="144"/>
      <c r="R171" s="144"/>
      <c r="S171" s="144"/>
      <c r="T171" s="144"/>
      <c r="U171" s="144"/>
      <c r="V171" s="140"/>
      <c r="W171" s="140"/>
      <c r="X171" s="145"/>
      <c r="Y171" s="145"/>
      <c r="Z171" s="145"/>
      <c r="AA171" s="145"/>
      <c r="AB171" s="145"/>
      <c r="AC171" s="145"/>
    </row>
    <row r="172" ht="15.75" customHeight="1">
      <c r="A172" s="137"/>
      <c r="B172" s="138"/>
      <c r="C172" s="143"/>
      <c r="D172" s="139"/>
      <c r="E172" s="139"/>
      <c r="F172" s="139"/>
      <c r="G172" s="139"/>
      <c r="H172" s="139"/>
      <c r="I172" s="139"/>
      <c r="J172" s="138"/>
      <c r="K172" s="139"/>
      <c r="L172" s="138"/>
      <c r="M172" s="144"/>
      <c r="N172" s="143"/>
      <c r="O172" s="139"/>
      <c r="P172" s="144"/>
      <c r="Q172" s="144"/>
      <c r="R172" s="144"/>
      <c r="S172" s="144"/>
      <c r="T172" s="144"/>
      <c r="U172" s="144"/>
      <c r="V172" s="140"/>
      <c r="W172" s="140"/>
      <c r="X172" s="145"/>
      <c r="Y172" s="145"/>
      <c r="Z172" s="145"/>
      <c r="AA172" s="145"/>
      <c r="AB172" s="145"/>
      <c r="AC172" s="145"/>
    </row>
    <row r="173" ht="15.75" customHeight="1">
      <c r="A173" s="137"/>
      <c r="B173" s="138"/>
      <c r="C173" s="143"/>
      <c r="D173" s="139"/>
      <c r="E173" s="139"/>
      <c r="F173" s="139"/>
      <c r="G173" s="139"/>
      <c r="H173" s="139"/>
      <c r="I173" s="139"/>
      <c r="J173" s="138"/>
      <c r="K173" s="139"/>
      <c r="L173" s="138"/>
      <c r="M173" s="144"/>
      <c r="N173" s="143"/>
      <c r="O173" s="139"/>
      <c r="P173" s="144"/>
      <c r="Q173" s="144"/>
      <c r="R173" s="144"/>
      <c r="S173" s="144"/>
      <c r="T173" s="144"/>
      <c r="U173" s="144"/>
      <c r="V173" s="140"/>
      <c r="W173" s="140"/>
      <c r="X173" s="145"/>
      <c r="Y173" s="145"/>
      <c r="Z173" s="145"/>
      <c r="AA173" s="145"/>
      <c r="AB173" s="145"/>
      <c r="AC173" s="145"/>
    </row>
    <row r="174" ht="15.75" customHeight="1">
      <c r="A174" s="137"/>
      <c r="B174" s="138"/>
      <c r="C174" s="143"/>
      <c r="D174" s="139"/>
      <c r="E174" s="139"/>
      <c r="F174" s="139"/>
      <c r="G174" s="139"/>
      <c r="H174" s="139"/>
      <c r="I174" s="139"/>
      <c r="J174" s="138"/>
      <c r="K174" s="139"/>
      <c r="L174" s="138"/>
      <c r="M174" s="144"/>
      <c r="N174" s="143"/>
      <c r="O174" s="139"/>
      <c r="P174" s="144"/>
      <c r="Q174" s="144"/>
      <c r="R174" s="144"/>
      <c r="S174" s="144"/>
      <c r="T174" s="144"/>
      <c r="U174" s="144"/>
      <c r="V174" s="140"/>
      <c r="W174" s="140"/>
      <c r="X174" s="145"/>
      <c r="Y174" s="145"/>
      <c r="Z174" s="145"/>
      <c r="AA174" s="145"/>
      <c r="AB174" s="145"/>
      <c r="AC174" s="145"/>
    </row>
    <row r="175" ht="15.75" customHeight="1">
      <c r="A175" s="137"/>
      <c r="B175" s="138"/>
      <c r="C175" s="143"/>
      <c r="D175" s="139"/>
      <c r="E175" s="139"/>
      <c r="F175" s="139"/>
      <c r="G175" s="139"/>
      <c r="H175" s="139"/>
      <c r="I175" s="139"/>
      <c r="J175" s="138"/>
      <c r="K175" s="139"/>
      <c r="L175" s="138"/>
      <c r="M175" s="144"/>
      <c r="N175" s="143"/>
      <c r="O175" s="139"/>
      <c r="P175" s="144"/>
      <c r="Q175" s="144"/>
      <c r="R175" s="144"/>
      <c r="S175" s="144"/>
      <c r="T175" s="144"/>
      <c r="U175" s="144"/>
      <c r="V175" s="140"/>
      <c r="W175" s="140"/>
      <c r="X175" s="145"/>
      <c r="Y175" s="145"/>
      <c r="Z175" s="145"/>
      <c r="AA175" s="145"/>
      <c r="AB175" s="145"/>
      <c r="AC175" s="145"/>
    </row>
    <row r="176" ht="15.75" customHeight="1">
      <c r="A176" s="137"/>
      <c r="B176" s="138"/>
      <c r="C176" s="143"/>
      <c r="D176" s="139"/>
      <c r="E176" s="139"/>
      <c r="F176" s="139"/>
      <c r="G176" s="139"/>
      <c r="H176" s="139"/>
      <c r="I176" s="139"/>
      <c r="J176" s="138"/>
      <c r="K176" s="139"/>
      <c r="L176" s="138"/>
      <c r="M176" s="144"/>
      <c r="N176" s="143"/>
      <c r="O176" s="139"/>
      <c r="P176" s="144"/>
      <c r="Q176" s="144"/>
      <c r="R176" s="144"/>
      <c r="S176" s="144"/>
      <c r="T176" s="144"/>
      <c r="U176" s="144"/>
      <c r="V176" s="140"/>
      <c r="W176" s="140"/>
      <c r="X176" s="145"/>
      <c r="Y176" s="145"/>
      <c r="Z176" s="145"/>
      <c r="AA176" s="145"/>
      <c r="AB176" s="145"/>
      <c r="AC176" s="145"/>
    </row>
    <row r="177" ht="15.75" customHeight="1">
      <c r="A177" s="137"/>
      <c r="B177" s="138"/>
      <c r="C177" s="143"/>
      <c r="D177" s="139"/>
      <c r="E177" s="139"/>
      <c r="F177" s="139"/>
      <c r="G177" s="139"/>
      <c r="H177" s="139"/>
      <c r="I177" s="139"/>
      <c r="J177" s="138"/>
      <c r="K177" s="139"/>
      <c r="L177" s="138"/>
      <c r="M177" s="144"/>
      <c r="N177" s="143"/>
      <c r="O177" s="139"/>
      <c r="P177" s="144"/>
      <c r="Q177" s="144"/>
      <c r="R177" s="144"/>
      <c r="S177" s="144"/>
      <c r="T177" s="144"/>
      <c r="U177" s="144"/>
      <c r="V177" s="140"/>
      <c r="W177" s="140"/>
      <c r="X177" s="145"/>
      <c r="Y177" s="145"/>
      <c r="Z177" s="145"/>
      <c r="AA177" s="145"/>
      <c r="AB177" s="145"/>
      <c r="AC177" s="145"/>
    </row>
    <row r="178" ht="15.75" customHeight="1">
      <c r="A178" s="137"/>
      <c r="B178" s="138"/>
      <c r="C178" s="143"/>
      <c r="D178" s="139"/>
      <c r="E178" s="139"/>
      <c r="F178" s="139"/>
      <c r="G178" s="139"/>
      <c r="H178" s="139"/>
      <c r="I178" s="139"/>
      <c r="J178" s="138"/>
      <c r="K178" s="139"/>
      <c r="L178" s="138"/>
      <c r="M178" s="144"/>
      <c r="N178" s="143"/>
      <c r="O178" s="139"/>
      <c r="P178" s="144"/>
      <c r="Q178" s="144"/>
      <c r="R178" s="144"/>
      <c r="S178" s="144"/>
      <c r="T178" s="144"/>
      <c r="U178" s="144"/>
      <c r="V178" s="140"/>
      <c r="W178" s="140"/>
      <c r="X178" s="145"/>
      <c r="Y178" s="145"/>
      <c r="Z178" s="145"/>
      <c r="AA178" s="145"/>
      <c r="AB178" s="145"/>
      <c r="AC178" s="145"/>
    </row>
    <row r="179" ht="15.75" customHeight="1">
      <c r="A179" s="137"/>
      <c r="B179" s="138"/>
      <c r="C179" s="143"/>
      <c r="D179" s="139"/>
      <c r="E179" s="139"/>
      <c r="F179" s="139"/>
      <c r="G179" s="139"/>
      <c r="H179" s="139"/>
      <c r="I179" s="139"/>
      <c r="J179" s="138"/>
      <c r="K179" s="139"/>
      <c r="L179" s="138"/>
      <c r="M179" s="144"/>
      <c r="N179" s="143"/>
      <c r="O179" s="139"/>
      <c r="P179" s="144"/>
      <c r="Q179" s="144"/>
      <c r="R179" s="144"/>
      <c r="S179" s="144"/>
      <c r="T179" s="144"/>
      <c r="U179" s="144"/>
      <c r="V179" s="140"/>
      <c r="W179" s="140"/>
      <c r="X179" s="145"/>
      <c r="Y179" s="145"/>
      <c r="Z179" s="145"/>
      <c r="AA179" s="145"/>
      <c r="AB179" s="145"/>
      <c r="AC179" s="145"/>
    </row>
    <row r="180" ht="15.75" customHeight="1">
      <c r="A180" s="137"/>
      <c r="B180" s="138"/>
      <c r="C180" s="143"/>
      <c r="D180" s="139"/>
      <c r="E180" s="139"/>
      <c r="F180" s="139"/>
      <c r="G180" s="139"/>
      <c r="H180" s="139"/>
      <c r="I180" s="139"/>
      <c r="J180" s="138"/>
      <c r="K180" s="139"/>
      <c r="L180" s="138"/>
      <c r="M180" s="144"/>
      <c r="N180" s="143"/>
      <c r="O180" s="139"/>
      <c r="P180" s="144"/>
      <c r="Q180" s="144"/>
      <c r="R180" s="144"/>
      <c r="S180" s="144"/>
      <c r="T180" s="144"/>
      <c r="U180" s="144"/>
      <c r="V180" s="140"/>
      <c r="W180" s="140"/>
      <c r="X180" s="145"/>
      <c r="Y180" s="145"/>
      <c r="Z180" s="145"/>
      <c r="AA180" s="145"/>
      <c r="AB180" s="145"/>
      <c r="AC180" s="145"/>
    </row>
    <row r="181" ht="15.75" customHeight="1">
      <c r="A181" s="137"/>
      <c r="B181" s="138"/>
      <c r="C181" s="143"/>
      <c r="D181" s="139"/>
      <c r="E181" s="139"/>
      <c r="F181" s="139"/>
      <c r="G181" s="139"/>
      <c r="H181" s="139"/>
      <c r="I181" s="139"/>
      <c r="J181" s="138"/>
      <c r="K181" s="139"/>
      <c r="L181" s="138"/>
      <c r="M181" s="144"/>
      <c r="N181" s="143"/>
      <c r="O181" s="139"/>
      <c r="P181" s="144"/>
      <c r="Q181" s="144"/>
      <c r="R181" s="144"/>
      <c r="S181" s="144"/>
      <c r="T181" s="144"/>
      <c r="U181" s="144"/>
      <c r="V181" s="140"/>
      <c r="W181" s="140"/>
      <c r="X181" s="145"/>
      <c r="Y181" s="145"/>
      <c r="Z181" s="145"/>
      <c r="AA181" s="145"/>
      <c r="AB181" s="145"/>
      <c r="AC181" s="145"/>
    </row>
    <row r="182" ht="15.75" customHeight="1">
      <c r="A182" s="137"/>
      <c r="B182" s="138"/>
      <c r="C182" s="143"/>
      <c r="D182" s="139"/>
      <c r="E182" s="139"/>
      <c r="F182" s="139"/>
      <c r="G182" s="139"/>
      <c r="H182" s="139"/>
      <c r="I182" s="139"/>
      <c r="J182" s="138"/>
      <c r="K182" s="139"/>
      <c r="L182" s="138"/>
      <c r="M182" s="144"/>
      <c r="N182" s="143"/>
      <c r="O182" s="139"/>
      <c r="P182" s="144"/>
      <c r="Q182" s="144"/>
      <c r="R182" s="144"/>
      <c r="S182" s="144"/>
      <c r="T182" s="144"/>
      <c r="U182" s="144"/>
      <c r="V182" s="140"/>
      <c r="W182" s="140"/>
      <c r="X182" s="145"/>
      <c r="Y182" s="145"/>
      <c r="Z182" s="145"/>
      <c r="AA182" s="145"/>
      <c r="AB182" s="145"/>
      <c r="AC182" s="145"/>
    </row>
    <row r="183" ht="15.75" customHeight="1">
      <c r="A183" s="137"/>
      <c r="B183" s="138"/>
      <c r="C183" s="143"/>
      <c r="D183" s="139"/>
      <c r="E183" s="139"/>
      <c r="F183" s="139"/>
      <c r="G183" s="139"/>
      <c r="H183" s="139"/>
      <c r="I183" s="139"/>
      <c r="J183" s="138"/>
      <c r="K183" s="139"/>
      <c r="L183" s="138"/>
      <c r="M183" s="144"/>
      <c r="N183" s="143"/>
      <c r="O183" s="139"/>
      <c r="P183" s="144"/>
      <c r="Q183" s="144"/>
      <c r="R183" s="144"/>
      <c r="S183" s="144"/>
      <c r="T183" s="144"/>
      <c r="U183" s="144"/>
      <c r="V183" s="140"/>
      <c r="W183" s="140"/>
      <c r="X183" s="145"/>
      <c r="Y183" s="145"/>
      <c r="Z183" s="145"/>
      <c r="AA183" s="145"/>
      <c r="AB183" s="145"/>
      <c r="AC183" s="145"/>
    </row>
    <row r="184" ht="15.75" customHeight="1">
      <c r="A184" s="137"/>
      <c r="B184" s="138"/>
      <c r="C184" s="143"/>
      <c r="D184" s="139"/>
      <c r="E184" s="139"/>
      <c r="F184" s="139"/>
      <c r="G184" s="139"/>
      <c r="H184" s="139"/>
      <c r="I184" s="139"/>
      <c r="J184" s="138"/>
      <c r="K184" s="139"/>
      <c r="L184" s="138"/>
      <c r="M184" s="144"/>
      <c r="N184" s="143"/>
      <c r="O184" s="139"/>
      <c r="P184" s="144"/>
      <c r="Q184" s="144"/>
      <c r="R184" s="144"/>
      <c r="S184" s="144"/>
      <c r="T184" s="144"/>
      <c r="U184" s="144"/>
      <c r="V184" s="140"/>
      <c r="W184" s="140"/>
      <c r="X184" s="145"/>
      <c r="Y184" s="145"/>
      <c r="Z184" s="145"/>
      <c r="AA184" s="145"/>
      <c r="AB184" s="145"/>
      <c r="AC184" s="145"/>
    </row>
    <row r="185" ht="15.75" customHeight="1">
      <c r="A185" s="137"/>
      <c r="B185" s="138"/>
      <c r="C185" s="143"/>
      <c r="D185" s="139"/>
      <c r="E185" s="139"/>
      <c r="F185" s="139"/>
      <c r="G185" s="139"/>
      <c r="H185" s="139"/>
      <c r="I185" s="139"/>
      <c r="J185" s="138"/>
      <c r="K185" s="139"/>
      <c r="L185" s="138"/>
      <c r="M185" s="144"/>
      <c r="N185" s="143"/>
      <c r="O185" s="139"/>
      <c r="P185" s="144"/>
      <c r="Q185" s="144"/>
      <c r="R185" s="144"/>
      <c r="S185" s="144"/>
      <c r="T185" s="144"/>
      <c r="U185" s="144"/>
      <c r="V185" s="140"/>
      <c r="W185" s="140"/>
      <c r="X185" s="145"/>
      <c r="Y185" s="145"/>
      <c r="Z185" s="145"/>
      <c r="AA185" s="145"/>
      <c r="AB185" s="145"/>
      <c r="AC185" s="145"/>
    </row>
    <row r="186" ht="15.75" customHeight="1">
      <c r="A186" s="137"/>
      <c r="B186" s="138"/>
      <c r="C186" s="143"/>
      <c r="D186" s="139"/>
      <c r="E186" s="139"/>
      <c r="F186" s="139"/>
      <c r="G186" s="139"/>
      <c r="H186" s="139"/>
      <c r="I186" s="139"/>
      <c r="J186" s="138"/>
      <c r="K186" s="139"/>
      <c r="L186" s="138"/>
      <c r="M186" s="144"/>
      <c r="N186" s="143"/>
      <c r="O186" s="139"/>
      <c r="P186" s="144"/>
      <c r="Q186" s="144"/>
      <c r="R186" s="144"/>
      <c r="S186" s="144"/>
      <c r="T186" s="144"/>
      <c r="U186" s="144"/>
      <c r="V186" s="140"/>
      <c r="W186" s="140"/>
      <c r="X186" s="145"/>
      <c r="Y186" s="145"/>
      <c r="Z186" s="145"/>
      <c r="AA186" s="145"/>
      <c r="AB186" s="145"/>
      <c r="AC186" s="145"/>
    </row>
    <row r="187" ht="15.75" customHeight="1">
      <c r="A187" s="137"/>
      <c r="B187" s="138"/>
      <c r="C187" s="143"/>
      <c r="D187" s="139"/>
      <c r="E187" s="139"/>
      <c r="F187" s="139"/>
      <c r="G187" s="139"/>
      <c r="H187" s="139"/>
      <c r="I187" s="139"/>
      <c r="J187" s="138"/>
      <c r="K187" s="139"/>
      <c r="L187" s="138"/>
      <c r="M187" s="144"/>
      <c r="N187" s="143"/>
      <c r="O187" s="139"/>
      <c r="P187" s="144"/>
      <c r="Q187" s="144"/>
      <c r="R187" s="144"/>
      <c r="S187" s="144"/>
      <c r="T187" s="144"/>
      <c r="U187" s="144"/>
      <c r="V187" s="140"/>
      <c r="W187" s="140"/>
      <c r="X187" s="145"/>
      <c r="Y187" s="145"/>
      <c r="Z187" s="145"/>
      <c r="AA187" s="145"/>
      <c r="AB187" s="145"/>
      <c r="AC187" s="145"/>
    </row>
    <row r="188" ht="15.75" customHeight="1">
      <c r="A188" s="137"/>
      <c r="B188" s="138"/>
      <c r="C188" s="143"/>
      <c r="D188" s="139"/>
      <c r="E188" s="139"/>
      <c r="F188" s="139"/>
      <c r="G188" s="139"/>
      <c r="H188" s="139"/>
      <c r="I188" s="139"/>
      <c r="J188" s="138"/>
      <c r="K188" s="139"/>
      <c r="L188" s="138"/>
      <c r="M188" s="144"/>
      <c r="N188" s="143"/>
      <c r="O188" s="139"/>
      <c r="P188" s="144"/>
      <c r="Q188" s="144"/>
      <c r="R188" s="144"/>
      <c r="S188" s="144"/>
      <c r="T188" s="144"/>
      <c r="U188" s="144"/>
      <c r="V188" s="140"/>
      <c r="W188" s="140"/>
      <c r="X188" s="145"/>
      <c r="Y188" s="145"/>
      <c r="Z188" s="145"/>
      <c r="AA188" s="145"/>
      <c r="AB188" s="145"/>
      <c r="AC188" s="145"/>
    </row>
    <row r="189" ht="15.75" customHeight="1">
      <c r="A189" s="137"/>
      <c r="B189" s="138"/>
      <c r="C189" s="143"/>
      <c r="D189" s="139"/>
      <c r="E189" s="139"/>
      <c r="F189" s="139"/>
      <c r="G189" s="139"/>
      <c r="H189" s="139"/>
      <c r="I189" s="139"/>
      <c r="J189" s="138"/>
      <c r="K189" s="139"/>
      <c r="L189" s="138"/>
      <c r="M189" s="144"/>
      <c r="N189" s="143"/>
      <c r="O189" s="139"/>
      <c r="P189" s="144"/>
      <c r="Q189" s="144"/>
      <c r="R189" s="144"/>
      <c r="S189" s="144"/>
      <c r="T189" s="144"/>
      <c r="U189" s="144"/>
      <c r="V189" s="140"/>
      <c r="W189" s="140"/>
      <c r="X189" s="145"/>
      <c r="Y189" s="145"/>
      <c r="Z189" s="145"/>
      <c r="AA189" s="145"/>
      <c r="AB189" s="145"/>
      <c r="AC189" s="145"/>
    </row>
    <row r="190" ht="15.75" customHeight="1">
      <c r="A190" s="137"/>
      <c r="B190" s="138"/>
      <c r="C190" s="143"/>
      <c r="D190" s="139"/>
      <c r="E190" s="139"/>
      <c r="F190" s="139"/>
      <c r="G190" s="139"/>
      <c r="H190" s="139"/>
      <c r="I190" s="139"/>
      <c r="J190" s="138"/>
      <c r="K190" s="139"/>
      <c r="L190" s="138"/>
      <c r="M190" s="144"/>
      <c r="N190" s="143"/>
      <c r="O190" s="139"/>
      <c r="P190" s="144"/>
      <c r="Q190" s="144"/>
      <c r="R190" s="144"/>
      <c r="S190" s="144"/>
      <c r="T190" s="144"/>
      <c r="U190" s="144"/>
      <c r="V190" s="140"/>
      <c r="W190" s="140"/>
      <c r="X190" s="145"/>
      <c r="Y190" s="145"/>
      <c r="Z190" s="145"/>
      <c r="AA190" s="145"/>
      <c r="AB190" s="145"/>
      <c r="AC190" s="145"/>
    </row>
    <row r="191" ht="15.75" customHeight="1">
      <c r="A191" s="137"/>
      <c r="B191" s="138"/>
      <c r="C191" s="143"/>
      <c r="D191" s="139"/>
      <c r="E191" s="139"/>
      <c r="F191" s="139"/>
      <c r="G191" s="139"/>
      <c r="H191" s="139"/>
      <c r="I191" s="139"/>
      <c r="J191" s="138"/>
      <c r="K191" s="139"/>
      <c r="L191" s="138"/>
      <c r="M191" s="144"/>
      <c r="N191" s="143"/>
      <c r="O191" s="139"/>
      <c r="P191" s="144"/>
      <c r="Q191" s="144"/>
      <c r="R191" s="144"/>
      <c r="S191" s="144"/>
      <c r="T191" s="144"/>
      <c r="U191" s="144"/>
      <c r="V191" s="140"/>
      <c r="W191" s="140"/>
      <c r="X191" s="145"/>
      <c r="Y191" s="145"/>
      <c r="Z191" s="145"/>
      <c r="AA191" s="145"/>
      <c r="AB191" s="145"/>
      <c r="AC191" s="145"/>
    </row>
    <row r="192" ht="15.75" customHeight="1">
      <c r="A192" s="137"/>
      <c r="B192" s="138"/>
      <c r="C192" s="143"/>
      <c r="D192" s="139"/>
      <c r="E192" s="139"/>
      <c r="F192" s="139"/>
      <c r="G192" s="139"/>
      <c r="H192" s="139"/>
      <c r="I192" s="139"/>
      <c r="J192" s="138"/>
      <c r="K192" s="139"/>
      <c r="L192" s="138"/>
      <c r="M192" s="144"/>
      <c r="N192" s="143"/>
      <c r="O192" s="139"/>
      <c r="P192" s="144"/>
      <c r="Q192" s="144"/>
      <c r="R192" s="144"/>
      <c r="S192" s="144"/>
      <c r="T192" s="144"/>
      <c r="U192" s="144"/>
      <c r="V192" s="140"/>
      <c r="W192" s="140"/>
      <c r="X192" s="145"/>
      <c r="Y192" s="145"/>
      <c r="Z192" s="145"/>
      <c r="AA192" s="145"/>
      <c r="AB192" s="145"/>
      <c r="AC192" s="145"/>
    </row>
    <row r="193" ht="15.75" customHeight="1">
      <c r="A193" s="137"/>
      <c r="B193" s="138"/>
      <c r="C193" s="143"/>
      <c r="D193" s="139"/>
      <c r="E193" s="139"/>
      <c r="F193" s="139"/>
      <c r="G193" s="139"/>
      <c r="H193" s="139"/>
      <c r="I193" s="139"/>
      <c r="J193" s="138"/>
      <c r="K193" s="139"/>
      <c r="L193" s="138"/>
      <c r="M193" s="144"/>
      <c r="N193" s="143"/>
      <c r="O193" s="139"/>
      <c r="P193" s="144"/>
      <c r="Q193" s="144"/>
      <c r="R193" s="144"/>
      <c r="S193" s="144"/>
      <c r="T193" s="144"/>
      <c r="U193" s="144"/>
      <c r="V193" s="140"/>
      <c r="W193" s="140"/>
      <c r="X193" s="145"/>
      <c r="Y193" s="145"/>
      <c r="Z193" s="145"/>
      <c r="AA193" s="145"/>
      <c r="AB193" s="145"/>
      <c r="AC193" s="145"/>
    </row>
    <row r="194" ht="15.75" customHeight="1">
      <c r="A194" s="137"/>
      <c r="B194" s="138"/>
      <c r="C194" s="143"/>
      <c r="D194" s="139"/>
      <c r="E194" s="139"/>
      <c r="F194" s="139"/>
      <c r="G194" s="139"/>
      <c r="H194" s="139"/>
      <c r="I194" s="139"/>
      <c r="J194" s="138"/>
      <c r="K194" s="139"/>
      <c r="L194" s="138"/>
      <c r="M194" s="144"/>
      <c r="N194" s="143"/>
      <c r="O194" s="139"/>
      <c r="P194" s="144"/>
      <c r="Q194" s="144"/>
      <c r="R194" s="144"/>
      <c r="S194" s="144"/>
      <c r="T194" s="144"/>
      <c r="U194" s="144"/>
      <c r="V194" s="140"/>
      <c r="W194" s="140"/>
      <c r="X194" s="145"/>
      <c r="Y194" s="145"/>
      <c r="Z194" s="145"/>
      <c r="AA194" s="145"/>
      <c r="AB194" s="145"/>
      <c r="AC194" s="145"/>
    </row>
    <row r="195" ht="15.75" customHeight="1">
      <c r="A195" s="137"/>
      <c r="B195" s="138"/>
      <c r="C195" s="143"/>
      <c r="D195" s="139"/>
      <c r="E195" s="139"/>
      <c r="F195" s="139"/>
      <c r="G195" s="139"/>
      <c r="H195" s="139"/>
      <c r="I195" s="139"/>
      <c r="J195" s="138"/>
      <c r="K195" s="139"/>
      <c r="L195" s="138"/>
      <c r="M195" s="144"/>
      <c r="N195" s="143"/>
      <c r="O195" s="139"/>
      <c r="P195" s="144"/>
      <c r="Q195" s="144"/>
      <c r="R195" s="144"/>
      <c r="S195" s="144"/>
      <c r="T195" s="144"/>
      <c r="U195" s="144"/>
      <c r="V195" s="140"/>
      <c r="W195" s="140"/>
      <c r="X195" s="145"/>
      <c r="Y195" s="145"/>
      <c r="Z195" s="145"/>
      <c r="AA195" s="145"/>
      <c r="AB195" s="145"/>
      <c r="AC195" s="145"/>
    </row>
    <row r="196" ht="15.75" customHeight="1">
      <c r="A196" s="137"/>
      <c r="B196" s="138"/>
      <c r="C196" s="143"/>
      <c r="D196" s="139"/>
      <c r="E196" s="139"/>
      <c r="F196" s="139"/>
      <c r="G196" s="139"/>
      <c r="H196" s="139"/>
      <c r="I196" s="139"/>
      <c r="J196" s="138"/>
      <c r="K196" s="139"/>
      <c r="L196" s="138"/>
      <c r="M196" s="144"/>
      <c r="N196" s="143"/>
      <c r="O196" s="139"/>
      <c r="P196" s="144"/>
      <c r="Q196" s="144"/>
      <c r="R196" s="144"/>
      <c r="S196" s="144"/>
      <c r="T196" s="144"/>
      <c r="U196" s="144"/>
      <c r="V196" s="140"/>
      <c r="W196" s="140"/>
      <c r="X196" s="145"/>
      <c r="Y196" s="145"/>
      <c r="Z196" s="145"/>
      <c r="AA196" s="145"/>
      <c r="AB196" s="145"/>
      <c r="AC196" s="145"/>
    </row>
    <row r="197" ht="15.75" customHeight="1">
      <c r="A197" s="137"/>
      <c r="B197" s="138"/>
      <c r="C197" s="143"/>
      <c r="D197" s="139"/>
      <c r="E197" s="139"/>
      <c r="F197" s="139"/>
      <c r="G197" s="139"/>
      <c r="H197" s="139"/>
      <c r="I197" s="139"/>
      <c r="J197" s="138"/>
      <c r="K197" s="139"/>
      <c r="L197" s="138"/>
      <c r="M197" s="144"/>
      <c r="N197" s="143"/>
      <c r="O197" s="139"/>
      <c r="P197" s="144"/>
      <c r="Q197" s="144"/>
      <c r="R197" s="144"/>
      <c r="S197" s="144"/>
      <c r="T197" s="144"/>
      <c r="U197" s="144"/>
      <c r="V197" s="140"/>
      <c r="W197" s="140"/>
      <c r="X197" s="145"/>
      <c r="Y197" s="145"/>
      <c r="Z197" s="145"/>
      <c r="AA197" s="145"/>
      <c r="AB197" s="145"/>
      <c r="AC197" s="145"/>
    </row>
    <row r="198" ht="15.75" customHeight="1">
      <c r="A198" s="137"/>
      <c r="B198" s="138"/>
      <c r="C198" s="143"/>
      <c r="D198" s="139"/>
      <c r="E198" s="139"/>
      <c r="F198" s="139"/>
      <c r="G198" s="139"/>
      <c r="H198" s="139"/>
      <c r="I198" s="139"/>
      <c r="J198" s="138"/>
      <c r="K198" s="139"/>
      <c r="L198" s="138"/>
      <c r="M198" s="144"/>
      <c r="N198" s="143"/>
      <c r="O198" s="139"/>
      <c r="P198" s="144"/>
      <c r="Q198" s="144"/>
      <c r="R198" s="144"/>
      <c r="S198" s="144"/>
      <c r="T198" s="144"/>
      <c r="U198" s="144"/>
      <c r="V198" s="140"/>
      <c r="W198" s="140"/>
      <c r="X198" s="145"/>
      <c r="Y198" s="145"/>
      <c r="Z198" s="145"/>
      <c r="AA198" s="145"/>
      <c r="AB198" s="145"/>
      <c r="AC198" s="145"/>
    </row>
    <row r="199" ht="15.75" customHeight="1">
      <c r="A199" s="137"/>
      <c r="B199" s="138"/>
      <c r="C199" s="143"/>
      <c r="D199" s="139"/>
      <c r="E199" s="139"/>
      <c r="F199" s="139"/>
      <c r="G199" s="139"/>
      <c r="H199" s="139"/>
      <c r="I199" s="139"/>
      <c r="J199" s="138"/>
      <c r="K199" s="139"/>
      <c r="L199" s="138"/>
      <c r="M199" s="144"/>
      <c r="N199" s="143"/>
      <c r="O199" s="139"/>
      <c r="P199" s="144"/>
      <c r="Q199" s="144"/>
      <c r="R199" s="144"/>
      <c r="S199" s="144"/>
      <c r="T199" s="144"/>
      <c r="U199" s="144"/>
      <c r="V199" s="140"/>
      <c r="W199" s="140"/>
      <c r="X199" s="145"/>
      <c r="Y199" s="145"/>
      <c r="Z199" s="145"/>
      <c r="AA199" s="145"/>
      <c r="AB199" s="145"/>
      <c r="AC199" s="145"/>
    </row>
    <row r="200" ht="15.75" customHeight="1">
      <c r="A200" s="137"/>
      <c r="B200" s="138"/>
      <c r="C200" s="143"/>
      <c r="D200" s="139"/>
      <c r="E200" s="139"/>
      <c r="F200" s="139"/>
      <c r="G200" s="139"/>
      <c r="H200" s="139"/>
      <c r="I200" s="139"/>
      <c r="J200" s="138"/>
      <c r="K200" s="139"/>
      <c r="L200" s="138"/>
      <c r="M200" s="144"/>
      <c r="N200" s="143"/>
      <c r="O200" s="139"/>
      <c r="P200" s="144"/>
      <c r="Q200" s="144"/>
      <c r="R200" s="144"/>
      <c r="S200" s="144"/>
      <c r="T200" s="144"/>
      <c r="U200" s="144"/>
      <c r="V200" s="140"/>
      <c r="W200" s="140"/>
      <c r="X200" s="145"/>
      <c r="Y200" s="145"/>
      <c r="Z200" s="145"/>
      <c r="AA200" s="145"/>
      <c r="AB200" s="145"/>
      <c r="AC200" s="145"/>
    </row>
    <row r="201" ht="15.75" customHeight="1">
      <c r="A201" s="137"/>
      <c r="B201" s="138"/>
      <c r="C201" s="143"/>
      <c r="D201" s="139"/>
      <c r="E201" s="139"/>
      <c r="F201" s="139"/>
      <c r="G201" s="139"/>
      <c r="H201" s="139"/>
      <c r="I201" s="139"/>
      <c r="J201" s="138"/>
      <c r="K201" s="139"/>
      <c r="L201" s="138"/>
      <c r="M201" s="144"/>
      <c r="N201" s="143"/>
      <c r="O201" s="139"/>
      <c r="P201" s="144"/>
      <c r="Q201" s="144"/>
      <c r="R201" s="144"/>
      <c r="S201" s="144"/>
      <c r="T201" s="144"/>
      <c r="U201" s="144"/>
      <c r="V201" s="140"/>
      <c r="W201" s="140"/>
      <c r="X201" s="145"/>
      <c r="Y201" s="145"/>
      <c r="Z201" s="145"/>
      <c r="AA201" s="145"/>
      <c r="AB201" s="145"/>
      <c r="AC201" s="145"/>
    </row>
    <row r="202" ht="15.75" customHeight="1">
      <c r="A202" s="137"/>
      <c r="B202" s="138"/>
      <c r="C202" s="143"/>
      <c r="D202" s="139"/>
      <c r="E202" s="139"/>
      <c r="F202" s="139"/>
      <c r="G202" s="139"/>
      <c r="H202" s="139"/>
      <c r="I202" s="139"/>
      <c r="J202" s="138"/>
      <c r="K202" s="139"/>
      <c r="L202" s="138"/>
      <c r="M202" s="144"/>
      <c r="N202" s="143"/>
      <c r="O202" s="139"/>
      <c r="P202" s="144"/>
      <c r="Q202" s="144"/>
      <c r="R202" s="144"/>
      <c r="S202" s="144"/>
      <c r="T202" s="144"/>
      <c r="U202" s="144"/>
      <c r="V202" s="140"/>
      <c r="W202" s="140"/>
      <c r="X202" s="145"/>
      <c r="Y202" s="145"/>
      <c r="Z202" s="145"/>
      <c r="AA202" s="145"/>
      <c r="AB202" s="145"/>
      <c r="AC202" s="145"/>
    </row>
    <row r="203" ht="15.75" customHeight="1">
      <c r="A203" s="137"/>
      <c r="B203" s="138"/>
      <c r="C203" s="143"/>
      <c r="D203" s="139"/>
      <c r="E203" s="139"/>
      <c r="F203" s="139"/>
      <c r="G203" s="139"/>
      <c r="H203" s="139"/>
      <c r="I203" s="139"/>
      <c r="J203" s="138"/>
      <c r="K203" s="139"/>
      <c r="L203" s="138"/>
      <c r="M203" s="144"/>
      <c r="N203" s="143"/>
      <c r="O203" s="139"/>
      <c r="P203" s="144"/>
      <c r="Q203" s="144"/>
      <c r="R203" s="144"/>
      <c r="S203" s="144"/>
      <c r="T203" s="144"/>
      <c r="U203" s="144"/>
      <c r="V203" s="140"/>
      <c r="W203" s="140"/>
      <c r="X203" s="145"/>
      <c r="Y203" s="145"/>
      <c r="Z203" s="145"/>
      <c r="AA203" s="145"/>
      <c r="AB203" s="145"/>
      <c r="AC203" s="145"/>
    </row>
    <row r="204" ht="15.75" customHeight="1">
      <c r="A204" s="137"/>
      <c r="B204" s="138"/>
      <c r="C204" s="143"/>
      <c r="D204" s="139"/>
      <c r="E204" s="139"/>
      <c r="F204" s="139"/>
      <c r="G204" s="139"/>
      <c r="H204" s="139"/>
      <c r="I204" s="139"/>
      <c r="J204" s="138"/>
      <c r="K204" s="139"/>
      <c r="L204" s="138"/>
      <c r="M204" s="144"/>
      <c r="N204" s="143"/>
      <c r="O204" s="139"/>
      <c r="P204" s="144"/>
      <c r="Q204" s="144"/>
      <c r="R204" s="144"/>
      <c r="S204" s="144"/>
      <c r="T204" s="144"/>
      <c r="U204" s="144"/>
      <c r="V204" s="140"/>
      <c r="W204" s="140"/>
      <c r="X204" s="145"/>
      <c r="Y204" s="145"/>
      <c r="Z204" s="145"/>
      <c r="AA204" s="145"/>
      <c r="AB204" s="145"/>
      <c r="AC204" s="145"/>
    </row>
    <row r="205" ht="15.75" customHeight="1">
      <c r="A205" s="137"/>
      <c r="B205" s="138"/>
      <c r="C205" s="143"/>
      <c r="D205" s="139"/>
      <c r="E205" s="139"/>
      <c r="F205" s="139"/>
      <c r="G205" s="139"/>
      <c r="H205" s="139"/>
      <c r="I205" s="139"/>
      <c r="J205" s="138"/>
      <c r="K205" s="139"/>
      <c r="L205" s="138"/>
      <c r="M205" s="144"/>
      <c r="N205" s="143"/>
      <c r="O205" s="139"/>
      <c r="P205" s="144"/>
      <c r="Q205" s="144"/>
      <c r="R205" s="144"/>
      <c r="S205" s="144"/>
      <c r="T205" s="144"/>
      <c r="U205" s="144"/>
      <c r="V205" s="140"/>
      <c r="W205" s="140"/>
      <c r="X205" s="145"/>
      <c r="Y205" s="145"/>
      <c r="Z205" s="145"/>
      <c r="AA205" s="145"/>
      <c r="AB205" s="145"/>
      <c r="AC205" s="145"/>
    </row>
    <row r="206" ht="15.75" customHeight="1">
      <c r="A206" s="137"/>
      <c r="B206" s="138"/>
      <c r="C206" s="143"/>
      <c r="D206" s="139"/>
      <c r="E206" s="139"/>
      <c r="F206" s="139"/>
      <c r="G206" s="139"/>
      <c r="H206" s="139"/>
      <c r="I206" s="139"/>
      <c r="J206" s="138"/>
      <c r="K206" s="139"/>
      <c r="L206" s="138"/>
      <c r="M206" s="144"/>
      <c r="N206" s="143"/>
      <c r="O206" s="139"/>
      <c r="P206" s="144"/>
      <c r="Q206" s="144"/>
      <c r="R206" s="144"/>
      <c r="S206" s="144"/>
      <c r="T206" s="144"/>
      <c r="U206" s="144"/>
      <c r="V206" s="140"/>
      <c r="W206" s="140"/>
      <c r="X206" s="145"/>
      <c r="Y206" s="145"/>
      <c r="Z206" s="145"/>
      <c r="AA206" s="145"/>
      <c r="AB206" s="145"/>
      <c r="AC206" s="145"/>
    </row>
    <row r="207" ht="15.75" customHeight="1">
      <c r="A207" s="137"/>
      <c r="B207" s="138"/>
      <c r="C207" s="143"/>
      <c r="D207" s="139"/>
      <c r="E207" s="139"/>
      <c r="F207" s="139"/>
      <c r="G207" s="139"/>
      <c r="H207" s="139"/>
      <c r="I207" s="139"/>
      <c r="J207" s="138"/>
      <c r="K207" s="139"/>
      <c r="L207" s="138"/>
      <c r="M207" s="144"/>
      <c r="N207" s="143"/>
      <c r="O207" s="139"/>
      <c r="P207" s="144"/>
      <c r="Q207" s="144"/>
      <c r="R207" s="144"/>
      <c r="S207" s="144"/>
      <c r="T207" s="144"/>
      <c r="U207" s="144"/>
      <c r="V207" s="140"/>
      <c r="W207" s="140"/>
      <c r="X207" s="145"/>
      <c r="Y207" s="145"/>
      <c r="Z207" s="145"/>
      <c r="AA207" s="145"/>
      <c r="AB207" s="145"/>
      <c r="AC207" s="145"/>
    </row>
    <row r="208" ht="15.75" customHeight="1">
      <c r="A208" s="137"/>
      <c r="B208" s="138"/>
      <c r="C208" s="143"/>
      <c r="D208" s="139"/>
      <c r="E208" s="139"/>
      <c r="F208" s="139"/>
      <c r="G208" s="139"/>
      <c r="H208" s="139"/>
      <c r="I208" s="139"/>
      <c r="J208" s="138"/>
      <c r="K208" s="139"/>
      <c r="L208" s="138"/>
      <c r="M208" s="144"/>
      <c r="N208" s="143"/>
      <c r="O208" s="139"/>
      <c r="P208" s="144"/>
      <c r="Q208" s="144"/>
      <c r="R208" s="144"/>
      <c r="S208" s="144"/>
      <c r="T208" s="144"/>
      <c r="U208" s="144"/>
      <c r="V208" s="140"/>
      <c r="W208" s="140"/>
      <c r="X208" s="145"/>
      <c r="Y208" s="145"/>
      <c r="Z208" s="145"/>
      <c r="AA208" s="145"/>
      <c r="AB208" s="145"/>
      <c r="AC208" s="145"/>
    </row>
    <row r="209" ht="15.75" customHeight="1">
      <c r="A209" s="137"/>
      <c r="B209" s="138"/>
      <c r="C209" s="143"/>
      <c r="D209" s="139"/>
      <c r="E209" s="139"/>
      <c r="F209" s="139"/>
      <c r="G209" s="139"/>
      <c r="H209" s="139"/>
      <c r="I209" s="139"/>
      <c r="J209" s="138"/>
      <c r="K209" s="139"/>
      <c r="L209" s="138"/>
      <c r="M209" s="144"/>
      <c r="N209" s="143"/>
      <c r="O209" s="139"/>
      <c r="P209" s="144"/>
      <c r="Q209" s="144"/>
      <c r="R209" s="144"/>
      <c r="S209" s="144"/>
      <c r="T209" s="144"/>
      <c r="U209" s="144"/>
      <c r="V209" s="140"/>
      <c r="W209" s="140"/>
      <c r="X209" s="145"/>
      <c r="Y209" s="145"/>
      <c r="Z209" s="145"/>
      <c r="AA209" s="145"/>
      <c r="AB209" s="145"/>
      <c r="AC209" s="145"/>
    </row>
    <row r="210" ht="15.75" customHeight="1">
      <c r="A210" s="137"/>
      <c r="B210" s="138"/>
      <c r="C210" s="143"/>
      <c r="D210" s="139"/>
      <c r="E210" s="139"/>
      <c r="F210" s="139"/>
      <c r="G210" s="139"/>
      <c r="H210" s="139"/>
      <c r="I210" s="139"/>
      <c r="J210" s="138"/>
      <c r="K210" s="139"/>
      <c r="L210" s="138"/>
      <c r="M210" s="144"/>
      <c r="N210" s="143"/>
      <c r="O210" s="139"/>
      <c r="P210" s="144"/>
      <c r="Q210" s="144"/>
      <c r="R210" s="144"/>
      <c r="S210" s="144"/>
      <c r="T210" s="144"/>
      <c r="U210" s="144"/>
      <c r="V210" s="140"/>
      <c r="W210" s="140"/>
      <c r="X210" s="145"/>
      <c r="Y210" s="145"/>
      <c r="Z210" s="145"/>
      <c r="AA210" s="145"/>
      <c r="AB210" s="145"/>
      <c r="AC210" s="145"/>
    </row>
    <row r="211" ht="15.75" customHeight="1">
      <c r="A211" s="137"/>
      <c r="B211" s="138"/>
      <c r="C211" s="143"/>
      <c r="D211" s="139"/>
      <c r="E211" s="139"/>
      <c r="F211" s="139"/>
      <c r="G211" s="139"/>
      <c r="H211" s="139"/>
      <c r="I211" s="139"/>
      <c r="J211" s="138"/>
      <c r="K211" s="139"/>
      <c r="L211" s="138"/>
      <c r="M211" s="144"/>
      <c r="N211" s="143"/>
      <c r="O211" s="139"/>
      <c r="P211" s="144"/>
      <c r="Q211" s="144"/>
      <c r="R211" s="144"/>
      <c r="S211" s="144"/>
      <c r="T211" s="144"/>
      <c r="U211" s="144"/>
      <c r="V211" s="140"/>
      <c r="W211" s="140"/>
      <c r="X211" s="145"/>
      <c r="Y211" s="145"/>
      <c r="Z211" s="145"/>
      <c r="AA211" s="145"/>
      <c r="AB211" s="145"/>
      <c r="AC211" s="145"/>
    </row>
    <row r="212" ht="15.75" customHeight="1">
      <c r="A212" s="137"/>
      <c r="B212" s="138"/>
      <c r="C212" s="143"/>
      <c r="D212" s="139"/>
      <c r="E212" s="139"/>
      <c r="F212" s="139"/>
      <c r="G212" s="139"/>
      <c r="H212" s="139"/>
      <c r="I212" s="139"/>
      <c r="J212" s="138"/>
      <c r="K212" s="139"/>
      <c r="L212" s="138"/>
      <c r="M212" s="144"/>
      <c r="N212" s="143"/>
      <c r="O212" s="139"/>
      <c r="P212" s="144"/>
      <c r="Q212" s="144"/>
      <c r="R212" s="144"/>
      <c r="S212" s="144"/>
      <c r="T212" s="144"/>
      <c r="U212" s="144"/>
      <c r="V212" s="140"/>
      <c r="W212" s="140"/>
      <c r="X212" s="145"/>
      <c r="Y212" s="145"/>
      <c r="Z212" s="145"/>
      <c r="AA212" s="145"/>
      <c r="AB212" s="145"/>
      <c r="AC212" s="145"/>
    </row>
    <row r="213" ht="15.75" customHeight="1">
      <c r="A213" s="137"/>
      <c r="B213" s="138"/>
      <c r="C213" s="143"/>
      <c r="D213" s="139"/>
      <c r="E213" s="139"/>
      <c r="F213" s="139"/>
      <c r="G213" s="139"/>
      <c r="H213" s="139"/>
      <c r="I213" s="139"/>
      <c r="J213" s="138"/>
      <c r="K213" s="139"/>
      <c r="L213" s="138"/>
      <c r="M213" s="144"/>
      <c r="N213" s="143"/>
      <c r="O213" s="139"/>
      <c r="P213" s="144"/>
      <c r="Q213" s="144"/>
      <c r="R213" s="144"/>
      <c r="S213" s="144"/>
      <c r="T213" s="144"/>
      <c r="U213" s="144"/>
      <c r="V213" s="140"/>
      <c r="W213" s="140"/>
      <c r="X213" s="145"/>
      <c r="Y213" s="145"/>
      <c r="Z213" s="145"/>
      <c r="AA213" s="145"/>
      <c r="AB213" s="145"/>
      <c r="AC213" s="145"/>
    </row>
    <row r="214" ht="15.75" customHeight="1">
      <c r="A214" s="137"/>
      <c r="B214" s="138"/>
      <c r="C214" s="143"/>
      <c r="D214" s="139"/>
      <c r="E214" s="139"/>
      <c r="F214" s="139"/>
      <c r="G214" s="139"/>
      <c r="H214" s="139"/>
      <c r="I214" s="139"/>
      <c r="J214" s="138"/>
      <c r="K214" s="139"/>
      <c r="L214" s="138"/>
      <c r="M214" s="144"/>
      <c r="N214" s="143"/>
      <c r="O214" s="139"/>
      <c r="P214" s="144"/>
      <c r="Q214" s="144"/>
      <c r="R214" s="144"/>
      <c r="S214" s="144"/>
      <c r="T214" s="144"/>
      <c r="U214" s="144"/>
      <c r="V214" s="140"/>
      <c r="W214" s="140"/>
      <c r="X214" s="145"/>
      <c r="Y214" s="145"/>
      <c r="Z214" s="145"/>
      <c r="AA214" s="145"/>
      <c r="AB214" s="145"/>
      <c r="AC214" s="145"/>
    </row>
    <row r="215" ht="15.75" customHeight="1">
      <c r="A215" s="137"/>
      <c r="B215" s="138"/>
      <c r="C215" s="143"/>
      <c r="D215" s="139"/>
      <c r="E215" s="139"/>
      <c r="F215" s="139"/>
      <c r="G215" s="139"/>
      <c r="H215" s="139"/>
      <c r="I215" s="139"/>
      <c r="J215" s="138"/>
      <c r="K215" s="139"/>
      <c r="L215" s="138"/>
      <c r="M215" s="144"/>
      <c r="N215" s="143"/>
      <c r="O215" s="139"/>
      <c r="P215" s="144"/>
      <c r="Q215" s="144"/>
      <c r="R215" s="144"/>
      <c r="S215" s="144"/>
      <c r="T215" s="144"/>
      <c r="U215" s="144"/>
      <c r="V215" s="140"/>
      <c r="W215" s="140"/>
      <c r="X215" s="145"/>
      <c r="Y215" s="145"/>
      <c r="Z215" s="145"/>
      <c r="AA215" s="145"/>
      <c r="AB215" s="145"/>
      <c r="AC215" s="145"/>
    </row>
    <row r="216" ht="15.75" customHeight="1">
      <c r="A216" s="137"/>
      <c r="B216" s="138"/>
      <c r="C216" s="143"/>
      <c r="D216" s="139"/>
      <c r="E216" s="139"/>
      <c r="F216" s="139"/>
      <c r="G216" s="139"/>
      <c r="H216" s="139"/>
      <c r="I216" s="139"/>
      <c r="J216" s="138"/>
      <c r="K216" s="139"/>
      <c r="L216" s="138"/>
      <c r="M216" s="144"/>
      <c r="N216" s="143"/>
      <c r="O216" s="139"/>
      <c r="P216" s="144"/>
      <c r="Q216" s="144"/>
      <c r="R216" s="144"/>
      <c r="S216" s="144"/>
      <c r="T216" s="144"/>
      <c r="U216" s="144"/>
      <c r="V216" s="140"/>
      <c r="W216" s="140"/>
      <c r="X216" s="145"/>
      <c r="Y216" s="145"/>
      <c r="Z216" s="145"/>
      <c r="AA216" s="145"/>
      <c r="AB216" s="145"/>
      <c r="AC216" s="145"/>
    </row>
    <row r="217" ht="15.75" customHeight="1">
      <c r="A217" s="137"/>
      <c r="B217" s="138"/>
      <c r="C217" s="143"/>
      <c r="D217" s="139"/>
      <c r="E217" s="139"/>
      <c r="F217" s="139"/>
      <c r="G217" s="139"/>
      <c r="H217" s="139"/>
      <c r="I217" s="139"/>
      <c r="J217" s="138"/>
      <c r="K217" s="139"/>
      <c r="L217" s="138"/>
      <c r="M217" s="144"/>
      <c r="N217" s="143"/>
      <c r="O217" s="139"/>
      <c r="P217" s="144"/>
      <c r="Q217" s="144"/>
      <c r="R217" s="144"/>
      <c r="S217" s="144"/>
      <c r="T217" s="144"/>
      <c r="U217" s="144"/>
      <c r="V217" s="140"/>
      <c r="W217" s="140"/>
      <c r="X217" s="145"/>
      <c r="Y217" s="145"/>
      <c r="Z217" s="145"/>
      <c r="AA217" s="145"/>
      <c r="AB217" s="145"/>
      <c r="AC217" s="145"/>
    </row>
    <row r="218" ht="15.75" customHeight="1">
      <c r="A218" s="137"/>
      <c r="B218" s="138"/>
      <c r="C218" s="143"/>
      <c r="D218" s="139"/>
      <c r="E218" s="139"/>
      <c r="F218" s="139"/>
      <c r="G218" s="139"/>
      <c r="H218" s="139"/>
      <c r="I218" s="139"/>
      <c r="J218" s="138"/>
      <c r="K218" s="139"/>
      <c r="L218" s="138"/>
      <c r="M218" s="144"/>
      <c r="N218" s="143"/>
      <c r="O218" s="139"/>
      <c r="P218" s="144"/>
      <c r="Q218" s="144"/>
      <c r="R218" s="144"/>
      <c r="S218" s="144"/>
      <c r="T218" s="144"/>
      <c r="U218" s="144"/>
      <c r="V218" s="140"/>
      <c r="W218" s="140"/>
      <c r="X218" s="145"/>
      <c r="Y218" s="145"/>
      <c r="Z218" s="145"/>
      <c r="AA218" s="145"/>
      <c r="AB218" s="145"/>
      <c r="AC218" s="145"/>
    </row>
    <row r="219" ht="15.75" customHeight="1">
      <c r="A219" s="137"/>
      <c r="B219" s="138"/>
      <c r="C219" s="143"/>
      <c r="D219" s="139"/>
      <c r="E219" s="139"/>
      <c r="F219" s="139"/>
      <c r="G219" s="139"/>
      <c r="H219" s="139"/>
      <c r="I219" s="139"/>
      <c r="J219" s="138"/>
      <c r="K219" s="139"/>
      <c r="L219" s="138"/>
      <c r="M219" s="144"/>
      <c r="N219" s="143"/>
      <c r="O219" s="139"/>
      <c r="P219" s="144"/>
      <c r="Q219" s="144"/>
      <c r="R219" s="144"/>
      <c r="S219" s="144"/>
      <c r="T219" s="144"/>
      <c r="U219" s="144"/>
      <c r="V219" s="140"/>
      <c r="W219" s="140"/>
      <c r="X219" s="145"/>
      <c r="Y219" s="145"/>
      <c r="Z219" s="145"/>
      <c r="AA219" s="145"/>
      <c r="AB219" s="145"/>
      <c r="AC219" s="145"/>
    </row>
    <row r="220" ht="15.75" customHeight="1">
      <c r="A220" s="137"/>
      <c r="B220" s="138"/>
      <c r="C220" s="143"/>
      <c r="D220" s="139"/>
      <c r="E220" s="139"/>
      <c r="F220" s="139"/>
      <c r="G220" s="139"/>
      <c r="H220" s="139"/>
      <c r="I220" s="139"/>
      <c r="J220" s="138"/>
      <c r="K220" s="139"/>
      <c r="L220" s="138"/>
      <c r="M220" s="144"/>
      <c r="N220" s="143"/>
      <c r="O220" s="139"/>
      <c r="P220" s="144"/>
      <c r="Q220" s="144"/>
      <c r="R220" s="144"/>
      <c r="S220" s="144"/>
      <c r="T220" s="144"/>
      <c r="U220" s="144"/>
      <c r="V220" s="140"/>
      <c r="W220" s="140"/>
      <c r="X220" s="145"/>
      <c r="Y220" s="145"/>
      <c r="Z220" s="145"/>
      <c r="AA220" s="145"/>
      <c r="AB220" s="145"/>
      <c r="AC220" s="145"/>
    </row>
    <row r="221" ht="15.75" customHeight="1">
      <c r="A221" s="137"/>
      <c r="B221" s="138"/>
      <c r="C221" s="143"/>
      <c r="D221" s="139"/>
      <c r="E221" s="139"/>
      <c r="F221" s="139"/>
      <c r="G221" s="139"/>
      <c r="H221" s="139"/>
      <c r="I221" s="139"/>
      <c r="J221" s="138"/>
      <c r="K221" s="139"/>
      <c r="L221" s="138"/>
      <c r="M221" s="144"/>
      <c r="N221" s="143"/>
      <c r="O221" s="139"/>
      <c r="P221" s="144"/>
      <c r="Q221" s="144"/>
      <c r="R221" s="144"/>
      <c r="S221" s="144"/>
      <c r="T221" s="144"/>
      <c r="U221" s="144"/>
      <c r="V221" s="140"/>
      <c r="W221" s="140"/>
      <c r="X221" s="145"/>
      <c r="Y221" s="145"/>
      <c r="Z221" s="145"/>
      <c r="AA221" s="145"/>
      <c r="AB221" s="145"/>
      <c r="AC221" s="145"/>
    </row>
    <row r="222" ht="15.75" customHeight="1">
      <c r="A222" s="137"/>
      <c r="B222" s="138"/>
      <c r="C222" s="143"/>
      <c r="D222" s="139"/>
      <c r="E222" s="139"/>
      <c r="F222" s="139"/>
      <c r="G222" s="139"/>
      <c r="H222" s="139"/>
      <c r="I222" s="139"/>
      <c r="J222" s="138"/>
      <c r="K222" s="139"/>
      <c r="L222" s="138"/>
      <c r="M222" s="144"/>
      <c r="N222" s="143"/>
      <c r="O222" s="139"/>
      <c r="P222" s="144"/>
      <c r="Q222" s="144"/>
      <c r="R222" s="144"/>
      <c r="S222" s="144"/>
      <c r="T222" s="144"/>
      <c r="U222" s="144"/>
      <c r="V222" s="140"/>
      <c r="W222" s="140"/>
      <c r="X222" s="145"/>
      <c r="Y222" s="145"/>
      <c r="Z222" s="145"/>
      <c r="AA222" s="145"/>
      <c r="AB222" s="145"/>
      <c r="AC222" s="145"/>
    </row>
    <row r="223" ht="15.75" customHeight="1">
      <c r="A223" s="137"/>
      <c r="B223" s="138"/>
      <c r="C223" s="143"/>
      <c r="D223" s="139"/>
      <c r="E223" s="139"/>
      <c r="F223" s="139"/>
      <c r="G223" s="139"/>
      <c r="H223" s="139"/>
      <c r="I223" s="139"/>
      <c r="J223" s="138"/>
      <c r="K223" s="139"/>
      <c r="L223" s="138"/>
      <c r="M223" s="144"/>
      <c r="N223" s="143"/>
      <c r="O223" s="139"/>
      <c r="P223" s="144"/>
      <c r="Q223" s="144"/>
      <c r="R223" s="144"/>
      <c r="S223" s="144"/>
      <c r="T223" s="144"/>
      <c r="U223" s="144"/>
      <c r="V223" s="140"/>
      <c r="W223" s="140"/>
      <c r="X223" s="145"/>
      <c r="Y223" s="145"/>
      <c r="Z223" s="145"/>
      <c r="AA223" s="145"/>
      <c r="AB223" s="145"/>
      <c r="AC223" s="145"/>
    </row>
    <row r="224" ht="15.75" customHeight="1">
      <c r="A224" s="137"/>
      <c r="B224" s="138"/>
      <c r="C224" s="143"/>
      <c r="D224" s="139"/>
      <c r="E224" s="139"/>
      <c r="F224" s="139"/>
      <c r="G224" s="139"/>
      <c r="H224" s="139"/>
      <c r="I224" s="139"/>
      <c r="J224" s="138"/>
      <c r="K224" s="139"/>
      <c r="L224" s="138"/>
      <c r="M224" s="144"/>
      <c r="N224" s="143"/>
      <c r="O224" s="139"/>
      <c r="P224" s="144"/>
      <c r="Q224" s="144"/>
      <c r="R224" s="144"/>
      <c r="S224" s="144"/>
      <c r="T224" s="144"/>
      <c r="U224" s="144"/>
      <c r="V224" s="140"/>
      <c r="W224" s="140"/>
      <c r="X224" s="145"/>
      <c r="Y224" s="145"/>
      <c r="Z224" s="145"/>
      <c r="AA224" s="145"/>
      <c r="AB224" s="145"/>
      <c r="AC224" s="145"/>
    </row>
    <row r="225" ht="15.75" customHeight="1">
      <c r="A225" s="137"/>
      <c r="B225" s="138"/>
      <c r="C225" s="143"/>
      <c r="D225" s="139"/>
      <c r="E225" s="139"/>
      <c r="F225" s="139"/>
      <c r="G225" s="139"/>
      <c r="H225" s="139"/>
      <c r="I225" s="139"/>
      <c r="J225" s="138"/>
      <c r="K225" s="139"/>
      <c r="L225" s="138"/>
      <c r="M225" s="144"/>
      <c r="N225" s="143"/>
      <c r="O225" s="139"/>
      <c r="P225" s="144"/>
      <c r="Q225" s="144"/>
      <c r="R225" s="144"/>
      <c r="S225" s="144"/>
      <c r="T225" s="144"/>
      <c r="U225" s="144"/>
      <c r="V225" s="140"/>
      <c r="W225" s="140"/>
      <c r="X225" s="145"/>
      <c r="Y225" s="145"/>
      <c r="Z225" s="145"/>
      <c r="AA225" s="145"/>
      <c r="AB225" s="145"/>
      <c r="AC225" s="145"/>
    </row>
    <row r="226" ht="15.75" customHeight="1">
      <c r="A226" s="137"/>
      <c r="B226" s="138"/>
      <c r="C226" s="143"/>
      <c r="D226" s="139"/>
      <c r="E226" s="139"/>
      <c r="F226" s="139"/>
      <c r="G226" s="139"/>
      <c r="H226" s="139"/>
      <c r="I226" s="139"/>
      <c r="J226" s="138"/>
      <c r="K226" s="139"/>
      <c r="L226" s="138"/>
      <c r="M226" s="144"/>
      <c r="N226" s="143"/>
      <c r="O226" s="139"/>
      <c r="P226" s="144"/>
      <c r="Q226" s="144"/>
      <c r="R226" s="144"/>
      <c r="S226" s="144"/>
      <c r="T226" s="144"/>
      <c r="U226" s="144"/>
      <c r="V226" s="140"/>
      <c r="W226" s="140"/>
      <c r="X226" s="145"/>
      <c r="Y226" s="145"/>
      <c r="Z226" s="145"/>
      <c r="AA226" s="145"/>
      <c r="AB226" s="145"/>
      <c r="AC226" s="145"/>
    </row>
    <row r="227" ht="15.75" customHeight="1">
      <c r="A227" s="137"/>
      <c r="B227" s="138"/>
      <c r="C227" s="143"/>
      <c r="D227" s="139"/>
      <c r="E227" s="139"/>
      <c r="F227" s="139"/>
      <c r="G227" s="139"/>
      <c r="H227" s="139"/>
      <c r="I227" s="139"/>
      <c r="J227" s="138"/>
      <c r="K227" s="139"/>
      <c r="L227" s="138"/>
      <c r="M227" s="144"/>
      <c r="N227" s="143"/>
      <c r="O227" s="139"/>
      <c r="P227" s="144"/>
      <c r="Q227" s="144"/>
      <c r="R227" s="144"/>
      <c r="S227" s="144"/>
      <c r="T227" s="144"/>
      <c r="U227" s="144"/>
      <c r="V227" s="140"/>
      <c r="W227" s="140"/>
      <c r="X227" s="145"/>
      <c r="Y227" s="145"/>
      <c r="Z227" s="145"/>
      <c r="AA227" s="145"/>
      <c r="AB227" s="145"/>
      <c r="AC227" s="145"/>
    </row>
    <row r="228" ht="15.75" customHeight="1">
      <c r="A228" s="137"/>
      <c r="B228" s="138"/>
      <c r="C228" s="143"/>
      <c r="D228" s="139"/>
      <c r="E228" s="139"/>
      <c r="F228" s="139"/>
      <c r="G228" s="139"/>
      <c r="H228" s="139"/>
      <c r="I228" s="139"/>
      <c r="J228" s="138"/>
      <c r="K228" s="139"/>
      <c r="L228" s="138"/>
      <c r="M228" s="144"/>
      <c r="N228" s="143"/>
      <c r="O228" s="139"/>
      <c r="P228" s="144"/>
      <c r="Q228" s="144"/>
      <c r="R228" s="144"/>
      <c r="S228" s="144"/>
      <c r="T228" s="144"/>
      <c r="U228" s="144"/>
      <c r="V228" s="140"/>
      <c r="W228" s="140"/>
      <c r="X228" s="145"/>
      <c r="Y228" s="145"/>
      <c r="Z228" s="145"/>
      <c r="AA228" s="145"/>
      <c r="AB228" s="145"/>
      <c r="AC228" s="145"/>
    </row>
    <row r="229" ht="15.75" customHeight="1">
      <c r="A229" s="137"/>
      <c r="B229" s="138"/>
      <c r="C229" s="143"/>
      <c r="D229" s="139"/>
      <c r="E229" s="139"/>
      <c r="F229" s="139"/>
      <c r="G229" s="139"/>
      <c r="H229" s="139"/>
      <c r="I229" s="139"/>
      <c r="J229" s="138"/>
      <c r="K229" s="139"/>
      <c r="L229" s="138"/>
      <c r="M229" s="144"/>
      <c r="N229" s="143"/>
      <c r="O229" s="139"/>
      <c r="P229" s="144"/>
      <c r="Q229" s="144"/>
      <c r="R229" s="144"/>
      <c r="S229" s="144"/>
      <c r="T229" s="144"/>
      <c r="U229" s="144"/>
      <c r="V229" s="140"/>
      <c r="W229" s="140"/>
      <c r="X229" s="145"/>
      <c r="Y229" s="145"/>
      <c r="Z229" s="145"/>
      <c r="AA229" s="145"/>
      <c r="AB229" s="145"/>
      <c r="AC229" s="145"/>
    </row>
    <row r="230" ht="15.75" customHeight="1">
      <c r="A230" s="137"/>
      <c r="B230" s="138"/>
      <c r="C230" s="143"/>
      <c r="D230" s="139"/>
      <c r="E230" s="139"/>
      <c r="F230" s="139"/>
      <c r="G230" s="139"/>
      <c r="H230" s="139"/>
      <c r="I230" s="139"/>
      <c r="J230" s="138"/>
      <c r="K230" s="139"/>
      <c r="L230" s="138"/>
      <c r="M230" s="144"/>
      <c r="N230" s="143"/>
      <c r="O230" s="139"/>
      <c r="P230" s="144"/>
      <c r="Q230" s="144"/>
      <c r="R230" s="144"/>
      <c r="S230" s="144"/>
      <c r="T230" s="144"/>
      <c r="U230" s="144"/>
      <c r="V230" s="140"/>
      <c r="W230" s="140"/>
      <c r="X230" s="145"/>
      <c r="Y230" s="145"/>
      <c r="Z230" s="145"/>
      <c r="AA230" s="145"/>
      <c r="AB230" s="145"/>
      <c r="AC230" s="145"/>
    </row>
    <row r="231" ht="15.75" customHeight="1">
      <c r="A231" s="137"/>
      <c r="B231" s="138"/>
      <c r="C231" s="143"/>
      <c r="D231" s="139"/>
      <c r="E231" s="139"/>
      <c r="F231" s="139"/>
      <c r="G231" s="139"/>
      <c r="H231" s="139"/>
      <c r="I231" s="139"/>
      <c r="J231" s="138"/>
      <c r="K231" s="139"/>
      <c r="L231" s="138"/>
      <c r="M231" s="144"/>
      <c r="N231" s="143"/>
      <c r="O231" s="139"/>
      <c r="P231" s="144"/>
      <c r="Q231" s="144"/>
      <c r="R231" s="144"/>
      <c r="S231" s="144"/>
      <c r="T231" s="144"/>
      <c r="U231" s="144"/>
      <c r="V231" s="140"/>
      <c r="W231" s="140"/>
      <c r="X231" s="145"/>
      <c r="Y231" s="145"/>
      <c r="Z231" s="145"/>
      <c r="AA231" s="145"/>
      <c r="AB231" s="145"/>
      <c r="AC231" s="145"/>
    </row>
    <row r="232" ht="15.75" customHeight="1">
      <c r="A232" s="137"/>
      <c r="B232" s="138"/>
      <c r="C232" s="143"/>
      <c r="D232" s="139"/>
      <c r="E232" s="139"/>
      <c r="F232" s="139"/>
      <c r="G232" s="139"/>
      <c r="H232" s="139"/>
      <c r="I232" s="139"/>
      <c r="J232" s="138"/>
      <c r="K232" s="139"/>
      <c r="L232" s="138"/>
      <c r="M232" s="144"/>
      <c r="N232" s="143"/>
      <c r="O232" s="139"/>
      <c r="P232" s="144"/>
      <c r="Q232" s="144"/>
      <c r="R232" s="144"/>
      <c r="S232" s="144"/>
      <c r="T232" s="144"/>
      <c r="U232" s="144"/>
      <c r="V232" s="140"/>
      <c r="W232" s="140"/>
      <c r="X232" s="145"/>
      <c r="Y232" s="145"/>
      <c r="Z232" s="145"/>
      <c r="AA232" s="145"/>
      <c r="AB232" s="145"/>
      <c r="AC232" s="145"/>
    </row>
    <row r="233" ht="15.75" customHeight="1">
      <c r="A233" s="137"/>
      <c r="B233" s="138"/>
      <c r="C233" s="143"/>
      <c r="D233" s="139"/>
      <c r="E233" s="139"/>
      <c r="F233" s="139"/>
      <c r="G233" s="139"/>
      <c r="H233" s="139"/>
      <c r="I233" s="139"/>
      <c r="J233" s="138"/>
      <c r="K233" s="139"/>
      <c r="L233" s="138"/>
      <c r="M233" s="144"/>
      <c r="N233" s="143"/>
      <c r="O233" s="139"/>
      <c r="P233" s="144"/>
      <c r="Q233" s="144"/>
      <c r="R233" s="144"/>
      <c r="S233" s="144"/>
      <c r="T233" s="144"/>
      <c r="U233" s="144"/>
      <c r="V233" s="140"/>
      <c r="W233" s="140"/>
      <c r="X233" s="145"/>
      <c r="Y233" s="145"/>
      <c r="Z233" s="145"/>
      <c r="AA233" s="145"/>
      <c r="AB233" s="145"/>
      <c r="AC233" s="145"/>
    </row>
    <row r="234" ht="15.75" customHeight="1">
      <c r="A234" s="137"/>
      <c r="B234" s="138"/>
      <c r="C234" s="143"/>
      <c r="D234" s="139"/>
      <c r="E234" s="139"/>
      <c r="F234" s="139"/>
      <c r="G234" s="139"/>
      <c r="H234" s="139"/>
      <c r="I234" s="139"/>
      <c r="J234" s="138"/>
      <c r="K234" s="139"/>
      <c r="L234" s="138"/>
      <c r="M234" s="144"/>
      <c r="N234" s="143"/>
      <c r="O234" s="139"/>
      <c r="P234" s="144"/>
      <c r="Q234" s="144"/>
      <c r="R234" s="144"/>
      <c r="S234" s="144"/>
      <c r="T234" s="144"/>
      <c r="U234" s="144"/>
      <c r="V234" s="140"/>
      <c r="W234" s="140"/>
      <c r="X234" s="145"/>
      <c r="Y234" s="145"/>
      <c r="Z234" s="145"/>
      <c r="AA234" s="145"/>
      <c r="AB234" s="145"/>
      <c r="AC234" s="145"/>
    </row>
    <row r="235" ht="15.75" customHeight="1">
      <c r="A235" s="137"/>
      <c r="B235" s="138"/>
      <c r="C235" s="143"/>
      <c r="D235" s="139"/>
      <c r="E235" s="139"/>
      <c r="F235" s="139"/>
      <c r="G235" s="139"/>
      <c r="H235" s="139"/>
      <c r="I235" s="139"/>
      <c r="J235" s="138"/>
      <c r="K235" s="139"/>
      <c r="L235" s="138"/>
      <c r="M235" s="144"/>
      <c r="N235" s="143"/>
      <c r="O235" s="139"/>
      <c r="P235" s="144"/>
      <c r="Q235" s="144"/>
      <c r="R235" s="144"/>
      <c r="S235" s="144"/>
      <c r="T235" s="144"/>
      <c r="U235" s="144"/>
      <c r="V235" s="140"/>
      <c r="W235" s="140"/>
      <c r="X235" s="145"/>
      <c r="Y235" s="145"/>
      <c r="Z235" s="145"/>
      <c r="AA235" s="145"/>
      <c r="AB235" s="145"/>
      <c r="AC235" s="145"/>
    </row>
    <row r="236" ht="15.75" customHeight="1">
      <c r="A236" s="137"/>
      <c r="B236" s="138"/>
      <c r="C236" s="143"/>
      <c r="D236" s="139"/>
      <c r="E236" s="139"/>
      <c r="F236" s="139"/>
      <c r="G236" s="139"/>
      <c r="H236" s="139"/>
      <c r="I236" s="139"/>
      <c r="J236" s="138"/>
      <c r="K236" s="139"/>
      <c r="L236" s="138"/>
      <c r="M236" s="144"/>
      <c r="N236" s="143"/>
      <c r="O236" s="139"/>
      <c r="P236" s="144"/>
      <c r="Q236" s="144"/>
      <c r="R236" s="144"/>
      <c r="S236" s="144"/>
      <c r="T236" s="144"/>
      <c r="U236" s="144"/>
      <c r="V236" s="140"/>
      <c r="W236" s="140"/>
      <c r="X236" s="145"/>
      <c r="Y236" s="145"/>
      <c r="Z236" s="145"/>
      <c r="AA236" s="145"/>
      <c r="AB236" s="145"/>
      <c r="AC236" s="145"/>
    </row>
    <row r="237" ht="15.75" customHeight="1">
      <c r="A237" s="137"/>
      <c r="B237" s="138"/>
      <c r="C237" s="143"/>
      <c r="D237" s="139"/>
      <c r="E237" s="139"/>
      <c r="F237" s="139"/>
      <c r="G237" s="139"/>
      <c r="H237" s="139"/>
      <c r="I237" s="139"/>
      <c r="J237" s="138"/>
      <c r="K237" s="139"/>
      <c r="L237" s="138"/>
      <c r="M237" s="144"/>
      <c r="N237" s="143"/>
      <c r="O237" s="139"/>
      <c r="P237" s="144"/>
      <c r="Q237" s="144"/>
      <c r="R237" s="144"/>
      <c r="S237" s="144"/>
      <c r="T237" s="144"/>
      <c r="U237" s="144"/>
      <c r="V237" s="140"/>
      <c r="W237" s="140"/>
      <c r="X237" s="145"/>
      <c r="Y237" s="145"/>
      <c r="Z237" s="145"/>
      <c r="AA237" s="145"/>
      <c r="AB237" s="145"/>
      <c r="AC237" s="145"/>
    </row>
    <row r="238" ht="15.75" customHeight="1">
      <c r="A238" s="137"/>
      <c r="B238" s="138"/>
      <c r="C238" s="143"/>
      <c r="D238" s="139"/>
      <c r="E238" s="139"/>
      <c r="F238" s="139"/>
      <c r="G238" s="139"/>
      <c r="H238" s="139"/>
      <c r="I238" s="139"/>
      <c r="J238" s="138"/>
      <c r="K238" s="139"/>
      <c r="L238" s="138"/>
      <c r="M238" s="144"/>
      <c r="N238" s="143"/>
      <c r="O238" s="139"/>
      <c r="P238" s="144"/>
      <c r="Q238" s="144"/>
      <c r="R238" s="144"/>
      <c r="S238" s="144"/>
      <c r="T238" s="144"/>
      <c r="U238" s="144"/>
      <c r="V238" s="140"/>
      <c r="W238" s="140"/>
      <c r="X238" s="145"/>
      <c r="Y238" s="145"/>
      <c r="Z238" s="145"/>
      <c r="AA238" s="145"/>
      <c r="AB238" s="145"/>
      <c r="AC238" s="145"/>
    </row>
    <row r="239" ht="15.75" customHeight="1">
      <c r="A239" s="137"/>
      <c r="B239" s="138"/>
      <c r="C239" s="143"/>
      <c r="D239" s="139"/>
      <c r="E239" s="139"/>
      <c r="F239" s="139"/>
      <c r="G239" s="139"/>
      <c r="H239" s="139"/>
      <c r="I239" s="139"/>
      <c r="J239" s="138"/>
      <c r="K239" s="139"/>
      <c r="L239" s="138"/>
      <c r="M239" s="144"/>
      <c r="N239" s="143"/>
      <c r="O239" s="139"/>
      <c r="P239" s="144"/>
      <c r="Q239" s="144"/>
      <c r="R239" s="144"/>
      <c r="S239" s="144"/>
      <c r="T239" s="144"/>
      <c r="U239" s="144"/>
      <c r="V239" s="140"/>
      <c r="W239" s="140"/>
      <c r="X239" s="145"/>
      <c r="Y239" s="145"/>
      <c r="Z239" s="145"/>
      <c r="AA239" s="145"/>
      <c r="AB239" s="145"/>
      <c r="AC239" s="145"/>
    </row>
    <row r="240" ht="15.75" customHeight="1">
      <c r="A240" s="137"/>
      <c r="B240" s="138"/>
      <c r="C240" s="143"/>
      <c r="D240" s="139"/>
      <c r="E240" s="139"/>
      <c r="F240" s="139"/>
      <c r="G240" s="139"/>
      <c r="H240" s="139"/>
      <c r="I240" s="139"/>
      <c r="J240" s="138"/>
      <c r="K240" s="139"/>
      <c r="L240" s="138"/>
      <c r="M240" s="144"/>
      <c r="N240" s="143"/>
      <c r="O240" s="139"/>
      <c r="P240" s="144"/>
      <c r="Q240" s="144"/>
      <c r="R240" s="144"/>
      <c r="S240" s="144"/>
      <c r="T240" s="144"/>
      <c r="U240" s="144"/>
      <c r="V240" s="140"/>
      <c r="W240" s="140"/>
      <c r="X240" s="145"/>
      <c r="Y240" s="145"/>
      <c r="Z240" s="145"/>
      <c r="AA240" s="145"/>
      <c r="AB240" s="145"/>
      <c r="AC240" s="145"/>
    </row>
    <row r="241" ht="15.75" customHeight="1">
      <c r="A241" s="137"/>
      <c r="B241" s="138"/>
      <c r="C241" s="143"/>
      <c r="D241" s="139"/>
      <c r="E241" s="139"/>
      <c r="F241" s="139"/>
      <c r="G241" s="139"/>
      <c r="H241" s="139"/>
      <c r="I241" s="139"/>
      <c r="J241" s="138"/>
      <c r="K241" s="139"/>
      <c r="L241" s="138"/>
      <c r="M241" s="144"/>
      <c r="N241" s="143"/>
      <c r="O241" s="139"/>
      <c r="P241" s="144"/>
      <c r="Q241" s="144"/>
      <c r="R241" s="144"/>
      <c r="S241" s="144"/>
      <c r="T241" s="144"/>
      <c r="U241" s="144"/>
      <c r="V241" s="140"/>
      <c r="W241" s="140"/>
      <c r="X241" s="145"/>
      <c r="Y241" s="145"/>
      <c r="Z241" s="145"/>
      <c r="AA241" s="145"/>
      <c r="AB241" s="145"/>
      <c r="AC241" s="145"/>
    </row>
    <row r="242" ht="15.75" customHeight="1">
      <c r="A242" s="137"/>
      <c r="B242" s="138"/>
      <c r="C242" s="143"/>
      <c r="D242" s="139"/>
      <c r="E242" s="139"/>
      <c r="F242" s="139"/>
      <c r="G242" s="139"/>
      <c r="H242" s="139"/>
      <c r="I242" s="139"/>
      <c r="J242" s="138"/>
      <c r="K242" s="139"/>
      <c r="L242" s="138"/>
      <c r="M242" s="144"/>
      <c r="N242" s="143"/>
      <c r="O242" s="139"/>
      <c r="P242" s="144"/>
      <c r="Q242" s="144"/>
      <c r="R242" s="144"/>
      <c r="S242" s="144"/>
      <c r="T242" s="144"/>
      <c r="U242" s="144"/>
      <c r="V242" s="140"/>
      <c r="W242" s="140"/>
      <c r="X242" s="145"/>
      <c r="Y242" s="145"/>
      <c r="Z242" s="145"/>
      <c r="AA242" s="145"/>
      <c r="AB242" s="145"/>
      <c r="AC242" s="145"/>
    </row>
    <row r="243" ht="15.75" customHeight="1">
      <c r="A243" s="137"/>
      <c r="B243" s="138"/>
      <c r="C243" s="143"/>
      <c r="D243" s="139"/>
      <c r="E243" s="139"/>
      <c r="F243" s="139"/>
      <c r="G243" s="139"/>
      <c r="H243" s="139"/>
      <c r="I243" s="139"/>
      <c r="J243" s="138"/>
      <c r="K243" s="139"/>
      <c r="L243" s="138"/>
      <c r="M243" s="144"/>
      <c r="N243" s="143"/>
      <c r="O243" s="139"/>
      <c r="P243" s="144"/>
      <c r="Q243" s="144"/>
      <c r="R243" s="144"/>
      <c r="S243" s="144"/>
      <c r="T243" s="144"/>
      <c r="U243" s="144"/>
      <c r="V243" s="140"/>
      <c r="W243" s="140"/>
      <c r="X243" s="145"/>
      <c r="Y243" s="145"/>
      <c r="Z243" s="145"/>
      <c r="AA243" s="145"/>
      <c r="AB243" s="145"/>
      <c r="AC243" s="145"/>
    </row>
    <row r="244" ht="15.75" customHeight="1">
      <c r="A244" s="137"/>
      <c r="B244" s="138"/>
      <c r="C244" s="143"/>
      <c r="D244" s="139"/>
      <c r="E244" s="139"/>
      <c r="F244" s="139"/>
      <c r="G244" s="139"/>
      <c r="H244" s="139"/>
      <c r="I244" s="139"/>
      <c r="J244" s="138"/>
      <c r="K244" s="139"/>
      <c r="L244" s="138"/>
      <c r="M244" s="144"/>
      <c r="N244" s="143"/>
      <c r="O244" s="139"/>
      <c r="P244" s="144"/>
      <c r="Q244" s="144"/>
      <c r="R244" s="144"/>
      <c r="S244" s="144"/>
      <c r="T244" s="144"/>
      <c r="U244" s="144"/>
      <c r="V244" s="140"/>
      <c r="W244" s="140"/>
      <c r="X244" s="145"/>
      <c r="Y244" s="145"/>
      <c r="Z244" s="145"/>
      <c r="AA244" s="145"/>
      <c r="AB244" s="145"/>
      <c r="AC244" s="145"/>
    </row>
    <row r="245" ht="15.75" customHeight="1">
      <c r="A245" s="137"/>
      <c r="B245" s="138"/>
      <c r="C245" s="143"/>
      <c r="D245" s="139"/>
      <c r="E245" s="139"/>
      <c r="F245" s="139"/>
      <c r="G245" s="139"/>
      <c r="H245" s="139"/>
      <c r="I245" s="139"/>
      <c r="J245" s="138"/>
      <c r="K245" s="139"/>
      <c r="L245" s="138"/>
      <c r="M245" s="144"/>
      <c r="N245" s="143"/>
      <c r="O245" s="139"/>
      <c r="P245" s="144"/>
      <c r="Q245" s="144"/>
      <c r="R245" s="144"/>
      <c r="S245" s="144"/>
      <c r="T245" s="144"/>
      <c r="U245" s="144"/>
      <c r="V245" s="140"/>
      <c r="W245" s="140"/>
      <c r="X245" s="145"/>
      <c r="Y245" s="145"/>
      <c r="Z245" s="145"/>
      <c r="AA245" s="145"/>
      <c r="AB245" s="145"/>
      <c r="AC245" s="145"/>
    </row>
    <row r="246" ht="15.75" customHeight="1">
      <c r="A246" s="137"/>
      <c r="B246" s="138"/>
      <c r="C246" s="143"/>
      <c r="D246" s="139"/>
      <c r="E246" s="139"/>
      <c r="F246" s="139"/>
      <c r="G246" s="139"/>
      <c r="H246" s="139"/>
      <c r="I246" s="139"/>
      <c r="J246" s="138"/>
      <c r="K246" s="139"/>
      <c r="L246" s="138"/>
      <c r="M246" s="144"/>
      <c r="N246" s="143"/>
      <c r="O246" s="139"/>
      <c r="P246" s="144"/>
      <c r="Q246" s="144"/>
      <c r="R246" s="144"/>
      <c r="S246" s="144"/>
      <c r="T246" s="144"/>
      <c r="U246" s="144"/>
      <c r="V246" s="140"/>
      <c r="W246" s="140"/>
      <c r="X246" s="145"/>
      <c r="Y246" s="145"/>
      <c r="Z246" s="145"/>
      <c r="AA246" s="145"/>
      <c r="AB246" s="145"/>
      <c r="AC246" s="145"/>
    </row>
    <row r="247" ht="15.75" customHeight="1">
      <c r="A247" s="137"/>
      <c r="B247" s="138"/>
      <c r="C247" s="143"/>
      <c r="D247" s="139"/>
      <c r="E247" s="139"/>
      <c r="F247" s="139"/>
      <c r="G247" s="139"/>
      <c r="H247" s="139"/>
      <c r="I247" s="139"/>
      <c r="J247" s="138"/>
      <c r="K247" s="139"/>
      <c r="L247" s="138"/>
      <c r="M247" s="144"/>
      <c r="N247" s="143"/>
      <c r="O247" s="139"/>
      <c r="P247" s="144"/>
      <c r="Q247" s="144"/>
      <c r="R247" s="144"/>
      <c r="S247" s="144"/>
      <c r="T247" s="144"/>
      <c r="U247" s="144"/>
      <c r="V247" s="140"/>
      <c r="W247" s="140"/>
      <c r="X247" s="145"/>
      <c r="Y247" s="145"/>
      <c r="Z247" s="145"/>
      <c r="AA247" s="145"/>
      <c r="AB247" s="145"/>
      <c r="AC247" s="145"/>
    </row>
    <row r="248" ht="15.75" customHeight="1">
      <c r="A248" s="137"/>
      <c r="B248" s="138"/>
      <c r="C248" s="143"/>
      <c r="D248" s="139"/>
      <c r="E248" s="139"/>
      <c r="F248" s="139"/>
      <c r="G248" s="139"/>
      <c r="H248" s="139"/>
      <c r="I248" s="139"/>
      <c r="J248" s="138"/>
      <c r="K248" s="139"/>
      <c r="L248" s="138"/>
      <c r="M248" s="144"/>
      <c r="N248" s="143"/>
      <c r="O248" s="139"/>
      <c r="P248" s="144"/>
      <c r="Q248" s="144"/>
      <c r="R248" s="144"/>
      <c r="S248" s="144"/>
      <c r="T248" s="144"/>
      <c r="U248" s="144"/>
      <c r="V248" s="140"/>
      <c r="W248" s="140"/>
      <c r="X248" s="145"/>
      <c r="Y248" s="145"/>
      <c r="Z248" s="145"/>
      <c r="AA248" s="145"/>
      <c r="AB248" s="145"/>
      <c r="AC248" s="145"/>
    </row>
    <row r="249" ht="15.75" customHeight="1">
      <c r="A249" s="137"/>
      <c r="B249" s="138"/>
      <c r="C249" s="143"/>
      <c r="D249" s="139"/>
      <c r="E249" s="139"/>
      <c r="F249" s="139"/>
      <c r="G249" s="139"/>
      <c r="H249" s="139"/>
      <c r="I249" s="139"/>
      <c r="J249" s="138"/>
      <c r="K249" s="139"/>
      <c r="L249" s="138"/>
      <c r="M249" s="144"/>
      <c r="N249" s="143"/>
      <c r="O249" s="139"/>
      <c r="P249" s="144"/>
      <c r="Q249" s="144"/>
      <c r="R249" s="144"/>
      <c r="S249" s="144"/>
      <c r="T249" s="144"/>
      <c r="U249" s="144"/>
      <c r="V249" s="140"/>
      <c r="W249" s="140"/>
      <c r="X249" s="145"/>
      <c r="Y249" s="145"/>
      <c r="Z249" s="145"/>
      <c r="AA249" s="145"/>
      <c r="AB249" s="145"/>
      <c r="AC249" s="145"/>
    </row>
    <row r="250" ht="15.75" customHeight="1">
      <c r="A250" s="137"/>
      <c r="B250" s="138"/>
      <c r="C250" s="143"/>
      <c r="D250" s="139"/>
      <c r="E250" s="139"/>
      <c r="F250" s="139"/>
      <c r="G250" s="139"/>
      <c r="H250" s="139"/>
      <c r="I250" s="139"/>
      <c r="J250" s="138"/>
      <c r="K250" s="139"/>
      <c r="L250" s="138"/>
      <c r="M250" s="144"/>
      <c r="N250" s="143"/>
      <c r="O250" s="139"/>
      <c r="P250" s="144"/>
      <c r="Q250" s="144"/>
      <c r="R250" s="144"/>
      <c r="S250" s="144"/>
      <c r="T250" s="144"/>
      <c r="U250" s="144"/>
      <c r="V250" s="140"/>
      <c r="W250" s="140"/>
      <c r="X250" s="145"/>
      <c r="Y250" s="145"/>
      <c r="Z250" s="145"/>
      <c r="AA250" s="145"/>
      <c r="AB250" s="145"/>
      <c r="AC250" s="145"/>
    </row>
    <row r="251" ht="15.75" customHeight="1">
      <c r="A251" s="137"/>
      <c r="B251" s="138"/>
      <c r="C251" s="143"/>
      <c r="D251" s="139"/>
      <c r="E251" s="139"/>
      <c r="F251" s="139"/>
      <c r="G251" s="139"/>
      <c r="H251" s="139"/>
      <c r="I251" s="139"/>
      <c r="J251" s="138"/>
      <c r="K251" s="139"/>
      <c r="L251" s="138"/>
      <c r="M251" s="144"/>
      <c r="N251" s="143"/>
      <c r="O251" s="139"/>
      <c r="P251" s="144"/>
      <c r="Q251" s="144"/>
      <c r="R251" s="144"/>
      <c r="S251" s="144"/>
      <c r="T251" s="144"/>
      <c r="U251" s="144"/>
      <c r="V251" s="140"/>
      <c r="W251" s="140"/>
      <c r="X251" s="145"/>
      <c r="Y251" s="145"/>
      <c r="Z251" s="145"/>
      <c r="AA251" s="145"/>
      <c r="AB251" s="145"/>
      <c r="AC251" s="145"/>
    </row>
    <row r="252" ht="15.75" customHeight="1">
      <c r="A252" s="137"/>
      <c r="B252" s="138"/>
      <c r="C252" s="143"/>
      <c r="D252" s="139"/>
      <c r="E252" s="139"/>
      <c r="F252" s="139"/>
      <c r="G252" s="139"/>
      <c r="H252" s="139"/>
      <c r="I252" s="139"/>
      <c r="J252" s="138"/>
      <c r="K252" s="139"/>
      <c r="L252" s="138"/>
      <c r="M252" s="144"/>
      <c r="N252" s="143"/>
      <c r="O252" s="139"/>
      <c r="P252" s="144"/>
      <c r="Q252" s="144"/>
      <c r="R252" s="144"/>
      <c r="S252" s="144"/>
      <c r="T252" s="144"/>
      <c r="U252" s="144"/>
      <c r="V252" s="140"/>
      <c r="W252" s="140"/>
      <c r="X252" s="145"/>
      <c r="Y252" s="145"/>
      <c r="Z252" s="145"/>
      <c r="AA252" s="145"/>
      <c r="AB252" s="145"/>
      <c r="AC252" s="145"/>
    </row>
    <row r="253" ht="15.75" customHeight="1">
      <c r="A253" s="137"/>
      <c r="B253" s="138"/>
      <c r="C253" s="143"/>
      <c r="D253" s="139"/>
      <c r="E253" s="139"/>
      <c r="F253" s="139"/>
      <c r="G253" s="139"/>
      <c r="H253" s="139"/>
      <c r="I253" s="139"/>
      <c r="J253" s="138"/>
      <c r="K253" s="139"/>
      <c r="L253" s="138"/>
      <c r="M253" s="144"/>
      <c r="N253" s="143"/>
      <c r="O253" s="139"/>
      <c r="P253" s="144"/>
      <c r="Q253" s="144"/>
      <c r="R253" s="144"/>
      <c r="S253" s="144"/>
      <c r="T253" s="144"/>
      <c r="U253" s="144"/>
      <c r="V253" s="140"/>
      <c r="W253" s="140"/>
      <c r="X253" s="145"/>
      <c r="Y253" s="145"/>
      <c r="Z253" s="145"/>
      <c r="AA253" s="145"/>
      <c r="AB253" s="145"/>
      <c r="AC253" s="145"/>
    </row>
    <row r="254" ht="15.75" customHeight="1">
      <c r="A254" s="137"/>
      <c r="B254" s="138"/>
      <c r="C254" s="143"/>
      <c r="D254" s="139"/>
      <c r="E254" s="139"/>
      <c r="F254" s="139"/>
      <c r="G254" s="139"/>
      <c r="H254" s="139"/>
      <c r="I254" s="139"/>
      <c r="J254" s="138"/>
      <c r="K254" s="139"/>
      <c r="L254" s="138"/>
      <c r="M254" s="144"/>
      <c r="N254" s="143"/>
      <c r="O254" s="139"/>
      <c r="P254" s="144"/>
      <c r="Q254" s="144"/>
      <c r="R254" s="144"/>
      <c r="S254" s="144"/>
      <c r="T254" s="144"/>
      <c r="U254" s="144"/>
      <c r="V254" s="140"/>
      <c r="W254" s="140"/>
      <c r="X254" s="145"/>
      <c r="Y254" s="145"/>
      <c r="Z254" s="145"/>
      <c r="AA254" s="145"/>
      <c r="AB254" s="145"/>
      <c r="AC254" s="145"/>
    </row>
    <row r="255" ht="15.75" customHeight="1">
      <c r="A255" s="137"/>
      <c r="B255" s="138"/>
      <c r="C255" s="143"/>
      <c r="D255" s="139"/>
      <c r="E255" s="139"/>
      <c r="F255" s="139"/>
      <c r="G255" s="139"/>
      <c r="H255" s="139"/>
      <c r="I255" s="139"/>
      <c r="J255" s="138"/>
      <c r="K255" s="139"/>
      <c r="L255" s="138"/>
      <c r="M255" s="144"/>
      <c r="N255" s="143"/>
      <c r="O255" s="139"/>
      <c r="P255" s="144"/>
      <c r="Q255" s="144"/>
      <c r="R255" s="144"/>
      <c r="S255" s="144"/>
      <c r="T255" s="144"/>
      <c r="U255" s="144"/>
      <c r="V255" s="140"/>
      <c r="W255" s="140"/>
      <c r="X255" s="145"/>
      <c r="Y255" s="145"/>
      <c r="Z255" s="145"/>
      <c r="AA255" s="145"/>
      <c r="AB255" s="145"/>
      <c r="AC255" s="145"/>
    </row>
    <row r="256" ht="15.75" customHeight="1">
      <c r="A256" s="137"/>
      <c r="B256" s="138"/>
      <c r="C256" s="143"/>
      <c r="D256" s="139"/>
      <c r="E256" s="139"/>
      <c r="F256" s="139"/>
      <c r="G256" s="139"/>
      <c r="H256" s="139"/>
      <c r="I256" s="139"/>
      <c r="J256" s="138"/>
      <c r="K256" s="139"/>
      <c r="L256" s="138"/>
      <c r="M256" s="144"/>
      <c r="N256" s="143"/>
      <c r="O256" s="139"/>
      <c r="P256" s="144"/>
      <c r="Q256" s="144"/>
      <c r="R256" s="144"/>
      <c r="S256" s="144"/>
      <c r="T256" s="144"/>
      <c r="U256" s="144"/>
      <c r="V256" s="140"/>
      <c r="W256" s="140"/>
      <c r="X256" s="145"/>
      <c r="Y256" s="145"/>
      <c r="Z256" s="145"/>
      <c r="AA256" s="145"/>
      <c r="AB256" s="145"/>
      <c r="AC256" s="145"/>
    </row>
    <row r="257" ht="15.75" customHeight="1">
      <c r="A257" s="137"/>
      <c r="B257" s="138"/>
      <c r="C257" s="143"/>
      <c r="D257" s="139"/>
      <c r="E257" s="139"/>
      <c r="F257" s="139"/>
      <c r="G257" s="139"/>
      <c r="H257" s="139"/>
      <c r="I257" s="139"/>
      <c r="J257" s="138"/>
      <c r="K257" s="139"/>
      <c r="L257" s="138"/>
      <c r="M257" s="144"/>
      <c r="N257" s="143"/>
      <c r="O257" s="139"/>
      <c r="P257" s="144"/>
      <c r="Q257" s="144"/>
      <c r="R257" s="144"/>
      <c r="S257" s="144"/>
      <c r="T257" s="144"/>
      <c r="U257" s="144"/>
      <c r="V257" s="140"/>
      <c r="W257" s="140"/>
      <c r="X257" s="145"/>
      <c r="Y257" s="145"/>
      <c r="Z257" s="145"/>
      <c r="AA257" s="145"/>
      <c r="AB257" s="145"/>
      <c r="AC257" s="145"/>
    </row>
    <row r="258" ht="15.75" customHeight="1">
      <c r="A258" s="137"/>
      <c r="B258" s="138"/>
      <c r="C258" s="143"/>
      <c r="D258" s="139"/>
      <c r="E258" s="139"/>
      <c r="F258" s="139"/>
      <c r="G258" s="139"/>
      <c r="H258" s="139"/>
      <c r="I258" s="139"/>
      <c r="J258" s="138"/>
      <c r="K258" s="139"/>
      <c r="L258" s="138"/>
      <c r="M258" s="144"/>
      <c r="N258" s="143"/>
      <c r="O258" s="139"/>
      <c r="P258" s="144"/>
      <c r="Q258" s="144"/>
      <c r="R258" s="144"/>
      <c r="S258" s="144"/>
      <c r="T258" s="144"/>
      <c r="U258" s="144"/>
      <c r="V258" s="140"/>
      <c r="W258" s="140"/>
      <c r="X258" s="145"/>
      <c r="Y258" s="145"/>
      <c r="Z258" s="145"/>
      <c r="AA258" s="145"/>
      <c r="AB258" s="145"/>
      <c r="AC258" s="145"/>
    </row>
    <row r="259" ht="15.75" customHeight="1">
      <c r="A259" s="137"/>
      <c r="B259" s="138"/>
      <c r="C259" s="143"/>
      <c r="D259" s="139"/>
      <c r="E259" s="139"/>
      <c r="F259" s="139"/>
      <c r="G259" s="139"/>
      <c r="H259" s="139"/>
      <c r="I259" s="139"/>
      <c r="J259" s="138"/>
      <c r="K259" s="139"/>
      <c r="L259" s="138"/>
      <c r="M259" s="144"/>
      <c r="N259" s="143"/>
      <c r="O259" s="139"/>
      <c r="P259" s="144"/>
      <c r="Q259" s="144"/>
      <c r="R259" s="144"/>
      <c r="S259" s="144"/>
      <c r="T259" s="144"/>
      <c r="U259" s="144"/>
      <c r="V259" s="140"/>
      <c r="W259" s="140"/>
      <c r="X259" s="145"/>
      <c r="Y259" s="145"/>
      <c r="Z259" s="145"/>
      <c r="AA259" s="145"/>
      <c r="AB259" s="145"/>
      <c r="AC259" s="145"/>
    </row>
    <row r="260" ht="15.75" customHeight="1">
      <c r="A260" s="137"/>
      <c r="B260" s="138"/>
      <c r="C260" s="143"/>
      <c r="D260" s="139"/>
      <c r="E260" s="139"/>
      <c r="F260" s="139"/>
      <c r="G260" s="139"/>
      <c r="H260" s="139"/>
      <c r="I260" s="139"/>
      <c r="J260" s="138"/>
      <c r="K260" s="139"/>
      <c r="L260" s="138"/>
      <c r="M260" s="144"/>
      <c r="N260" s="143"/>
      <c r="O260" s="139"/>
      <c r="P260" s="144"/>
      <c r="Q260" s="144"/>
      <c r="R260" s="144"/>
      <c r="S260" s="144"/>
      <c r="T260" s="144"/>
      <c r="U260" s="144"/>
      <c r="V260" s="140"/>
      <c r="W260" s="140"/>
      <c r="X260" s="145"/>
      <c r="Y260" s="145"/>
      <c r="Z260" s="145"/>
      <c r="AA260" s="145"/>
      <c r="AB260" s="145"/>
      <c r="AC260" s="145"/>
    </row>
    <row r="261" ht="15.75" customHeight="1">
      <c r="A261" s="137"/>
      <c r="B261" s="138"/>
      <c r="C261" s="143"/>
      <c r="D261" s="139"/>
      <c r="E261" s="139"/>
      <c r="F261" s="139"/>
      <c r="G261" s="139"/>
      <c r="H261" s="139"/>
      <c r="I261" s="139"/>
      <c r="J261" s="138"/>
      <c r="K261" s="139"/>
      <c r="L261" s="138"/>
      <c r="M261" s="144"/>
      <c r="N261" s="143"/>
      <c r="O261" s="139"/>
      <c r="P261" s="144"/>
      <c r="Q261" s="144"/>
      <c r="R261" s="144"/>
      <c r="S261" s="144"/>
      <c r="T261" s="144"/>
      <c r="U261" s="144"/>
      <c r="V261" s="140"/>
      <c r="W261" s="140"/>
      <c r="X261" s="145"/>
      <c r="Y261" s="145"/>
      <c r="Z261" s="145"/>
      <c r="AA261" s="145"/>
      <c r="AB261" s="145"/>
      <c r="AC261" s="145"/>
    </row>
    <row r="262" ht="15.75" customHeight="1">
      <c r="A262" s="137"/>
      <c r="B262" s="138"/>
      <c r="C262" s="143"/>
      <c r="D262" s="139"/>
      <c r="E262" s="139"/>
      <c r="F262" s="139"/>
      <c r="G262" s="139"/>
      <c r="H262" s="139"/>
      <c r="I262" s="139"/>
      <c r="J262" s="138"/>
      <c r="K262" s="139"/>
      <c r="L262" s="138"/>
      <c r="M262" s="144"/>
      <c r="N262" s="143"/>
      <c r="O262" s="139"/>
      <c r="P262" s="144"/>
      <c r="Q262" s="144"/>
      <c r="R262" s="144"/>
      <c r="S262" s="144"/>
      <c r="T262" s="144"/>
      <c r="U262" s="144"/>
      <c r="V262" s="140"/>
      <c r="W262" s="140"/>
      <c r="X262" s="145"/>
      <c r="Y262" s="145"/>
      <c r="Z262" s="145"/>
      <c r="AA262" s="145"/>
      <c r="AB262" s="145"/>
      <c r="AC262" s="145"/>
    </row>
    <row r="263" ht="15.75" customHeight="1">
      <c r="A263" s="146"/>
      <c r="B263" s="146"/>
      <c r="C263" s="146"/>
      <c r="D263" s="146"/>
      <c r="E263" s="146"/>
      <c r="F263" s="146"/>
      <c r="G263" s="146"/>
      <c r="H263" s="146"/>
      <c r="I263" s="146"/>
      <c r="J263" s="146"/>
      <c r="K263" s="146"/>
      <c r="L263" s="146"/>
      <c r="M263" s="146"/>
      <c r="N263" s="146"/>
      <c r="O263" s="147"/>
      <c r="P263" s="146"/>
      <c r="Q263" s="146"/>
      <c r="R263" s="146"/>
      <c r="S263" s="146"/>
      <c r="T263" s="146"/>
      <c r="U263" s="146"/>
      <c r="V263" s="146"/>
      <c r="W263" s="148"/>
      <c r="X263" s="146"/>
      <c r="Y263" s="146"/>
      <c r="Z263" s="146"/>
      <c r="AA263" s="146"/>
      <c r="AB263" s="146"/>
      <c r="AC263" s="146"/>
    </row>
    <row r="264" ht="15.75" customHeight="1">
      <c r="A264" s="146"/>
      <c r="B264" s="146"/>
      <c r="C264" s="146"/>
      <c r="D264" s="146"/>
      <c r="E264" s="146"/>
      <c r="F264" s="146"/>
      <c r="G264" s="146"/>
      <c r="H264" s="146"/>
      <c r="I264" s="146"/>
      <c r="J264" s="146"/>
      <c r="K264" s="146"/>
      <c r="L264" s="146"/>
      <c r="M264" s="146"/>
      <c r="N264" s="146"/>
      <c r="O264" s="147"/>
      <c r="P264" s="146"/>
      <c r="Q264" s="146"/>
      <c r="R264" s="146"/>
      <c r="S264" s="146"/>
      <c r="T264" s="146"/>
      <c r="U264" s="146"/>
      <c r="V264" s="146"/>
      <c r="W264" s="148"/>
      <c r="X264" s="146"/>
      <c r="Y264" s="146"/>
      <c r="Z264" s="146"/>
      <c r="AA264" s="146"/>
      <c r="AB264" s="146"/>
      <c r="AC264" s="146"/>
    </row>
    <row r="265" ht="15.75" customHeight="1">
      <c r="A265" s="146"/>
      <c r="B265" s="146"/>
      <c r="C265" s="146"/>
      <c r="D265" s="146"/>
      <c r="E265" s="146"/>
      <c r="F265" s="146"/>
      <c r="G265" s="146"/>
      <c r="H265" s="146"/>
      <c r="I265" s="146"/>
      <c r="J265" s="146"/>
      <c r="K265" s="146"/>
      <c r="L265" s="146"/>
      <c r="M265" s="146"/>
      <c r="N265" s="146"/>
      <c r="O265" s="147"/>
      <c r="P265" s="146"/>
      <c r="Q265" s="146"/>
      <c r="R265" s="146"/>
      <c r="S265" s="146"/>
      <c r="T265" s="146"/>
      <c r="U265" s="146"/>
      <c r="V265" s="146"/>
      <c r="W265" s="148"/>
      <c r="X265" s="146"/>
      <c r="Y265" s="146"/>
      <c r="Z265" s="146"/>
      <c r="AA265" s="146"/>
      <c r="AB265" s="146"/>
      <c r="AC265" s="146"/>
    </row>
    <row r="266" ht="15.75" customHeight="1">
      <c r="A266" s="146"/>
      <c r="B266" s="146"/>
      <c r="C266" s="146"/>
      <c r="D266" s="146"/>
      <c r="E266" s="146"/>
      <c r="F266" s="146"/>
      <c r="G266" s="146"/>
      <c r="H266" s="146"/>
      <c r="I266" s="146"/>
      <c r="J266" s="146"/>
      <c r="K266" s="146"/>
      <c r="L266" s="146"/>
      <c r="M266" s="146"/>
      <c r="N266" s="146"/>
      <c r="O266" s="147"/>
      <c r="P266" s="146"/>
      <c r="Q266" s="146"/>
      <c r="R266" s="146"/>
      <c r="S266" s="146"/>
      <c r="T266" s="146"/>
      <c r="U266" s="146"/>
      <c r="V266" s="146"/>
      <c r="W266" s="148"/>
      <c r="X266" s="146"/>
      <c r="Y266" s="146"/>
      <c r="Z266" s="146"/>
      <c r="AA266" s="146"/>
      <c r="AB266" s="146"/>
      <c r="AC266" s="146"/>
    </row>
    <row r="267" ht="15.75" customHeight="1">
      <c r="A267" s="146"/>
      <c r="B267" s="146"/>
      <c r="C267" s="146"/>
      <c r="D267" s="146"/>
      <c r="E267" s="146"/>
      <c r="F267" s="146"/>
      <c r="G267" s="146"/>
      <c r="H267" s="146"/>
      <c r="I267" s="146"/>
      <c r="J267" s="146"/>
      <c r="K267" s="146"/>
      <c r="L267" s="146"/>
      <c r="M267" s="146"/>
      <c r="N267" s="146"/>
      <c r="O267" s="147"/>
      <c r="P267" s="146"/>
      <c r="Q267" s="146"/>
      <c r="R267" s="146"/>
      <c r="S267" s="146"/>
      <c r="T267" s="146"/>
      <c r="U267" s="146"/>
      <c r="V267" s="146"/>
      <c r="W267" s="148"/>
      <c r="X267" s="146"/>
      <c r="Y267" s="146"/>
      <c r="Z267" s="146"/>
      <c r="AA267" s="146"/>
      <c r="AB267" s="146"/>
      <c r="AC267" s="146"/>
    </row>
    <row r="268" ht="15.75" customHeight="1">
      <c r="A268" s="146"/>
      <c r="B268" s="146"/>
      <c r="C268" s="146"/>
      <c r="D268" s="146"/>
      <c r="E268" s="146"/>
      <c r="F268" s="146"/>
      <c r="G268" s="146"/>
      <c r="H268" s="146"/>
      <c r="I268" s="146"/>
      <c r="J268" s="146"/>
      <c r="K268" s="146"/>
      <c r="L268" s="146"/>
      <c r="M268" s="146"/>
      <c r="N268" s="146"/>
      <c r="O268" s="147"/>
      <c r="P268" s="146"/>
      <c r="Q268" s="146"/>
      <c r="R268" s="146"/>
      <c r="S268" s="146"/>
      <c r="T268" s="146"/>
      <c r="U268" s="146"/>
      <c r="V268" s="146"/>
      <c r="W268" s="148"/>
      <c r="X268" s="146"/>
      <c r="Y268" s="146"/>
      <c r="Z268" s="146"/>
      <c r="AA268" s="146"/>
      <c r="AB268" s="146"/>
      <c r="AC268" s="146"/>
    </row>
    <row r="269" ht="15.75" customHeight="1">
      <c r="A269" s="146"/>
      <c r="B269" s="146"/>
      <c r="C269" s="146"/>
      <c r="D269" s="146"/>
      <c r="E269" s="146"/>
      <c r="F269" s="146"/>
      <c r="G269" s="146"/>
      <c r="H269" s="146"/>
      <c r="I269" s="146"/>
      <c r="J269" s="146"/>
      <c r="K269" s="146"/>
      <c r="L269" s="146"/>
      <c r="M269" s="146"/>
      <c r="N269" s="146"/>
      <c r="O269" s="147"/>
      <c r="P269" s="146"/>
      <c r="Q269" s="146"/>
      <c r="R269" s="146"/>
      <c r="S269" s="146"/>
      <c r="T269" s="146"/>
      <c r="U269" s="146"/>
      <c r="V269" s="146"/>
      <c r="W269" s="148"/>
      <c r="X269" s="146"/>
      <c r="Y269" s="146"/>
      <c r="Z269" s="146"/>
      <c r="AA269" s="146"/>
      <c r="AB269" s="146"/>
      <c r="AC269" s="146"/>
    </row>
    <row r="270" ht="15.75" customHeight="1">
      <c r="A270" s="146"/>
      <c r="B270" s="146"/>
      <c r="C270" s="146"/>
      <c r="D270" s="146"/>
      <c r="E270" s="146"/>
      <c r="F270" s="146"/>
      <c r="G270" s="146"/>
      <c r="H270" s="146"/>
      <c r="I270" s="146"/>
      <c r="J270" s="146"/>
      <c r="K270" s="146"/>
      <c r="L270" s="146"/>
      <c r="M270" s="146"/>
      <c r="N270" s="146"/>
      <c r="O270" s="147"/>
      <c r="P270" s="146"/>
      <c r="Q270" s="146"/>
      <c r="R270" s="146"/>
      <c r="S270" s="146"/>
      <c r="T270" s="146"/>
      <c r="U270" s="146"/>
      <c r="V270" s="146"/>
      <c r="W270" s="148"/>
      <c r="X270" s="146"/>
      <c r="Y270" s="146"/>
      <c r="Z270" s="146"/>
      <c r="AA270" s="146"/>
      <c r="AB270" s="146"/>
      <c r="AC270" s="146"/>
    </row>
    <row r="271" ht="15.75" customHeight="1">
      <c r="A271" s="146"/>
      <c r="B271" s="146"/>
      <c r="C271" s="146"/>
      <c r="D271" s="146"/>
      <c r="E271" s="146"/>
      <c r="F271" s="146"/>
      <c r="G271" s="146"/>
      <c r="H271" s="146"/>
      <c r="I271" s="146"/>
      <c r="J271" s="146"/>
      <c r="K271" s="146"/>
      <c r="L271" s="146"/>
      <c r="M271" s="146"/>
      <c r="N271" s="146"/>
      <c r="O271" s="147"/>
      <c r="P271" s="146"/>
      <c r="Q271" s="146"/>
      <c r="R271" s="146"/>
      <c r="S271" s="146"/>
      <c r="T271" s="146"/>
      <c r="U271" s="146"/>
      <c r="V271" s="146"/>
      <c r="W271" s="148"/>
      <c r="X271" s="146"/>
      <c r="Y271" s="146"/>
      <c r="Z271" s="146"/>
      <c r="AA271" s="146"/>
      <c r="AB271" s="146"/>
      <c r="AC271" s="146"/>
    </row>
    <row r="272" ht="15.75" customHeight="1">
      <c r="A272" s="146"/>
      <c r="B272" s="146"/>
      <c r="C272" s="146"/>
      <c r="D272" s="146"/>
      <c r="E272" s="146"/>
      <c r="F272" s="146"/>
      <c r="G272" s="146"/>
      <c r="H272" s="146"/>
      <c r="I272" s="146"/>
      <c r="J272" s="146"/>
      <c r="K272" s="146"/>
      <c r="L272" s="146"/>
      <c r="M272" s="146"/>
      <c r="N272" s="146"/>
      <c r="O272" s="147"/>
      <c r="P272" s="146"/>
      <c r="Q272" s="146"/>
      <c r="R272" s="146"/>
      <c r="S272" s="146"/>
      <c r="T272" s="146"/>
      <c r="U272" s="146"/>
      <c r="V272" s="146"/>
      <c r="W272" s="148"/>
      <c r="X272" s="146"/>
      <c r="Y272" s="146"/>
      <c r="Z272" s="146"/>
      <c r="AA272" s="146"/>
      <c r="AB272" s="146"/>
      <c r="AC272" s="146"/>
    </row>
    <row r="273" ht="15.75" customHeight="1">
      <c r="A273" s="146"/>
      <c r="B273" s="146"/>
      <c r="C273" s="146"/>
      <c r="D273" s="146"/>
      <c r="E273" s="146"/>
      <c r="F273" s="146"/>
      <c r="G273" s="146"/>
      <c r="H273" s="146"/>
      <c r="I273" s="146"/>
      <c r="J273" s="146"/>
      <c r="K273" s="146"/>
      <c r="L273" s="146"/>
      <c r="M273" s="146"/>
      <c r="N273" s="146"/>
      <c r="O273" s="147"/>
      <c r="P273" s="146"/>
      <c r="Q273" s="146"/>
      <c r="R273" s="146"/>
      <c r="S273" s="146"/>
      <c r="T273" s="146"/>
      <c r="U273" s="146"/>
      <c r="V273" s="146"/>
      <c r="W273" s="148"/>
      <c r="X273" s="146"/>
      <c r="Y273" s="146"/>
      <c r="Z273" s="146"/>
      <c r="AA273" s="146"/>
      <c r="AB273" s="146"/>
      <c r="AC273" s="146"/>
    </row>
    <row r="274" ht="15.75" customHeight="1">
      <c r="A274" s="146"/>
      <c r="B274" s="146"/>
      <c r="C274" s="146"/>
      <c r="D274" s="146"/>
      <c r="E274" s="146"/>
      <c r="F274" s="146"/>
      <c r="G274" s="146"/>
      <c r="H274" s="146"/>
      <c r="I274" s="146"/>
      <c r="J274" s="146"/>
      <c r="K274" s="146"/>
      <c r="L274" s="146"/>
      <c r="M274" s="146"/>
      <c r="N274" s="146"/>
      <c r="O274" s="147"/>
      <c r="P274" s="146"/>
      <c r="Q274" s="146"/>
      <c r="R274" s="146"/>
      <c r="S274" s="146"/>
      <c r="T274" s="146"/>
      <c r="U274" s="146"/>
      <c r="V274" s="146"/>
      <c r="W274" s="148"/>
      <c r="X274" s="146"/>
      <c r="Y274" s="146"/>
      <c r="Z274" s="146"/>
      <c r="AA274" s="146"/>
      <c r="AB274" s="146"/>
      <c r="AC274" s="146"/>
    </row>
    <row r="275" ht="15.75" customHeight="1">
      <c r="A275" s="146"/>
      <c r="B275" s="146"/>
      <c r="C275" s="146"/>
      <c r="D275" s="146"/>
      <c r="E275" s="146"/>
      <c r="F275" s="146"/>
      <c r="G275" s="146"/>
      <c r="H275" s="146"/>
      <c r="I275" s="146"/>
      <c r="J275" s="146"/>
      <c r="K275" s="146"/>
      <c r="L275" s="146"/>
      <c r="M275" s="146"/>
      <c r="N275" s="146"/>
      <c r="O275" s="147"/>
      <c r="P275" s="146"/>
      <c r="Q275" s="146"/>
      <c r="R275" s="146"/>
      <c r="S275" s="146"/>
      <c r="T275" s="146"/>
      <c r="U275" s="146"/>
      <c r="V275" s="146"/>
      <c r="W275" s="148"/>
      <c r="X275" s="146"/>
      <c r="Y275" s="146"/>
      <c r="Z275" s="146"/>
      <c r="AA275" s="146"/>
      <c r="AB275" s="146"/>
      <c r="AC275" s="146"/>
    </row>
    <row r="276" ht="15.75" customHeight="1">
      <c r="A276" s="146"/>
      <c r="B276" s="146"/>
      <c r="C276" s="146"/>
      <c r="D276" s="146"/>
      <c r="E276" s="146"/>
      <c r="F276" s="146"/>
      <c r="G276" s="146"/>
      <c r="H276" s="146"/>
      <c r="I276" s="146"/>
      <c r="J276" s="146"/>
      <c r="K276" s="146"/>
      <c r="L276" s="146"/>
      <c r="M276" s="146"/>
      <c r="N276" s="146"/>
      <c r="O276" s="147"/>
      <c r="P276" s="146"/>
      <c r="Q276" s="146"/>
      <c r="R276" s="146"/>
      <c r="S276" s="146"/>
      <c r="T276" s="146"/>
      <c r="U276" s="146"/>
      <c r="V276" s="146"/>
      <c r="W276" s="148"/>
      <c r="X276" s="146"/>
      <c r="Y276" s="146"/>
      <c r="Z276" s="146"/>
      <c r="AA276" s="146"/>
      <c r="AB276" s="146"/>
      <c r="AC276" s="146"/>
    </row>
    <row r="277" ht="15.75" customHeight="1">
      <c r="A277" s="146"/>
      <c r="B277" s="146"/>
      <c r="C277" s="146"/>
      <c r="D277" s="146"/>
      <c r="E277" s="146"/>
      <c r="F277" s="146"/>
      <c r="G277" s="146"/>
      <c r="H277" s="146"/>
      <c r="I277" s="146"/>
      <c r="J277" s="146"/>
      <c r="K277" s="146"/>
      <c r="L277" s="146"/>
      <c r="M277" s="146"/>
      <c r="N277" s="146"/>
      <c r="O277" s="147"/>
      <c r="P277" s="146"/>
      <c r="Q277" s="146"/>
      <c r="R277" s="146"/>
      <c r="S277" s="146"/>
      <c r="T277" s="146"/>
      <c r="U277" s="146"/>
      <c r="V277" s="146"/>
      <c r="W277" s="148"/>
      <c r="X277" s="146"/>
      <c r="Y277" s="146"/>
      <c r="Z277" s="146"/>
      <c r="AA277" s="146"/>
      <c r="AB277" s="146"/>
      <c r="AC277" s="146"/>
    </row>
    <row r="278" ht="15.75" customHeight="1">
      <c r="A278" s="146"/>
      <c r="B278" s="146"/>
      <c r="C278" s="146"/>
      <c r="D278" s="146"/>
      <c r="E278" s="146"/>
      <c r="F278" s="146"/>
      <c r="G278" s="146"/>
      <c r="H278" s="146"/>
      <c r="I278" s="146"/>
      <c r="J278" s="146"/>
      <c r="K278" s="146"/>
      <c r="L278" s="146"/>
      <c r="M278" s="146"/>
      <c r="N278" s="146"/>
      <c r="O278" s="147"/>
      <c r="P278" s="146"/>
      <c r="Q278" s="146"/>
      <c r="R278" s="146"/>
      <c r="S278" s="146"/>
      <c r="T278" s="146"/>
      <c r="U278" s="146"/>
      <c r="V278" s="146"/>
      <c r="W278" s="148"/>
      <c r="X278" s="146"/>
      <c r="Y278" s="146"/>
      <c r="Z278" s="146"/>
      <c r="AA278" s="146"/>
      <c r="AB278" s="146"/>
      <c r="AC278" s="146"/>
    </row>
    <row r="279" ht="15.75" customHeight="1">
      <c r="A279" s="146"/>
      <c r="B279" s="146"/>
      <c r="C279" s="146"/>
      <c r="D279" s="146"/>
      <c r="E279" s="146"/>
      <c r="F279" s="146"/>
      <c r="G279" s="146"/>
      <c r="H279" s="146"/>
      <c r="I279" s="146"/>
      <c r="J279" s="146"/>
      <c r="K279" s="146"/>
      <c r="L279" s="146"/>
      <c r="M279" s="146"/>
      <c r="N279" s="146"/>
      <c r="O279" s="147"/>
      <c r="P279" s="146"/>
      <c r="Q279" s="146"/>
      <c r="R279" s="146"/>
      <c r="S279" s="146"/>
      <c r="T279" s="146"/>
      <c r="U279" s="146"/>
      <c r="V279" s="146"/>
      <c r="W279" s="148"/>
      <c r="X279" s="146"/>
      <c r="Y279" s="146"/>
      <c r="Z279" s="146"/>
      <c r="AA279" s="146"/>
      <c r="AB279" s="146"/>
      <c r="AC279" s="146"/>
    </row>
    <row r="280" ht="15.75" customHeight="1">
      <c r="A280" s="146"/>
      <c r="B280" s="146"/>
      <c r="C280" s="146"/>
      <c r="D280" s="146"/>
      <c r="E280" s="146"/>
      <c r="F280" s="146"/>
      <c r="G280" s="146"/>
      <c r="H280" s="146"/>
      <c r="I280" s="146"/>
      <c r="J280" s="146"/>
      <c r="K280" s="146"/>
      <c r="L280" s="146"/>
      <c r="M280" s="146"/>
      <c r="N280" s="146"/>
      <c r="O280" s="147"/>
      <c r="P280" s="146"/>
      <c r="Q280" s="146"/>
      <c r="R280" s="146"/>
      <c r="S280" s="146"/>
      <c r="T280" s="146"/>
      <c r="U280" s="146"/>
      <c r="V280" s="146"/>
      <c r="W280" s="148"/>
      <c r="X280" s="146"/>
      <c r="Y280" s="146"/>
      <c r="Z280" s="146"/>
      <c r="AA280" s="146"/>
      <c r="AB280" s="146"/>
      <c r="AC280" s="146"/>
    </row>
    <row r="281" ht="15.75" customHeight="1">
      <c r="A281" s="146"/>
      <c r="B281" s="146"/>
      <c r="C281" s="146"/>
      <c r="D281" s="146"/>
      <c r="E281" s="146"/>
      <c r="F281" s="146"/>
      <c r="G281" s="146"/>
      <c r="H281" s="146"/>
      <c r="I281" s="146"/>
      <c r="J281" s="146"/>
      <c r="K281" s="146"/>
      <c r="L281" s="146"/>
      <c r="M281" s="146"/>
      <c r="N281" s="146"/>
      <c r="O281" s="147"/>
      <c r="P281" s="146"/>
      <c r="Q281" s="146"/>
      <c r="R281" s="146"/>
      <c r="S281" s="146"/>
      <c r="T281" s="146"/>
      <c r="U281" s="146"/>
      <c r="V281" s="146"/>
      <c r="W281" s="148"/>
      <c r="X281" s="146"/>
      <c r="Y281" s="146"/>
      <c r="Z281" s="146"/>
      <c r="AA281" s="146"/>
      <c r="AB281" s="146"/>
      <c r="AC281" s="146"/>
    </row>
    <row r="282" ht="15.75" customHeight="1">
      <c r="A282" s="146"/>
      <c r="B282" s="146"/>
      <c r="C282" s="146"/>
      <c r="D282" s="146"/>
      <c r="E282" s="146"/>
      <c r="F282" s="146"/>
      <c r="G282" s="146"/>
      <c r="H282" s="146"/>
      <c r="I282" s="146"/>
      <c r="J282" s="146"/>
      <c r="K282" s="146"/>
      <c r="L282" s="146"/>
      <c r="M282" s="146"/>
      <c r="N282" s="146"/>
      <c r="O282" s="147"/>
      <c r="P282" s="146"/>
      <c r="Q282" s="146"/>
      <c r="R282" s="146"/>
      <c r="S282" s="146"/>
      <c r="T282" s="146"/>
      <c r="U282" s="146"/>
      <c r="V282" s="146"/>
      <c r="W282" s="148"/>
      <c r="X282" s="146"/>
      <c r="Y282" s="146"/>
      <c r="Z282" s="146"/>
      <c r="AA282" s="146"/>
      <c r="AB282" s="146"/>
      <c r="AC282" s="146"/>
    </row>
    <row r="283" ht="15.75" customHeight="1">
      <c r="A283" s="146"/>
      <c r="B283" s="146"/>
      <c r="C283" s="146"/>
      <c r="D283" s="146"/>
      <c r="E283" s="146"/>
      <c r="F283" s="146"/>
      <c r="G283" s="146"/>
      <c r="H283" s="146"/>
      <c r="I283" s="146"/>
      <c r="J283" s="146"/>
      <c r="K283" s="146"/>
      <c r="L283" s="146"/>
      <c r="M283" s="146"/>
      <c r="N283" s="146"/>
      <c r="O283" s="147"/>
      <c r="P283" s="146"/>
      <c r="Q283" s="146"/>
      <c r="R283" s="146"/>
      <c r="S283" s="146"/>
      <c r="T283" s="146"/>
      <c r="U283" s="146"/>
      <c r="V283" s="146"/>
      <c r="W283" s="148"/>
      <c r="X283" s="146"/>
      <c r="Y283" s="146"/>
      <c r="Z283" s="146"/>
      <c r="AA283" s="146"/>
      <c r="AB283" s="146"/>
      <c r="AC283" s="146"/>
    </row>
    <row r="284" ht="15.75" customHeight="1">
      <c r="A284" s="146"/>
      <c r="B284" s="146"/>
      <c r="C284" s="146"/>
      <c r="D284" s="146"/>
      <c r="E284" s="146"/>
      <c r="F284" s="146"/>
      <c r="G284" s="146"/>
      <c r="H284" s="146"/>
      <c r="I284" s="146"/>
      <c r="J284" s="146"/>
      <c r="K284" s="146"/>
      <c r="L284" s="146"/>
      <c r="M284" s="146"/>
      <c r="N284" s="146"/>
      <c r="O284" s="147"/>
      <c r="P284" s="146"/>
      <c r="Q284" s="146"/>
      <c r="R284" s="146"/>
      <c r="S284" s="146"/>
      <c r="T284" s="146"/>
      <c r="U284" s="146"/>
      <c r="V284" s="146"/>
      <c r="W284" s="148"/>
      <c r="X284" s="146"/>
      <c r="Y284" s="146"/>
      <c r="Z284" s="146"/>
      <c r="AA284" s="146"/>
      <c r="AB284" s="146"/>
      <c r="AC284" s="146"/>
    </row>
    <row r="285" ht="15.75" customHeight="1">
      <c r="A285" s="146"/>
      <c r="B285" s="146"/>
      <c r="C285" s="146"/>
      <c r="D285" s="146"/>
      <c r="E285" s="146"/>
      <c r="F285" s="146"/>
      <c r="G285" s="146"/>
      <c r="H285" s="146"/>
      <c r="I285" s="146"/>
      <c r="J285" s="146"/>
      <c r="K285" s="146"/>
      <c r="L285" s="146"/>
      <c r="M285" s="146"/>
      <c r="N285" s="146"/>
      <c r="O285" s="147"/>
      <c r="P285" s="146"/>
      <c r="Q285" s="146"/>
      <c r="R285" s="146"/>
      <c r="S285" s="146"/>
      <c r="T285" s="146"/>
      <c r="U285" s="146"/>
      <c r="V285" s="146"/>
      <c r="W285" s="148"/>
      <c r="X285" s="146"/>
      <c r="Y285" s="146"/>
      <c r="Z285" s="146"/>
      <c r="AA285" s="146"/>
      <c r="AB285" s="146"/>
      <c r="AC285" s="146"/>
    </row>
    <row r="286" ht="15.75" customHeight="1">
      <c r="A286" s="146"/>
      <c r="B286" s="146"/>
      <c r="C286" s="146"/>
      <c r="D286" s="146"/>
      <c r="E286" s="146"/>
      <c r="F286" s="146"/>
      <c r="G286" s="146"/>
      <c r="H286" s="146"/>
      <c r="I286" s="146"/>
      <c r="J286" s="146"/>
      <c r="K286" s="146"/>
      <c r="L286" s="146"/>
      <c r="M286" s="146"/>
      <c r="N286" s="146"/>
      <c r="O286" s="147"/>
      <c r="P286" s="146"/>
      <c r="Q286" s="146"/>
      <c r="R286" s="146"/>
      <c r="S286" s="146"/>
      <c r="T286" s="146"/>
      <c r="U286" s="146"/>
      <c r="V286" s="146"/>
      <c r="W286" s="148"/>
      <c r="X286" s="146"/>
      <c r="Y286" s="146"/>
      <c r="Z286" s="146"/>
      <c r="AA286" s="146"/>
      <c r="AB286" s="146"/>
      <c r="AC286" s="146"/>
    </row>
    <row r="287" ht="15.75" customHeight="1">
      <c r="A287" s="146"/>
      <c r="B287" s="146"/>
      <c r="C287" s="146"/>
      <c r="D287" s="146"/>
      <c r="E287" s="146"/>
      <c r="F287" s="146"/>
      <c r="G287" s="146"/>
      <c r="H287" s="146"/>
      <c r="I287" s="146"/>
      <c r="J287" s="146"/>
      <c r="K287" s="146"/>
      <c r="L287" s="146"/>
      <c r="M287" s="146"/>
      <c r="N287" s="146"/>
      <c r="O287" s="147"/>
      <c r="P287" s="146"/>
      <c r="Q287" s="146"/>
      <c r="R287" s="146"/>
      <c r="S287" s="146"/>
      <c r="T287" s="146"/>
      <c r="U287" s="146"/>
      <c r="V287" s="146"/>
      <c r="W287" s="148"/>
      <c r="X287" s="146"/>
      <c r="Y287" s="146"/>
      <c r="Z287" s="146"/>
      <c r="AA287" s="146"/>
      <c r="AB287" s="146"/>
      <c r="AC287" s="146"/>
    </row>
    <row r="288" ht="15.75" customHeight="1">
      <c r="A288" s="146"/>
      <c r="B288" s="146"/>
      <c r="C288" s="146"/>
      <c r="D288" s="146"/>
      <c r="E288" s="146"/>
      <c r="F288" s="146"/>
      <c r="G288" s="146"/>
      <c r="H288" s="146"/>
      <c r="I288" s="146"/>
      <c r="J288" s="146"/>
      <c r="K288" s="146"/>
      <c r="L288" s="146"/>
      <c r="M288" s="146"/>
      <c r="N288" s="146"/>
      <c r="O288" s="147"/>
      <c r="P288" s="146"/>
      <c r="Q288" s="146"/>
      <c r="R288" s="146"/>
      <c r="S288" s="146"/>
      <c r="T288" s="146"/>
      <c r="U288" s="146"/>
      <c r="V288" s="146"/>
      <c r="W288" s="148"/>
      <c r="X288" s="146"/>
      <c r="Y288" s="146"/>
      <c r="Z288" s="146"/>
      <c r="AA288" s="146"/>
      <c r="AB288" s="146"/>
      <c r="AC288" s="146"/>
    </row>
    <row r="289" ht="15.75" customHeight="1">
      <c r="A289" s="146"/>
      <c r="B289" s="146"/>
      <c r="C289" s="146"/>
      <c r="D289" s="146"/>
      <c r="E289" s="146"/>
      <c r="F289" s="146"/>
      <c r="G289" s="146"/>
      <c r="H289" s="146"/>
      <c r="I289" s="146"/>
      <c r="J289" s="146"/>
      <c r="K289" s="146"/>
      <c r="L289" s="146"/>
      <c r="M289" s="146"/>
      <c r="N289" s="146"/>
      <c r="O289" s="147"/>
      <c r="P289" s="146"/>
      <c r="Q289" s="146"/>
      <c r="R289" s="146"/>
      <c r="S289" s="146"/>
      <c r="T289" s="146"/>
      <c r="U289" s="146"/>
      <c r="V289" s="146"/>
      <c r="W289" s="148"/>
      <c r="X289" s="146"/>
      <c r="Y289" s="146"/>
      <c r="Z289" s="146"/>
      <c r="AA289" s="146"/>
      <c r="AB289" s="146"/>
      <c r="AC289" s="146"/>
    </row>
    <row r="290" ht="15.75" customHeight="1">
      <c r="A290" s="146"/>
      <c r="B290" s="146"/>
      <c r="C290" s="146"/>
      <c r="D290" s="146"/>
      <c r="E290" s="146"/>
      <c r="F290" s="146"/>
      <c r="G290" s="146"/>
      <c r="H290" s="146"/>
      <c r="I290" s="146"/>
      <c r="J290" s="146"/>
      <c r="K290" s="146"/>
      <c r="L290" s="146"/>
      <c r="M290" s="146"/>
      <c r="N290" s="146"/>
      <c r="O290" s="147"/>
      <c r="P290" s="146"/>
      <c r="Q290" s="146"/>
      <c r="R290" s="146"/>
      <c r="S290" s="146"/>
      <c r="T290" s="146"/>
      <c r="U290" s="146"/>
      <c r="V290" s="146"/>
      <c r="W290" s="148"/>
      <c r="X290" s="146"/>
      <c r="Y290" s="146"/>
      <c r="Z290" s="146"/>
      <c r="AA290" s="146"/>
      <c r="AB290" s="146"/>
      <c r="AC290" s="146"/>
    </row>
    <row r="291" ht="15.75" customHeight="1">
      <c r="A291" s="146"/>
      <c r="B291" s="146"/>
      <c r="C291" s="146"/>
      <c r="D291" s="146"/>
      <c r="E291" s="146"/>
      <c r="F291" s="146"/>
      <c r="G291" s="146"/>
      <c r="H291" s="146"/>
      <c r="I291" s="146"/>
      <c r="J291" s="146"/>
      <c r="K291" s="146"/>
      <c r="L291" s="146"/>
      <c r="M291" s="146"/>
      <c r="N291" s="146"/>
      <c r="O291" s="147"/>
      <c r="P291" s="146"/>
      <c r="Q291" s="146"/>
      <c r="R291" s="146"/>
      <c r="S291" s="146"/>
      <c r="T291" s="146"/>
      <c r="U291" s="146"/>
      <c r="V291" s="146"/>
      <c r="W291" s="148"/>
      <c r="X291" s="146"/>
      <c r="Y291" s="146"/>
      <c r="Z291" s="146"/>
      <c r="AA291" s="146"/>
      <c r="AB291" s="146"/>
      <c r="AC291" s="146"/>
    </row>
    <row r="292" ht="15.75" customHeight="1">
      <c r="A292" s="146"/>
      <c r="B292" s="146"/>
      <c r="C292" s="146"/>
      <c r="D292" s="146"/>
      <c r="E292" s="146"/>
      <c r="F292" s="146"/>
      <c r="G292" s="146"/>
      <c r="H292" s="146"/>
      <c r="I292" s="146"/>
      <c r="J292" s="146"/>
      <c r="K292" s="146"/>
      <c r="L292" s="146"/>
      <c r="M292" s="146"/>
      <c r="N292" s="146"/>
      <c r="O292" s="147"/>
      <c r="P292" s="146"/>
      <c r="Q292" s="146"/>
      <c r="R292" s="146"/>
      <c r="S292" s="146"/>
      <c r="T292" s="146"/>
      <c r="U292" s="146"/>
      <c r="V292" s="146"/>
      <c r="W292" s="148"/>
      <c r="X292" s="146"/>
      <c r="Y292" s="146"/>
      <c r="Z292" s="146"/>
      <c r="AA292" s="146"/>
      <c r="AB292" s="146"/>
      <c r="AC292" s="146"/>
    </row>
    <row r="293" ht="15.75" customHeight="1">
      <c r="A293" s="146"/>
      <c r="B293" s="146"/>
      <c r="C293" s="146"/>
      <c r="D293" s="146"/>
      <c r="E293" s="146"/>
      <c r="F293" s="146"/>
      <c r="G293" s="146"/>
      <c r="H293" s="146"/>
      <c r="I293" s="146"/>
      <c r="J293" s="146"/>
      <c r="K293" s="146"/>
      <c r="L293" s="146"/>
      <c r="M293" s="146"/>
      <c r="N293" s="146"/>
      <c r="O293" s="147"/>
      <c r="P293" s="146"/>
      <c r="Q293" s="146"/>
      <c r="R293" s="146"/>
      <c r="S293" s="146"/>
      <c r="T293" s="146"/>
      <c r="U293" s="146"/>
      <c r="V293" s="146"/>
      <c r="W293" s="148"/>
      <c r="X293" s="146"/>
      <c r="Y293" s="146"/>
      <c r="Z293" s="146"/>
      <c r="AA293" s="146"/>
      <c r="AB293" s="146"/>
      <c r="AC293" s="146"/>
    </row>
    <row r="294" ht="15.75" customHeight="1">
      <c r="A294" s="146"/>
      <c r="B294" s="146"/>
      <c r="C294" s="146"/>
      <c r="D294" s="146"/>
      <c r="E294" s="146"/>
      <c r="F294" s="146"/>
      <c r="G294" s="146"/>
      <c r="H294" s="146"/>
      <c r="I294" s="146"/>
      <c r="J294" s="146"/>
      <c r="K294" s="146"/>
      <c r="L294" s="146"/>
      <c r="M294" s="146"/>
      <c r="N294" s="146"/>
      <c r="O294" s="147"/>
      <c r="P294" s="146"/>
      <c r="Q294" s="146"/>
      <c r="R294" s="146"/>
      <c r="S294" s="146"/>
      <c r="T294" s="146"/>
      <c r="U294" s="146"/>
      <c r="V294" s="146"/>
      <c r="W294" s="148"/>
      <c r="X294" s="146"/>
      <c r="Y294" s="146"/>
      <c r="Z294" s="146"/>
      <c r="AA294" s="146"/>
      <c r="AB294" s="146"/>
      <c r="AC294" s="146"/>
    </row>
    <row r="295" ht="15.75" customHeight="1">
      <c r="A295" s="146"/>
      <c r="B295" s="146"/>
      <c r="C295" s="146"/>
      <c r="D295" s="146"/>
      <c r="E295" s="146"/>
      <c r="F295" s="146"/>
      <c r="G295" s="146"/>
      <c r="H295" s="146"/>
      <c r="I295" s="146"/>
      <c r="J295" s="146"/>
      <c r="K295" s="146"/>
      <c r="L295" s="146"/>
      <c r="M295" s="146"/>
      <c r="N295" s="146"/>
      <c r="O295" s="147"/>
      <c r="P295" s="146"/>
      <c r="Q295" s="146"/>
      <c r="R295" s="146"/>
      <c r="S295" s="146"/>
      <c r="T295" s="146"/>
      <c r="U295" s="146"/>
      <c r="V295" s="146"/>
      <c r="W295" s="148"/>
      <c r="X295" s="146"/>
      <c r="Y295" s="146"/>
      <c r="Z295" s="146"/>
      <c r="AA295" s="146"/>
      <c r="AB295" s="146"/>
      <c r="AC295" s="146"/>
    </row>
    <row r="296" ht="15.75" customHeight="1">
      <c r="A296" s="146"/>
      <c r="B296" s="146"/>
      <c r="C296" s="146"/>
      <c r="D296" s="146"/>
      <c r="E296" s="146"/>
      <c r="F296" s="146"/>
      <c r="G296" s="146"/>
      <c r="H296" s="146"/>
      <c r="I296" s="146"/>
      <c r="J296" s="146"/>
      <c r="K296" s="146"/>
      <c r="L296" s="146"/>
      <c r="M296" s="146"/>
      <c r="N296" s="146"/>
      <c r="O296" s="147"/>
      <c r="P296" s="146"/>
      <c r="Q296" s="146"/>
      <c r="R296" s="146"/>
      <c r="S296" s="146"/>
      <c r="T296" s="146"/>
      <c r="U296" s="146"/>
      <c r="V296" s="146"/>
      <c r="W296" s="148"/>
      <c r="X296" s="146"/>
      <c r="Y296" s="146"/>
      <c r="Z296" s="146"/>
      <c r="AA296" s="146"/>
      <c r="AB296" s="146"/>
      <c r="AC296" s="146"/>
    </row>
    <row r="297" ht="15.75" customHeight="1">
      <c r="A297" s="146"/>
      <c r="B297" s="146"/>
      <c r="C297" s="146"/>
      <c r="D297" s="146"/>
      <c r="E297" s="146"/>
      <c r="F297" s="146"/>
      <c r="G297" s="146"/>
      <c r="H297" s="146"/>
      <c r="I297" s="146"/>
      <c r="J297" s="146"/>
      <c r="K297" s="146"/>
      <c r="L297" s="146"/>
      <c r="M297" s="146"/>
      <c r="N297" s="146"/>
      <c r="O297" s="147"/>
      <c r="P297" s="146"/>
      <c r="Q297" s="146"/>
      <c r="R297" s="146"/>
      <c r="S297" s="146"/>
      <c r="T297" s="146"/>
      <c r="U297" s="146"/>
      <c r="V297" s="146"/>
      <c r="W297" s="148"/>
      <c r="X297" s="146"/>
      <c r="Y297" s="146"/>
      <c r="Z297" s="146"/>
      <c r="AA297" s="146"/>
      <c r="AB297" s="146"/>
      <c r="AC297" s="146"/>
    </row>
    <row r="298" ht="15.75" customHeight="1">
      <c r="A298" s="146"/>
      <c r="B298" s="146"/>
      <c r="C298" s="146"/>
      <c r="D298" s="146"/>
      <c r="E298" s="146"/>
      <c r="F298" s="146"/>
      <c r="G298" s="146"/>
      <c r="H298" s="146"/>
      <c r="I298" s="146"/>
      <c r="J298" s="146"/>
      <c r="K298" s="146"/>
      <c r="L298" s="146"/>
      <c r="M298" s="146"/>
      <c r="N298" s="146"/>
      <c r="O298" s="147"/>
      <c r="P298" s="146"/>
      <c r="Q298" s="146"/>
      <c r="R298" s="146"/>
      <c r="S298" s="146"/>
      <c r="T298" s="146"/>
      <c r="U298" s="146"/>
      <c r="V298" s="146"/>
      <c r="W298" s="148"/>
      <c r="X298" s="146"/>
      <c r="Y298" s="146"/>
      <c r="Z298" s="146"/>
      <c r="AA298" s="146"/>
      <c r="AB298" s="146"/>
      <c r="AC298" s="146"/>
    </row>
    <row r="299" ht="15.75" customHeight="1">
      <c r="A299" s="146"/>
      <c r="B299" s="146"/>
      <c r="C299" s="146"/>
      <c r="D299" s="146"/>
      <c r="E299" s="146"/>
      <c r="F299" s="146"/>
      <c r="G299" s="146"/>
      <c r="H299" s="146"/>
      <c r="I299" s="146"/>
      <c r="J299" s="146"/>
      <c r="K299" s="146"/>
      <c r="L299" s="146"/>
      <c r="M299" s="146"/>
      <c r="N299" s="146"/>
      <c r="O299" s="147"/>
      <c r="P299" s="146"/>
      <c r="Q299" s="146"/>
      <c r="R299" s="146"/>
      <c r="S299" s="146"/>
      <c r="T299" s="146"/>
      <c r="U299" s="146"/>
      <c r="V299" s="146"/>
      <c r="W299" s="148"/>
      <c r="X299" s="146"/>
      <c r="Y299" s="146"/>
      <c r="Z299" s="146"/>
      <c r="AA299" s="146"/>
      <c r="AB299" s="146"/>
      <c r="AC299" s="146"/>
    </row>
    <row r="300" ht="15.75" customHeight="1">
      <c r="A300" s="146"/>
      <c r="B300" s="146"/>
      <c r="C300" s="146"/>
      <c r="D300" s="146"/>
      <c r="E300" s="146"/>
      <c r="F300" s="146"/>
      <c r="G300" s="146"/>
      <c r="H300" s="146"/>
      <c r="I300" s="146"/>
      <c r="J300" s="146"/>
      <c r="K300" s="146"/>
      <c r="L300" s="146"/>
      <c r="M300" s="146"/>
      <c r="N300" s="146"/>
      <c r="O300" s="147"/>
      <c r="P300" s="146"/>
      <c r="Q300" s="146"/>
      <c r="R300" s="146"/>
      <c r="S300" s="146"/>
      <c r="T300" s="146"/>
      <c r="U300" s="146"/>
      <c r="V300" s="146"/>
      <c r="W300" s="148"/>
      <c r="X300" s="146"/>
      <c r="Y300" s="146"/>
      <c r="Z300" s="146"/>
      <c r="AA300" s="146"/>
      <c r="AB300" s="146"/>
      <c r="AC300" s="146"/>
    </row>
    <row r="301" ht="15.75" customHeight="1">
      <c r="A301" s="146"/>
      <c r="B301" s="146"/>
      <c r="C301" s="146"/>
      <c r="D301" s="146"/>
      <c r="E301" s="146"/>
      <c r="F301" s="146"/>
      <c r="G301" s="146"/>
      <c r="H301" s="146"/>
      <c r="I301" s="146"/>
      <c r="J301" s="146"/>
      <c r="K301" s="146"/>
      <c r="L301" s="146"/>
      <c r="M301" s="146"/>
      <c r="N301" s="146"/>
      <c r="O301" s="147"/>
      <c r="P301" s="146"/>
      <c r="Q301" s="146"/>
      <c r="R301" s="146"/>
      <c r="S301" s="146"/>
      <c r="T301" s="146"/>
      <c r="U301" s="146"/>
      <c r="V301" s="146"/>
      <c r="W301" s="148"/>
      <c r="X301" s="146"/>
      <c r="Y301" s="146"/>
      <c r="Z301" s="146"/>
      <c r="AA301" s="146"/>
      <c r="AB301" s="146"/>
      <c r="AC301" s="146"/>
    </row>
    <row r="302" ht="15.75" customHeight="1">
      <c r="A302" s="146"/>
      <c r="B302" s="146"/>
      <c r="C302" s="146"/>
      <c r="D302" s="146"/>
      <c r="E302" s="146"/>
      <c r="F302" s="146"/>
      <c r="G302" s="146"/>
      <c r="H302" s="146"/>
      <c r="I302" s="146"/>
      <c r="J302" s="146"/>
      <c r="K302" s="146"/>
      <c r="L302" s="146"/>
      <c r="M302" s="146"/>
      <c r="N302" s="146"/>
      <c r="O302" s="147"/>
      <c r="P302" s="146"/>
      <c r="Q302" s="146"/>
      <c r="R302" s="146"/>
      <c r="S302" s="146"/>
      <c r="T302" s="146"/>
      <c r="U302" s="146"/>
      <c r="V302" s="146"/>
      <c r="W302" s="148"/>
      <c r="X302" s="146"/>
      <c r="Y302" s="146"/>
      <c r="Z302" s="146"/>
      <c r="AA302" s="146"/>
      <c r="AB302" s="146"/>
      <c r="AC302" s="146"/>
    </row>
    <row r="303" ht="15.75" customHeight="1">
      <c r="A303" s="146"/>
      <c r="B303" s="146"/>
      <c r="C303" s="146"/>
      <c r="D303" s="146"/>
      <c r="E303" s="146"/>
      <c r="F303" s="146"/>
      <c r="G303" s="146"/>
      <c r="H303" s="146"/>
      <c r="I303" s="146"/>
      <c r="J303" s="146"/>
      <c r="K303" s="146"/>
      <c r="L303" s="146"/>
      <c r="M303" s="146"/>
      <c r="N303" s="146"/>
      <c r="O303" s="147"/>
      <c r="P303" s="146"/>
      <c r="Q303" s="146"/>
      <c r="R303" s="146"/>
      <c r="S303" s="146"/>
      <c r="T303" s="146"/>
      <c r="U303" s="146"/>
      <c r="V303" s="146"/>
      <c r="W303" s="148"/>
      <c r="X303" s="146"/>
      <c r="Y303" s="146"/>
      <c r="Z303" s="146"/>
      <c r="AA303" s="146"/>
      <c r="AB303" s="146"/>
      <c r="AC303" s="146"/>
    </row>
    <row r="304" ht="15.75" customHeight="1">
      <c r="A304" s="146"/>
      <c r="B304" s="146"/>
      <c r="C304" s="146"/>
      <c r="D304" s="146"/>
      <c r="E304" s="146"/>
      <c r="F304" s="146"/>
      <c r="G304" s="146"/>
      <c r="H304" s="146"/>
      <c r="I304" s="146"/>
      <c r="J304" s="146"/>
      <c r="K304" s="146"/>
      <c r="L304" s="146"/>
      <c r="M304" s="146"/>
      <c r="N304" s="146"/>
      <c r="O304" s="147"/>
      <c r="P304" s="146"/>
      <c r="Q304" s="146"/>
      <c r="R304" s="146"/>
      <c r="S304" s="146"/>
      <c r="T304" s="146"/>
      <c r="U304" s="146"/>
      <c r="V304" s="146"/>
      <c r="W304" s="148"/>
      <c r="X304" s="146"/>
      <c r="Y304" s="146"/>
      <c r="Z304" s="146"/>
      <c r="AA304" s="146"/>
      <c r="AB304" s="146"/>
      <c r="AC304" s="146"/>
    </row>
    <row r="305" ht="15.75" customHeight="1">
      <c r="A305" s="146"/>
      <c r="B305" s="146"/>
      <c r="C305" s="146"/>
      <c r="D305" s="146"/>
      <c r="E305" s="146"/>
      <c r="F305" s="146"/>
      <c r="G305" s="146"/>
      <c r="H305" s="146"/>
      <c r="I305" s="146"/>
      <c r="J305" s="146"/>
      <c r="K305" s="146"/>
      <c r="L305" s="146"/>
      <c r="M305" s="146"/>
      <c r="N305" s="146"/>
      <c r="O305" s="147"/>
      <c r="P305" s="146"/>
      <c r="Q305" s="146"/>
      <c r="R305" s="146"/>
      <c r="S305" s="146"/>
      <c r="T305" s="146"/>
      <c r="U305" s="146"/>
      <c r="V305" s="146"/>
      <c r="W305" s="148"/>
      <c r="X305" s="146"/>
      <c r="Y305" s="146"/>
      <c r="Z305" s="146"/>
      <c r="AA305" s="146"/>
      <c r="AB305" s="146"/>
      <c r="AC305" s="146"/>
    </row>
    <row r="306" ht="15.75" customHeight="1">
      <c r="A306" s="146"/>
      <c r="B306" s="146"/>
      <c r="C306" s="146"/>
      <c r="D306" s="146"/>
      <c r="E306" s="146"/>
      <c r="F306" s="146"/>
      <c r="G306" s="146"/>
      <c r="H306" s="146"/>
      <c r="I306" s="146"/>
      <c r="J306" s="146"/>
      <c r="K306" s="146"/>
      <c r="L306" s="146"/>
      <c r="M306" s="146"/>
      <c r="N306" s="146"/>
      <c r="O306" s="147"/>
      <c r="P306" s="146"/>
      <c r="Q306" s="146"/>
      <c r="R306" s="146"/>
      <c r="S306" s="146"/>
      <c r="T306" s="146"/>
      <c r="U306" s="146"/>
      <c r="V306" s="146"/>
      <c r="W306" s="148"/>
      <c r="X306" s="146"/>
      <c r="Y306" s="146"/>
      <c r="Z306" s="146"/>
      <c r="AA306" s="146"/>
      <c r="AB306" s="146"/>
      <c r="AC306" s="146"/>
    </row>
    <row r="307" ht="15.75" customHeight="1">
      <c r="A307" s="146"/>
      <c r="B307" s="146"/>
      <c r="C307" s="146"/>
      <c r="D307" s="146"/>
      <c r="E307" s="146"/>
      <c r="F307" s="146"/>
      <c r="G307" s="146"/>
      <c r="H307" s="146"/>
      <c r="I307" s="146"/>
      <c r="J307" s="146"/>
      <c r="K307" s="146"/>
      <c r="L307" s="146"/>
      <c r="M307" s="146"/>
      <c r="N307" s="146"/>
      <c r="O307" s="147"/>
      <c r="P307" s="146"/>
      <c r="Q307" s="146"/>
      <c r="R307" s="146"/>
      <c r="S307" s="146"/>
      <c r="T307" s="146"/>
      <c r="U307" s="146"/>
      <c r="V307" s="146"/>
      <c r="W307" s="148"/>
      <c r="X307" s="146"/>
      <c r="Y307" s="146"/>
      <c r="Z307" s="146"/>
      <c r="AA307" s="146"/>
      <c r="AB307" s="146"/>
      <c r="AC307" s="146"/>
    </row>
    <row r="308" ht="15.75" customHeight="1">
      <c r="A308" s="146"/>
      <c r="B308" s="146"/>
      <c r="C308" s="146"/>
      <c r="D308" s="146"/>
      <c r="E308" s="146"/>
      <c r="F308" s="146"/>
      <c r="G308" s="146"/>
      <c r="H308" s="146"/>
      <c r="I308" s="146"/>
      <c r="J308" s="146"/>
      <c r="K308" s="146"/>
      <c r="L308" s="146"/>
      <c r="M308" s="146"/>
      <c r="N308" s="146"/>
      <c r="O308" s="147"/>
      <c r="P308" s="146"/>
      <c r="Q308" s="146"/>
      <c r="R308" s="146"/>
      <c r="S308" s="146"/>
      <c r="T308" s="146"/>
      <c r="U308" s="146"/>
      <c r="V308" s="146"/>
      <c r="W308" s="148"/>
      <c r="X308" s="146"/>
      <c r="Y308" s="146"/>
      <c r="Z308" s="146"/>
      <c r="AA308" s="146"/>
      <c r="AB308" s="146"/>
      <c r="AC308" s="146"/>
    </row>
    <row r="309" ht="15.75" customHeight="1">
      <c r="A309" s="146"/>
      <c r="B309" s="146"/>
      <c r="C309" s="146"/>
      <c r="D309" s="146"/>
      <c r="E309" s="146"/>
      <c r="F309" s="146"/>
      <c r="G309" s="146"/>
      <c r="H309" s="146"/>
      <c r="I309" s="146"/>
      <c r="J309" s="146"/>
      <c r="K309" s="146"/>
      <c r="L309" s="146"/>
      <c r="M309" s="146"/>
      <c r="N309" s="146"/>
      <c r="O309" s="147"/>
      <c r="P309" s="146"/>
      <c r="Q309" s="146"/>
      <c r="R309" s="146"/>
      <c r="S309" s="146"/>
      <c r="T309" s="146"/>
      <c r="U309" s="146"/>
      <c r="V309" s="146"/>
      <c r="W309" s="148"/>
      <c r="X309" s="146"/>
      <c r="Y309" s="146"/>
      <c r="Z309" s="146"/>
      <c r="AA309" s="146"/>
      <c r="AB309" s="146"/>
      <c r="AC309" s="146"/>
    </row>
    <row r="310" ht="15.75" customHeight="1">
      <c r="A310" s="146"/>
      <c r="B310" s="146"/>
      <c r="C310" s="146"/>
      <c r="D310" s="146"/>
      <c r="E310" s="146"/>
      <c r="F310" s="146"/>
      <c r="G310" s="146"/>
      <c r="H310" s="146"/>
      <c r="I310" s="146"/>
      <c r="J310" s="146"/>
      <c r="K310" s="146"/>
      <c r="L310" s="146"/>
      <c r="M310" s="146"/>
      <c r="N310" s="146"/>
      <c r="O310" s="147"/>
      <c r="P310" s="146"/>
      <c r="Q310" s="146"/>
      <c r="R310" s="146"/>
      <c r="S310" s="146"/>
      <c r="T310" s="146"/>
      <c r="U310" s="146"/>
      <c r="V310" s="146"/>
      <c r="W310" s="148"/>
      <c r="X310" s="146"/>
      <c r="Y310" s="146"/>
      <c r="Z310" s="146"/>
      <c r="AA310" s="146"/>
      <c r="AB310" s="146"/>
      <c r="AC310" s="146"/>
    </row>
    <row r="311" ht="15.75" customHeight="1">
      <c r="A311" s="146"/>
      <c r="B311" s="146"/>
      <c r="C311" s="146"/>
      <c r="D311" s="146"/>
      <c r="E311" s="146"/>
      <c r="F311" s="146"/>
      <c r="G311" s="146"/>
      <c r="H311" s="146"/>
      <c r="I311" s="146"/>
      <c r="J311" s="146"/>
      <c r="K311" s="146"/>
      <c r="L311" s="146"/>
      <c r="M311" s="146"/>
      <c r="N311" s="146"/>
      <c r="O311" s="147"/>
      <c r="P311" s="146"/>
      <c r="Q311" s="146"/>
      <c r="R311" s="146"/>
      <c r="S311" s="146"/>
      <c r="T311" s="146"/>
      <c r="U311" s="146"/>
      <c r="V311" s="146"/>
      <c r="W311" s="148"/>
      <c r="X311" s="146"/>
      <c r="Y311" s="146"/>
      <c r="Z311" s="146"/>
      <c r="AA311" s="146"/>
      <c r="AB311" s="146"/>
      <c r="AC311" s="146"/>
    </row>
    <row r="312" ht="15.75" customHeight="1">
      <c r="A312" s="146"/>
      <c r="B312" s="146"/>
      <c r="C312" s="146"/>
      <c r="D312" s="146"/>
      <c r="E312" s="146"/>
      <c r="F312" s="146"/>
      <c r="G312" s="146"/>
      <c r="H312" s="146"/>
      <c r="I312" s="146"/>
      <c r="J312" s="146"/>
      <c r="K312" s="146"/>
      <c r="L312" s="146"/>
      <c r="M312" s="146"/>
      <c r="N312" s="146"/>
      <c r="O312" s="147"/>
      <c r="P312" s="146"/>
      <c r="Q312" s="146"/>
      <c r="R312" s="146"/>
      <c r="S312" s="146"/>
      <c r="T312" s="146"/>
      <c r="U312" s="146"/>
      <c r="V312" s="146"/>
      <c r="W312" s="148"/>
      <c r="X312" s="146"/>
      <c r="Y312" s="146"/>
      <c r="Z312" s="146"/>
      <c r="AA312" s="146"/>
      <c r="AB312" s="146"/>
      <c r="AC312" s="146"/>
    </row>
    <row r="313" ht="15.75" customHeight="1">
      <c r="A313" s="146"/>
      <c r="B313" s="146"/>
      <c r="C313" s="146"/>
      <c r="D313" s="146"/>
      <c r="E313" s="146"/>
      <c r="F313" s="146"/>
      <c r="G313" s="146"/>
      <c r="H313" s="146"/>
      <c r="I313" s="146"/>
      <c r="J313" s="146"/>
      <c r="K313" s="146"/>
      <c r="L313" s="146"/>
      <c r="M313" s="146"/>
      <c r="N313" s="146"/>
      <c r="O313" s="147"/>
      <c r="P313" s="146"/>
      <c r="Q313" s="146"/>
      <c r="R313" s="146"/>
      <c r="S313" s="146"/>
      <c r="T313" s="146"/>
      <c r="U313" s="146"/>
      <c r="V313" s="146"/>
      <c r="W313" s="148"/>
      <c r="X313" s="146"/>
      <c r="Y313" s="146"/>
      <c r="Z313" s="146"/>
      <c r="AA313" s="146"/>
      <c r="AB313" s="146"/>
      <c r="AC313" s="146"/>
    </row>
    <row r="314" ht="15.75" customHeight="1">
      <c r="A314" s="146"/>
      <c r="B314" s="146"/>
      <c r="C314" s="146"/>
      <c r="D314" s="146"/>
      <c r="E314" s="146"/>
      <c r="F314" s="146"/>
      <c r="G314" s="146"/>
      <c r="H314" s="146"/>
      <c r="I314" s="146"/>
      <c r="J314" s="146"/>
      <c r="K314" s="146"/>
      <c r="L314" s="146"/>
      <c r="M314" s="146"/>
      <c r="N314" s="146"/>
      <c r="O314" s="147"/>
      <c r="P314" s="146"/>
      <c r="Q314" s="146"/>
      <c r="R314" s="146"/>
      <c r="S314" s="146"/>
      <c r="T314" s="146"/>
      <c r="U314" s="146"/>
      <c r="V314" s="146"/>
      <c r="W314" s="148"/>
      <c r="X314" s="146"/>
      <c r="Y314" s="146"/>
      <c r="Z314" s="146"/>
      <c r="AA314" s="146"/>
      <c r="AB314" s="146"/>
      <c r="AC314" s="146"/>
    </row>
    <row r="315" ht="15.75" customHeight="1">
      <c r="A315" s="146"/>
      <c r="B315" s="146"/>
      <c r="C315" s="146"/>
      <c r="D315" s="146"/>
      <c r="E315" s="146"/>
      <c r="F315" s="146"/>
      <c r="G315" s="146"/>
      <c r="H315" s="146"/>
      <c r="I315" s="146"/>
      <c r="J315" s="146"/>
      <c r="K315" s="146"/>
      <c r="L315" s="146"/>
      <c r="M315" s="146"/>
      <c r="N315" s="146"/>
      <c r="O315" s="147"/>
      <c r="P315" s="146"/>
      <c r="Q315" s="146"/>
      <c r="R315" s="146"/>
      <c r="S315" s="146"/>
      <c r="T315" s="146"/>
      <c r="U315" s="146"/>
      <c r="V315" s="146"/>
      <c r="W315" s="148"/>
      <c r="X315" s="146"/>
      <c r="Y315" s="146"/>
      <c r="Z315" s="146"/>
      <c r="AA315" s="146"/>
      <c r="AB315" s="146"/>
      <c r="AC315" s="146"/>
    </row>
    <row r="316" ht="15.75" customHeight="1">
      <c r="A316" s="146"/>
      <c r="B316" s="146"/>
      <c r="C316" s="146"/>
      <c r="D316" s="146"/>
      <c r="E316" s="146"/>
      <c r="F316" s="146"/>
      <c r="G316" s="146"/>
      <c r="H316" s="146"/>
      <c r="I316" s="146"/>
      <c r="J316" s="146"/>
      <c r="K316" s="146"/>
      <c r="L316" s="146"/>
      <c r="M316" s="146"/>
      <c r="N316" s="146"/>
      <c r="O316" s="147"/>
      <c r="P316" s="146"/>
      <c r="Q316" s="146"/>
      <c r="R316" s="146"/>
      <c r="S316" s="146"/>
      <c r="T316" s="146"/>
      <c r="U316" s="146"/>
      <c r="V316" s="146"/>
      <c r="W316" s="148"/>
      <c r="X316" s="146"/>
      <c r="Y316" s="146"/>
      <c r="Z316" s="146"/>
      <c r="AA316" s="146"/>
      <c r="AB316" s="146"/>
      <c r="AC316" s="146"/>
    </row>
    <row r="317" ht="15.75" customHeight="1">
      <c r="A317" s="146"/>
      <c r="B317" s="146"/>
      <c r="C317" s="146"/>
      <c r="D317" s="146"/>
      <c r="E317" s="146"/>
      <c r="F317" s="146"/>
      <c r="G317" s="146"/>
      <c r="H317" s="146"/>
      <c r="I317" s="146"/>
      <c r="J317" s="146"/>
      <c r="K317" s="146"/>
      <c r="L317" s="146"/>
      <c r="M317" s="146"/>
      <c r="N317" s="146"/>
      <c r="O317" s="147"/>
      <c r="P317" s="146"/>
      <c r="Q317" s="146"/>
      <c r="R317" s="146"/>
      <c r="S317" s="146"/>
      <c r="T317" s="146"/>
      <c r="U317" s="146"/>
      <c r="V317" s="146"/>
      <c r="W317" s="148"/>
      <c r="X317" s="146"/>
      <c r="Y317" s="146"/>
      <c r="Z317" s="146"/>
      <c r="AA317" s="146"/>
      <c r="AB317" s="146"/>
      <c r="AC317" s="146"/>
    </row>
    <row r="318" ht="15.75" customHeight="1">
      <c r="A318" s="146"/>
      <c r="B318" s="146"/>
      <c r="C318" s="146"/>
      <c r="D318" s="146"/>
      <c r="E318" s="146"/>
      <c r="F318" s="146"/>
      <c r="G318" s="146"/>
      <c r="H318" s="146"/>
      <c r="I318" s="146"/>
      <c r="J318" s="146"/>
      <c r="K318" s="146"/>
      <c r="L318" s="146"/>
      <c r="M318" s="146"/>
      <c r="N318" s="146"/>
      <c r="O318" s="147"/>
      <c r="P318" s="146"/>
      <c r="Q318" s="146"/>
      <c r="R318" s="146"/>
      <c r="S318" s="146"/>
      <c r="T318" s="146"/>
      <c r="U318" s="146"/>
      <c r="V318" s="146"/>
      <c r="W318" s="148"/>
      <c r="X318" s="146"/>
      <c r="Y318" s="146"/>
      <c r="Z318" s="146"/>
      <c r="AA318" s="146"/>
      <c r="AB318" s="146"/>
      <c r="AC318" s="146"/>
    </row>
    <row r="319" ht="15.75" customHeight="1">
      <c r="A319" s="146"/>
      <c r="B319" s="146"/>
      <c r="C319" s="146"/>
      <c r="D319" s="146"/>
      <c r="E319" s="146"/>
      <c r="F319" s="146"/>
      <c r="G319" s="146"/>
      <c r="H319" s="146"/>
      <c r="I319" s="146"/>
      <c r="J319" s="146"/>
      <c r="K319" s="146"/>
      <c r="L319" s="146"/>
      <c r="M319" s="146"/>
      <c r="N319" s="146"/>
      <c r="O319" s="147"/>
      <c r="P319" s="146"/>
      <c r="Q319" s="146"/>
      <c r="R319" s="146"/>
      <c r="S319" s="146"/>
      <c r="T319" s="146"/>
      <c r="U319" s="146"/>
      <c r="V319" s="146"/>
      <c r="W319" s="148"/>
      <c r="X319" s="146"/>
      <c r="Y319" s="146"/>
      <c r="Z319" s="146"/>
      <c r="AA319" s="146"/>
      <c r="AB319" s="146"/>
      <c r="AC319" s="146"/>
    </row>
    <row r="320" ht="15.75" customHeight="1">
      <c r="A320" s="146"/>
      <c r="B320" s="146"/>
      <c r="C320" s="146"/>
      <c r="D320" s="146"/>
      <c r="E320" s="146"/>
      <c r="F320" s="146"/>
      <c r="G320" s="146"/>
      <c r="H320" s="146"/>
      <c r="I320" s="146"/>
      <c r="J320" s="146"/>
      <c r="K320" s="146"/>
      <c r="L320" s="146"/>
      <c r="M320" s="146"/>
      <c r="N320" s="146"/>
      <c r="O320" s="147"/>
      <c r="P320" s="146"/>
      <c r="Q320" s="146"/>
      <c r="R320" s="146"/>
      <c r="S320" s="146"/>
      <c r="T320" s="146"/>
      <c r="U320" s="146"/>
      <c r="V320" s="146"/>
      <c r="W320" s="148"/>
      <c r="X320" s="146"/>
      <c r="Y320" s="146"/>
      <c r="Z320" s="146"/>
      <c r="AA320" s="146"/>
      <c r="AB320" s="146"/>
      <c r="AC320" s="146"/>
    </row>
    <row r="321" ht="15.75" customHeight="1">
      <c r="A321" s="146"/>
      <c r="B321" s="146"/>
      <c r="C321" s="146"/>
      <c r="D321" s="146"/>
      <c r="E321" s="146"/>
      <c r="F321" s="146"/>
      <c r="G321" s="146"/>
      <c r="H321" s="146"/>
      <c r="I321" s="146"/>
      <c r="J321" s="146"/>
      <c r="K321" s="146"/>
      <c r="L321" s="146"/>
      <c r="M321" s="146"/>
      <c r="N321" s="146"/>
      <c r="O321" s="147"/>
      <c r="P321" s="146"/>
      <c r="Q321" s="146"/>
      <c r="R321" s="146"/>
      <c r="S321" s="146"/>
      <c r="T321" s="146"/>
      <c r="U321" s="146"/>
      <c r="V321" s="146"/>
      <c r="W321" s="148"/>
      <c r="X321" s="146"/>
      <c r="Y321" s="146"/>
      <c r="Z321" s="146"/>
      <c r="AA321" s="146"/>
      <c r="AB321" s="146"/>
      <c r="AC321" s="146"/>
    </row>
    <row r="322" ht="15.75" customHeight="1">
      <c r="A322" s="146"/>
      <c r="B322" s="146"/>
      <c r="C322" s="146"/>
      <c r="D322" s="146"/>
      <c r="E322" s="146"/>
      <c r="F322" s="146"/>
      <c r="G322" s="146"/>
      <c r="H322" s="146"/>
      <c r="I322" s="146"/>
      <c r="J322" s="146"/>
      <c r="K322" s="146"/>
      <c r="L322" s="146"/>
      <c r="M322" s="146"/>
      <c r="N322" s="146"/>
      <c r="O322" s="147"/>
      <c r="P322" s="146"/>
      <c r="Q322" s="146"/>
      <c r="R322" s="146"/>
      <c r="S322" s="146"/>
      <c r="T322" s="146"/>
      <c r="U322" s="146"/>
      <c r="V322" s="146"/>
      <c r="W322" s="148"/>
      <c r="X322" s="146"/>
      <c r="Y322" s="146"/>
      <c r="Z322" s="146"/>
      <c r="AA322" s="146"/>
      <c r="AB322" s="146"/>
      <c r="AC322" s="146"/>
    </row>
    <row r="323" ht="15.75" customHeight="1">
      <c r="A323" s="146"/>
      <c r="B323" s="146"/>
      <c r="C323" s="146"/>
      <c r="D323" s="146"/>
      <c r="E323" s="146"/>
      <c r="F323" s="146"/>
      <c r="G323" s="146"/>
      <c r="H323" s="146"/>
      <c r="I323" s="146"/>
      <c r="J323" s="146"/>
      <c r="K323" s="146"/>
      <c r="L323" s="146"/>
      <c r="M323" s="146"/>
      <c r="N323" s="146"/>
      <c r="O323" s="147"/>
      <c r="P323" s="146"/>
      <c r="Q323" s="146"/>
      <c r="R323" s="146"/>
      <c r="S323" s="146"/>
      <c r="T323" s="146"/>
      <c r="U323" s="146"/>
      <c r="V323" s="146"/>
      <c r="W323" s="148"/>
      <c r="X323" s="146"/>
      <c r="Y323" s="146"/>
      <c r="Z323" s="146"/>
      <c r="AA323" s="146"/>
      <c r="AB323" s="146"/>
      <c r="AC323" s="146"/>
    </row>
    <row r="324" ht="15.75" customHeight="1">
      <c r="A324" s="146"/>
      <c r="B324" s="146"/>
      <c r="C324" s="146"/>
      <c r="D324" s="146"/>
      <c r="E324" s="146"/>
      <c r="F324" s="146"/>
      <c r="G324" s="146"/>
      <c r="H324" s="146"/>
      <c r="I324" s="146"/>
      <c r="J324" s="146"/>
      <c r="K324" s="146"/>
      <c r="L324" s="146"/>
      <c r="M324" s="146"/>
      <c r="N324" s="146"/>
      <c r="O324" s="147"/>
      <c r="P324" s="146"/>
      <c r="Q324" s="146"/>
      <c r="R324" s="146"/>
      <c r="S324" s="146"/>
      <c r="T324" s="146"/>
      <c r="U324" s="146"/>
      <c r="V324" s="146"/>
      <c r="W324" s="148"/>
      <c r="X324" s="146"/>
      <c r="Y324" s="146"/>
      <c r="Z324" s="146"/>
      <c r="AA324" s="146"/>
      <c r="AB324" s="146"/>
      <c r="AC324" s="146"/>
    </row>
    <row r="325" ht="15.75" customHeight="1">
      <c r="A325" s="146"/>
      <c r="B325" s="146"/>
      <c r="C325" s="146"/>
      <c r="D325" s="146"/>
      <c r="E325" s="146"/>
      <c r="F325" s="146"/>
      <c r="G325" s="146"/>
      <c r="H325" s="146"/>
      <c r="I325" s="146"/>
      <c r="J325" s="146"/>
      <c r="K325" s="146"/>
      <c r="L325" s="146"/>
      <c r="M325" s="146"/>
      <c r="N325" s="146"/>
      <c r="O325" s="147"/>
      <c r="P325" s="146"/>
      <c r="Q325" s="146"/>
      <c r="R325" s="146"/>
      <c r="S325" s="146"/>
      <c r="T325" s="146"/>
      <c r="U325" s="146"/>
      <c r="V325" s="146"/>
      <c r="W325" s="148"/>
      <c r="X325" s="146"/>
      <c r="Y325" s="146"/>
      <c r="Z325" s="146"/>
      <c r="AA325" s="146"/>
      <c r="AB325" s="146"/>
      <c r="AC325" s="146"/>
    </row>
    <row r="326" ht="15.75" customHeight="1">
      <c r="A326" s="146"/>
      <c r="B326" s="146"/>
      <c r="C326" s="146"/>
      <c r="D326" s="146"/>
      <c r="E326" s="146"/>
      <c r="F326" s="146"/>
      <c r="G326" s="146"/>
      <c r="H326" s="146"/>
      <c r="I326" s="146"/>
      <c r="J326" s="146"/>
      <c r="K326" s="146"/>
      <c r="L326" s="146"/>
      <c r="M326" s="146"/>
      <c r="N326" s="146"/>
      <c r="O326" s="147"/>
      <c r="P326" s="146"/>
      <c r="Q326" s="146"/>
      <c r="R326" s="146"/>
      <c r="S326" s="146"/>
      <c r="T326" s="146"/>
      <c r="U326" s="146"/>
      <c r="V326" s="146"/>
      <c r="W326" s="148"/>
      <c r="X326" s="146"/>
      <c r="Y326" s="146"/>
      <c r="Z326" s="146"/>
      <c r="AA326" s="146"/>
      <c r="AB326" s="146"/>
      <c r="AC326" s="146"/>
    </row>
    <row r="327" ht="15.75" customHeight="1">
      <c r="A327" s="146"/>
      <c r="B327" s="146"/>
      <c r="C327" s="146"/>
      <c r="D327" s="146"/>
      <c r="E327" s="146"/>
      <c r="F327" s="146"/>
      <c r="G327" s="146"/>
      <c r="H327" s="146"/>
      <c r="I327" s="146"/>
      <c r="J327" s="146"/>
      <c r="K327" s="146"/>
      <c r="L327" s="146"/>
      <c r="M327" s="146"/>
      <c r="N327" s="146"/>
      <c r="O327" s="147"/>
      <c r="P327" s="146"/>
      <c r="Q327" s="146"/>
      <c r="R327" s="146"/>
      <c r="S327" s="146"/>
      <c r="T327" s="146"/>
      <c r="U327" s="146"/>
      <c r="V327" s="146"/>
      <c r="W327" s="148"/>
      <c r="X327" s="146"/>
      <c r="Y327" s="146"/>
      <c r="Z327" s="146"/>
      <c r="AA327" s="146"/>
      <c r="AB327" s="146"/>
      <c r="AC327" s="146"/>
    </row>
    <row r="328" ht="15.75" customHeight="1">
      <c r="A328" s="146"/>
      <c r="B328" s="146"/>
      <c r="C328" s="146"/>
      <c r="D328" s="146"/>
      <c r="E328" s="146"/>
      <c r="F328" s="146"/>
      <c r="G328" s="146"/>
      <c r="H328" s="146"/>
      <c r="I328" s="146"/>
      <c r="J328" s="146"/>
      <c r="K328" s="146"/>
      <c r="L328" s="146"/>
      <c r="M328" s="146"/>
      <c r="N328" s="146"/>
      <c r="O328" s="147"/>
      <c r="P328" s="146"/>
      <c r="Q328" s="146"/>
      <c r="R328" s="146"/>
      <c r="S328" s="146"/>
      <c r="T328" s="146"/>
      <c r="U328" s="146"/>
      <c r="V328" s="146"/>
      <c r="W328" s="148"/>
      <c r="X328" s="146"/>
      <c r="Y328" s="146"/>
      <c r="Z328" s="146"/>
      <c r="AA328" s="146"/>
      <c r="AB328" s="146"/>
      <c r="AC328" s="146"/>
    </row>
    <row r="329" ht="15.75" customHeight="1">
      <c r="A329" s="146"/>
      <c r="B329" s="146"/>
      <c r="C329" s="146"/>
      <c r="D329" s="146"/>
      <c r="E329" s="146"/>
      <c r="F329" s="146"/>
      <c r="G329" s="146"/>
      <c r="H329" s="146"/>
      <c r="I329" s="146"/>
      <c r="J329" s="146"/>
      <c r="K329" s="146"/>
      <c r="L329" s="146"/>
      <c r="M329" s="146"/>
      <c r="N329" s="146"/>
      <c r="O329" s="147"/>
      <c r="P329" s="146"/>
      <c r="Q329" s="146"/>
      <c r="R329" s="146"/>
      <c r="S329" s="146"/>
      <c r="T329" s="146"/>
      <c r="U329" s="146"/>
      <c r="V329" s="146"/>
      <c r="W329" s="148"/>
      <c r="X329" s="146"/>
      <c r="Y329" s="146"/>
      <c r="Z329" s="146"/>
      <c r="AA329" s="146"/>
      <c r="AB329" s="146"/>
      <c r="AC329" s="146"/>
    </row>
    <row r="330" ht="15.75" customHeight="1">
      <c r="A330" s="146"/>
      <c r="B330" s="146"/>
      <c r="C330" s="146"/>
      <c r="D330" s="146"/>
      <c r="E330" s="146"/>
      <c r="F330" s="146"/>
      <c r="G330" s="146"/>
      <c r="H330" s="146"/>
      <c r="I330" s="146"/>
      <c r="J330" s="146"/>
      <c r="K330" s="146"/>
      <c r="L330" s="146"/>
      <c r="M330" s="146"/>
      <c r="N330" s="146"/>
      <c r="O330" s="147"/>
      <c r="P330" s="146"/>
      <c r="Q330" s="146"/>
      <c r="R330" s="146"/>
      <c r="S330" s="146"/>
      <c r="T330" s="146"/>
      <c r="U330" s="146"/>
      <c r="V330" s="146"/>
      <c r="W330" s="148"/>
      <c r="X330" s="146"/>
      <c r="Y330" s="146"/>
      <c r="Z330" s="146"/>
      <c r="AA330" s="146"/>
      <c r="AB330" s="146"/>
      <c r="AC330" s="146"/>
    </row>
    <row r="331" ht="15.75" customHeight="1">
      <c r="A331" s="146"/>
      <c r="B331" s="146"/>
      <c r="C331" s="146"/>
      <c r="D331" s="146"/>
      <c r="E331" s="146"/>
      <c r="F331" s="146"/>
      <c r="G331" s="146"/>
      <c r="H331" s="146"/>
      <c r="I331" s="146"/>
      <c r="J331" s="146"/>
      <c r="K331" s="146"/>
      <c r="L331" s="146"/>
      <c r="M331" s="146"/>
      <c r="N331" s="146"/>
      <c r="O331" s="147"/>
      <c r="P331" s="146"/>
      <c r="Q331" s="146"/>
      <c r="R331" s="146"/>
      <c r="S331" s="146"/>
      <c r="T331" s="146"/>
      <c r="U331" s="146"/>
      <c r="V331" s="146"/>
      <c r="W331" s="148"/>
      <c r="X331" s="146"/>
      <c r="Y331" s="146"/>
      <c r="Z331" s="146"/>
      <c r="AA331" s="146"/>
      <c r="AB331" s="146"/>
      <c r="AC331" s="146"/>
    </row>
    <row r="332" ht="15.75" customHeight="1">
      <c r="A332" s="146"/>
      <c r="B332" s="146"/>
      <c r="C332" s="146"/>
      <c r="D332" s="146"/>
      <c r="E332" s="146"/>
      <c r="F332" s="146"/>
      <c r="G332" s="146"/>
      <c r="H332" s="146"/>
      <c r="I332" s="146"/>
      <c r="J332" s="146"/>
      <c r="K332" s="146"/>
      <c r="L332" s="146"/>
      <c r="M332" s="146"/>
      <c r="N332" s="146"/>
      <c r="O332" s="147"/>
      <c r="P332" s="146"/>
      <c r="Q332" s="146"/>
      <c r="R332" s="146"/>
      <c r="S332" s="146"/>
      <c r="T332" s="146"/>
      <c r="U332" s="146"/>
      <c r="V332" s="146"/>
      <c r="W332" s="148"/>
      <c r="X332" s="146"/>
      <c r="Y332" s="146"/>
      <c r="Z332" s="146"/>
      <c r="AA332" s="146"/>
      <c r="AB332" s="146"/>
      <c r="AC332" s="146"/>
    </row>
    <row r="333" ht="15.75" customHeight="1">
      <c r="A333" s="146"/>
      <c r="B333" s="146"/>
      <c r="C333" s="146"/>
      <c r="D333" s="146"/>
      <c r="E333" s="146"/>
      <c r="F333" s="146"/>
      <c r="G333" s="146"/>
      <c r="H333" s="146"/>
      <c r="I333" s="146"/>
      <c r="J333" s="146"/>
      <c r="K333" s="146"/>
      <c r="L333" s="146"/>
      <c r="M333" s="146"/>
      <c r="N333" s="146"/>
      <c r="O333" s="147"/>
      <c r="P333" s="146"/>
      <c r="Q333" s="146"/>
      <c r="R333" s="146"/>
      <c r="S333" s="146"/>
      <c r="T333" s="146"/>
      <c r="U333" s="146"/>
      <c r="V333" s="146"/>
      <c r="W333" s="148"/>
      <c r="X333" s="146"/>
      <c r="Y333" s="146"/>
      <c r="Z333" s="146"/>
      <c r="AA333" s="146"/>
      <c r="AB333" s="146"/>
      <c r="AC333" s="146"/>
    </row>
    <row r="334" ht="15.75" customHeight="1">
      <c r="A334" s="146"/>
      <c r="B334" s="146"/>
      <c r="C334" s="146"/>
      <c r="D334" s="146"/>
      <c r="E334" s="146"/>
      <c r="F334" s="146"/>
      <c r="G334" s="146"/>
      <c r="H334" s="146"/>
      <c r="I334" s="146"/>
      <c r="J334" s="146"/>
      <c r="K334" s="146"/>
      <c r="L334" s="146"/>
      <c r="M334" s="146"/>
      <c r="N334" s="146"/>
      <c r="O334" s="147"/>
      <c r="P334" s="146"/>
      <c r="Q334" s="146"/>
      <c r="R334" s="146"/>
      <c r="S334" s="146"/>
      <c r="T334" s="146"/>
      <c r="U334" s="146"/>
      <c r="V334" s="146"/>
      <c r="W334" s="148"/>
      <c r="X334" s="146"/>
      <c r="Y334" s="146"/>
      <c r="Z334" s="146"/>
      <c r="AA334" s="146"/>
      <c r="AB334" s="146"/>
      <c r="AC334" s="146"/>
    </row>
    <row r="335" ht="15.75" customHeight="1">
      <c r="A335" s="146"/>
      <c r="B335" s="146"/>
      <c r="C335" s="146"/>
      <c r="D335" s="146"/>
      <c r="E335" s="146"/>
      <c r="F335" s="146"/>
      <c r="G335" s="146"/>
      <c r="H335" s="146"/>
      <c r="I335" s="146"/>
      <c r="J335" s="146"/>
      <c r="K335" s="146"/>
      <c r="L335" s="146"/>
      <c r="M335" s="146"/>
      <c r="N335" s="146"/>
      <c r="O335" s="147"/>
      <c r="P335" s="146"/>
      <c r="Q335" s="146"/>
      <c r="R335" s="146"/>
      <c r="S335" s="146"/>
      <c r="T335" s="146"/>
      <c r="U335" s="146"/>
      <c r="V335" s="146"/>
      <c r="W335" s="148"/>
      <c r="X335" s="146"/>
      <c r="Y335" s="146"/>
      <c r="Z335" s="146"/>
      <c r="AA335" s="146"/>
      <c r="AB335" s="146"/>
      <c r="AC335" s="146"/>
    </row>
    <row r="336" ht="15.75" customHeight="1">
      <c r="A336" s="146"/>
      <c r="B336" s="146"/>
      <c r="C336" s="146"/>
      <c r="D336" s="146"/>
      <c r="E336" s="146"/>
      <c r="F336" s="146"/>
      <c r="G336" s="146"/>
      <c r="H336" s="146"/>
      <c r="I336" s="146"/>
      <c r="J336" s="146"/>
      <c r="K336" s="146"/>
      <c r="L336" s="146"/>
      <c r="M336" s="146"/>
      <c r="N336" s="146"/>
      <c r="O336" s="147"/>
      <c r="P336" s="146"/>
      <c r="Q336" s="146"/>
      <c r="R336" s="146"/>
      <c r="S336" s="146"/>
      <c r="T336" s="146"/>
      <c r="U336" s="146"/>
      <c r="V336" s="146"/>
      <c r="W336" s="148"/>
      <c r="X336" s="146"/>
      <c r="Y336" s="146"/>
      <c r="Z336" s="146"/>
      <c r="AA336" s="146"/>
      <c r="AB336" s="146"/>
      <c r="AC336" s="146"/>
    </row>
    <row r="337" ht="15.75" customHeight="1">
      <c r="A337" s="146"/>
      <c r="B337" s="146"/>
      <c r="C337" s="146"/>
      <c r="D337" s="146"/>
      <c r="E337" s="146"/>
      <c r="F337" s="146"/>
      <c r="G337" s="146"/>
      <c r="H337" s="146"/>
      <c r="I337" s="146"/>
      <c r="J337" s="146"/>
      <c r="K337" s="146"/>
      <c r="L337" s="146"/>
      <c r="M337" s="146"/>
      <c r="N337" s="146"/>
      <c r="O337" s="147"/>
      <c r="P337" s="146"/>
      <c r="Q337" s="146"/>
      <c r="R337" s="146"/>
      <c r="S337" s="146"/>
      <c r="T337" s="146"/>
      <c r="U337" s="146"/>
      <c r="V337" s="146"/>
      <c r="W337" s="148"/>
      <c r="X337" s="146"/>
      <c r="Y337" s="146"/>
      <c r="Z337" s="146"/>
      <c r="AA337" s="146"/>
      <c r="AB337" s="146"/>
      <c r="AC337" s="146"/>
    </row>
    <row r="338" ht="15.75" customHeight="1">
      <c r="A338" s="146"/>
      <c r="B338" s="146"/>
      <c r="C338" s="146"/>
      <c r="D338" s="146"/>
      <c r="E338" s="146"/>
      <c r="F338" s="146"/>
      <c r="G338" s="146"/>
      <c r="H338" s="146"/>
      <c r="I338" s="146"/>
      <c r="J338" s="146"/>
      <c r="K338" s="146"/>
      <c r="L338" s="146"/>
      <c r="M338" s="146"/>
      <c r="N338" s="146"/>
      <c r="O338" s="147"/>
      <c r="P338" s="146"/>
      <c r="Q338" s="146"/>
      <c r="R338" s="146"/>
      <c r="S338" s="146"/>
      <c r="T338" s="146"/>
      <c r="U338" s="146"/>
      <c r="V338" s="146"/>
      <c r="W338" s="148"/>
      <c r="X338" s="146"/>
      <c r="Y338" s="146"/>
      <c r="Z338" s="146"/>
      <c r="AA338" s="146"/>
      <c r="AB338" s="146"/>
      <c r="AC338" s="146"/>
    </row>
    <row r="339" ht="15.75" customHeight="1">
      <c r="A339" s="146"/>
      <c r="B339" s="146"/>
      <c r="C339" s="146"/>
      <c r="D339" s="146"/>
      <c r="E339" s="146"/>
      <c r="F339" s="146"/>
      <c r="G339" s="146"/>
      <c r="H339" s="146"/>
      <c r="I339" s="146"/>
      <c r="J339" s="146"/>
      <c r="K339" s="146"/>
      <c r="L339" s="146"/>
      <c r="M339" s="146"/>
      <c r="N339" s="146"/>
      <c r="O339" s="147"/>
      <c r="P339" s="146"/>
      <c r="Q339" s="146"/>
      <c r="R339" s="146"/>
      <c r="S339" s="146"/>
      <c r="T339" s="146"/>
      <c r="U339" s="146"/>
      <c r="V339" s="146"/>
      <c r="W339" s="148"/>
      <c r="X339" s="146"/>
      <c r="Y339" s="146"/>
      <c r="Z339" s="146"/>
      <c r="AA339" s="146"/>
      <c r="AB339" s="146"/>
      <c r="AC339" s="146"/>
    </row>
    <row r="340" ht="15.75" customHeight="1">
      <c r="A340" s="146"/>
      <c r="B340" s="146"/>
      <c r="C340" s="146"/>
      <c r="D340" s="146"/>
      <c r="E340" s="146"/>
      <c r="F340" s="146"/>
      <c r="G340" s="146"/>
      <c r="H340" s="146"/>
      <c r="I340" s="146"/>
      <c r="J340" s="146"/>
      <c r="K340" s="146"/>
      <c r="L340" s="146"/>
      <c r="M340" s="146"/>
      <c r="N340" s="146"/>
      <c r="O340" s="147"/>
      <c r="P340" s="146"/>
      <c r="Q340" s="146"/>
      <c r="R340" s="146"/>
      <c r="S340" s="146"/>
      <c r="T340" s="146"/>
      <c r="U340" s="146"/>
      <c r="V340" s="146"/>
      <c r="W340" s="148"/>
      <c r="X340" s="146"/>
      <c r="Y340" s="146"/>
      <c r="Z340" s="146"/>
      <c r="AA340" s="146"/>
      <c r="AB340" s="146"/>
      <c r="AC340" s="146"/>
    </row>
    <row r="341" ht="15.75" customHeight="1">
      <c r="A341" s="146"/>
      <c r="B341" s="146"/>
      <c r="C341" s="146"/>
      <c r="D341" s="146"/>
      <c r="E341" s="146"/>
      <c r="F341" s="146"/>
      <c r="G341" s="146"/>
      <c r="H341" s="146"/>
      <c r="I341" s="146"/>
      <c r="J341" s="146"/>
      <c r="K341" s="146"/>
      <c r="L341" s="146"/>
      <c r="M341" s="146"/>
      <c r="N341" s="146"/>
      <c r="O341" s="147"/>
      <c r="P341" s="146"/>
      <c r="Q341" s="146"/>
      <c r="R341" s="146"/>
      <c r="S341" s="146"/>
      <c r="T341" s="146"/>
      <c r="U341" s="146"/>
      <c r="V341" s="146"/>
      <c r="W341" s="148"/>
      <c r="X341" s="146"/>
      <c r="Y341" s="146"/>
      <c r="Z341" s="146"/>
      <c r="AA341" s="146"/>
      <c r="AB341" s="146"/>
      <c r="AC341" s="146"/>
    </row>
    <row r="342" ht="15.75" customHeight="1">
      <c r="A342" s="146"/>
      <c r="B342" s="146"/>
      <c r="C342" s="146"/>
      <c r="D342" s="146"/>
      <c r="E342" s="146"/>
      <c r="F342" s="146"/>
      <c r="G342" s="146"/>
      <c r="H342" s="146"/>
      <c r="I342" s="146"/>
      <c r="J342" s="146"/>
      <c r="K342" s="146"/>
      <c r="L342" s="146"/>
      <c r="M342" s="146"/>
      <c r="N342" s="146"/>
      <c r="O342" s="147"/>
      <c r="P342" s="146"/>
      <c r="Q342" s="146"/>
      <c r="R342" s="146"/>
      <c r="S342" s="146"/>
      <c r="T342" s="146"/>
      <c r="U342" s="146"/>
      <c r="V342" s="146"/>
      <c r="W342" s="148"/>
      <c r="X342" s="146"/>
      <c r="Y342" s="146"/>
      <c r="Z342" s="146"/>
      <c r="AA342" s="146"/>
      <c r="AB342" s="146"/>
      <c r="AC342" s="146"/>
    </row>
    <row r="343" ht="15.75" customHeight="1">
      <c r="A343" s="146"/>
      <c r="B343" s="146"/>
      <c r="C343" s="146"/>
      <c r="D343" s="146"/>
      <c r="E343" s="146"/>
      <c r="F343" s="146"/>
      <c r="G343" s="146"/>
      <c r="H343" s="146"/>
      <c r="I343" s="146"/>
      <c r="J343" s="146"/>
      <c r="K343" s="146"/>
      <c r="L343" s="146"/>
      <c r="M343" s="146"/>
      <c r="N343" s="146"/>
      <c r="O343" s="147"/>
      <c r="P343" s="146"/>
      <c r="Q343" s="146"/>
      <c r="R343" s="146"/>
      <c r="S343" s="146"/>
      <c r="T343" s="146"/>
      <c r="U343" s="146"/>
      <c r="V343" s="146"/>
      <c r="W343" s="148"/>
      <c r="X343" s="146"/>
      <c r="Y343" s="146"/>
      <c r="Z343" s="146"/>
      <c r="AA343" s="146"/>
      <c r="AB343" s="146"/>
      <c r="AC343" s="146"/>
    </row>
    <row r="344" ht="15.75" customHeight="1">
      <c r="A344" s="146"/>
      <c r="B344" s="146"/>
      <c r="C344" s="146"/>
      <c r="D344" s="146"/>
      <c r="E344" s="146"/>
      <c r="F344" s="146"/>
      <c r="G344" s="146"/>
      <c r="H344" s="146"/>
      <c r="I344" s="146"/>
      <c r="J344" s="146"/>
      <c r="K344" s="146"/>
      <c r="L344" s="146"/>
      <c r="M344" s="146"/>
      <c r="N344" s="146"/>
      <c r="O344" s="147"/>
      <c r="P344" s="146"/>
      <c r="Q344" s="146"/>
      <c r="R344" s="146"/>
      <c r="S344" s="146"/>
      <c r="T344" s="146"/>
      <c r="U344" s="146"/>
      <c r="V344" s="146"/>
      <c r="W344" s="148"/>
      <c r="X344" s="146"/>
      <c r="Y344" s="146"/>
      <c r="Z344" s="146"/>
      <c r="AA344" s="146"/>
      <c r="AB344" s="146"/>
      <c r="AC344" s="146"/>
    </row>
    <row r="345" ht="15.75" customHeight="1">
      <c r="A345" s="146"/>
      <c r="B345" s="146"/>
      <c r="C345" s="146"/>
      <c r="D345" s="146"/>
      <c r="E345" s="146"/>
      <c r="F345" s="146"/>
      <c r="G345" s="146"/>
      <c r="H345" s="146"/>
      <c r="I345" s="146"/>
      <c r="J345" s="146"/>
      <c r="K345" s="146"/>
      <c r="L345" s="146"/>
      <c r="M345" s="146"/>
      <c r="N345" s="146"/>
      <c r="O345" s="147"/>
      <c r="P345" s="146"/>
      <c r="Q345" s="146"/>
      <c r="R345" s="146"/>
      <c r="S345" s="146"/>
      <c r="T345" s="146"/>
      <c r="U345" s="146"/>
      <c r="V345" s="146"/>
      <c r="W345" s="148"/>
      <c r="X345" s="146"/>
      <c r="Y345" s="146"/>
      <c r="Z345" s="146"/>
      <c r="AA345" s="146"/>
      <c r="AB345" s="146"/>
      <c r="AC345" s="146"/>
    </row>
    <row r="346" ht="15.75" customHeight="1">
      <c r="A346" s="146"/>
      <c r="B346" s="146"/>
      <c r="C346" s="146"/>
      <c r="D346" s="146"/>
      <c r="E346" s="146"/>
      <c r="F346" s="146"/>
      <c r="G346" s="146"/>
      <c r="H346" s="146"/>
      <c r="I346" s="146"/>
      <c r="J346" s="146"/>
      <c r="K346" s="146"/>
      <c r="L346" s="146"/>
      <c r="M346" s="146"/>
      <c r="N346" s="146"/>
      <c r="O346" s="147"/>
      <c r="P346" s="146"/>
      <c r="Q346" s="146"/>
      <c r="R346" s="146"/>
      <c r="S346" s="146"/>
      <c r="T346" s="146"/>
      <c r="U346" s="146"/>
      <c r="V346" s="146"/>
      <c r="W346" s="148"/>
      <c r="X346" s="146"/>
      <c r="Y346" s="146"/>
      <c r="Z346" s="146"/>
      <c r="AA346" s="146"/>
      <c r="AB346" s="146"/>
      <c r="AC346" s="146"/>
    </row>
    <row r="347" ht="15.75" customHeight="1">
      <c r="A347" s="146"/>
      <c r="B347" s="146"/>
      <c r="C347" s="146"/>
      <c r="D347" s="146"/>
      <c r="E347" s="146"/>
      <c r="F347" s="146"/>
      <c r="G347" s="146"/>
      <c r="H347" s="146"/>
      <c r="I347" s="146"/>
      <c r="J347" s="146"/>
      <c r="K347" s="146"/>
      <c r="L347" s="146"/>
      <c r="M347" s="146"/>
      <c r="N347" s="146"/>
      <c r="O347" s="147"/>
      <c r="P347" s="146"/>
      <c r="Q347" s="146"/>
      <c r="R347" s="146"/>
      <c r="S347" s="146"/>
      <c r="T347" s="146"/>
      <c r="U347" s="146"/>
      <c r="V347" s="146"/>
      <c r="W347" s="148"/>
      <c r="X347" s="146"/>
      <c r="Y347" s="146"/>
      <c r="Z347" s="146"/>
      <c r="AA347" s="146"/>
      <c r="AB347" s="146"/>
      <c r="AC347" s="146"/>
    </row>
    <row r="348" ht="15.75" customHeight="1">
      <c r="A348" s="146"/>
      <c r="B348" s="146"/>
      <c r="C348" s="146"/>
      <c r="D348" s="146"/>
      <c r="E348" s="146"/>
      <c r="F348" s="146"/>
      <c r="G348" s="146"/>
      <c r="H348" s="146"/>
      <c r="I348" s="146"/>
      <c r="J348" s="146"/>
      <c r="K348" s="146"/>
      <c r="L348" s="146"/>
      <c r="M348" s="146"/>
      <c r="N348" s="146"/>
      <c r="O348" s="147"/>
      <c r="P348" s="146"/>
      <c r="Q348" s="146"/>
      <c r="R348" s="146"/>
      <c r="S348" s="146"/>
      <c r="T348" s="146"/>
      <c r="U348" s="146"/>
      <c r="V348" s="146"/>
      <c r="W348" s="148"/>
      <c r="X348" s="146"/>
      <c r="Y348" s="146"/>
      <c r="Z348" s="146"/>
      <c r="AA348" s="146"/>
      <c r="AB348" s="146"/>
      <c r="AC348" s="146"/>
    </row>
    <row r="349" ht="15.75" customHeight="1">
      <c r="A349" s="146"/>
      <c r="B349" s="146"/>
      <c r="C349" s="146"/>
      <c r="D349" s="146"/>
      <c r="E349" s="146"/>
      <c r="F349" s="146"/>
      <c r="G349" s="146"/>
      <c r="H349" s="146"/>
      <c r="I349" s="146"/>
      <c r="J349" s="146"/>
      <c r="K349" s="146"/>
      <c r="L349" s="146"/>
      <c r="M349" s="146"/>
      <c r="N349" s="146"/>
      <c r="O349" s="147"/>
      <c r="P349" s="146"/>
      <c r="Q349" s="146"/>
      <c r="R349" s="146"/>
      <c r="S349" s="146"/>
      <c r="T349" s="146"/>
      <c r="U349" s="146"/>
      <c r="V349" s="146"/>
      <c r="W349" s="148"/>
      <c r="X349" s="146"/>
      <c r="Y349" s="146"/>
      <c r="Z349" s="146"/>
      <c r="AA349" s="146"/>
      <c r="AB349" s="146"/>
      <c r="AC349" s="146"/>
    </row>
    <row r="350" ht="15.75" customHeight="1">
      <c r="A350" s="146"/>
      <c r="B350" s="146"/>
      <c r="C350" s="146"/>
      <c r="D350" s="146"/>
      <c r="E350" s="146"/>
      <c r="F350" s="146"/>
      <c r="G350" s="146"/>
      <c r="H350" s="146"/>
      <c r="I350" s="146"/>
      <c r="J350" s="146"/>
      <c r="K350" s="146"/>
      <c r="L350" s="146"/>
      <c r="M350" s="146"/>
      <c r="N350" s="146"/>
      <c r="O350" s="147"/>
      <c r="P350" s="146"/>
      <c r="Q350" s="146"/>
      <c r="R350" s="146"/>
      <c r="S350" s="146"/>
      <c r="T350" s="146"/>
      <c r="U350" s="146"/>
      <c r="V350" s="146"/>
      <c r="W350" s="148"/>
      <c r="X350" s="146"/>
      <c r="Y350" s="146"/>
      <c r="Z350" s="146"/>
      <c r="AA350" s="146"/>
      <c r="AB350" s="146"/>
      <c r="AC350" s="146"/>
    </row>
    <row r="351" ht="15.75" customHeight="1">
      <c r="A351" s="146"/>
      <c r="B351" s="146"/>
      <c r="C351" s="146"/>
      <c r="D351" s="146"/>
      <c r="E351" s="146"/>
      <c r="F351" s="146"/>
      <c r="G351" s="146"/>
      <c r="H351" s="146"/>
      <c r="I351" s="146"/>
      <c r="J351" s="146"/>
      <c r="K351" s="146"/>
      <c r="L351" s="146"/>
      <c r="M351" s="146"/>
      <c r="N351" s="146"/>
      <c r="O351" s="147"/>
      <c r="P351" s="146"/>
      <c r="Q351" s="146"/>
      <c r="R351" s="146"/>
      <c r="S351" s="146"/>
      <c r="T351" s="146"/>
      <c r="U351" s="146"/>
      <c r="V351" s="146"/>
      <c r="W351" s="148"/>
      <c r="X351" s="146"/>
      <c r="Y351" s="146"/>
      <c r="Z351" s="146"/>
      <c r="AA351" s="146"/>
      <c r="AB351" s="146"/>
      <c r="AC351" s="146"/>
    </row>
    <row r="352" ht="15.75" customHeight="1">
      <c r="A352" s="146"/>
      <c r="B352" s="146"/>
      <c r="C352" s="146"/>
      <c r="D352" s="146"/>
      <c r="E352" s="146"/>
      <c r="F352" s="146"/>
      <c r="G352" s="146"/>
      <c r="H352" s="146"/>
      <c r="I352" s="146"/>
      <c r="J352" s="146"/>
      <c r="K352" s="146"/>
      <c r="L352" s="146"/>
      <c r="M352" s="146"/>
      <c r="N352" s="146"/>
      <c r="O352" s="147"/>
      <c r="P352" s="146"/>
      <c r="Q352" s="146"/>
      <c r="R352" s="146"/>
      <c r="S352" s="146"/>
      <c r="T352" s="146"/>
      <c r="U352" s="146"/>
      <c r="V352" s="146"/>
      <c r="W352" s="148"/>
      <c r="X352" s="146"/>
      <c r="Y352" s="146"/>
      <c r="Z352" s="146"/>
      <c r="AA352" s="146"/>
      <c r="AB352" s="146"/>
      <c r="AC352" s="146"/>
    </row>
    <row r="353" ht="15.75" customHeight="1">
      <c r="A353" s="146"/>
      <c r="B353" s="146"/>
      <c r="C353" s="146"/>
      <c r="D353" s="146"/>
      <c r="E353" s="146"/>
      <c r="F353" s="146"/>
      <c r="G353" s="146"/>
      <c r="H353" s="146"/>
      <c r="I353" s="146"/>
      <c r="J353" s="146"/>
      <c r="K353" s="146"/>
      <c r="L353" s="146"/>
      <c r="M353" s="146"/>
      <c r="N353" s="146"/>
      <c r="O353" s="147"/>
      <c r="P353" s="146"/>
      <c r="Q353" s="146"/>
      <c r="R353" s="146"/>
      <c r="S353" s="146"/>
      <c r="T353" s="146"/>
      <c r="U353" s="146"/>
      <c r="V353" s="146"/>
      <c r="W353" s="148"/>
      <c r="X353" s="146"/>
      <c r="Y353" s="146"/>
      <c r="Z353" s="146"/>
      <c r="AA353" s="146"/>
      <c r="AB353" s="146"/>
      <c r="AC353" s="146"/>
    </row>
    <row r="354" ht="15.75" customHeight="1">
      <c r="A354" s="146"/>
      <c r="B354" s="146"/>
      <c r="C354" s="146"/>
      <c r="D354" s="146"/>
      <c r="E354" s="146"/>
      <c r="F354" s="146"/>
      <c r="G354" s="146"/>
      <c r="H354" s="146"/>
      <c r="I354" s="146"/>
      <c r="J354" s="146"/>
      <c r="K354" s="146"/>
      <c r="L354" s="146"/>
      <c r="M354" s="146"/>
      <c r="N354" s="146"/>
      <c r="O354" s="147"/>
      <c r="P354" s="146"/>
      <c r="Q354" s="146"/>
      <c r="R354" s="146"/>
      <c r="S354" s="146"/>
      <c r="T354" s="146"/>
      <c r="U354" s="146"/>
      <c r="V354" s="146"/>
      <c r="W354" s="148"/>
      <c r="X354" s="146"/>
      <c r="Y354" s="146"/>
      <c r="Z354" s="146"/>
      <c r="AA354" s="146"/>
      <c r="AB354" s="146"/>
      <c r="AC354" s="146"/>
    </row>
    <row r="355" ht="15.75" customHeight="1">
      <c r="A355" s="146"/>
      <c r="B355" s="146"/>
      <c r="C355" s="146"/>
      <c r="D355" s="146"/>
      <c r="E355" s="146"/>
      <c r="F355" s="146"/>
      <c r="G355" s="146"/>
      <c r="H355" s="146"/>
      <c r="I355" s="146"/>
      <c r="J355" s="146"/>
      <c r="K355" s="146"/>
      <c r="L355" s="146"/>
      <c r="M355" s="146"/>
      <c r="N355" s="146"/>
      <c r="O355" s="147"/>
      <c r="P355" s="146"/>
      <c r="Q355" s="146"/>
      <c r="R355" s="146"/>
      <c r="S355" s="146"/>
      <c r="T355" s="146"/>
      <c r="U355" s="146"/>
      <c r="V355" s="146"/>
      <c r="W355" s="148"/>
      <c r="X355" s="146"/>
      <c r="Y355" s="146"/>
      <c r="Z355" s="146"/>
      <c r="AA355" s="146"/>
      <c r="AB355" s="146"/>
      <c r="AC355" s="146"/>
    </row>
    <row r="356" ht="15.75" customHeight="1">
      <c r="A356" s="146"/>
      <c r="B356" s="146"/>
      <c r="C356" s="146"/>
      <c r="D356" s="146"/>
      <c r="E356" s="146"/>
      <c r="F356" s="146"/>
      <c r="G356" s="146"/>
      <c r="H356" s="146"/>
      <c r="I356" s="146"/>
      <c r="J356" s="146"/>
      <c r="K356" s="146"/>
      <c r="L356" s="146"/>
      <c r="M356" s="146"/>
      <c r="N356" s="146"/>
      <c r="O356" s="147"/>
      <c r="P356" s="146"/>
      <c r="Q356" s="146"/>
      <c r="R356" s="146"/>
      <c r="S356" s="146"/>
      <c r="T356" s="146"/>
      <c r="U356" s="146"/>
      <c r="V356" s="146"/>
      <c r="W356" s="148"/>
      <c r="X356" s="146"/>
      <c r="Y356" s="146"/>
      <c r="Z356" s="146"/>
      <c r="AA356" s="146"/>
      <c r="AB356" s="146"/>
      <c r="AC356" s="146"/>
    </row>
    <row r="357" ht="15.75" customHeight="1">
      <c r="A357" s="146"/>
      <c r="B357" s="146"/>
      <c r="C357" s="146"/>
      <c r="D357" s="146"/>
      <c r="E357" s="146"/>
      <c r="F357" s="146"/>
      <c r="G357" s="146"/>
      <c r="H357" s="146"/>
      <c r="I357" s="146"/>
      <c r="J357" s="146"/>
      <c r="K357" s="146"/>
      <c r="L357" s="146"/>
      <c r="M357" s="146"/>
      <c r="N357" s="146"/>
      <c r="O357" s="147"/>
      <c r="P357" s="146"/>
      <c r="Q357" s="146"/>
      <c r="R357" s="146"/>
      <c r="S357" s="146"/>
      <c r="T357" s="146"/>
      <c r="U357" s="146"/>
      <c r="V357" s="146"/>
      <c r="W357" s="148"/>
      <c r="X357" s="146"/>
      <c r="Y357" s="146"/>
      <c r="Z357" s="146"/>
      <c r="AA357" s="146"/>
      <c r="AB357" s="146"/>
      <c r="AC357" s="146"/>
    </row>
    <row r="358" ht="15.75" customHeight="1">
      <c r="A358" s="146"/>
      <c r="B358" s="146"/>
      <c r="C358" s="146"/>
      <c r="D358" s="146"/>
      <c r="E358" s="146"/>
      <c r="F358" s="146"/>
      <c r="G358" s="146"/>
      <c r="H358" s="146"/>
      <c r="I358" s="146"/>
      <c r="J358" s="146"/>
      <c r="K358" s="146"/>
      <c r="L358" s="146"/>
      <c r="M358" s="146"/>
      <c r="N358" s="146"/>
      <c r="O358" s="147"/>
      <c r="P358" s="146"/>
      <c r="Q358" s="146"/>
      <c r="R358" s="146"/>
      <c r="S358" s="146"/>
      <c r="T358" s="146"/>
      <c r="U358" s="146"/>
      <c r="V358" s="146"/>
      <c r="W358" s="148"/>
      <c r="X358" s="146"/>
      <c r="Y358" s="146"/>
      <c r="Z358" s="146"/>
      <c r="AA358" s="146"/>
      <c r="AB358" s="146"/>
      <c r="AC358" s="146"/>
    </row>
    <row r="359" ht="15.75" customHeight="1">
      <c r="A359" s="146"/>
      <c r="B359" s="146"/>
      <c r="C359" s="146"/>
      <c r="D359" s="146"/>
      <c r="E359" s="146"/>
      <c r="F359" s="146"/>
      <c r="G359" s="146"/>
      <c r="H359" s="146"/>
      <c r="I359" s="146"/>
      <c r="J359" s="146"/>
      <c r="K359" s="146"/>
      <c r="L359" s="146"/>
      <c r="M359" s="146"/>
      <c r="N359" s="146"/>
      <c r="O359" s="147"/>
      <c r="P359" s="146"/>
      <c r="Q359" s="146"/>
      <c r="R359" s="146"/>
      <c r="S359" s="146"/>
      <c r="T359" s="146"/>
      <c r="U359" s="146"/>
      <c r="V359" s="146"/>
      <c r="W359" s="148"/>
      <c r="X359" s="146"/>
      <c r="Y359" s="146"/>
      <c r="Z359" s="146"/>
      <c r="AA359" s="146"/>
      <c r="AB359" s="146"/>
      <c r="AC359" s="146"/>
    </row>
    <row r="360" ht="15.75" customHeight="1">
      <c r="A360" s="146"/>
      <c r="B360" s="146"/>
      <c r="C360" s="146"/>
      <c r="D360" s="146"/>
      <c r="E360" s="146"/>
      <c r="F360" s="146"/>
      <c r="G360" s="146"/>
      <c r="H360" s="146"/>
      <c r="I360" s="146"/>
      <c r="J360" s="146"/>
      <c r="K360" s="146"/>
      <c r="L360" s="146"/>
      <c r="M360" s="146"/>
      <c r="N360" s="146"/>
      <c r="O360" s="147"/>
      <c r="P360" s="146"/>
      <c r="Q360" s="146"/>
      <c r="R360" s="146"/>
      <c r="S360" s="146"/>
      <c r="T360" s="146"/>
      <c r="U360" s="146"/>
      <c r="V360" s="146"/>
      <c r="W360" s="148"/>
      <c r="X360" s="146"/>
      <c r="Y360" s="146"/>
      <c r="Z360" s="146"/>
      <c r="AA360" s="146"/>
      <c r="AB360" s="146"/>
      <c r="AC360" s="146"/>
    </row>
    <row r="361" ht="15.75" customHeight="1">
      <c r="A361" s="146"/>
      <c r="B361" s="146"/>
      <c r="C361" s="146"/>
      <c r="D361" s="146"/>
      <c r="E361" s="146"/>
      <c r="F361" s="146"/>
      <c r="G361" s="146"/>
      <c r="H361" s="146"/>
      <c r="I361" s="146"/>
      <c r="J361" s="146"/>
      <c r="K361" s="146"/>
      <c r="L361" s="146"/>
      <c r="M361" s="146"/>
      <c r="N361" s="146"/>
      <c r="O361" s="147"/>
      <c r="P361" s="146"/>
      <c r="Q361" s="146"/>
      <c r="R361" s="146"/>
      <c r="S361" s="146"/>
      <c r="T361" s="146"/>
      <c r="U361" s="146"/>
      <c r="V361" s="146"/>
      <c r="W361" s="148"/>
      <c r="X361" s="146"/>
      <c r="Y361" s="146"/>
      <c r="Z361" s="146"/>
      <c r="AA361" s="146"/>
      <c r="AB361" s="146"/>
      <c r="AC361" s="146"/>
    </row>
    <row r="362" ht="15.75" customHeight="1">
      <c r="A362" s="146"/>
      <c r="B362" s="146"/>
      <c r="C362" s="146"/>
      <c r="D362" s="146"/>
      <c r="E362" s="146"/>
      <c r="F362" s="146"/>
      <c r="G362" s="146"/>
      <c r="H362" s="146"/>
      <c r="I362" s="146"/>
      <c r="J362" s="146"/>
      <c r="K362" s="146"/>
      <c r="L362" s="146"/>
      <c r="M362" s="146"/>
      <c r="N362" s="146"/>
      <c r="O362" s="147"/>
      <c r="P362" s="146"/>
      <c r="Q362" s="146"/>
      <c r="R362" s="146"/>
      <c r="S362" s="146"/>
      <c r="T362" s="146"/>
      <c r="U362" s="146"/>
      <c r="V362" s="146"/>
      <c r="W362" s="148"/>
      <c r="X362" s="146"/>
      <c r="Y362" s="146"/>
      <c r="Z362" s="146"/>
      <c r="AA362" s="146"/>
      <c r="AB362" s="146"/>
      <c r="AC362" s="146"/>
    </row>
    <row r="363" ht="15.75" customHeight="1">
      <c r="A363" s="146"/>
      <c r="B363" s="146"/>
      <c r="C363" s="146"/>
      <c r="D363" s="146"/>
      <c r="E363" s="146"/>
      <c r="F363" s="146"/>
      <c r="G363" s="146"/>
      <c r="H363" s="146"/>
      <c r="I363" s="146"/>
      <c r="J363" s="146"/>
      <c r="K363" s="146"/>
      <c r="L363" s="146"/>
      <c r="M363" s="146"/>
      <c r="N363" s="146"/>
      <c r="O363" s="147"/>
      <c r="P363" s="146"/>
      <c r="Q363" s="146"/>
      <c r="R363" s="146"/>
      <c r="S363" s="146"/>
      <c r="T363" s="146"/>
      <c r="U363" s="146"/>
      <c r="V363" s="146"/>
      <c r="W363" s="148"/>
      <c r="X363" s="146"/>
      <c r="Y363" s="146"/>
      <c r="Z363" s="146"/>
      <c r="AA363" s="146"/>
      <c r="AB363" s="146"/>
      <c r="AC363" s="146"/>
    </row>
    <row r="364" ht="15.75" customHeight="1">
      <c r="A364" s="146"/>
      <c r="B364" s="146"/>
      <c r="C364" s="146"/>
      <c r="D364" s="146"/>
      <c r="E364" s="146"/>
      <c r="F364" s="146"/>
      <c r="G364" s="146"/>
      <c r="H364" s="146"/>
      <c r="I364" s="146"/>
      <c r="J364" s="146"/>
      <c r="K364" s="146"/>
      <c r="L364" s="146"/>
      <c r="M364" s="146"/>
      <c r="N364" s="146"/>
      <c r="O364" s="147"/>
      <c r="P364" s="146"/>
      <c r="Q364" s="146"/>
      <c r="R364" s="146"/>
      <c r="S364" s="146"/>
      <c r="T364" s="146"/>
      <c r="U364" s="146"/>
      <c r="V364" s="146"/>
      <c r="W364" s="148"/>
      <c r="X364" s="146"/>
      <c r="Y364" s="146"/>
      <c r="Z364" s="146"/>
      <c r="AA364" s="146"/>
      <c r="AB364" s="146"/>
      <c r="AC364" s="146"/>
    </row>
    <row r="365" ht="15.75" customHeight="1">
      <c r="A365" s="146"/>
      <c r="B365" s="146"/>
      <c r="C365" s="146"/>
      <c r="D365" s="146"/>
      <c r="E365" s="146"/>
      <c r="F365" s="146"/>
      <c r="G365" s="146"/>
      <c r="H365" s="146"/>
      <c r="I365" s="146"/>
      <c r="J365" s="146"/>
      <c r="K365" s="146"/>
      <c r="L365" s="146"/>
      <c r="M365" s="146"/>
      <c r="N365" s="146"/>
      <c r="O365" s="147"/>
      <c r="P365" s="146"/>
      <c r="Q365" s="146"/>
      <c r="R365" s="146"/>
      <c r="S365" s="146"/>
      <c r="T365" s="146"/>
      <c r="U365" s="146"/>
      <c r="V365" s="146"/>
      <c r="W365" s="148"/>
      <c r="X365" s="146"/>
      <c r="Y365" s="146"/>
      <c r="Z365" s="146"/>
      <c r="AA365" s="146"/>
      <c r="AB365" s="146"/>
      <c r="AC365" s="146"/>
    </row>
    <row r="366" ht="15.75" customHeight="1">
      <c r="A366" s="146"/>
      <c r="B366" s="146"/>
      <c r="C366" s="146"/>
      <c r="D366" s="146"/>
      <c r="E366" s="146"/>
      <c r="F366" s="146"/>
      <c r="G366" s="146"/>
      <c r="H366" s="146"/>
      <c r="I366" s="146"/>
      <c r="J366" s="146"/>
      <c r="K366" s="146"/>
      <c r="L366" s="146"/>
      <c r="M366" s="146"/>
      <c r="N366" s="146"/>
      <c r="O366" s="147"/>
      <c r="P366" s="146"/>
      <c r="Q366" s="146"/>
      <c r="R366" s="146"/>
      <c r="S366" s="146"/>
      <c r="T366" s="146"/>
      <c r="U366" s="146"/>
      <c r="V366" s="146"/>
      <c r="W366" s="148"/>
      <c r="X366" s="146"/>
      <c r="Y366" s="146"/>
      <c r="Z366" s="146"/>
      <c r="AA366" s="146"/>
      <c r="AB366" s="146"/>
      <c r="AC366" s="146"/>
    </row>
    <row r="367" ht="15.75" customHeight="1">
      <c r="A367" s="146"/>
      <c r="B367" s="146"/>
      <c r="C367" s="146"/>
      <c r="D367" s="146"/>
      <c r="E367" s="146"/>
      <c r="F367" s="146"/>
      <c r="G367" s="146"/>
      <c r="H367" s="146"/>
      <c r="I367" s="146"/>
      <c r="J367" s="146"/>
      <c r="K367" s="146"/>
      <c r="L367" s="146"/>
      <c r="M367" s="146"/>
      <c r="N367" s="146"/>
      <c r="O367" s="147"/>
      <c r="P367" s="146"/>
      <c r="Q367" s="146"/>
      <c r="R367" s="146"/>
      <c r="S367" s="146"/>
      <c r="T367" s="146"/>
      <c r="U367" s="146"/>
      <c r="V367" s="146"/>
      <c r="W367" s="148"/>
      <c r="X367" s="146"/>
      <c r="Y367" s="146"/>
      <c r="Z367" s="146"/>
      <c r="AA367" s="146"/>
      <c r="AB367" s="146"/>
      <c r="AC367" s="146"/>
    </row>
    <row r="368" ht="15.75" customHeight="1">
      <c r="A368" s="146"/>
      <c r="B368" s="146"/>
      <c r="C368" s="146"/>
      <c r="D368" s="146"/>
      <c r="E368" s="146"/>
      <c r="F368" s="146"/>
      <c r="G368" s="146"/>
      <c r="H368" s="146"/>
      <c r="I368" s="146"/>
      <c r="J368" s="146"/>
      <c r="K368" s="146"/>
      <c r="L368" s="146"/>
      <c r="M368" s="146"/>
      <c r="N368" s="146"/>
      <c r="O368" s="147"/>
      <c r="P368" s="146"/>
      <c r="Q368" s="146"/>
      <c r="R368" s="146"/>
      <c r="S368" s="146"/>
      <c r="T368" s="146"/>
      <c r="U368" s="146"/>
      <c r="V368" s="146"/>
      <c r="W368" s="148"/>
      <c r="X368" s="146"/>
      <c r="Y368" s="146"/>
      <c r="Z368" s="146"/>
      <c r="AA368" s="146"/>
      <c r="AB368" s="146"/>
      <c r="AC368" s="146"/>
    </row>
    <row r="369" ht="15.75" customHeight="1">
      <c r="A369" s="146"/>
      <c r="B369" s="146"/>
      <c r="C369" s="146"/>
      <c r="D369" s="146"/>
      <c r="E369" s="146"/>
      <c r="F369" s="146"/>
      <c r="G369" s="146"/>
      <c r="H369" s="146"/>
      <c r="I369" s="146"/>
      <c r="J369" s="146"/>
      <c r="K369" s="146"/>
      <c r="L369" s="146"/>
      <c r="M369" s="146"/>
      <c r="N369" s="146"/>
      <c r="O369" s="147"/>
      <c r="P369" s="146"/>
      <c r="Q369" s="146"/>
      <c r="R369" s="146"/>
      <c r="S369" s="146"/>
      <c r="T369" s="146"/>
      <c r="U369" s="146"/>
      <c r="V369" s="146"/>
      <c r="W369" s="148"/>
      <c r="X369" s="146"/>
      <c r="Y369" s="146"/>
      <c r="Z369" s="146"/>
      <c r="AA369" s="146"/>
      <c r="AB369" s="146"/>
      <c r="AC369" s="146"/>
    </row>
    <row r="370" ht="15.75" customHeight="1">
      <c r="A370" s="146"/>
      <c r="B370" s="146"/>
      <c r="C370" s="146"/>
      <c r="D370" s="146"/>
      <c r="E370" s="146"/>
      <c r="F370" s="146"/>
      <c r="G370" s="146"/>
      <c r="H370" s="146"/>
      <c r="I370" s="146"/>
      <c r="J370" s="146"/>
      <c r="K370" s="146"/>
      <c r="L370" s="146"/>
      <c r="M370" s="146"/>
      <c r="N370" s="146"/>
      <c r="O370" s="147"/>
      <c r="P370" s="146"/>
      <c r="Q370" s="146"/>
      <c r="R370" s="146"/>
      <c r="S370" s="146"/>
      <c r="T370" s="146"/>
      <c r="U370" s="146"/>
      <c r="V370" s="146"/>
      <c r="W370" s="148"/>
      <c r="X370" s="146"/>
      <c r="Y370" s="146"/>
      <c r="Z370" s="146"/>
      <c r="AA370" s="146"/>
      <c r="AB370" s="146"/>
      <c r="AC370" s="146"/>
    </row>
    <row r="371" ht="15.75" customHeight="1">
      <c r="A371" s="146"/>
      <c r="B371" s="146"/>
      <c r="C371" s="146"/>
      <c r="D371" s="146"/>
      <c r="E371" s="146"/>
      <c r="F371" s="146"/>
      <c r="G371" s="146"/>
      <c r="H371" s="146"/>
      <c r="I371" s="146"/>
      <c r="J371" s="146"/>
      <c r="K371" s="146"/>
      <c r="L371" s="146"/>
      <c r="M371" s="146"/>
      <c r="N371" s="146"/>
      <c r="O371" s="147"/>
      <c r="P371" s="146"/>
      <c r="Q371" s="146"/>
      <c r="R371" s="146"/>
      <c r="S371" s="146"/>
      <c r="T371" s="146"/>
      <c r="U371" s="146"/>
      <c r="V371" s="146"/>
      <c r="W371" s="148"/>
      <c r="X371" s="146"/>
      <c r="Y371" s="146"/>
      <c r="Z371" s="146"/>
      <c r="AA371" s="146"/>
      <c r="AB371" s="146"/>
      <c r="AC371" s="146"/>
    </row>
    <row r="372" ht="15.75" customHeight="1">
      <c r="A372" s="146"/>
      <c r="B372" s="146"/>
      <c r="C372" s="146"/>
      <c r="D372" s="146"/>
      <c r="E372" s="146"/>
      <c r="F372" s="146"/>
      <c r="G372" s="146"/>
      <c r="H372" s="146"/>
      <c r="I372" s="146"/>
      <c r="J372" s="146"/>
      <c r="K372" s="146"/>
      <c r="L372" s="146"/>
      <c r="M372" s="146"/>
      <c r="N372" s="146"/>
      <c r="O372" s="147"/>
      <c r="P372" s="146"/>
      <c r="Q372" s="146"/>
      <c r="R372" s="146"/>
      <c r="S372" s="146"/>
      <c r="T372" s="146"/>
      <c r="U372" s="146"/>
      <c r="V372" s="146"/>
      <c r="W372" s="148"/>
      <c r="X372" s="146"/>
      <c r="Y372" s="146"/>
      <c r="Z372" s="146"/>
      <c r="AA372" s="146"/>
      <c r="AB372" s="146"/>
      <c r="AC372" s="146"/>
    </row>
    <row r="373" ht="15.75" customHeight="1">
      <c r="A373" s="146"/>
      <c r="B373" s="146"/>
      <c r="C373" s="146"/>
      <c r="D373" s="146"/>
      <c r="E373" s="146"/>
      <c r="F373" s="146"/>
      <c r="G373" s="146"/>
      <c r="H373" s="146"/>
      <c r="I373" s="146"/>
      <c r="J373" s="146"/>
      <c r="K373" s="146"/>
      <c r="L373" s="146"/>
      <c r="M373" s="146"/>
      <c r="N373" s="146"/>
      <c r="O373" s="147"/>
      <c r="P373" s="146"/>
      <c r="Q373" s="146"/>
      <c r="R373" s="146"/>
      <c r="S373" s="146"/>
      <c r="T373" s="146"/>
      <c r="U373" s="146"/>
      <c r="V373" s="146"/>
      <c r="W373" s="148"/>
      <c r="X373" s="146"/>
      <c r="Y373" s="146"/>
      <c r="Z373" s="146"/>
      <c r="AA373" s="146"/>
      <c r="AB373" s="146"/>
      <c r="AC373" s="146"/>
    </row>
    <row r="374" ht="15.75" customHeight="1">
      <c r="A374" s="146"/>
      <c r="B374" s="146"/>
      <c r="C374" s="146"/>
      <c r="D374" s="146"/>
      <c r="E374" s="146"/>
      <c r="F374" s="146"/>
      <c r="G374" s="146"/>
      <c r="H374" s="146"/>
      <c r="I374" s="146"/>
      <c r="J374" s="146"/>
      <c r="K374" s="146"/>
      <c r="L374" s="146"/>
      <c r="M374" s="146"/>
      <c r="N374" s="146"/>
      <c r="O374" s="147"/>
      <c r="P374" s="146"/>
      <c r="Q374" s="146"/>
      <c r="R374" s="146"/>
      <c r="S374" s="146"/>
      <c r="T374" s="146"/>
      <c r="U374" s="146"/>
      <c r="V374" s="146"/>
      <c r="W374" s="148"/>
      <c r="X374" s="146"/>
      <c r="Y374" s="146"/>
      <c r="Z374" s="146"/>
      <c r="AA374" s="146"/>
      <c r="AB374" s="146"/>
      <c r="AC374" s="146"/>
    </row>
    <row r="375" ht="15.75" customHeight="1">
      <c r="A375" s="146"/>
      <c r="B375" s="146"/>
      <c r="C375" s="146"/>
      <c r="D375" s="146"/>
      <c r="E375" s="146"/>
      <c r="F375" s="146"/>
      <c r="G375" s="146"/>
      <c r="H375" s="146"/>
      <c r="I375" s="146"/>
      <c r="J375" s="146"/>
      <c r="K375" s="146"/>
      <c r="L375" s="146"/>
      <c r="M375" s="146"/>
      <c r="N375" s="146"/>
      <c r="O375" s="147"/>
      <c r="P375" s="146"/>
      <c r="Q375" s="146"/>
      <c r="R375" s="146"/>
      <c r="S375" s="146"/>
      <c r="T375" s="146"/>
      <c r="U375" s="146"/>
      <c r="V375" s="146"/>
      <c r="W375" s="148"/>
      <c r="X375" s="146"/>
      <c r="Y375" s="146"/>
      <c r="Z375" s="146"/>
      <c r="AA375" s="146"/>
      <c r="AB375" s="146"/>
      <c r="AC375" s="146"/>
    </row>
    <row r="376" ht="15.75" customHeight="1">
      <c r="A376" s="146"/>
      <c r="B376" s="146"/>
      <c r="C376" s="146"/>
      <c r="D376" s="146"/>
      <c r="E376" s="146"/>
      <c r="F376" s="146"/>
      <c r="G376" s="146"/>
      <c r="H376" s="146"/>
      <c r="I376" s="146"/>
      <c r="J376" s="146"/>
      <c r="K376" s="146"/>
      <c r="L376" s="146"/>
      <c r="M376" s="146"/>
      <c r="N376" s="146"/>
      <c r="O376" s="147"/>
      <c r="P376" s="146"/>
      <c r="Q376" s="146"/>
      <c r="R376" s="146"/>
      <c r="S376" s="146"/>
      <c r="T376" s="146"/>
      <c r="U376" s="146"/>
      <c r="V376" s="146"/>
      <c r="W376" s="148"/>
      <c r="X376" s="146"/>
      <c r="Y376" s="146"/>
      <c r="Z376" s="146"/>
      <c r="AA376" s="146"/>
      <c r="AB376" s="146"/>
      <c r="AC376" s="146"/>
    </row>
    <row r="377" ht="15.75" customHeight="1">
      <c r="A377" s="146"/>
      <c r="B377" s="146"/>
      <c r="C377" s="146"/>
      <c r="D377" s="146"/>
      <c r="E377" s="146"/>
      <c r="F377" s="146"/>
      <c r="G377" s="146"/>
      <c r="H377" s="146"/>
      <c r="I377" s="146"/>
      <c r="J377" s="146"/>
      <c r="K377" s="146"/>
      <c r="L377" s="146"/>
      <c r="M377" s="146"/>
      <c r="N377" s="146"/>
      <c r="O377" s="147"/>
      <c r="P377" s="146"/>
      <c r="Q377" s="146"/>
      <c r="R377" s="146"/>
      <c r="S377" s="146"/>
      <c r="T377" s="146"/>
      <c r="U377" s="146"/>
      <c r="V377" s="146"/>
      <c r="W377" s="148"/>
      <c r="X377" s="146"/>
      <c r="Y377" s="146"/>
      <c r="Z377" s="146"/>
      <c r="AA377" s="146"/>
      <c r="AB377" s="146"/>
      <c r="AC377" s="146"/>
    </row>
    <row r="378" ht="15.75" customHeight="1">
      <c r="A378" s="146"/>
      <c r="B378" s="146"/>
      <c r="C378" s="146"/>
      <c r="D378" s="146"/>
      <c r="E378" s="146"/>
      <c r="F378" s="146"/>
      <c r="G378" s="146"/>
      <c r="H378" s="146"/>
      <c r="I378" s="146"/>
      <c r="J378" s="146"/>
      <c r="K378" s="146"/>
      <c r="L378" s="146"/>
      <c r="M378" s="146"/>
      <c r="N378" s="146"/>
      <c r="O378" s="147"/>
      <c r="P378" s="146"/>
      <c r="Q378" s="146"/>
      <c r="R378" s="146"/>
      <c r="S378" s="146"/>
      <c r="T378" s="146"/>
      <c r="U378" s="146"/>
      <c r="V378" s="146"/>
      <c r="W378" s="148"/>
      <c r="X378" s="146"/>
      <c r="Y378" s="146"/>
      <c r="Z378" s="146"/>
      <c r="AA378" s="146"/>
      <c r="AB378" s="146"/>
      <c r="AC378" s="146"/>
    </row>
    <row r="379" ht="15.75" customHeight="1">
      <c r="A379" s="146"/>
      <c r="B379" s="146"/>
      <c r="C379" s="146"/>
      <c r="D379" s="146"/>
      <c r="E379" s="146"/>
      <c r="F379" s="146"/>
      <c r="G379" s="146"/>
      <c r="H379" s="146"/>
      <c r="I379" s="146"/>
      <c r="J379" s="146"/>
      <c r="K379" s="146"/>
      <c r="L379" s="146"/>
      <c r="M379" s="146"/>
      <c r="N379" s="146"/>
      <c r="O379" s="147"/>
      <c r="P379" s="146"/>
      <c r="Q379" s="146"/>
      <c r="R379" s="146"/>
      <c r="S379" s="146"/>
      <c r="T379" s="146"/>
      <c r="U379" s="146"/>
      <c r="V379" s="146"/>
      <c r="W379" s="148"/>
      <c r="X379" s="146"/>
      <c r="Y379" s="146"/>
      <c r="Z379" s="146"/>
      <c r="AA379" s="146"/>
      <c r="AB379" s="146"/>
      <c r="AC379" s="146"/>
    </row>
    <row r="380" ht="15.75" customHeight="1">
      <c r="A380" s="146"/>
      <c r="B380" s="146"/>
      <c r="C380" s="146"/>
      <c r="D380" s="146"/>
      <c r="E380" s="146"/>
      <c r="F380" s="146"/>
      <c r="G380" s="146"/>
      <c r="H380" s="146"/>
      <c r="I380" s="146"/>
      <c r="J380" s="146"/>
      <c r="K380" s="146"/>
      <c r="L380" s="146"/>
      <c r="M380" s="146"/>
      <c r="N380" s="146"/>
      <c r="O380" s="147"/>
      <c r="P380" s="146"/>
      <c r="Q380" s="146"/>
      <c r="R380" s="146"/>
      <c r="S380" s="146"/>
      <c r="T380" s="146"/>
      <c r="U380" s="146"/>
      <c r="V380" s="146"/>
      <c r="W380" s="148"/>
      <c r="X380" s="146"/>
      <c r="Y380" s="146"/>
      <c r="Z380" s="146"/>
      <c r="AA380" s="146"/>
      <c r="AB380" s="146"/>
      <c r="AC380" s="146"/>
    </row>
    <row r="381" ht="15.75" customHeight="1">
      <c r="A381" s="146"/>
      <c r="B381" s="146"/>
      <c r="C381" s="146"/>
      <c r="D381" s="146"/>
      <c r="E381" s="146"/>
      <c r="F381" s="146"/>
      <c r="G381" s="146"/>
      <c r="H381" s="146"/>
      <c r="I381" s="146"/>
      <c r="J381" s="146"/>
      <c r="K381" s="146"/>
      <c r="L381" s="146"/>
      <c r="M381" s="146"/>
      <c r="N381" s="146"/>
      <c r="O381" s="147"/>
      <c r="P381" s="146"/>
      <c r="Q381" s="146"/>
      <c r="R381" s="146"/>
      <c r="S381" s="146"/>
      <c r="T381" s="146"/>
      <c r="U381" s="146"/>
      <c r="V381" s="146"/>
      <c r="W381" s="148"/>
      <c r="X381" s="146"/>
      <c r="Y381" s="146"/>
      <c r="Z381" s="146"/>
      <c r="AA381" s="146"/>
      <c r="AB381" s="146"/>
      <c r="AC381" s="146"/>
    </row>
    <row r="382" ht="15.75" customHeight="1">
      <c r="A382" s="146"/>
      <c r="B382" s="146"/>
      <c r="C382" s="146"/>
      <c r="D382" s="146"/>
      <c r="E382" s="146"/>
      <c r="F382" s="146"/>
      <c r="G382" s="146"/>
      <c r="H382" s="146"/>
      <c r="I382" s="146"/>
      <c r="J382" s="146"/>
      <c r="K382" s="146"/>
      <c r="L382" s="146"/>
      <c r="M382" s="146"/>
      <c r="N382" s="146"/>
      <c r="O382" s="147"/>
      <c r="P382" s="146"/>
      <c r="Q382" s="146"/>
      <c r="R382" s="146"/>
      <c r="S382" s="146"/>
      <c r="T382" s="146"/>
      <c r="U382" s="146"/>
      <c r="V382" s="146"/>
      <c r="W382" s="148"/>
      <c r="X382" s="146"/>
      <c r="Y382" s="146"/>
      <c r="Z382" s="146"/>
      <c r="AA382" s="146"/>
      <c r="AB382" s="146"/>
      <c r="AC382" s="146"/>
    </row>
    <row r="383" ht="15.75" customHeight="1">
      <c r="A383" s="146"/>
      <c r="B383" s="146"/>
      <c r="C383" s="146"/>
      <c r="D383" s="146"/>
      <c r="E383" s="146"/>
      <c r="F383" s="146"/>
      <c r="G383" s="146"/>
      <c r="H383" s="146"/>
      <c r="I383" s="146"/>
      <c r="J383" s="146"/>
      <c r="K383" s="146"/>
      <c r="L383" s="146"/>
      <c r="M383" s="146"/>
      <c r="N383" s="146"/>
      <c r="O383" s="147"/>
      <c r="P383" s="146"/>
      <c r="Q383" s="146"/>
      <c r="R383" s="146"/>
      <c r="S383" s="146"/>
      <c r="T383" s="146"/>
      <c r="U383" s="146"/>
      <c r="V383" s="146"/>
      <c r="W383" s="148"/>
      <c r="X383" s="146"/>
      <c r="Y383" s="146"/>
      <c r="Z383" s="146"/>
      <c r="AA383" s="146"/>
      <c r="AB383" s="146"/>
      <c r="AC383" s="146"/>
    </row>
    <row r="384" ht="15.75" customHeight="1">
      <c r="A384" s="146"/>
      <c r="B384" s="146"/>
      <c r="C384" s="146"/>
      <c r="D384" s="146"/>
      <c r="E384" s="146"/>
      <c r="F384" s="146"/>
      <c r="G384" s="146"/>
      <c r="H384" s="146"/>
      <c r="I384" s="146"/>
      <c r="J384" s="146"/>
      <c r="K384" s="146"/>
      <c r="L384" s="146"/>
      <c r="M384" s="146"/>
      <c r="N384" s="146"/>
      <c r="O384" s="147"/>
      <c r="P384" s="146"/>
      <c r="Q384" s="146"/>
      <c r="R384" s="146"/>
      <c r="S384" s="146"/>
      <c r="T384" s="146"/>
      <c r="U384" s="146"/>
      <c r="V384" s="146"/>
      <c r="W384" s="148"/>
      <c r="X384" s="146"/>
      <c r="Y384" s="146"/>
      <c r="Z384" s="146"/>
      <c r="AA384" s="146"/>
      <c r="AB384" s="146"/>
      <c r="AC384" s="146"/>
    </row>
    <row r="385" ht="15.75" customHeight="1">
      <c r="A385" s="146"/>
      <c r="B385" s="146"/>
      <c r="C385" s="146"/>
      <c r="D385" s="146"/>
      <c r="E385" s="146"/>
      <c r="F385" s="146"/>
      <c r="G385" s="146"/>
      <c r="H385" s="146"/>
      <c r="I385" s="146"/>
      <c r="J385" s="146"/>
      <c r="K385" s="146"/>
      <c r="L385" s="146"/>
      <c r="M385" s="146"/>
      <c r="N385" s="146"/>
      <c r="O385" s="147"/>
      <c r="P385" s="146"/>
      <c r="Q385" s="146"/>
      <c r="R385" s="146"/>
      <c r="S385" s="146"/>
      <c r="T385" s="146"/>
      <c r="U385" s="146"/>
      <c r="V385" s="146"/>
      <c r="W385" s="148"/>
      <c r="X385" s="146"/>
      <c r="Y385" s="146"/>
      <c r="Z385" s="146"/>
      <c r="AA385" s="146"/>
      <c r="AB385" s="146"/>
      <c r="AC385" s="146"/>
    </row>
    <row r="386" ht="15.75" customHeight="1">
      <c r="A386" s="146"/>
      <c r="B386" s="146"/>
      <c r="C386" s="146"/>
      <c r="D386" s="146"/>
      <c r="E386" s="146"/>
      <c r="F386" s="146"/>
      <c r="G386" s="146"/>
      <c r="H386" s="146"/>
      <c r="I386" s="146"/>
      <c r="J386" s="146"/>
      <c r="K386" s="146"/>
      <c r="L386" s="146"/>
      <c r="M386" s="146"/>
      <c r="N386" s="146"/>
      <c r="O386" s="147"/>
      <c r="P386" s="146"/>
      <c r="Q386" s="146"/>
      <c r="R386" s="146"/>
      <c r="S386" s="146"/>
      <c r="T386" s="146"/>
      <c r="U386" s="146"/>
      <c r="V386" s="146"/>
      <c r="W386" s="148"/>
      <c r="X386" s="146"/>
      <c r="Y386" s="146"/>
      <c r="Z386" s="146"/>
      <c r="AA386" s="146"/>
      <c r="AB386" s="146"/>
      <c r="AC386" s="146"/>
    </row>
    <row r="387" ht="15.75" customHeight="1">
      <c r="A387" s="146"/>
      <c r="B387" s="146"/>
      <c r="C387" s="146"/>
      <c r="D387" s="146"/>
      <c r="E387" s="146"/>
      <c r="F387" s="146"/>
      <c r="G387" s="146"/>
      <c r="H387" s="146"/>
      <c r="I387" s="146"/>
      <c r="J387" s="146"/>
      <c r="K387" s="146"/>
      <c r="L387" s="146"/>
      <c r="M387" s="146"/>
      <c r="N387" s="146"/>
      <c r="O387" s="147"/>
      <c r="P387" s="146"/>
      <c r="Q387" s="146"/>
      <c r="R387" s="146"/>
      <c r="S387" s="146"/>
      <c r="T387" s="146"/>
      <c r="U387" s="146"/>
      <c r="V387" s="146"/>
      <c r="W387" s="148"/>
      <c r="X387" s="146"/>
      <c r="Y387" s="146"/>
      <c r="Z387" s="146"/>
      <c r="AA387" s="146"/>
      <c r="AB387" s="146"/>
      <c r="AC387" s="146"/>
    </row>
    <row r="388" ht="15.75" customHeight="1">
      <c r="A388" s="146"/>
      <c r="B388" s="146"/>
      <c r="C388" s="146"/>
      <c r="D388" s="146"/>
      <c r="E388" s="146"/>
      <c r="F388" s="146"/>
      <c r="G388" s="146"/>
      <c r="H388" s="146"/>
      <c r="I388" s="146"/>
      <c r="J388" s="146"/>
      <c r="K388" s="146"/>
      <c r="L388" s="146"/>
      <c r="M388" s="146"/>
      <c r="N388" s="146"/>
      <c r="O388" s="147"/>
      <c r="P388" s="146"/>
      <c r="Q388" s="146"/>
      <c r="R388" s="146"/>
      <c r="S388" s="146"/>
      <c r="T388" s="146"/>
      <c r="U388" s="146"/>
      <c r="V388" s="146"/>
      <c r="W388" s="148"/>
      <c r="X388" s="146"/>
      <c r="Y388" s="146"/>
      <c r="Z388" s="146"/>
      <c r="AA388" s="146"/>
      <c r="AB388" s="146"/>
      <c r="AC388" s="146"/>
    </row>
    <row r="389" ht="15.75" customHeight="1">
      <c r="A389" s="146"/>
      <c r="B389" s="146"/>
      <c r="C389" s="146"/>
      <c r="D389" s="146"/>
      <c r="E389" s="146"/>
      <c r="F389" s="146"/>
      <c r="G389" s="146"/>
      <c r="H389" s="146"/>
      <c r="I389" s="146"/>
      <c r="J389" s="146"/>
      <c r="K389" s="146"/>
      <c r="L389" s="146"/>
      <c r="M389" s="146"/>
      <c r="N389" s="146"/>
      <c r="O389" s="147"/>
      <c r="P389" s="146"/>
      <c r="Q389" s="146"/>
      <c r="R389" s="146"/>
      <c r="S389" s="146"/>
      <c r="T389" s="146"/>
      <c r="U389" s="146"/>
      <c r="V389" s="146"/>
      <c r="W389" s="148"/>
      <c r="X389" s="146"/>
      <c r="Y389" s="146"/>
      <c r="Z389" s="146"/>
      <c r="AA389" s="146"/>
      <c r="AB389" s="146"/>
      <c r="AC389" s="146"/>
    </row>
    <row r="390" ht="15.75" customHeight="1">
      <c r="A390" s="146"/>
      <c r="B390" s="146"/>
      <c r="C390" s="146"/>
      <c r="D390" s="146"/>
      <c r="E390" s="146"/>
      <c r="F390" s="146"/>
      <c r="G390" s="146"/>
      <c r="H390" s="146"/>
      <c r="I390" s="146"/>
      <c r="J390" s="146"/>
      <c r="K390" s="146"/>
      <c r="L390" s="146"/>
      <c r="M390" s="146"/>
      <c r="N390" s="146"/>
      <c r="O390" s="147"/>
      <c r="P390" s="146"/>
      <c r="Q390" s="146"/>
      <c r="R390" s="146"/>
      <c r="S390" s="146"/>
      <c r="T390" s="146"/>
      <c r="U390" s="146"/>
      <c r="V390" s="146"/>
      <c r="W390" s="148"/>
      <c r="X390" s="146"/>
      <c r="Y390" s="146"/>
      <c r="Z390" s="146"/>
      <c r="AA390" s="146"/>
      <c r="AB390" s="146"/>
      <c r="AC390" s="146"/>
    </row>
    <row r="391" ht="15.75" customHeight="1">
      <c r="A391" s="146"/>
      <c r="B391" s="146"/>
      <c r="C391" s="146"/>
      <c r="D391" s="146"/>
      <c r="E391" s="146"/>
      <c r="F391" s="146"/>
      <c r="G391" s="146"/>
      <c r="H391" s="146"/>
      <c r="I391" s="146"/>
      <c r="J391" s="146"/>
      <c r="K391" s="146"/>
      <c r="L391" s="146"/>
      <c r="M391" s="146"/>
      <c r="N391" s="146"/>
      <c r="O391" s="147"/>
      <c r="P391" s="146"/>
      <c r="Q391" s="146"/>
      <c r="R391" s="146"/>
      <c r="S391" s="146"/>
      <c r="T391" s="146"/>
      <c r="U391" s="146"/>
      <c r="V391" s="146"/>
      <c r="W391" s="148"/>
      <c r="X391" s="146"/>
      <c r="Y391" s="146"/>
      <c r="Z391" s="146"/>
      <c r="AA391" s="146"/>
      <c r="AB391" s="146"/>
      <c r="AC391" s="146"/>
    </row>
    <row r="392" ht="15.75" customHeight="1">
      <c r="A392" s="146"/>
      <c r="B392" s="146"/>
      <c r="C392" s="146"/>
      <c r="D392" s="146"/>
      <c r="E392" s="146"/>
      <c r="F392" s="146"/>
      <c r="G392" s="146"/>
      <c r="H392" s="146"/>
      <c r="I392" s="146"/>
      <c r="J392" s="146"/>
      <c r="K392" s="146"/>
      <c r="L392" s="146"/>
      <c r="M392" s="146"/>
      <c r="N392" s="146"/>
      <c r="O392" s="147"/>
      <c r="P392" s="146"/>
      <c r="Q392" s="146"/>
      <c r="R392" s="146"/>
      <c r="S392" s="146"/>
      <c r="T392" s="146"/>
      <c r="U392" s="146"/>
      <c r="V392" s="146"/>
      <c r="W392" s="148"/>
      <c r="X392" s="146"/>
      <c r="Y392" s="146"/>
      <c r="Z392" s="146"/>
      <c r="AA392" s="146"/>
      <c r="AB392" s="146"/>
      <c r="AC392" s="146"/>
    </row>
    <row r="393" ht="15.75" customHeight="1">
      <c r="A393" s="146"/>
      <c r="B393" s="146"/>
      <c r="C393" s="146"/>
      <c r="D393" s="146"/>
      <c r="E393" s="146"/>
      <c r="F393" s="146"/>
      <c r="G393" s="146"/>
      <c r="H393" s="146"/>
      <c r="I393" s="146"/>
      <c r="J393" s="146"/>
      <c r="K393" s="146"/>
      <c r="L393" s="146"/>
      <c r="M393" s="146"/>
      <c r="N393" s="146"/>
      <c r="O393" s="147"/>
      <c r="P393" s="146"/>
      <c r="Q393" s="146"/>
      <c r="R393" s="146"/>
      <c r="S393" s="146"/>
      <c r="T393" s="146"/>
      <c r="U393" s="146"/>
      <c r="V393" s="146"/>
      <c r="W393" s="148"/>
      <c r="X393" s="146"/>
      <c r="Y393" s="146"/>
      <c r="Z393" s="146"/>
      <c r="AA393" s="146"/>
      <c r="AB393" s="146"/>
      <c r="AC393" s="146"/>
    </row>
    <row r="394" ht="15.75" customHeight="1">
      <c r="A394" s="146"/>
      <c r="B394" s="146"/>
      <c r="C394" s="146"/>
      <c r="D394" s="146"/>
      <c r="E394" s="146"/>
      <c r="F394" s="146"/>
      <c r="G394" s="146"/>
      <c r="H394" s="146"/>
      <c r="I394" s="146"/>
      <c r="J394" s="146"/>
      <c r="K394" s="146"/>
      <c r="L394" s="146"/>
      <c r="M394" s="146"/>
      <c r="N394" s="146"/>
      <c r="O394" s="147"/>
      <c r="P394" s="146"/>
      <c r="Q394" s="146"/>
      <c r="R394" s="146"/>
      <c r="S394" s="146"/>
      <c r="T394" s="146"/>
      <c r="U394" s="146"/>
      <c r="V394" s="146"/>
      <c r="W394" s="148"/>
      <c r="X394" s="146"/>
      <c r="Y394" s="146"/>
      <c r="Z394" s="146"/>
      <c r="AA394" s="146"/>
      <c r="AB394" s="146"/>
      <c r="AC394" s="146"/>
    </row>
    <row r="395" ht="15.75" customHeight="1">
      <c r="A395" s="146"/>
      <c r="B395" s="146"/>
      <c r="C395" s="146"/>
      <c r="D395" s="146"/>
      <c r="E395" s="146"/>
      <c r="F395" s="146"/>
      <c r="G395" s="146"/>
      <c r="H395" s="146"/>
      <c r="I395" s="146"/>
      <c r="J395" s="146"/>
      <c r="K395" s="146"/>
      <c r="L395" s="146"/>
      <c r="M395" s="146"/>
      <c r="N395" s="146"/>
      <c r="O395" s="147"/>
      <c r="P395" s="146"/>
      <c r="Q395" s="146"/>
      <c r="R395" s="146"/>
      <c r="S395" s="146"/>
      <c r="T395" s="146"/>
      <c r="U395" s="146"/>
      <c r="V395" s="146"/>
      <c r="W395" s="148"/>
      <c r="X395" s="146"/>
      <c r="Y395" s="146"/>
      <c r="Z395" s="146"/>
      <c r="AA395" s="146"/>
      <c r="AB395" s="146"/>
      <c r="AC395" s="146"/>
    </row>
    <row r="396" ht="15.75" customHeight="1">
      <c r="A396" s="146"/>
      <c r="B396" s="146"/>
      <c r="C396" s="146"/>
      <c r="D396" s="146"/>
      <c r="E396" s="146"/>
      <c r="F396" s="146"/>
      <c r="G396" s="146"/>
      <c r="H396" s="146"/>
      <c r="I396" s="146"/>
      <c r="J396" s="146"/>
      <c r="K396" s="146"/>
      <c r="L396" s="146"/>
      <c r="M396" s="146"/>
      <c r="N396" s="146"/>
      <c r="O396" s="147"/>
      <c r="P396" s="146"/>
      <c r="Q396" s="146"/>
      <c r="R396" s="146"/>
      <c r="S396" s="146"/>
      <c r="T396" s="146"/>
      <c r="U396" s="146"/>
      <c r="V396" s="146"/>
      <c r="W396" s="148"/>
      <c r="X396" s="146"/>
      <c r="Y396" s="146"/>
      <c r="Z396" s="146"/>
      <c r="AA396" s="146"/>
      <c r="AB396" s="146"/>
      <c r="AC396" s="146"/>
    </row>
    <row r="397" ht="15.75" customHeight="1">
      <c r="A397" s="146"/>
      <c r="B397" s="146"/>
      <c r="C397" s="146"/>
      <c r="D397" s="146"/>
      <c r="E397" s="146"/>
      <c r="F397" s="146"/>
      <c r="G397" s="146"/>
      <c r="H397" s="146"/>
      <c r="I397" s="146"/>
      <c r="J397" s="146"/>
      <c r="K397" s="146"/>
      <c r="L397" s="146"/>
      <c r="M397" s="146"/>
      <c r="N397" s="146"/>
      <c r="O397" s="147"/>
      <c r="P397" s="146"/>
      <c r="Q397" s="146"/>
      <c r="R397" s="146"/>
      <c r="S397" s="146"/>
      <c r="T397" s="146"/>
      <c r="U397" s="146"/>
      <c r="V397" s="146"/>
      <c r="W397" s="148"/>
      <c r="X397" s="146"/>
      <c r="Y397" s="146"/>
      <c r="Z397" s="146"/>
      <c r="AA397" s="146"/>
      <c r="AB397" s="146"/>
      <c r="AC397" s="146"/>
    </row>
    <row r="398" ht="15.75" customHeight="1">
      <c r="A398" s="146"/>
      <c r="B398" s="146"/>
      <c r="C398" s="146"/>
      <c r="D398" s="146"/>
      <c r="E398" s="146"/>
      <c r="F398" s="146"/>
      <c r="G398" s="146"/>
      <c r="H398" s="146"/>
      <c r="I398" s="146"/>
      <c r="J398" s="146"/>
      <c r="K398" s="146"/>
      <c r="L398" s="146"/>
      <c r="M398" s="146"/>
      <c r="N398" s="146"/>
      <c r="O398" s="147"/>
      <c r="P398" s="146"/>
      <c r="Q398" s="146"/>
      <c r="R398" s="146"/>
      <c r="S398" s="146"/>
      <c r="T398" s="146"/>
      <c r="U398" s="146"/>
      <c r="V398" s="146"/>
      <c r="W398" s="148"/>
      <c r="X398" s="146"/>
      <c r="Y398" s="146"/>
      <c r="Z398" s="146"/>
      <c r="AA398" s="146"/>
      <c r="AB398" s="146"/>
      <c r="AC398" s="146"/>
    </row>
    <row r="399" ht="15.75" customHeight="1">
      <c r="A399" s="146"/>
      <c r="B399" s="146"/>
      <c r="C399" s="146"/>
      <c r="D399" s="146"/>
      <c r="E399" s="146"/>
      <c r="F399" s="146"/>
      <c r="G399" s="146"/>
      <c r="H399" s="146"/>
      <c r="I399" s="146"/>
      <c r="J399" s="146"/>
      <c r="K399" s="146"/>
      <c r="L399" s="146"/>
      <c r="M399" s="146"/>
      <c r="N399" s="146"/>
      <c r="O399" s="147"/>
      <c r="P399" s="146"/>
      <c r="Q399" s="146"/>
      <c r="R399" s="146"/>
      <c r="S399" s="146"/>
      <c r="T399" s="146"/>
      <c r="U399" s="146"/>
      <c r="V399" s="146"/>
      <c r="W399" s="148"/>
      <c r="X399" s="146"/>
      <c r="Y399" s="146"/>
      <c r="Z399" s="146"/>
      <c r="AA399" s="146"/>
      <c r="AB399" s="146"/>
      <c r="AC399" s="146"/>
    </row>
    <row r="400" ht="15.75" customHeight="1">
      <c r="A400" s="146"/>
      <c r="B400" s="146"/>
      <c r="C400" s="146"/>
      <c r="D400" s="146"/>
      <c r="E400" s="146"/>
      <c r="F400" s="146"/>
      <c r="G400" s="146"/>
      <c r="H400" s="146"/>
      <c r="I400" s="146"/>
      <c r="J400" s="146"/>
      <c r="K400" s="146"/>
      <c r="L400" s="146"/>
      <c r="M400" s="146"/>
      <c r="N400" s="146"/>
      <c r="O400" s="147"/>
      <c r="P400" s="146"/>
      <c r="Q400" s="146"/>
      <c r="R400" s="146"/>
      <c r="S400" s="146"/>
      <c r="T400" s="146"/>
      <c r="U400" s="146"/>
      <c r="V400" s="146"/>
      <c r="W400" s="148"/>
      <c r="X400" s="146"/>
      <c r="Y400" s="146"/>
      <c r="Z400" s="146"/>
      <c r="AA400" s="146"/>
      <c r="AB400" s="146"/>
      <c r="AC400" s="146"/>
    </row>
    <row r="401" ht="15.75" customHeight="1">
      <c r="A401" s="146"/>
      <c r="B401" s="146"/>
      <c r="C401" s="146"/>
      <c r="D401" s="146"/>
      <c r="E401" s="146"/>
      <c r="F401" s="146"/>
      <c r="G401" s="146"/>
      <c r="H401" s="146"/>
      <c r="I401" s="146"/>
      <c r="J401" s="146"/>
      <c r="K401" s="146"/>
      <c r="L401" s="146"/>
      <c r="M401" s="146"/>
      <c r="N401" s="146"/>
      <c r="O401" s="147"/>
      <c r="P401" s="146"/>
      <c r="Q401" s="146"/>
      <c r="R401" s="146"/>
      <c r="S401" s="146"/>
      <c r="T401" s="146"/>
      <c r="U401" s="146"/>
      <c r="V401" s="146"/>
      <c r="W401" s="148"/>
      <c r="X401" s="146"/>
      <c r="Y401" s="146"/>
      <c r="Z401" s="146"/>
      <c r="AA401" s="146"/>
      <c r="AB401" s="146"/>
      <c r="AC401" s="146"/>
    </row>
    <row r="402" ht="15.75" customHeight="1">
      <c r="A402" s="146"/>
      <c r="B402" s="146"/>
      <c r="C402" s="146"/>
      <c r="D402" s="146"/>
      <c r="E402" s="146"/>
      <c r="F402" s="146"/>
      <c r="G402" s="146"/>
      <c r="H402" s="146"/>
      <c r="I402" s="146"/>
      <c r="J402" s="146"/>
      <c r="K402" s="146"/>
      <c r="L402" s="146"/>
      <c r="M402" s="146"/>
      <c r="N402" s="146"/>
      <c r="O402" s="147"/>
      <c r="P402" s="146"/>
      <c r="Q402" s="146"/>
      <c r="R402" s="146"/>
      <c r="S402" s="146"/>
      <c r="T402" s="146"/>
      <c r="U402" s="146"/>
      <c r="V402" s="146"/>
      <c r="W402" s="148"/>
      <c r="X402" s="146"/>
      <c r="Y402" s="146"/>
      <c r="Z402" s="146"/>
      <c r="AA402" s="146"/>
      <c r="AB402" s="146"/>
      <c r="AC402" s="146"/>
    </row>
    <row r="403" ht="15.75" customHeight="1">
      <c r="A403" s="146"/>
      <c r="B403" s="146"/>
      <c r="C403" s="146"/>
      <c r="D403" s="146"/>
      <c r="E403" s="146"/>
      <c r="F403" s="146"/>
      <c r="G403" s="146"/>
      <c r="H403" s="146"/>
      <c r="I403" s="146"/>
      <c r="J403" s="146"/>
      <c r="K403" s="146"/>
      <c r="L403" s="146"/>
      <c r="M403" s="146"/>
      <c r="N403" s="146"/>
      <c r="O403" s="147"/>
      <c r="P403" s="146"/>
      <c r="Q403" s="146"/>
      <c r="R403" s="146"/>
      <c r="S403" s="146"/>
      <c r="T403" s="146"/>
      <c r="U403" s="146"/>
      <c r="V403" s="146"/>
      <c r="W403" s="148"/>
      <c r="X403" s="146"/>
      <c r="Y403" s="146"/>
      <c r="Z403" s="146"/>
      <c r="AA403" s="146"/>
      <c r="AB403" s="146"/>
      <c r="AC403" s="146"/>
    </row>
    <row r="404" ht="15.75" customHeight="1">
      <c r="A404" s="146"/>
      <c r="B404" s="146"/>
      <c r="C404" s="146"/>
      <c r="D404" s="146"/>
      <c r="E404" s="146"/>
      <c r="F404" s="146"/>
      <c r="G404" s="146"/>
      <c r="H404" s="146"/>
      <c r="I404" s="146"/>
      <c r="J404" s="146"/>
      <c r="K404" s="146"/>
      <c r="L404" s="146"/>
      <c r="M404" s="146"/>
      <c r="N404" s="146"/>
      <c r="O404" s="147"/>
      <c r="P404" s="146"/>
      <c r="Q404" s="146"/>
      <c r="R404" s="146"/>
      <c r="S404" s="146"/>
      <c r="T404" s="146"/>
      <c r="U404" s="146"/>
      <c r="V404" s="146"/>
      <c r="W404" s="148"/>
      <c r="X404" s="146"/>
      <c r="Y404" s="146"/>
      <c r="Z404" s="146"/>
      <c r="AA404" s="146"/>
      <c r="AB404" s="146"/>
      <c r="AC404" s="146"/>
    </row>
    <row r="405" ht="15.75" customHeight="1">
      <c r="A405" s="146"/>
      <c r="B405" s="146"/>
      <c r="C405" s="146"/>
      <c r="D405" s="146"/>
      <c r="E405" s="146"/>
      <c r="F405" s="146"/>
      <c r="G405" s="146"/>
      <c r="H405" s="146"/>
      <c r="I405" s="146"/>
      <c r="J405" s="146"/>
      <c r="K405" s="146"/>
      <c r="L405" s="146"/>
      <c r="M405" s="146"/>
      <c r="N405" s="146"/>
      <c r="O405" s="147"/>
      <c r="P405" s="146"/>
      <c r="Q405" s="146"/>
      <c r="R405" s="146"/>
      <c r="S405" s="146"/>
      <c r="T405" s="146"/>
      <c r="U405" s="146"/>
      <c r="V405" s="146"/>
      <c r="W405" s="148"/>
      <c r="X405" s="146"/>
      <c r="Y405" s="146"/>
      <c r="Z405" s="146"/>
      <c r="AA405" s="146"/>
      <c r="AB405" s="146"/>
      <c r="AC405" s="146"/>
    </row>
    <row r="406" ht="15.75" customHeight="1">
      <c r="A406" s="146"/>
      <c r="B406" s="146"/>
      <c r="C406" s="146"/>
      <c r="D406" s="146"/>
      <c r="E406" s="146"/>
      <c r="F406" s="146"/>
      <c r="G406" s="146"/>
      <c r="H406" s="146"/>
      <c r="I406" s="146"/>
      <c r="J406" s="146"/>
      <c r="K406" s="146"/>
      <c r="L406" s="146"/>
      <c r="M406" s="146"/>
      <c r="N406" s="146"/>
      <c r="O406" s="147"/>
      <c r="P406" s="146"/>
      <c r="Q406" s="146"/>
      <c r="R406" s="146"/>
      <c r="S406" s="146"/>
      <c r="T406" s="146"/>
      <c r="U406" s="146"/>
      <c r="V406" s="146"/>
      <c r="W406" s="148"/>
      <c r="X406" s="146"/>
      <c r="Y406" s="146"/>
      <c r="Z406" s="146"/>
      <c r="AA406" s="146"/>
      <c r="AB406" s="146"/>
      <c r="AC406" s="146"/>
    </row>
    <row r="407" ht="15.75" customHeight="1">
      <c r="A407" s="146"/>
      <c r="B407" s="146"/>
      <c r="C407" s="146"/>
      <c r="D407" s="146"/>
      <c r="E407" s="146"/>
      <c r="F407" s="146"/>
      <c r="G407" s="146"/>
      <c r="H407" s="146"/>
      <c r="I407" s="146"/>
      <c r="J407" s="146"/>
      <c r="K407" s="146"/>
      <c r="L407" s="146"/>
      <c r="M407" s="146"/>
      <c r="N407" s="146"/>
      <c r="O407" s="147"/>
      <c r="P407" s="146"/>
      <c r="Q407" s="146"/>
      <c r="R407" s="146"/>
      <c r="S407" s="146"/>
      <c r="T407" s="146"/>
      <c r="U407" s="146"/>
      <c r="V407" s="146"/>
      <c r="W407" s="148"/>
      <c r="X407" s="146"/>
      <c r="Y407" s="146"/>
      <c r="Z407" s="146"/>
      <c r="AA407" s="146"/>
      <c r="AB407" s="146"/>
      <c r="AC407" s="146"/>
    </row>
    <row r="408" ht="15.75" customHeight="1">
      <c r="A408" s="146"/>
      <c r="B408" s="146"/>
      <c r="C408" s="146"/>
      <c r="D408" s="146"/>
      <c r="E408" s="146"/>
      <c r="F408" s="146"/>
      <c r="G408" s="146"/>
      <c r="H408" s="146"/>
      <c r="I408" s="146"/>
      <c r="J408" s="146"/>
      <c r="K408" s="146"/>
      <c r="L408" s="146"/>
      <c r="M408" s="146"/>
      <c r="N408" s="146"/>
      <c r="O408" s="147"/>
      <c r="P408" s="146"/>
      <c r="Q408" s="146"/>
      <c r="R408" s="146"/>
      <c r="S408" s="146"/>
      <c r="T408" s="146"/>
      <c r="U408" s="146"/>
      <c r="V408" s="146"/>
      <c r="W408" s="148"/>
      <c r="X408" s="146"/>
      <c r="Y408" s="146"/>
      <c r="Z408" s="146"/>
      <c r="AA408" s="146"/>
      <c r="AB408" s="146"/>
      <c r="AC408" s="146"/>
    </row>
    <row r="409" ht="15.75" customHeight="1">
      <c r="A409" s="146"/>
      <c r="B409" s="146"/>
      <c r="C409" s="146"/>
      <c r="D409" s="146"/>
      <c r="E409" s="146"/>
      <c r="F409" s="146"/>
      <c r="G409" s="146"/>
      <c r="H409" s="146"/>
      <c r="I409" s="146"/>
      <c r="J409" s="146"/>
      <c r="K409" s="146"/>
      <c r="L409" s="146"/>
      <c r="M409" s="146"/>
      <c r="N409" s="146"/>
      <c r="O409" s="147"/>
      <c r="P409" s="146"/>
      <c r="Q409" s="146"/>
      <c r="R409" s="146"/>
      <c r="S409" s="146"/>
      <c r="T409" s="146"/>
      <c r="U409" s="146"/>
      <c r="V409" s="146"/>
      <c r="W409" s="148"/>
      <c r="X409" s="146"/>
      <c r="Y409" s="146"/>
      <c r="Z409" s="146"/>
      <c r="AA409" s="146"/>
      <c r="AB409" s="146"/>
      <c r="AC409" s="146"/>
    </row>
    <row r="410" ht="15.75" customHeight="1">
      <c r="A410" s="146"/>
      <c r="B410" s="146"/>
      <c r="C410" s="146"/>
      <c r="D410" s="146"/>
      <c r="E410" s="146"/>
      <c r="F410" s="146"/>
      <c r="G410" s="146"/>
      <c r="H410" s="146"/>
      <c r="I410" s="146"/>
      <c r="J410" s="146"/>
      <c r="K410" s="146"/>
      <c r="L410" s="146"/>
      <c r="M410" s="146"/>
      <c r="N410" s="146"/>
      <c r="O410" s="147"/>
      <c r="P410" s="146"/>
      <c r="Q410" s="146"/>
      <c r="R410" s="146"/>
      <c r="S410" s="146"/>
      <c r="T410" s="146"/>
      <c r="U410" s="146"/>
      <c r="V410" s="146"/>
      <c r="W410" s="148"/>
      <c r="X410" s="146"/>
      <c r="Y410" s="146"/>
      <c r="Z410" s="146"/>
      <c r="AA410" s="146"/>
      <c r="AB410" s="146"/>
      <c r="AC410" s="146"/>
    </row>
    <row r="411" ht="15.75" customHeight="1">
      <c r="A411" s="146"/>
      <c r="B411" s="146"/>
      <c r="C411" s="146"/>
      <c r="D411" s="146"/>
      <c r="E411" s="146"/>
      <c r="F411" s="146"/>
      <c r="G411" s="146"/>
      <c r="H411" s="146"/>
      <c r="I411" s="146"/>
      <c r="J411" s="146"/>
      <c r="K411" s="146"/>
      <c r="L411" s="146"/>
      <c r="M411" s="146"/>
      <c r="N411" s="146"/>
      <c r="O411" s="147"/>
      <c r="P411" s="146"/>
      <c r="Q411" s="146"/>
      <c r="R411" s="146"/>
      <c r="S411" s="146"/>
      <c r="T411" s="146"/>
      <c r="U411" s="146"/>
      <c r="V411" s="146"/>
      <c r="W411" s="148"/>
      <c r="X411" s="146"/>
      <c r="Y411" s="146"/>
      <c r="Z411" s="146"/>
      <c r="AA411" s="146"/>
      <c r="AB411" s="146"/>
      <c r="AC411" s="146"/>
    </row>
    <row r="412" ht="15.75" customHeight="1">
      <c r="A412" s="146"/>
      <c r="B412" s="146"/>
      <c r="C412" s="146"/>
      <c r="D412" s="146"/>
      <c r="E412" s="146"/>
      <c r="F412" s="146"/>
      <c r="G412" s="146"/>
      <c r="H412" s="146"/>
      <c r="I412" s="146"/>
      <c r="J412" s="146"/>
      <c r="K412" s="146"/>
      <c r="L412" s="146"/>
      <c r="M412" s="146"/>
      <c r="N412" s="146"/>
      <c r="O412" s="147"/>
      <c r="P412" s="146"/>
      <c r="Q412" s="146"/>
      <c r="R412" s="146"/>
      <c r="S412" s="146"/>
      <c r="T412" s="146"/>
      <c r="U412" s="146"/>
      <c r="V412" s="146"/>
      <c r="W412" s="148"/>
      <c r="X412" s="146"/>
      <c r="Y412" s="146"/>
      <c r="Z412" s="146"/>
      <c r="AA412" s="146"/>
      <c r="AB412" s="146"/>
      <c r="AC412" s="146"/>
    </row>
    <row r="413" ht="15.75" customHeight="1">
      <c r="A413" s="146"/>
      <c r="B413" s="146"/>
      <c r="C413" s="146"/>
      <c r="D413" s="146"/>
      <c r="E413" s="146"/>
      <c r="F413" s="146"/>
      <c r="G413" s="146"/>
      <c r="H413" s="146"/>
      <c r="I413" s="146"/>
      <c r="J413" s="146"/>
      <c r="K413" s="146"/>
      <c r="L413" s="146"/>
      <c r="M413" s="146"/>
      <c r="N413" s="146"/>
      <c r="O413" s="147"/>
      <c r="P413" s="146"/>
      <c r="Q413" s="146"/>
      <c r="R413" s="146"/>
      <c r="S413" s="146"/>
      <c r="T413" s="146"/>
      <c r="U413" s="146"/>
      <c r="V413" s="146"/>
      <c r="W413" s="148"/>
      <c r="X413" s="146"/>
      <c r="Y413" s="146"/>
      <c r="Z413" s="146"/>
      <c r="AA413" s="146"/>
      <c r="AB413" s="146"/>
      <c r="AC413" s="146"/>
    </row>
    <row r="414" ht="15.75" customHeight="1">
      <c r="A414" s="146"/>
      <c r="B414" s="146"/>
      <c r="C414" s="146"/>
      <c r="D414" s="146"/>
      <c r="E414" s="146"/>
      <c r="F414" s="146"/>
      <c r="G414" s="146"/>
      <c r="H414" s="146"/>
      <c r="I414" s="146"/>
      <c r="J414" s="146"/>
      <c r="K414" s="146"/>
      <c r="L414" s="146"/>
      <c r="M414" s="146"/>
      <c r="N414" s="146"/>
      <c r="O414" s="147"/>
      <c r="P414" s="146"/>
      <c r="Q414" s="146"/>
      <c r="R414" s="146"/>
      <c r="S414" s="146"/>
      <c r="T414" s="146"/>
      <c r="U414" s="146"/>
      <c r="V414" s="146"/>
      <c r="W414" s="148"/>
      <c r="X414" s="146"/>
      <c r="Y414" s="146"/>
      <c r="Z414" s="146"/>
      <c r="AA414" s="146"/>
      <c r="AB414" s="146"/>
      <c r="AC414" s="146"/>
    </row>
    <row r="415" ht="15.75" customHeight="1">
      <c r="A415" s="146"/>
      <c r="B415" s="146"/>
      <c r="C415" s="146"/>
      <c r="D415" s="146"/>
      <c r="E415" s="146"/>
      <c r="F415" s="146"/>
      <c r="G415" s="146"/>
      <c r="H415" s="146"/>
      <c r="I415" s="146"/>
      <c r="J415" s="146"/>
      <c r="K415" s="146"/>
      <c r="L415" s="146"/>
      <c r="M415" s="146"/>
      <c r="N415" s="146"/>
      <c r="O415" s="147"/>
      <c r="P415" s="146"/>
      <c r="Q415" s="146"/>
      <c r="R415" s="146"/>
      <c r="S415" s="146"/>
      <c r="T415" s="146"/>
      <c r="U415" s="146"/>
      <c r="V415" s="146"/>
      <c r="W415" s="148"/>
      <c r="X415" s="146"/>
      <c r="Y415" s="146"/>
      <c r="Z415" s="146"/>
      <c r="AA415" s="146"/>
      <c r="AB415" s="146"/>
      <c r="AC415" s="146"/>
    </row>
    <row r="416" ht="15.75" customHeight="1">
      <c r="A416" s="146"/>
      <c r="B416" s="146"/>
      <c r="C416" s="146"/>
      <c r="D416" s="146"/>
      <c r="E416" s="146"/>
      <c r="F416" s="146"/>
      <c r="G416" s="146"/>
      <c r="H416" s="146"/>
      <c r="I416" s="146"/>
      <c r="J416" s="146"/>
      <c r="K416" s="146"/>
      <c r="L416" s="146"/>
      <c r="M416" s="146"/>
      <c r="N416" s="146"/>
      <c r="O416" s="147"/>
      <c r="P416" s="146"/>
      <c r="Q416" s="146"/>
      <c r="R416" s="146"/>
      <c r="S416" s="146"/>
      <c r="T416" s="146"/>
      <c r="U416" s="146"/>
      <c r="V416" s="146"/>
      <c r="W416" s="148"/>
      <c r="X416" s="146"/>
      <c r="Y416" s="146"/>
      <c r="Z416" s="146"/>
      <c r="AA416" s="146"/>
      <c r="AB416" s="146"/>
      <c r="AC416" s="146"/>
    </row>
    <row r="417" ht="15.75" customHeight="1">
      <c r="A417" s="146"/>
      <c r="B417" s="146"/>
      <c r="C417" s="146"/>
      <c r="D417" s="146"/>
      <c r="E417" s="146"/>
      <c r="F417" s="146"/>
      <c r="G417" s="146"/>
      <c r="H417" s="146"/>
      <c r="I417" s="146"/>
      <c r="J417" s="146"/>
      <c r="K417" s="146"/>
      <c r="L417" s="146"/>
      <c r="M417" s="146"/>
      <c r="N417" s="146"/>
      <c r="O417" s="147"/>
      <c r="P417" s="146"/>
      <c r="Q417" s="146"/>
      <c r="R417" s="146"/>
      <c r="S417" s="146"/>
      <c r="T417" s="146"/>
      <c r="U417" s="146"/>
      <c r="V417" s="146"/>
      <c r="W417" s="148"/>
      <c r="X417" s="146"/>
      <c r="Y417" s="146"/>
      <c r="Z417" s="146"/>
      <c r="AA417" s="146"/>
      <c r="AB417" s="146"/>
      <c r="AC417" s="146"/>
    </row>
    <row r="418" ht="15.75" customHeight="1">
      <c r="A418" s="146"/>
      <c r="B418" s="146"/>
      <c r="C418" s="146"/>
      <c r="D418" s="146"/>
      <c r="E418" s="146"/>
      <c r="F418" s="146"/>
      <c r="G418" s="146"/>
      <c r="H418" s="146"/>
      <c r="I418" s="146"/>
      <c r="J418" s="146"/>
      <c r="K418" s="146"/>
      <c r="L418" s="146"/>
      <c r="M418" s="146"/>
      <c r="N418" s="146"/>
      <c r="O418" s="147"/>
      <c r="P418" s="146"/>
      <c r="Q418" s="146"/>
      <c r="R418" s="146"/>
      <c r="S418" s="146"/>
      <c r="T418" s="146"/>
      <c r="U418" s="146"/>
      <c r="V418" s="146"/>
      <c r="W418" s="148"/>
      <c r="X418" s="146"/>
      <c r="Y418" s="146"/>
      <c r="Z418" s="146"/>
      <c r="AA418" s="146"/>
      <c r="AB418" s="146"/>
      <c r="AC418" s="146"/>
    </row>
    <row r="419" ht="15.75" customHeight="1">
      <c r="A419" s="146"/>
      <c r="B419" s="146"/>
      <c r="C419" s="146"/>
      <c r="D419" s="146"/>
      <c r="E419" s="146"/>
      <c r="F419" s="146"/>
      <c r="G419" s="146"/>
      <c r="H419" s="146"/>
      <c r="I419" s="146"/>
      <c r="J419" s="146"/>
      <c r="K419" s="146"/>
      <c r="L419" s="146"/>
      <c r="M419" s="146"/>
      <c r="N419" s="146"/>
      <c r="O419" s="147"/>
      <c r="P419" s="146"/>
      <c r="Q419" s="146"/>
      <c r="R419" s="146"/>
      <c r="S419" s="146"/>
      <c r="T419" s="146"/>
      <c r="U419" s="146"/>
      <c r="V419" s="146"/>
      <c r="W419" s="148"/>
      <c r="X419" s="146"/>
      <c r="Y419" s="146"/>
      <c r="Z419" s="146"/>
      <c r="AA419" s="146"/>
      <c r="AB419" s="146"/>
      <c r="AC419" s="146"/>
    </row>
    <row r="420" ht="15.75" customHeight="1">
      <c r="A420" s="146"/>
      <c r="B420" s="146"/>
      <c r="C420" s="146"/>
      <c r="D420" s="146"/>
      <c r="E420" s="146"/>
      <c r="F420" s="146"/>
      <c r="G420" s="146"/>
      <c r="H420" s="146"/>
      <c r="I420" s="146"/>
      <c r="J420" s="146"/>
      <c r="K420" s="146"/>
      <c r="L420" s="146"/>
      <c r="M420" s="146"/>
      <c r="N420" s="146"/>
      <c r="O420" s="147"/>
      <c r="P420" s="146"/>
      <c r="Q420" s="146"/>
      <c r="R420" s="146"/>
      <c r="S420" s="146"/>
      <c r="T420" s="146"/>
      <c r="U420" s="146"/>
      <c r="V420" s="146"/>
      <c r="W420" s="148"/>
      <c r="X420" s="146"/>
      <c r="Y420" s="146"/>
      <c r="Z420" s="146"/>
      <c r="AA420" s="146"/>
      <c r="AB420" s="146"/>
      <c r="AC420" s="146"/>
    </row>
    <row r="421" ht="15.75" customHeight="1">
      <c r="A421" s="146"/>
      <c r="B421" s="146"/>
      <c r="C421" s="146"/>
      <c r="D421" s="146"/>
      <c r="E421" s="146"/>
      <c r="F421" s="146"/>
      <c r="G421" s="146"/>
      <c r="H421" s="146"/>
      <c r="I421" s="146"/>
      <c r="J421" s="146"/>
      <c r="K421" s="146"/>
      <c r="L421" s="146"/>
      <c r="M421" s="146"/>
      <c r="N421" s="146"/>
      <c r="O421" s="147"/>
      <c r="P421" s="146"/>
      <c r="Q421" s="146"/>
      <c r="R421" s="146"/>
      <c r="S421" s="146"/>
      <c r="T421" s="146"/>
      <c r="U421" s="146"/>
      <c r="V421" s="146"/>
      <c r="W421" s="148"/>
      <c r="X421" s="146"/>
      <c r="Y421" s="146"/>
      <c r="Z421" s="146"/>
      <c r="AA421" s="146"/>
      <c r="AB421" s="146"/>
      <c r="AC421" s="146"/>
    </row>
    <row r="422" ht="15.75" customHeight="1">
      <c r="A422" s="146"/>
      <c r="B422" s="146"/>
      <c r="C422" s="146"/>
      <c r="D422" s="146"/>
      <c r="E422" s="146"/>
      <c r="F422" s="146"/>
      <c r="G422" s="146"/>
      <c r="H422" s="146"/>
      <c r="I422" s="146"/>
      <c r="J422" s="146"/>
      <c r="K422" s="146"/>
      <c r="L422" s="146"/>
      <c r="M422" s="146"/>
      <c r="N422" s="146"/>
      <c r="O422" s="147"/>
      <c r="P422" s="146"/>
      <c r="Q422" s="146"/>
      <c r="R422" s="146"/>
      <c r="S422" s="146"/>
      <c r="T422" s="146"/>
      <c r="U422" s="146"/>
      <c r="V422" s="146"/>
      <c r="W422" s="148"/>
      <c r="X422" s="146"/>
      <c r="Y422" s="146"/>
      <c r="Z422" s="146"/>
      <c r="AA422" s="146"/>
      <c r="AB422" s="146"/>
      <c r="AC422" s="146"/>
    </row>
    <row r="423" ht="15.75" customHeight="1">
      <c r="A423" s="146"/>
      <c r="B423" s="146"/>
      <c r="C423" s="146"/>
      <c r="D423" s="146"/>
      <c r="E423" s="146"/>
      <c r="F423" s="146"/>
      <c r="G423" s="146"/>
      <c r="H423" s="146"/>
      <c r="I423" s="146"/>
      <c r="J423" s="146"/>
      <c r="K423" s="146"/>
      <c r="L423" s="146"/>
      <c r="M423" s="146"/>
      <c r="N423" s="146"/>
      <c r="O423" s="147"/>
      <c r="P423" s="146"/>
      <c r="Q423" s="146"/>
      <c r="R423" s="146"/>
      <c r="S423" s="146"/>
      <c r="T423" s="146"/>
      <c r="U423" s="146"/>
      <c r="V423" s="146"/>
      <c r="W423" s="148"/>
      <c r="X423" s="146"/>
      <c r="Y423" s="146"/>
      <c r="Z423" s="146"/>
      <c r="AA423" s="146"/>
      <c r="AB423" s="146"/>
      <c r="AC423" s="146"/>
    </row>
    <row r="424" ht="15.75" customHeight="1">
      <c r="A424" s="146"/>
      <c r="B424" s="146"/>
      <c r="C424" s="146"/>
      <c r="D424" s="146"/>
      <c r="E424" s="146"/>
      <c r="F424" s="146"/>
      <c r="G424" s="146"/>
      <c r="H424" s="146"/>
      <c r="I424" s="146"/>
      <c r="J424" s="146"/>
      <c r="K424" s="146"/>
      <c r="L424" s="146"/>
      <c r="M424" s="146"/>
      <c r="N424" s="146"/>
      <c r="O424" s="147"/>
      <c r="P424" s="146"/>
      <c r="Q424" s="146"/>
      <c r="R424" s="146"/>
      <c r="S424" s="146"/>
      <c r="T424" s="146"/>
      <c r="U424" s="146"/>
      <c r="V424" s="146"/>
      <c r="W424" s="148"/>
      <c r="X424" s="146"/>
      <c r="Y424" s="146"/>
      <c r="Z424" s="146"/>
      <c r="AA424" s="146"/>
      <c r="AB424" s="146"/>
      <c r="AC424" s="146"/>
    </row>
    <row r="425" ht="15.75" customHeight="1">
      <c r="A425" s="146"/>
      <c r="B425" s="146"/>
      <c r="C425" s="146"/>
      <c r="D425" s="146"/>
      <c r="E425" s="146"/>
      <c r="F425" s="146"/>
      <c r="G425" s="146"/>
      <c r="H425" s="146"/>
      <c r="I425" s="146"/>
      <c r="J425" s="146"/>
      <c r="K425" s="146"/>
      <c r="L425" s="146"/>
      <c r="M425" s="146"/>
      <c r="N425" s="146"/>
      <c r="O425" s="147"/>
      <c r="P425" s="146"/>
      <c r="Q425" s="146"/>
      <c r="R425" s="146"/>
      <c r="S425" s="146"/>
      <c r="T425" s="146"/>
      <c r="U425" s="146"/>
      <c r="V425" s="146"/>
      <c r="W425" s="148"/>
      <c r="X425" s="146"/>
      <c r="Y425" s="146"/>
      <c r="Z425" s="146"/>
      <c r="AA425" s="146"/>
      <c r="AB425" s="146"/>
      <c r="AC425" s="146"/>
    </row>
    <row r="426" ht="15.75" customHeight="1">
      <c r="A426" s="146"/>
      <c r="B426" s="146"/>
      <c r="C426" s="146"/>
      <c r="D426" s="146"/>
      <c r="E426" s="146"/>
      <c r="F426" s="146"/>
      <c r="G426" s="146"/>
      <c r="H426" s="146"/>
      <c r="I426" s="146"/>
      <c r="J426" s="146"/>
      <c r="K426" s="146"/>
      <c r="L426" s="146"/>
      <c r="M426" s="146"/>
      <c r="N426" s="146"/>
      <c r="O426" s="147"/>
      <c r="P426" s="146"/>
      <c r="Q426" s="146"/>
      <c r="R426" s="146"/>
      <c r="S426" s="146"/>
      <c r="T426" s="146"/>
      <c r="U426" s="146"/>
      <c r="V426" s="146"/>
      <c r="W426" s="148"/>
      <c r="X426" s="146"/>
      <c r="Y426" s="146"/>
      <c r="Z426" s="146"/>
      <c r="AA426" s="146"/>
      <c r="AB426" s="146"/>
      <c r="AC426" s="146"/>
    </row>
    <row r="427" ht="15.75" customHeight="1">
      <c r="A427" s="146"/>
      <c r="B427" s="146"/>
      <c r="C427" s="146"/>
      <c r="D427" s="146"/>
      <c r="E427" s="146"/>
      <c r="F427" s="146"/>
      <c r="G427" s="146"/>
      <c r="H427" s="146"/>
      <c r="I427" s="146"/>
      <c r="J427" s="146"/>
      <c r="K427" s="146"/>
      <c r="L427" s="146"/>
      <c r="M427" s="146"/>
      <c r="N427" s="146"/>
      <c r="O427" s="147"/>
      <c r="P427" s="146"/>
      <c r="Q427" s="146"/>
      <c r="R427" s="146"/>
      <c r="S427" s="146"/>
      <c r="T427" s="146"/>
      <c r="U427" s="146"/>
      <c r="V427" s="146"/>
      <c r="W427" s="148"/>
      <c r="X427" s="146"/>
      <c r="Y427" s="146"/>
      <c r="Z427" s="146"/>
      <c r="AA427" s="146"/>
      <c r="AB427" s="146"/>
      <c r="AC427" s="146"/>
    </row>
    <row r="428" ht="15.75" customHeight="1">
      <c r="A428" s="146"/>
      <c r="B428" s="146"/>
      <c r="C428" s="146"/>
      <c r="D428" s="146"/>
      <c r="E428" s="146"/>
      <c r="F428" s="146"/>
      <c r="G428" s="146"/>
      <c r="H428" s="146"/>
      <c r="I428" s="146"/>
      <c r="J428" s="146"/>
      <c r="K428" s="146"/>
      <c r="L428" s="146"/>
      <c r="M428" s="146"/>
      <c r="N428" s="146"/>
      <c r="O428" s="147"/>
      <c r="P428" s="146"/>
      <c r="Q428" s="146"/>
      <c r="R428" s="146"/>
      <c r="S428" s="146"/>
      <c r="T428" s="146"/>
      <c r="U428" s="146"/>
      <c r="V428" s="146"/>
      <c r="W428" s="148"/>
      <c r="X428" s="146"/>
      <c r="Y428" s="146"/>
      <c r="Z428" s="146"/>
      <c r="AA428" s="146"/>
      <c r="AB428" s="146"/>
      <c r="AC428" s="146"/>
    </row>
    <row r="429" ht="15.75" customHeight="1">
      <c r="A429" s="146"/>
      <c r="B429" s="146"/>
      <c r="C429" s="146"/>
      <c r="D429" s="146"/>
      <c r="E429" s="146"/>
      <c r="F429" s="146"/>
      <c r="G429" s="146"/>
      <c r="H429" s="146"/>
      <c r="I429" s="146"/>
      <c r="J429" s="146"/>
      <c r="K429" s="146"/>
      <c r="L429" s="146"/>
      <c r="M429" s="146"/>
      <c r="N429" s="146"/>
      <c r="O429" s="147"/>
      <c r="P429" s="146"/>
      <c r="Q429" s="146"/>
      <c r="R429" s="146"/>
      <c r="S429" s="146"/>
      <c r="T429" s="146"/>
      <c r="U429" s="146"/>
      <c r="V429" s="146"/>
      <c r="W429" s="148"/>
      <c r="X429" s="146"/>
      <c r="Y429" s="146"/>
      <c r="Z429" s="146"/>
      <c r="AA429" s="146"/>
      <c r="AB429" s="146"/>
      <c r="AC429" s="146"/>
    </row>
    <row r="430" ht="15.75" customHeight="1">
      <c r="A430" s="146"/>
      <c r="B430" s="146"/>
      <c r="C430" s="146"/>
      <c r="D430" s="146"/>
      <c r="E430" s="146"/>
      <c r="F430" s="146"/>
      <c r="G430" s="146"/>
      <c r="H430" s="146"/>
      <c r="I430" s="146"/>
      <c r="J430" s="146"/>
      <c r="K430" s="146"/>
      <c r="L430" s="146"/>
      <c r="M430" s="146"/>
      <c r="N430" s="146"/>
      <c r="O430" s="147"/>
      <c r="P430" s="146"/>
      <c r="Q430" s="146"/>
      <c r="R430" s="146"/>
      <c r="S430" s="146"/>
      <c r="T430" s="146"/>
      <c r="U430" s="146"/>
      <c r="V430" s="146"/>
      <c r="W430" s="148"/>
      <c r="X430" s="146"/>
      <c r="Y430" s="146"/>
      <c r="Z430" s="146"/>
      <c r="AA430" s="146"/>
      <c r="AB430" s="146"/>
      <c r="AC430" s="146"/>
    </row>
    <row r="431" ht="15.75" customHeight="1">
      <c r="A431" s="146"/>
      <c r="B431" s="146"/>
      <c r="C431" s="146"/>
      <c r="D431" s="146"/>
      <c r="E431" s="146"/>
      <c r="F431" s="146"/>
      <c r="G431" s="146"/>
      <c r="H431" s="146"/>
      <c r="I431" s="146"/>
      <c r="J431" s="146"/>
      <c r="K431" s="146"/>
      <c r="L431" s="146"/>
      <c r="M431" s="146"/>
      <c r="N431" s="146"/>
      <c r="O431" s="147"/>
      <c r="P431" s="146"/>
      <c r="Q431" s="146"/>
      <c r="R431" s="146"/>
      <c r="S431" s="146"/>
      <c r="T431" s="146"/>
      <c r="U431" s="146"/>
      <c r="V431" s="146"/>
      <c r="W431" s="148"/>
      <c r="X431" s="146"/>
      <c r="Y431" s="146"/>
      <c r="Z431" s="146"/>
      <c r="AA431" s="146"/>
      <c r="AB431" s="146"/>
      <c r="AC431" s="146"/>
    </row>
    <row r="432" ht="15.75" customHeight="1">
      <c r="A432" s="146"/>
      <c r="B432" s="146"/>
      <c r="C432" s="146"/>
      <c r="D432" s="146"/>
      <c r="E432" s="146"/>
      <c r="F432" s="146"/>
      <c r="G432" s="146"/>
      <c r="H432" s="146"/>
      <c r="I432" s="146"/>
      <c r="J432" s="146"/>
      <c r="K432" s="146"/>
      <c r="L432" s="146"/>
      <c r="M432" s="146"/>
      <c r="N432" s="146"/>
      <c r="O432" s="147"/>
      <c r="P432" s="146"/>
      <c r="Q432" s="146"/>
      <c r="R432" s="146"/>
      <c r="S432" s="146"/>
      <c r="T432" s="146"/>
      <c r="U432" s="146"/>
      <c r="V432" s="146"/>
      <c r="W432" s="148"/>
      <c r="X432" s="146"/>
      <c r="Y432" s="146"/>
      <c r="Z432" s="146"/>
      <c r="AA432" s="146"/>
      <c r="AB432" s="146"/>
      <c r="AC432" s="146"/>
    </row>
    <row r="433" ht="15.75" customHeight="1">
      <c r="A433" s="146"/>
      <c r="B433" s="146"/>
      <c r="C433" s="146"/>
      <c r="D433" s="146"/>
      <c r="E433" s="146"/>
      <c r="F433" s="146"/>
      <c r="G433" s="146"/>
      <c r="H433" s="146"/>
      <c r="I433" s="146"/>
      <c r="J433" s="146"/>
      <c r="K433" s="146"/>
      <c r="L433" s="146"/>
      <c r="M433" s="146"/>
      <c r="N433" s="146"/>
      <c r="O433" s="147"/>
      <c r="P433" s="146"/>
      <c r="Q433" s="146"/>
      <c r="R433" s="146"/>
      <c r="S433" s="146"/>
      <c r="T433" s="146"/>
      <c r="U433" s="146"/>
      <c r="V433" s="146"/>
      <c r="W433" s="148"/>
      <c r="X433" s="146"/>
      <c r="Y433" s="146"/>
      <c r="Z433" s="146"/>
      <c r="AA433" s="146"/>
      <c r="AB433" s="146"/>
      <c r="AC433" s="146"/>
    </row>
    <row r="434" ht="15.75" customHeight="1">
      <c r="A434" s="146"/>
      <c r="B434" s="146"/>
      <c r="C434" s="146"/>
      <c r="D434" s="146"/>
      <c r="E434" s="146"/>
      <c r="F434" s="146"/>
      <c r="G434" s="146"/>
      <c r="H434" s="146"/>
      <c r="I434" s="146"/>
      <c r="J434" s="146"/>
      <c r="K434" s="146"/>
      <c r="L434" s="146"/>
      <c r="M434" s="146"/>
      <c r="N434" s="146"/>
      <c r="O434" s="147"/>
      <c r="P434" s="146"/>
      <c r="Q434" s="146"/>
      <c r="R434" s="146"/>
      <c r="S434" s="146"/>
      <c r="T434" s="146"/>
      <c r="U434" s="146"/>
      <c r="V434" s="146"/>
      <c r="W434" s="148"/>
      <c r="X434" s="146"/>
      <c r="Y434" s="146"/>
      <c r="Z434" s="146"/>
      <c r="AA434" s="146"/>
      <c r="AB434" s="146"/>
      <c r="AC434" s="146"/>
    </row>
    <row r="435" ht="15.75" customHeight="1">
      <c r="A435" s="146"/>
      <c r="B435" s="146"/>
      <c r="C435" s="146"/>
      <c r="D435" s="146"/>
      <c r="E435" s="146"/>
      <c r="F435" s="146"/>
      <c r="G435" s="146"/>
      <c r="H435" s="146"/>
      <c r="I435" s="146"/>
      <c r="J435" s="146"/>
      <c r="K435" s="146"/>
      <c r="L435" s="146"/>
      <c r="M435" s="146"/>
      <c r="N435" s="146"/>
      <c r="O435" s="147"/>
      <c r="P435" s="146"/>
      <c r="Q435" s="146"/>
      <c r="R435" s="146"/>
      <c r="S435" s="146"/>
      <c r="T435" s="146"/>
      <c r="U435" s="146"/>
      <c r="V435" s="146"/>
      <c r="W435" s="148"/>
      <c r="X435" s="146"/>
      <c r="Y435" s="146"/>
      <c r="Z435" s="146"/>
      <c r="AA435" s="146"/>
      <c r="AB435" s="146"/>
      <c r="AC435" s="146"/>
    </row>
    <row r="436" ht="15.75" customHeight="1">
      <c r="A436" s="146"/>
      <c r="B436" s="146"/>
      <c r="C436" s="146"/>
      <c r="D436" s="146"/>
      <c r="E436" s="146"/>
      <c r="F436" s="146"/>
      <c r="G436" s="146"/>
      <c r="H436" s="146"/>
      <c r="I436" s="146"/>
      <c r="J436" s="146"/>
      <c r="K436" s="146"/>
      <c r="L436" s="146"/>
      <c r="M436" s="146"/>
      <c r="N436" s="146"/>
      <c r="O436" s="147"/>
      <c r="P436" s="146"/>
      <c r="Q436" s="146"/>
      <c r="R436" s="146"/>
      <c r="S436" s="146"/>
      <c r="T436" s="146"/>
      <c r="U436" s="146"/>
      <c r="V436" s="146"/>
      <c r="W436" s="148"/>
      <c r="X436" s="146"/>
      <c r="Y436" s="146"/>
      <c r="Z436" s="146"/>
      <c r="AA436" s="146"/>
      <c r="AB436" s="146"/>
      <c r="AC436" s="146"/>
    </row>
    <row r="437" ht="15.75" customHeight="1">
      <c r="A437" s="146"/>
      <c r="B437" s="146"/>
      <c r="C437" s="146"/>
      <c r="D437" s="146"/>
      <c r="E437" s="146"/>
      <c r="F437" s="146"/>
      <c r="G437" s="146"/>
      <c r="H437" s="146"/>
      <c r="I437" s="146"/>
      <c r="J437" s="146"/>
      <c r="K437" s="146"/>
      <c r="L437" s="146"/>
      <c r="M437" s="146"/>
      <c r="N437" s="146"/>
      <c r="O437" s="147"/>
      <c r="P437" s="146"/>
      <c r="Q437" s="146"/>
      <c r="R437" s="146"/>
      <c r="S437" s="146"/>
      <c r="T437" s="146"/>
      <c r="U437" s="146"/>
      <c r="V437" s="146"/>
      <c r="W437" s="148"/>
      <c r="X437" s="146"/>
      <c r="Y437" s="146"/>
      <c r="Z437" s="146"/>
      <c r="AA437" s="146"/>
      <c r="AB437" s="146"/>
      <c r="AC437" s="146"/>
    </row>
    <row r="438" ht="15.75" customHeight="1">
      <c r="A438" s="146"/>
      <c r="B438" s="146"/>
      <c r="C438" s="146"/>
      <c r="D438" s="146"/>
      <c r="E438" s="146"/>
      <c r="F438" s="146"/>
      <c r="G438" s="146"/>
      <c r="H438" s="146"/>
      <c r="I438" s="146"/>
      <c r="J438" s="146"/>
      <c r="K438" s="146"/>
      <c r="L438" s="146"/>
      <c r="M438" s="146"/>
      <c r="N438" s="146"/>
      <c r="O438" s="147"/>
      <c r="P438" s="146"/>
      <c r="Q438" s="146"/>
      <c r="R438" s="146"/>
      <c r="S438" s="146"/>
      <c r="T438" s="146"/>
      <c r="U438" s="146"/>
      <c r="V438" s="146"/>
      <c r="W438" s="148"/>
      <c r="X438" s="146"/>
      <c r="Y438" s="146"/>
      <c r="Z438" s="146"/>
      <c r="AA438" s="146"/>
      <c r="AB438" s="146"/>
      <c r="AC438" s="146"/>
    </row>
    <row r="439" ht="15.75" customHeight="1">
      <c r="A439" s="146"/>
      <c r="B439" s="146"/>
      <c r="C439" s="146"/>
      <c r="D439" s="146"/>
      <c r="E439" s="146"/>
      <c r="F439" s="146"/>
      <c r="G439" s="146"/>
      <c r="H439" s="146"/>
      <c r="I439" s="146"/>
      <c r="J439" s="146"/>
      <c r="K439" s="146"/>
      <c r="L439" s="146"/>
      <c r="M439" s="146"/>
      <c r="N439" s="146"/>
      <c r="O439" s="147"/>
      <c r="P439" s="146"/>
      <c r="Q439" s="146"/>
      <c r="R439" s="146"/>
      <c r="S439" s="146"/>
      <c r="T439" s="146"/>
      <c r="U439" s="146"/>
      <c r="V439" s="146"/>
      <c r="W439" s="148"/>
      <c r="X439" s="146"/>
      <c r="Y439" s="146"/>
      <c r="Z439" s="146"/>
      <c r="AA439" s="146"/>
      <c r="AB439" s="146"/>
      <c r="AC439" s="146"/>
    </row>
    <row r="440" ht="15.75" customHeight="1">
      <c r="A440" s="146"/>
      <c r="B440" s="146"/>
      <c r="C440" s="146"/>
      <c r="D440" s="146"/>
      <c r="E440" s="146"/>
      <c r="F440" s="146"/>
      <c r="G440" s="146"/>
      <c r="H440" s="146"/>
      <c r="I440" s="146"/>
      <c r="J440" s="146"/>
      <c r="K440" s="146"/>
      <c r="L440" s="146"/>
      <c r="M440" s="146"/>
      <c r="N440" s="146"/>
      <c r="O440" s="147"/>
      <c r="P440" s="146"/>
      <c r="Q440" s="146"/>
      <c r="R440" s="146"/>
      <c r="S440" s="146"/>
      <c r="T440" s="146"/>
      <c r="U440" s="146"/>
      <c r="V440" s="146"/>
      <c r="W440" s="148"/>
      <c r="X440" s="146"/>
      <c r="Y440" s="146"/>
      <c r="Z440" s="146"/>
      <c r="AA440" s="146"/>
      <c r="AB440" s="146"/>
      <c r="AC440" s="146"/>
    </row>
    <row r="441" ht="15.75" customHeight="1">
      <c r="A441" s="146"/>
      <c r="B441" s="146"/>
      <c r="C441" s="146"/>
      <c r="D441" s="146"/>
      <c r="E441" s="146"/>
      <c r="F441" s="146"/>
      <c r="G441" s="146"/>
      <c r="H441" s="146"/>
      <c r="I441" s="146"/>
      <c r="J441" s="146"/>
      <c r="K441" s="146"/>
      <c r="L441" s="146"/>
      <c r="M441" s="146"/>
      <c r="N441" s="146"/>
      <c r="O441" s="147"/>
      <c r="P441" s="146"/>
      <c r="Q441" s="146"/>
      <c r="R441" s="146"/>
      <c r="S441" s="146"/>
      <c r="T441" s="146"/>
      <c r="U441" s="146"/>
      <c r="V441" s="146"/>
      <c r="W441" s="148"/>
      <c r="X441" s="146"/>
      <c r="Y441" s="146"/>
      <c r="Z441" s="146"/>
      <c r="AA441" s="146"/>
      <c r="AB441" s="146"/>
      <c r="AC441" s="146"/>
    </row>
    <row r="442" ht="15.75" customHeight="1">
      <c r="A442" s="146"/>
      <c r="B442" s="146"/>
      <c r="C442" s="146"/>
      <c r="D442" s="146"/>
      <c r="E442" s="146"/>
      <c r="F442" s="146"/>
      <c r="G442" s="146"/>
      <c r="H442" s="146"/>
      <c r="I442" s="146"/>
      <c r="J442" s="146"/>
      <c r="K442" s="146"/>
      <c r="L442" s="146"/>
      <c r="M442" s="146"/>
      <c r="N442" s="146"/>
      <c r="O442" s="147"/>
      <c r="P442" s="146"/>
      <c r="Q442" s="146"/>
      <c r="R442" s="146"/>
      <c r="S442" s="146"/>
      <c r="T442" s="146"/>
      <c r="U442" s="146"/>
      <c r="V442" s="146"/>
      <c r="W442" s="148"/>
      <c r="X442" s="146"/>
      <c r="Y442" s="146"/>
      <c r="Z442" s="146"/>
      <c r="AA442" s="146"/>
      <c r="AB442" s="146"/>
      <c r="AC442" s="146"/>
    </row>
    <row r="443" ht="15.75" customHeight="1">
      <c r="A443" s="146"/>
      <c r="B443" s="146"/>
      <c r="C443" s="146"/>
      <c r="D443" s="146"/>
      <c r="E443" s="146"/>
      <c r="F443" s="146"/>
      <c r="G443" s="146"/>
      <c r="H443" s="146"/>
      <c r="I443" s="146"/>
      <c r="J443" s="146"/>
      <c r="K443" s="146"/>
      <c r="L443" s="146"/>
      <c r="M443" s="146"/>
      <c r="N443" s="146"/>
      <c r="O443" s="147"/>
      <c r="P443" s="146"/>
      <c r="Q443" s="146"/>
      <c r="R443" s="146"/>
      <c r="S443" s="146"/>
      <c r="T443" s="146"/>
      <c r="U443" s="146"/>
      <c r="V443" s="146"/>
      <c r="W443" s="148"/>
      <c r="X443" s="146"/>
      <c r="Y443" s="146"/>
      <c r="Z443" s="146"/>
      <c r="AA443" s="146"/>
      <c r="AB443" s="146"/>
      <c r="AC443" s="146"/>
    </row>
    <row r="444" ht="15.75" customHeight="1">
      <c r="A444" s="146"/>
      <c r="B444" s="146"/>
      <c r="C444" s="146"/>
      <c r="D444" s="146"/>
      <c r="E444" s="146"/>
      <c r="F444" s="146"/>
      <c r="G444" s="146"/>
      <c r="H444" s="146"/>
      <c r="I444" s="146"/>
      <c r="J444" s="146"/>
      <c r="K444" s="146"/>
      <c r="L444" s="146"/>
      <c r="M444" s="146"/>
      <c r="N444" s="146"/>
      <c r="O444" s="147"/>
      <c r="P444" s="146"/>
      <c r="Q444" s="146"/>
      <c r="R444" s="146"/>
      <c r="S444" s="146"/>
      <c r="T444" s="146"/>
      <c r="U444" s="146"/>
      <c r="V444" s="146"/>
      <c r="W444" s="148"/>
      <c r="X444" s="146"/>
      <c r="Y444" s="146"/>
      <c r="Z444" s="146"/>
      <c r="AA444" s="146"/>
      <c r="AB444" s="146"/>
      <c r="AC444" s="146"/>
    </row>
    <row r="445" ht="15.75" customHeight="1">
      <c r="A445" s="146"/>
      <c r="B445" s="146"/>
      <c r="C445" s="146"/>
      <c r="D445" s="146"/>
      <c r="E445" s="146"/>
      <c r="F445" s="146"/>
      <c r="G445" s="146"/>
      <c r="H445" s="146"/>
      <c r="I445" s="146"/>
      <c r="J445" s="146"/>
      <c r="K445" s="146"/>
      <c r="L445" s="146"/>
      <c r="M445" s="146"/>
      <c r="N445" s="146"/>
      <c r="O445" s="147"/>
      <c r="P445" s="146"/>
      <c r="Q445" s="146"/>
      <c r="R445" s="146"/>
      <c r="S445" s="146"/>
      <c r="T445" s="146"/>
      <c r="U445" s="146"/>
      <c r="V445" s="146"/>
      <c r="W445" s="148"/>
      <c r="X445" s="146"/>
      <c r="Y445" s="146"/>
      <c r="Z445" s="146"/>
      <c r="AA445" s="146"/>
      <c r="AB445" s="146"/>
      <c r="AC445" s="146"/>
    </row>
    <row r="446" ht="15.75" customHeight="1">
      <c r="A446" s="146"/>
      <c r="B446" s="146"/>
      <c r="C446" s="146"/>
      <c r="D446" s="146"/>
      <c r="E446" s="146"/>
      <c r="F446" s="146"/>
      <c r="G446" s="146"/>
      <c r="H446" s="146"/>
      <c r="I446" s="146"/>
      <c r="J446" s="146"/>
      <c r="K446" s="146"/>
      <c r="L446" s="146"/>
      <c r="M446" s="146"/>
      <c r="N446" s="146"/>
      <c r="O446" s="147"/>
      <c r="P446" s="146"/>
      <c r="Q446" s="146"/>
      <c r="R446" s="146"/>
      <c r="S446" s="146"/>
      <c r="T446" s="146"/>
      <c r="U446" s="146"/>
      <c r="V446" s="146"/>
      <c r="W446" s="148"/>
      <c r="X446" s="146"/>
      <c r="Y446" s="146"/>
      <c r="Z446" s="146"/>
      <c r="AA446" s="146"/>
      <c r="AB446" s="146"/>
      <c r="AC446" s="146"/>
    </row>
    <row r="447" ht="15.75" customHeight="1">
      <c r="A447" s="146"/>
      <c r="B447" s="146"/>
      <c r="C447" s="146"/>
      <c r="D447" s="146"/>
      <c r="E447" s="146"/>
      <c r="F447" s="146"/>
      <c r="G447" s="146"/>
      <c r="H447" s="146"/>
      <c r="I447" s="146"/>
      <c r="J447" s="146"/>
      <c r="K447" s="146"/>
      <c r="L447" s="146"/>
      <c r="M447" s="146"/>
      <c r="N447" s="146"/>
      <c r="O447" s="147"/>
      <c r="P447" s="146"/>
      <c r="Q447" s="146"/>
      <c r="R447" s="146"/>
      <c r="S447" s="146"/>
      <c r="T447" s="146"/>
      <c r="U447" s="146"/>
      <c r="V447" s="146"/>
      <c r="W447" s="148"/>
      <c r="X447" s="146"/>
      <c r="Y447" s="146"/>
      <c r="Z447" s="146"/>
      <c r="AA447" s="146"/>
      <c r="AB447" s="146"/>
      <c r="AC447" s="146"/>
    </row>
    <row r="448" ht="15.75" customHeight="1">
      <c r="A448" s="146"/>
      <c r="B448" s="146"/>
      <c r="C448" s="146"/>
      <c r="D448" s="146"/>
      <c r="E448" s="146"/>
      <c r="F448" s="146"/>
      <c r="G448" s="146"/>
      <c r="H448" s="146"/>
      <c r="I448" s="146"/>
      <c r="J448" s="146"/>
      <c r="K448" s="146"/>
      <c r="L448" s="146"/>
      <c r="M448" s="146"/>
      <c r="N448" s="146"/>
      <c r="O448" s="147"/>
      <c r="P448" s="146"/>
      <c r="Q448" s="146"/>
      <c r="R448" s="146"/>
      <c r="S448" s="146"/>
      <c r="T448" s="146"/>
      <c r="U448" s="146"/>
      <c r="V448" s="146"/>
      <c r="W448" s="148"/>
      <c r="X448" s="146"/>
      <c r="Y448" s="146"/>
      <c r="Z448" s="146"/>
      <c r="AA448" s="146"/>
      <c r="AB448" s="146"/>
      <c r="AC448" s="146"/>
    </row>
    <row r="449" ht="15.75" customHeight="1">
      <c r="A449" s="146"/>
      <c r="B449" s="146"/>
      <c r="C449" s="146"/>
      <c r="D449" s="146"/>
      <c r="E449" s="146"/>
      <c r="F449" s="146"/>
      <c r="G449" s="146"/>
      <c r="H449" s="146"/>
      <c r="I449" s="146"/>
      <c r="J449" s="146"/>
      <c r="K449" s="146"/>
      <c r="L449" s="146"/>
      <c r="M449" s="146"/>
      <c r="N449" s="146"/>
      <c r="O449" s="147"/>
      <c r="P449" s="146"/>
      <c r="Q449" s="146"/>
      <c r="R449" s="146"/>
      <c r="S449" s="146"/>
      <c r="T449" s="146"/>
      <c r="U449" s="146"/>
      <c r="V449" s="146"/>
      <c r="W449" s="148"/>
      <c r="X449" s="146"/>
      <c r="Y449" s="146"/>
      <c r="Z449" s="146"/>
      <c r="AA449" s="146"/>
      <c r="AB449" s="146"/>
      <c r="AC449" s="146"/>
    </row>
    <row r="450" ht="15.75" customHeight="1">
      <c r="A450" s="146"/>
      <c r="B450" s="146"/>
      <c r="C450" s="146"/>
      <c r="D450" s="146"/>
      <c r="E450" s="146"/>
      <c r="F450" s="146"/>
      <c r="G450" s="146"/>
      <c r="H450" s="146"/>
      <c r="I450" s="146"/>
      <c r="J450" s="146"/>
      <c r="K450" s="146"/>
      <c r="L450" s="146"/>
      <c r="M450" s="146"/>
      <c r="N450" s="146"/>
      <c r="O450" s="147"/>
      <c r="P450" s="146"/>
      <c r="Q450" s="146"/>
      <c r="R450" s="146"/>
      <c r="S450" s="146"/>
      <c r="T450" s="146"/>
      <c r="U450" s="146"/>
      <c r="V450" s="146"/>
      <c r="W450" s="148"/>
      <c r="X450" s="146"/>
      <c r="Y450" s="146"/>
      <c r="Z450" s="146"/>
      <c r="AA450" s="146"/>
      <c r="AB450" s="146"/>
      <c r="AC450" s="146"/>
    </row>
    <row r="451" ht="15.75" customHeight="1">
      <c r="A451" s="146"/>
      <c r="B451" s="146"/>
      <c r="C451" s="146"/>
      <c r="D451" s="146"/>
      <c r="E451" s="146"/>
      <c r="F451" s="146"/>
      <c r="G451" s="146"/>
      <c r="H451" s="146"/>
      <c r="I451" s="146"/>
      <c r="J451" s="146"/>
      <c r="K451" s="146"/>
      <c r="L451" s="146"/>
      <c r="M451" s="146"/>
      <c r="N451" s="146"/>
      <c r="O451" s="147"/>
      <c r="P451" s="146"/>
      <c r="Q451" s="146"/>
      <c r="R451" s="146"/>
      <c r="S451" s="146"/>
      <c r="T451" s="146"/>
      <c r="U451" s="146"/>
      <c r="V451" s="146"/>
      <c r="W451" s="148"/>
      <c r="X451" s="146"/>
      <c r="Y451" s="146"/>
      <c r="Z451" s="146"/>
      <c r="AA451" s="146"/>
      <c r="AB451" s="146"/>
      <c r="AC451" s="146"/>
    </row>
    <row r="452" ht="15.75" customHeight="1">
      <c r="A452" s="146"/>
      <c r="B452" s="146"/>
      <c r="C452" s="146"/>
      <c r="D452" s="146"/>
      <c r="E452" s="146"/>
      <c r="F452" s="146"/>
      <c r="G452" s="146"/>
      <c r="H452" s="146"/>
      <c r="I452" s="146"/>
      <c r="J452" s="146"/>
      <c r="K452" s="146"/>
      <c r="L452" s="146"/>
      <c r="M452" s="146"/>
      <c r="N452" s="146"/>
      <c r="O452" s="147"/>
      <c r="P452" s="146"/>
      <c r="Q452" s="146"/>
      <c r="R452" s="146"/>
      <c r="S452" s="146"/>
      <c r="T452" s="146"/>
      <c r="U452" s="146"/>
      <c r="V452" s="146"/>
      <c r="W452" s="148"/>
      <c r="X452" s="146"/>
      <c r="Y452" s="146"/>
      <c r="Z452" s="146"/>
      <c r="AA452" s="146"/>
      <c r="AB452" s="146"/>
      <c r="AC452" s="146"/>
    </row>
    <row r="453" ht="15.75" customHeight="1">
      <c r="A453" s="146"/>
      <c r="B453" s="146"/>
      <c r="C453" s="146"/>
      <c r="D453" s="146"/>
      <c r="E453" s="146"/>
      <c r="F453" s="146"/>
      <c r="G453" s="146"/>
      <c r="H453" s="146"/>
      <c r="I453" s="146"/>
      <c r="J453" s="146"/>
      <c r="K453" s="146"/>
      <c r="L453" s="146"/>
      <c r="M453" s="146"/>
      <c r="N453" s="146"/>
      <c r="O453" s="147"/>
      <c r="P453" s="146"/>
      <c r="Q453" s="146"/>
      <c r="R453" s="146"/>
      <c r="S453" s="146"/>
      <c r="T453" s="146"/>
      <c r="U453" s="146"/>
      <c r="V453" s="146"/>
      <c r="W453" s="148"/>
      <c r="X453" s="146"/>
      <c r="Y453" s="146"/>
      <c r="Z453" s="146"/>
      <c r="AA453" s="146"/>
      <c r="AB453" s="146"/>
      <c r="AC453" s="146"/>
    </row>
    <row r="454" ht="15.75" customHeight="1">
      <c r="A454" s="146"/>
      <c r="B454" s="146"/>
      <c r="C454" s="146"/>
      <c r="D454" s="146"/>
      <c r="E454" s="146"/>
      <c r="F454" s="146"/>
      <c r="G454" s="146"/>
      <c r="H454" s="146"/>
      <c r="I454" s="146"/>
      <c r="J454" s="146"/>
      <c r="K454" s="146"/>
      <c r="L454" s="146"/>
      <c r="M454" s="146"/>
      <c r="N454" s="146"/>
      <c r="O454" s="147"/>
      <c r="P454" s="146"/>
      <c r="Q454" s="146"/>
      <c r="R454" s="146"/>
      <c r="S454" s="146"/>
      <c r="T454" s="146"/>
      <c r="U454" s="146"/>
      <c r="V454" s="146"/>
      <c r="W454" s="148"/>
      <c r="X454" s="146"/>
      <c r="Y454" s="146"/>
      <c r="Z454" s="146"/>
      <c r="AA454" s="146"/>
      <c r="AB454" s="146"/>
      <c r="AC454" s="146"/>
    </row>
    <row r="455" ht="15.75" customHeight="1">
      <c r="A455" s="146"/>
      <c r="B455" s="146"/>
      <c r="C455" s="146"/>
      <c r="D455" s="146"/>
      <c r="E455" s="146"/>
      <c r="F455" s="146"/>
      <c r="G455" s="146"/>
      <c r="H455" s="146"/>
      <c r="I455" s="146"/>
      <c r="J455" s="146"/>
      <c r="K455" s="146"/>
      <c r="L455" s="146"/>
      <c r="M455" s="146"/>
      <c r="N455" s="146"/>
      <c r="O455" s="147"/>
      <c r="P455" s="146"/>
      <c r="Q455" s="146"/>
      <c r="R455" s="146"/>
      <c r="S455" s="146"/>
      <c r="T455" s="146"/>
      <c r="U455" s="146"/>
      <c r="V455" s="146"/>
      <c r="W455" s="148"/>
      <c r="X455" s="146"/>
      <c r="Y455" s="146"/>
      <c r="Z455" s="146"/>
      <c r="AA455" s="146"/>
      <c r="AB455" s="146"/>
      <c r="AC455" s="146"/>
    </row>
    <row r="456" ht="15.75" customHeight="1">
      <c r="A456" s="146"/>
      <c r="B456" s="146"/>
      <c r="C456" s="146"/>
      <c r="D456" s="146"/>
      <c r="E456" s="146"/>
      <c r="F456" s="146"/>
      <c r="G456" s="146"/>
      <c r="H456" s="146"/>
      <c r="I456" s="146"/>
      <c r="J456" s="146"/>
      <c r="K456" s="146"/>
      <c r="L456" s="146"/>
      <c r="M456" s="146"/>
      <c r="N456" s="146"/>
      <c r="O456" s="147"/>
      <c r="P456" s="146"/>
      <c r="Q456" s="146"/>
      <c r="R456" s="146"/>
      <c r="S456" s="146"/>
      <c r="T456" s="146"/>
      <c r="U456" s="146"/>
      <c r="V456" s="146"/>
      <c r="W456" s="148"/>
      <c r="X456" s="146"/>
      <c r="Y456" s="146"/>
      <c r="Z456" s="146"/>
      <c r="AA456" s="146"/>
      <c r="AB456" s="146"/>
      <c r="AC456" s="146"/>
    </row>
    <row r="457" ht="15.75" customHeight="1">
      <c r="A457" s="146"/>
      <c r="B457" s="146"/>
      <c r="C457" s="146"/>
      <c r="D457" s="146"/>
      <c r="E457" s="146"/>
      <c r="F457" s="146"/>
      <c r="G457" s="146"/>
      <c r="H457" s="146"/>
      <c r="I457" s="146"/>
      <c r="J457" s="146"/>
      <c r="K457" s="146"/>
      <c r="L457" s="146"/>
      <c r="M457" s="146"/>
      <c r="N457" s="146"/>
      <c r="O457" s="147"/>
      <c r="P457" s="146"/>
      <c r="Q457" s="146"/>
      <c r="R457" s="146"/>
      <c r="S457" s="146"/>
      <c r="T457" s="146"/>
      <c r="U457" s="146"/>
      <c r="V457" s="146"/>
      <c r="W457" s="148"/>
      <c r="X457" s="146"/>
      <c r="Y457" s="146"/>
      <c r="Z457" s="146"/>
      <c r="AA457" s="146"/>
      <c r="AB457" s="146"/>
      <c r="AC457" s="146"/>
    </row>
    <row r="458" ht="15.75" customHeight="1">
      <c r="A458" s="146"/>
      <c r="B458" s="146"/>
      <c r="C458" s="146"/>
      <c r="D458" s="146"/>
      <c r="E458" s="146"/>
      <c r="F458" s="146"/>
      <c r="G458" s="146"/>
      <c r="H458" s="146"/>
      <c r="I458" s="146"/>
      <c r="J458" s="146"/>
      <c r="K458" s="146"/>
      <c r="L458" s="146"/>
      <c r="M458" s="146"/>
      <c r="N458" s="146"/>
      <c r="O458" s="147"/>
      <c r="P458" s="146"/>
      <c r="Q458" s="146"/>
      <c r="R458" s="146"/>
      <c r="S458" s="146"/>
      <c r="T458" s="146"/>
      <c r="U458" s="146"/>
      <c r="V458" s="146"/>
      <c r="W458" s="148"/>
      <c r="X458" s="146"/>
      <c r="Y458" s="146"/>
      <c r="Z458" s="146"/>
      <c r="AA458" s="146"/>
      <c r="AB458" s="146"/>
      <c r="AC458" s="146"/>
    </row>
    <row r="459" ht="15.75" customHeight="1">
      <c r="A459" s="146"/>
      <c r="B459" s="146"/>
      <c r="C459" s="146"/>
      <c r="D459" s="146"/>
      <c r="E459" s="146"/>
      <c r="F459" s="146"/>
      <c r="G459" s="146"/>
      <c r="H459" s="146"/>
      <c r="I459" s="146"/>
      <c r="J459" s="146"/>
      <c r="K459" s="146"/>
      <c r="L459" s="146"/>
      <c r="M459" s="146"/>
      <c r="N459" s="146"/>
      <c r="O459" s="147"/>
      <c r="P459" s="146"/>
      <c r="Q459" s="146"/>
      <c r="R459" s="146"/>
      <c r="S459" s="146"/>
      <c r="T459" s="146"/>
      <c r="U459" s="146"/>
      <c r="V459" s="146"/>
      <c r="W459" s="148"/>
      <c r="X459" s="146"/>
      <c r="Y459" s="146"/>
      <c r="Z459" s="146"/>
      <c r="AA459" s="146"/>
      <c r="AB459" s="146"/>
      <c r="AC459" s="146"/>
    </row>
    <row r="460" ht="15.75" customHeight="1">
      <c r="A460" s="146"/>
      <c r="B460" s="146"/>
      <c r="C460" s="146"/>
      <c r="D460" s="146"/>
      <c r="E460" s="146"/>
      <c r="F460" s="146"/>
      <c r="G460" s="146"/>
      <c r="H460" s="146"/>
      <c r="I460" s="146"/>
      <c r="J460" s="146"/>
      <c r="K460" s="146"/>
      <c r="L460" s="146"/>
      <c r="M460" s="146"/>
      <c r="N460" s="146"/>
      <c r="O460" s="147"/>
      <c r="P460" s="146"/>
      <c r="Q460" s="146"/>
      <c r="R460" s="146"/>
      <c r="S460" s="146"/>
      <c r="T460" s="146"/>
      <c r="U460" s="146"/>
      <c r="V460" s="146"/>
      <c r="W460" s="148"/>
      <c r="X460" s="146"/>
      <c r="Y460" s="146"/>
      <c r="Z460" s="146"/>
      <c r="AA460" s="146"/>
      <c r="AB460" s="146"/>
      <c r="AC460" s="146"/>
    </row>
    <row r="461" ht="15.75" customHeight="1">
      <c r="A461" s="146"/>
      <c r="B461" s="146"/>
      <c r="C461" s="146"/>
      <c r="D461" s="146"/>
      <c r="E461" s="146"/>
      <c r="F461" s="146"/>
      <c r="G461" s="146"/>
      <c r="H461" s="146"/>
      <c r="I461" s="146"/>
      <c r="J461" s="146"/>
      <c r="K461" s="146"/>
      <c r="L461" s="146"/>
      <c r="M461" s="146"/>
      <c r="N461" s="146"/>
      <c r="O461" s="147"/>
      <c r="P461" s="146"/>
      <c r="Q461" s="146"/>
      <c r="R461" s="146"/>
      <c r="S461" s="146"/>
      <c r="T461" s="146"/>
      <c r="U461" s="146"/>
      <c r="V461" s="146"/>
      <c r="W461" s="148"/>
      <c r="X461" s="146"/>
      <c r="Y461" s="146"/>
      <c r="Z461" s="146"/>
      <c r="AA461" s="146"/>
      <c r="AB461" s="146"/>
      <c r="AC461" s="146"/>
    </row>
    <row r="462" ht="15.75" customHeight="1">
      <c r="A462" s="146"/>
      <c r="B462" s="146"/>
      <c r="C462" s="146"/>
      <c r="D462" s="146"/>
      <c r="E462" s="146"/>
      <c r="F462" s="146"/>
      <c r="G462" s="146"/>
      <c r="H462" s="146"/>
      <c r="I462" s="146"/>
      <c r="J462" s="146"/>
      <c r="K462" s="146"/>
      <c r="L462" s="146"/>
      <c r="M462" s="146"/>
      <c r="N462" s="146"/>
      <c r="O462" s="147"/>
      <c r="P462" s="146"/>
      <c r="Q462" s="146"/>
      <c r="R462" s="146"/>
      <c r="S462" s="146"/>
      <c r="T462" s="146"/>
      <c r="U462" s="146"/>
      <c r="V462" s="146"/>
      <c r="W462" s="148"/>
      <c r="X462" s="146"/>
      <c r="Y462" s="146"/>
      <c r="Z462" s="146"/>
      <c r="AA462" s="146"/>
      <c r="AB462" s="146"/>
      <c r="AC462" s="146"/>
    </row>
    <row r="463" ht="15.75" customHeight="1">
      <c r="A463" s="146"/>
      <c r="B463" s="146"/>
      <c r="C463" s="146"/>
      <c r="D463" s="146"/>
      <c r="E463" s="146"/>
      <c r="F463" s="146"/>
      <c r="G463" s="146"/>
      <c r="H463" s="146"/>
      <c r="I463" s="146"/>
      <c r="J463" s="146"/>
      <c r="K463" s="146"/>
      <c r="L463" s="146"/>
      <c r="M463" s="146"/>
      <c r="N463" s="146"/>
      <c r="O463" s="147"/>
      <c r="P463" s="146"/>
      <c r="Q463" s="146"/>
      <c r="R463" s="146"/>
      <c r="S463" s="146"/>
      <c r="T463" s="146"/>
      <c r="U463" s="146"/>
      <c r="V463" s="146"/>
      <c r="W463" s="148"/>
      <c r="X463" s="146"/>
      <c r="Y463" s="146"/>
      <c r="Z463" s="146"/>
      <c r="AA463" s="146"/>
      <c r="AB463" s="146"/>
      <c r="AC463" s="146"/>
    </row>
    <row r="464" ht="15.75" customHeight="1">
      <c r="A464" s="146"/>
      <c r="B464" s="146"/>
      <c r="C464" s="146"/>
      <c r="D464" s="146"/>
      <c r="E464" s="146"/>
      <c r="F464" s="146"/>
      <c r="G464" s="146"/>
      <c r="H464" s="146"/>
      <c r="I464" s="146"/>
      <c r="J464" s="146"/>
      <c r="K464" s="146"/>
      <c r="L464" s="146"/>
      <c r="M464" s="146"/>
      <c r="N464" s="146"/>
      <c r="O464" s="147"/>
      <c r="P464" s="146"/>
      <c r="Q464" s="146"/>
      <c r="R464" s="146"/>
      <c r="S464" s="146"/>
      <c r="T464" s="146"/>
      <c r="U464" s="146"/>
      <c r="V464" s="146"/>
      <c r="W464" s="148"/>
      <c r="X464" s="146"/>
      <c r="Y464" s="146"/>
      <c r="Z464" s="146"/>
      <c r="AA464" s="146"/>
      <c r="AB464" s="146"/>
      <c r="AC464" s="146"/>
    </row>
    <row r="465" ht="15.75" customHeight="1">
      <c r="A465" s="146"/>
      <c r="B465" s="146"/>
      <c r="C465" s="146"/>
      <c r="D465" s="146"/>
      <c r="E465" s="146"/>
      <c r="F465" s="146"/>
      <c r="G465" s="146"/>
      <c r="H465" s="146"/>
      <c r="I465" s="146"/>
      <c r="J465" s="146"/>
      <c r="K465" s="146"/>
      <c r="L465" s="146"/>
      <c r="M465" s="146"/>
      <c r="N465" s="146"/>
      <c r="O465" s="147"/>
      <c r="P465" s="146"/>
      <c r="Q465" s="146"/>
      <c r="R465" s="146"/>
      <c r="S465" s="146"/>
      <c r="T465" s="146"/>
      <c r="U465" s="146"/>
      <c r="V465" s="146"/>
      <c r="W465" s="148"/>
      <c r="X465" s="146"/>
      <c r="Y465" s="146"/>
      <c r="Z465" s="146"/>
      <c r="AA465" s="146"/>
      <c r="AB465" s="146"/>
      <c r="AC465" s="146"/>
    </row>
    <row r="466" ht="15.75" customHeight="1">
      <c r="A466" s="146"/>
      <c r="B466" s="146"/>
      <c r="C466" s="146"/>
      <c r="D466" s="146"/>
      <c r="E466" s="146"/>
      <c r="F466" s="146"/>
      <c r="G466" s="146"/>
      <c r="H466" s="146"/>
      <c r="I466" s="146"/>
      <c r="J466" s="146"/>
      <c r="K466" s="146"/>
      <c r="L466" s="146"/>
      <c r="M466" s="146"/>
      <c r="N466" s="146"/>
      <c r="O466" s="147"/>
      <c r="P466" s="146"/>
      <c r="Q466" s="146"/>
      <c r="R466" s="146"/>
      <c r="S466" s="146"/>
      <c r="T466" s="146"/>
      <c r="U466" s="146"/>
      <c r="V466" s="146"/>
      <c r="W466" s="148"/>
      <c r="X466" s="146"/>
      <c r="Y466" s="146"/>
      <c r="Z466" s="146"/>
      <c r="AA466" s="146"/>
      <c r="AB466" s="146"/>
      <c r="AC466" s="146"/>
    </row>
    <row r="467" ht="15.75" customHeight="1">
      <c r="A467" s="146"/>
      <c r="B467" s="146"/>
      <c r="C467" s="146"/>
      <c r="D467" s="146"/>
      <c r="E467" s="146"/>
      <c r="F467" s="146"/>
      <c r="G467" s="146"/>
      <c r="H467" s="146"/>
      <c r="I467" s="146"/>
      <c r="J467" s="146"/>
      <c r="K467" s="146"/>
      <c r="L467" s="146"/>
      <c r="M467" s="146"/>
      <c r="N467" s="146"/>
      <c r="O467" s="147"/>
      <c r="P467" s="146"/>
      <c r="Q467" s="146"/>
      <c r="R467" s="146"/>
      <c r="S467" s="146"/>
      <c r="T467" s="146"/>
      <c r="U467" s="146"/>
      <c r="V467" s="146"/>
      <c r="W467" s="148"/>
      <c r="X467" s="146"/>
      <c r="Y467" s="146"/>
      <c r="Z467" s="146"/>
      <c r="AA467" s="146"/>
      <c r="AB467" s="146"/>
      <c r="AC467" s="146"/>
    </row>
    <row r="468" ht="15.75" customHeight="1">
      <c r="A468" s="146"/>
      <c r="B468" s="146"/>
      <c r="C468" s="146"/>
      <c r="D468" s="146"/>
      <c r="E468" s="146"/>
      <c r="F468" s="146"/>
      <c r="G468" s="146"/>
      <c r="H468" s="146"/>
      <c r="I468" s="146"/>
      <c r="J468" s="146"/>
      <c r="K468" s="146"/>
      <c r="L468" s="146"/>
      <c r="M468" s="146"/>
      <c r="N468" s="146"/>
      <c r="O468" s="147"/>
      <c r="P468" s="146"/>
      <c r="Q468" s="146"/>
      <c r="R468" s="146"/>
      <c r="S468" s="146"/>
      <c r="T468" s="146"/>
      <c r="U468" s="146"/>
      <c r="V468" s="146"/>
      <c r="W468" s="148"/>
      <c r="X468" s="146"/>
      <c r="Y468" s="146"/>
      <c r="Z468" s="146"/>
      <c r="AA468" s="146"/>
      <c r="AB468" s="146"/>
      <c r="AC468" s="146"/>
    </row>
    <row r="469" ht="15.75" customHeight="1">
      <c r="A469" s="146"/>
      <c r="B469" s="146"/>
      <c r="C469" s="146"/>
      <c r="D469" s="146"/>
      <c r="E469" s="146"/>
      <c r="F469" s="146"/>
      <c r="G469" s="146"/>
      <c r="H469" s="146"/>
      <c r="I469" s="146"/>
      <c r="J469" s="146"/>
      <c r="K469" s="146"/>
      <c r="L469" s="146"/>
      <c r="M469" s="146"/>
      <c r="N469" s="146"/>
      <c r="O469" s="147"/>
      <c r="P469" s="146"/>
      <c r="Q469" s="146"/>
      <c r="R469" s="146"/>
      <c r="S469" s="146"/>
      <c r="T469" s="146"/>
      <c r="U469" s="146"/>
      <c r="V469" s="146"/>
      <c r="W469" s="148"/>
      <c r="X469" s="146"/>
      <c r="Y469" s="146"/>
      <c r="Z469" s="146"/>
      <c r="AA469" s="146"/>
      <c r="AB469" s="146"/>
      <c r="AC469" s="146"/>
    </row>
    <row r="470" ht="15.75" customHeight="1">
      <c r="A470" s="146"/>
      <c r="B470" s="146"/>
      <c r="C470" s="146"/>
      <c r="D470" s="146"/>
      <c r="E470" s="146"/>
      <c r="F470" s="146"/>
      <c r="G470" s="146"/>
      <c r="H470" s="146"/>
      <c r="I470" s="146"/>
      <c r="J470" s="146"/>
      <c r="K470" s="146"/>
      <c r="L470" s="146"/>
      <c r="M470" s="146"/>
      <c r="N470" s="146"/>
      <c r="O470" s="147"/>
      <c r="P470" s="146"/>
      <c r="Q470" s="146"/>
      <c r="R470" s="146"/>
      <c r="S470" s="146"/>
      <c r="T470" s="146"/>
      <c r="U470" s="146"/>
      <c r="V470" s="146"/>
      <c r="W470" s="148"/>
      <c r="X470" s="146"/>
      <c r="Y470" s="146"/>
      <c r="Z470" s="146"/>
      <c r="AA470" s="146"/>
      <c r="AB470" s="146"/>
      <c r="AC470" s="146"/>
    </row>
    <row r="471" ht="15.75" customHeight="1">
      <c r="A471" s="146"/>
      <c r="B471" s="146"/>
      <c r="C471" s="146"/>
      <c r="D471" s="146"/>
      <c r="E471" s="146"/>
      <c r="F471" s="146"/>
      <c r="G471" s="146"/>
      <c r="H471" s="146"/>
      <c r="I471" s="146"/>
      <c r="J471" s="146"/>
      <c r="K471" s="146"/>
      <c r="L471" s="146"/>
      <c r="M471" s="146"/>
      <c r="N471" s="146"/>
      <c r="O471" s="147"/>
      <c r="P471" s="146"/>
      <c r="Q471" s="146"/>
      <c r="R471" s="146"/>
      <c r="S471" s="146"/>
      <c r="T471" s="146"/>
      <c r="U471" s="146"/>
      <c r="V471" s="146"/>
      <c r="W471" s="148"/>
      <c r="X471" s="146"/>
      <c r="Y471" s="146"/>
      <c r="Z471" s="146"/>
      <c r="AA471" s="146"/>
      <c r="AB471" s="146"/>
      <c r="AC471" s="146"/>
    </row>
    <row r="472" ht="15.75" customHeight="1">
      <c r="A472" s="146"/>
      <c r="B472" s="146"/>
      <c r="C472" s="146"/>
      <c r="D472" s="146"/>
      <c r="E472" s="146"/>
      <c r="F472" s="146"/>
      <c r="G472" s="146"/>
      <c r="H472" s="146"/>
      <c r="I472" s="146"/>
      <c r="J472" s="146"/>
      <c r="K472" s="146"/>
      <c r="L472" s="146"/>
      <c r="M472" s="146"/>
      <c r="N472" s="146"/>
      <c r="O472" s="147"/>
      <c r="P472" s="146"/>
      <c r="Q472" s="146"/>
      <c r="R472" s="146"/>
      <c r="S472" s="146"/>
      <c r="T472" s="146"/>
      <c r="U472" s="146"/>
      <c r="V472" s="146"/>
      <c r="W472" s="148"/>
      <c r="X472" s="146"/>
      <c r="Y472" s="146"/>
      <c r="Z472" s="146"/>
      <c r="AA472" s="146"/>
      <c r="AB472" s="146"/>
      <c r="AC472" s="146"/>
    </row>
    <row r="473" ht="15.75" customHeight="1">
      <c r="A473" s="146"/>
      <c r="B473" s="146"/>
      <c r="C473" s="146"/>
      <c r="D473" s="146"/>
      <c r="E473" s="146"/>
      <c r="F473" s="146"/>
      <c r="G473" s="146"/>
      <c r="H473" s="146"/>
      <c r="I473" s="146"/>
      <c r="J473" s="146"/>
      <c r="K473" s="146"/>
      <c r="L473" s="146"/>
      <c r="M473" s="146"/>
      <c r="N473" s="146"/>
      <c r="O473" s="147"/>
      <c r="P473" s="146"/>
      <c r="Q473" s="146"/>
      <c r="R473" s="146"/>
      <c r="S473" s="146"/>
      <c r="T473" s="146"/>
      <c r="U473" s="146"/>
      <c r="V473" s="146"/>
      <c r="W473" s="148"/>
      <c r="X473" s="146"/>
      <c r="Y473" s="146"/>
      <c r="Z473" s="146"/>
      <c r="AA473" s="146"/>
      <c r="AB473" s="146"/>
      <c r="AC473" s="146"/>
    </row>
    <row r="474" ht="15.75" customHeight="1">
      <c r="A474" s="146"/>
      <c r="B474" s="146"/>
      <c r="C474" s="146"/>
      <c r="D474" s="146"/>
      <c r="E474" s="146"/>
      <c r="F474" s="146"/>
      <c r="G474" s="146"/>
      <c r="H474" s="146"/>
      <c r="I474" s="146"/>
      <c r="J474" s="146"/>
      <c r="K474" s="146"/>
      <c r="L474" s="146"/>
      <c r="M474" s="146"/>
      <c r="N474" s="146"/>
      <c r="O474" s="147"/>
      <c r="P474" s="146"/>
      <c r="Q474" s="146"/>
      <c r="R474" s="146"/>
      <c r="S474" s="146"/>
      <c r="T474" s="146"/>
      <c r="U474" s="146"/>
      <c r="V474" s="146"/>
      <c r="W474" s="148"/>
      <c r="X474" s="146"/>
      <c r="Y474" s="146"/>
      <c r="Z474" s="146"/>
      <c r="AA474" s="146"/>
      <c r="AB474" s="146"/>
      <c r="AC474" s="146"/>
    </row>
    <row r="475" ht="15.75" customHeight="1">
      <c r="A475" s="146"/>
      <c r="B475" s="146"/>
      <c r="C475" s="146"/>
      <c r="D475" s="146"/>
      <c r="E475" s="146"/>
      <c r="F475" s="146"/>
      <c r="G475" s="146"/>
      <c r="H475" s="146"/>
      <c r="I475" s="146"/>
      <c r="J475" s="146"/>
      <c r="K475" s="146"/>
      <c r="L475" s="146"/>
      <c r="M475" s="146"/>
      <c r="N475" s="146"/>
      <c r="O475" s="147"/>
      <c r="P475" s="146"/>
      <c r="Q475" s="146"/>
      <c r="R475" s="146"/>
      <c r="S475" s="146"/>
      <c r="T475" s="146"/>
      <c r="U475" s="146"/>
      <c r="V475" s="146"/>
      <c r="W475" s="148"/>
      <c r="X475" s="146"/>
      <c r="Y475" s="146"/>
      <c r="Z475" s="146"/>
      <c r="AA475" s="146"/>
      <c r="AB475" s="146"/>
      <c r="AC475" s="146"/>
    </row>
    <row r="476" ht="15.75" customHeight="1">
      <c r="A476" s="146"/>
      <c r="B476" s="146"/>
      <c r="C476" s="146"/>
      <c r="D476" s="146"/>
      <c r="E476" s="146"/>
      <c r="F476" s="146"/>
      <c r="G476" s="146"/>
      <c r="H476" s="146"/>
      <c r="I476" s="146"/>
      <c r="J476" s="146"/>
      <c r="K476" s="146"/>
      <c r="L476" s="146"/>
      <c r="M476" s="146"/>
      <c r="N476" s="146"/>
      <c r="O476" s="147"/>
      <c r="P476" s="146"/>
      <c r="Q476" s="146"/>
      <c r="R476" s="146"/>
      <c r="S476" s="146"/>
      <c r="T476" s="146"/>
      <c r="U476" s="146"/>
      <c r="V476" s="146"/>
      <c r="W476" s="148"/>
      <c r="X476" s="146"/>
      <c r="Y476" s="146"/>
      <c r="Z476" s="146"/>
      <c r="AA476" s="146"/>
      <c r="AB476" s="146"/>
      <c r="AC476" s="146"/>
    </row>
    <row r="477" ht="15.75" customHeight="1">
      <c r="A477" s="146"/>
      <c r="B477" s="146"/>
      <c r="C477" s="146"/>
      <c r="D477" s="146"/>
      <c r="E477" s="146"/>
      <c r="F477" s="146"/>
      <c r="G477" s="146"/>
      <c r="H477" s="146"/>
      <c r="I477" s="146"/>
      <c r="J477" s="146"/>
      <c r="K477" s="146"/>
      <c r="L477" s="146"/>
      <c r="M477" s="146"/>
      <c r="N477" s="146"/>
      <c r="O477" s="147"/>
      <c r="P477" s="146"/>
      <c r="Q477" s="146"/>
      <c r="R477" s="146"/>
      <c r="S477" s="146"/>
      <c r="T477" s="146"/>
      <c r="U477" s="146"/>
      <c r="V477" s="146"/>
      <c r="W477" s="148"/>
      <c r="X477" s="146"/>
      <c r="Y477" s="146"/>
      <c r="Z477" s="146"/>
      <c r="AA477" s="146"/>
      <c r="AB477" s="146"/>
      <c r="AC477" s="146"/>
    </row>
    <row r="478" ht="15.75" customHeight="1">
      <c r="A478" s="146"/>
      <c r="B478" s="146"/>
      <c r="C478" s="146"/>
      <c r="D478" s="146"/>
      <c r="E478" s="146"/>
      <c r="F478" s="146"/>
      <c r="G478" s="146"/>
      <c r="H478" s="146"/>
      <c r="I478" s="146"/>
      <c r="J478" s="146"/>
      <c r="K478" s="146"/>
      <c r="L478" s="146"/>
      <c r="M478" s="146"/>
      <c r="N478" s="146"/>
      <c r="O478" s="147"/>
      <c r="P478" s="146"/>
      <c r="Q478" s="146"/>
      <c r="R478" s="146"/>
      <c r="S478" s="146"/>
      <c r="T478" s="146"/>
      <c r="U478" s="146"/>
      <c r="V478" s="146"/>
      <c r="W478" s="148"/>
      <c r="X478" s="146"/>
      <c r="Y478" s="146"/>
      <c r="Z478" s="146"/>
      <c r="AA478" s="146"/>
      <c r="AB478" s="146"/>
      <c r="AC478" s="146"/>
    </row>
    <row r="479" ht="15.75" customHeight="1">
      <c r="A479" s="146"/>
      <c r="B479" s="146"/>
      <c r="C479" s="146"/>
      <c r="D479" s="146"/>
      <c r="E479" s="146"/>
      <c r="F479" s="146"/>
      <c r="G479" s="146"/>
      <c r="H479" s="146"/>
      <c r="I479" s="146"/>
      <c r="J479" s="146"/>
      <c r="K479" s="146"/>
      <c r="L479" s="146"/>
      <c r="M479" s="146"/>
      <c r="N479" s="146"/>
      <c r="O479" s="147"/>
      <c r="P479" s="146"/>
      <c r="Q479" s="146"/>
      <c r="R479" s="146"/>
      <c r="S479" s="146"/>
      <c r="T479" s="146"/>
      <c r="U479" s="146"/>
      <c r="V479" s="146"/>
      <c r="W479" s="148"/>
      <c r="X479" s="146"/>
      <c r="Y479" s="146"/>
      <c r="Z479" s="146"/>
      <c r="AA479" s="146"/>
      <c r="AB479" s="146"/>
      <c r="AC479" s="146"/>
    </row>
    <row r="480" ht="15.75" customHeight="1">
      <c r="A480" s="146"/>
      <c r="B480" s="146"/>
      <c r="C480" s="146"/>
      <c r="D480" s="146"/>
      <c r="E480" s="146"/>
      <c r="F480" s="146"/>
      <c r="G480" s="146"/>
      <c r="H480" s="146"/>
      <c r="I480" s="146"/>
      <c r="J480" s="146"/>
      <c r="K480" s="146"/>
      <c r="L480" s="146"/>
      <c r="M480" s="146"/>
      <c r="N480" s="146"/>
      <c r="O480" s="147"/>
      <c r="P480" s="146"/>
      <c r="Q480" s="146"/>
      <c r="R480" s="146"/>
      <c r="S480" s="146"/>
      <c r="T480" s="146"/>
      <c r="U480" s="146"/>
      <c r="V480" s="146"/>
      <c r="W480" s="148"/>
      <c r="X480" s="146"/>
      <c r="Y480" s="146"/>
      <c r="Z480" s="146"/>
      <c r="AA480" s="146"/>
      <c r="AB480" s="146"/>
      <c r="AC480" s="146"/>
    </row>
    <row r="481" ht="15.75" customHeight="1">
      <c r="A481" s="146"/>
      <c r="B481" s="146"/>
      <c r="C481" s="146"/>
      <c r="D481" s="146"/>
      <c r="E481" s="146"/>
      <c r="F481" s="146"/>
      <c r="G481" s="146"/>
      <c r="H481" s="146"/>
      <c r="I481" s="146"/>
      <c r="J481" s="146"/>
      <c r="K481" s="146"/>
      <c r="L481" s="146"/>
      <c r="M481" s="146"/>
      <c r="N481" s="146"/>
      <c r="O481" s="147"/>
      <c r="P481" s="146"/>
      <c r="Q481" s="146"/>
      <c r="R481" s="146"/>
      <c r="S481" s="146"/>
      <c r="T481" s="146"/>
      <c r="U481" s="146"/>
      <c r="V481" s="146"/>
      <c r="W481" s="148"/>
      <c r="X481" s="146"/>
      <c r="Y481" s="146"/>
      <c r="Z481" s="146"/>
      <c r="AA481" s="146"/>
      <c r="AB481" s="146"/>
      <c r="AC481" s="146"/>
    </row>
    <row r="482" ht="15.75" customHeight="1">
      <c r="A482" s="146"/>
      <c r="B482" s="146"/>
      <c r="C482" s="146"/>
      <c r="D482" s="146"/>
      <c r="E482" s="146"/>
      <c r="F482" s="146"/>
      <c r="G482" s="146"/>
      <c r="H482" s="146"/>
      <c r="I482" s="146"/>
      <c r="J482" s="146"/>
      <c r="K482" s="146"/>
      <c r="L482" s="146"/>
      <c r="M482" s="146"/>
      <c r="N482" s="146"/>
      <c r="O482" s="147"/>
      <c r="P482" s="146"/>
      <c r="Q482" s="146"/>
      <c r="R482" s="146"/>
      <c r="S482" s="146"/>
      <c r="T482" s="146"/>
      <c r="U482" s="146"/>
      <c r="V482" s="146"/>
      <c r="W482" s="148"/>
      <c r="X482" s="146"/>
      <c r="Y482" s="146"/>
      <c r="Z482" s="146"/>
      <c r="AA482" s="146"/>
      <c r="AB482" s="146"/>
      <c r="AC482" s="146"/>
    </row>
    <row r="483" ht="15.75" customHeight="1">
      <c r="A483" s="146"/>
      <c r="B483" s="146"/>
      <c r="C483" s="146"/>
      <c r="D483" s="146"/>
      <c r="E483" s="146"/>
      <c r="F483" s="146"/>
      <c r="G483" s="146"/>
      <c r="H483" s="146"/>
      <c r="I483" s="146"/>
      <c r="J483" s="146"/>
      <c r="K483" s="146"/>
      <c r="L483" s="146"/>
      <c r="M483" s="146"/>
      <c r="N483" s="146"/>
      <c r="O483" s="147"/>
      <c r="P483" s="146"/>
      <c r="Q483" s="146"/>
      <c r="R483" s="146"/>
      <c r="S483" s="146"/>
      <c r="T483" s="146"/>
      <c r="U483" s="146"/>
      <c r="V483" s="146"/>
      <c r="W483" s="148"/>
      <c r="X483" s="146"/>
      <c r="Y483" s="146"/>
      <c r="Z483" s="146"/>
      <c r="AA483" s="146"/>
      <c r="AB483" s="146"/>
      <c r="AC483" s="146"/>
    </row>
    <row r="484" ht="15.75" customHeight="1">
      <c r="A484" s="146"/>
      <c r="B484" s="146"/>
      <c r="C484" s="146"/>
      <c r="D484" s="146"/>
      <c r="E484" s="146"/>
      <c r="F484" s="146"/>
      <c r="G484" s="146"/>
      <c r="H484" s="146"/>
      <c r="I484" s="146"/>
      <c r="J484" s="146"/>
      <c r="K484" s="146"/>
      <c r="L484" s="146"/>
      <c r="M484" s="146"/>
      <c r="N484" s="146"/>
      <c r="O484" s="147"/>
      <c r="P484" s="146"/>
      <c r="Q484" s="146"/>
      <c r="R484" s="146"/>
      <c r="S484" s="146"/>
      <c r="T484" s="146"/>
      <c r="U484" s="146"/>
      <c r="V484" s="146"/>
      <c r="W484" s="148"/>
      <c r="X484" s="146"/>
      <c r="Y484" s="146"/>
      <c r="Z484" s="146"/>
      <c r="AA484" s="146"/>
      <c r="AB484" s="146"/>
      <c r="AC484" s="146"/>
    </row>
    <row r="485" ht="15.75" customHeight="1">
      <c r="A485" s="146"/>
      <c r="B485" s="146"/>
      <c r="C485" s="146"/>
      <c r="D485" s="146"/>
      <c r="E485" s="146"/>
      <c r="F485" s="146"/>
      <c r="G485" s="146"/>
      <c r="H485" s="146"/>
      <c r="I485" s="146"/>
      <c r="J485" s="146"/>
      <c r="K485" s="146"/>
      <c r="L485" s="146"/>
      <c r="M485" s="146"/>
      <c r="N485" s="146"/>
      <c r="O485" s="147"/>
      <c r="P485" s="146"/>
      <c r="Q485" s="146"/>
      <c r="R485" s="146"/>
      <c r="S485" s="146"/>
      <c r="T485" s="146"/>
      <c r="U485" s="146"/>
      <c r="V485" s="146"/>
      <c r="W485" s="148"/>
      <c r="X485" s="146"/>
      <c r="Y485" s="146"/>
      <c r="Z485" s="146"/>
      <c r="AA485" s="146"/>
      <c r="AB485" s="146"/>
      <c r="AC485" s="146"/>
    </row>
    <row r="486" ht="15.75" customHeight="1">
      <c r="A486" s="146"/>
      <c r="B486" s="146"/>
      <c r="C486" s="146"/>
      <c r="D486" s="146"/>
      <c r="E486" s="146"/>
      <c r="F486" s="146"/>
      <c r="G486" s="146"/>
      <c r="H486" s="146"/>
      <c r="I486" s="146"/>
      <c r="J486" s="146"/>
      <c r="K486" s="146"/>
      <c r="L486" s="146"/>
      <c r="M486" s="146"/>
      <c r="N486" s="146"/>
      <c r="O486" s="147"/>
      <c r="P486" s="146"/>
      <c r="Q486" s="146"/>
      <c r="R486" s="146"/>
      <c r="S486" s="146"/>
      <c r="T486" s="146"/>
      <c r="U486" s="146"/>
      <c r="V486" s="146"/>
      <c r="W486" s="148"/>
      <c r="X486" s="146"/>
      <c r="Y486" s="146"/>
      <c r="Z486" s="146"/>
      <c r="AA486" s="146"/>
      <c r="AB486" s="146"/>
      <c r="AC486" s="146"/>
    </row>
    <row r="487" ht="15.75" customHeight="1">
      <c r="A487" s="146"/>
      <c r="B487" s="146"/>
      <c r="C487" s="146"/>
      <c r="D487" s="146"/>
      <c r="E487" s="146"/>
      <c r="F487" s="146"/>
      <c r="G487" s="146"/>
      <c r="H487" s="146"/>
      <c r="I487" s="146"/>
      <c r="J487" s="146"/>
      <c r="K487" s="146"/>
      <c r="L487" s="146"/>
      <c r="M487" s="146"/>
      <c r="N487" s="146"/>
      <c r="O487" s="147"/>
      <c r="P487" s="146"/>
      <c r="Q487" s="146"/>
      <c r="R487" s="146"/>
      <c r="S487" s="146"/>
      <c r="T487" s="146"/>
      <c r="U487" s="146"/>
      <c r="V487" s="146"/>
      <c r="W487" s="148"/>
      <c r="X487" s="146"/>
      <c r="Y487" s="146"/>
      <c r="Z487" s="146"/>
      <c r="AA487" s="146"/>
      <c r="AB487" s="146"/>
      <c r="AC487" s="146"/>
    </row>
    <row r="488" ht="15.75" customHeight="1">
      <c r="A488" s="146"/>
      <c r="B488" s="146"/>
      <c r="C488" s="146"/>
      <c r="D488" s="146"/>
      <c r="E488" s="146"/>
      <c r="F488" s="146"/>
      <c r="G488" s="146"/>
      <c r="H488" s="146"/>
      <c r="I488" s="146"/>
      <c r="J488" s="146"/>
      <c r="K488" s="146"/>
      <c r="L488" s="146"/>
      <c r="M488" s="146"/>
      <c r="N488" s="146"/>
      <c r="O488" s="147"/>
      <c r="P488" s="146"/>
      <c r="Q488" s="146"/>
      <c r="R488" s="146"/>
      <c r="S488" s="146"/>
      <c r="T488" s="146"/>
      <c r="U488" s="146"/>
      <c r="V488" s="146"/>
      <c r="W488" s="148"/>
      <c r="X488" s="146"/>
      <c r="Y488" s="146"/>
      <c r="Z488" s="146"/>
      <c r="AA488" s="146"/>
      <c r="AB488" s="146"/>
      <c r="AC488" s="146"/>
    </row>
    <row r="489" ht="15.75" customHeight="1">
      <c r="A489" s="146"/>
      <c r="B489" s="146"/>
      <c r="C489" s="146"/>
      <c r="D489" s="146"/>
      <c r="E489" s="146"/>
      <c r="F489" s="146"/>
      <c r="G489" s="146"/>
      <c r="H489" s="146"/>
      <c r="I489" s="146"/>
      <c r="J489" s="146"/>
      <c r="K489" s="146"/>
      <c r="L489" s="146"/>
      <c r="M489" s="146"/>
      <c r="N489" s="146"/>
      <c r="O489" s="147"/>
      <c r="P489" s="146"/>
      <c r="Q489" s="146"/>
      <c r="R489" s="146"/>
      <c r="S489" s="146"/>
      <c r="T489" s="146"/>
      <c r="U489" s="146"/>
      <c r="V489" s="146"/>
      <c r="W489" s="148"/>
      <c r="X489" s="146"/>
      <c r="Y489" s="146"/>
      <c r="Z489" s="146"/>
      <c r="AA489" s="146"/>
      <c r="AB489" s="146"/>
      <c r="AC489" s="146"/>
    </row>
    <row r="490" ht="15.75" customHeight="1">
      <c r="A490" s="146"/>
      <c r="B490" s="146"/>
      <c r="C490" s="146"/>
      <c r="D490" s="146"/>
      <c r="E490" s="146"/>
      <c r="F490" s="146"/>
      <c r="G490" s="146"/>
      <c r="H490" s="146"/>
      <c r="I490" s="146"/>
      <c r="J490" s="146"/>
      <c r="K490" s="146"/>
      <c r="L490" s="146"/>
      <c r="M490" s="146"/>
      <c r="N490" s="146"/>
      <c r="O490" s="147"/>
      <c r="P490" s="146"/>
      <c r="Q490" s="146"/>
      <c r="R490" s="146"/>
      <c r="S490" s="146"/>
      <c r="T490" s="146"/>
      <c r="U490" s="146"/>
      <c r="V490" s="146"/>
      <c r="W490" s="148"/>
      <c r="X490" s="146"/>
      <c r="Y490" s="146"/>
      <c r="Z490" s="146"/>
      <c r="AA490" s="146"/>
      <c r="AB490" s="146"/>
      <c r="AC490" s="146"/>
    </row>
    <row r="491" ht="15.75" customHeight="1">
      <c r="A491" s="146"/>
      <c r="B491" s="146"/>
      <c r="C491" s="146"/>
      <c r="D491" s="146"/>
      <c r="E491" s="146"/>
      <c r="F491" s="146"/>
      <c r="G491" s="146"/>
      <c r="H491" s="146"/>
      <c r="I491" s="146"/>
      <c r="J491" s="146"/>
      <c r="K491" s="146"/>
      <c r="L491" s="146"/>
      <c r="M491" s="146"/>
      <c r="N491" s="146"/>
      <c r="O491" s="147"/>
      <c r="P491" s="146"/>
      <c r="Q491" s="146"/>
      <c r="R491" s="146"/>
      <c r="S491" s="146"/>
      <c r="T491" s="146"/>
      <c r="U491" s="146"/>
      <c r="V491" s="146"/>
      <c r="W491" s="148"/>
      <c r="X491" s="146"/>
      <c r="Y491" s="146"/>
      <c r="Z491" s="146"/>
      <c r="AA491" s="146"/>
      <c r="AB491" s="146"/>
      <c r="AC491" s="146"/>
    </row>
    <row r="492" ht="15.75" customHeight="1">
      <c r="A492" s="146"/>
      <c r="B492" s="146"/>
      <c r="C492" s="146"/>
      <c r="D492" s="146"/>
      <c r="E492" s="146"/>
      <c r="F492" s="146"/>
      <c r="G492" s="146"/>
      <c r="H492" s="146"/>
      <c r="I492" s="146"/>
      <c r="J492" s="146"/>
      <c r="K492" s="146"/>
      <c r="L492" s="146"/>
      <c r="M492" s="146"/>
      <c r="N492" s="146"/>
      <c r="O492" s="147"/>
      <c r="P492" s="146"/>
      <c r="Q492" s="146"/>
      <c r="R492" s="146"/>
      <c r="S492" s="146"/>
      <c r="T492" s="146"/>
      <c r="U492" s="146"/>
      <c r="V492" s="146"/>
      <c r="W492" s="148"/>
      <c r="X492" s="146"/>
      <c r="Y492" s="146"/>
      <c r="Z492" s="146"/>
      <c r="AA492" s="146"/>
      <c r="AB492" s="146"/>
      <c r="AC492" s="146"/>
    </row>
    <row r="493" ht="15.75" customHeight="1">
      <c r="A493" s="146"/>
      <c r="B493" s="146"/>
      <c r="C493" s="146"/>
      <c r="D493" s="146"/>
      <c r="E493" s="146"/>
      <c r="F493" s="146"/>
      <c r="G493" s="146"/>
      <c r="H493" s="146"/>
      <c r="I493" s="146"/>
      <c r="J493" s="146"/>
      <c r="K493" s="146"/>
      <c r="L493" s="146"/>
      <c r="M493" s="146"/>
      <c r="N493" s="146"/>
      <c r="O493" s="147"/>
      <c r="P493" s="146"/>
      <c r="Q493" s="146"/>
      <c r="R493" s="146"/>
      <c r="S493" s="146"/>
      <c r="T493" s="146"/>
      <c r="U493" s="146"/>
      <c r="V493" s="146"/>
      <c r="W493" s="148"/>
      <c r="X493" s="146"/>
      <c r="Y493" s="146"/>
      <c r="Z493" s="146"/>
      <c r="AA493" s="146"/>
      <c r="AB493" s="146"/>
      <c r="AC493" s="146"/>
    </row>
    <row r="494" ht="15.75" customHeight="1">
      <c r="A494" s="146"/>
      <c r="B494" s="146"/>
      <c r="C494" s="146"/>
      <c r="D494" s="146"/>
      <c r="E494" s="146"/>
      <c r="F494" s="146"/>
      <c r="G494" s="146"/>
      <c r="H494" s="146"/>
      <c r="I494" s="146"/>
      <c r="J494" s="146"/>
      <c r="K494" s="146"/>
      <c r="L494" s="146"/>
      <c r="M494" s="146"/>
      <c r="N494" s="146"/>
      <c r="O494" s="147"/>
      <c r="P494" s="146"/>
      <c r="Q494" s="146"/>
      <c r="R494" s="146"/>
      <c r="S494" s="146"/>
      <c r="T494" s="146"/>
      <c r="U494" s="146"/>
      <c r="V494" s="146"/>
      <c r="W494" s="148"/>
      <c r="X494" s="146"/>
      <c r="Y494" s="146"/>
      <c r="Z494" s="146"/>
      <c r="AA494" s="146"/>
      <c r="AB494" s="146"/>
      <c r="AC494" s="146"/>
    </row>
    <row r="495" ht="15.75" customHeight="1">
      <c r="A495" s="146"/>
      <c r="B495" s="146"/>
      <c r="C495" s="146"/>
      <c r="D495" s="146"/>
      <c r="E495" s="146"/>
      <c r="F495" s="146"/>
      <c r="G495" s="146"/>
      <c r="H495" s="146"/>
      <c r="I495" s="146"/>
      <c r="J495" s="146"/>
      <c r="K495" s="146"/>
      <c r="L495" s="146"/>
      <c r="M495" s="146"/>
      <c r="N495" s="146"/>
      <c r="O495" s="147"/>
      <c r="P495" s="146"/>
      <c r="Q495" s="146"/>
      <c r="R495" s="146"/>
      <c r="S495" s="146"/>
      <c r="T495" s="146"/>
      <c r="U495" s="146"/>
      <c r="V495" s="146"/>
      <c r="W495" s="148"/>
      <c r="X495" s="146"/>
      <c r="Y495" s="146"/>
      <c r="Z495" s="146"/>
      <c r="AA495" s="146"/>
      <c r="AB495" s="146"/>
      <c r="AC495" s="146"/>
    </row>
    <row r="496" ht="15.75" customHeight="1">
      <c r="A496" s="146"/>
      <c r="B496" s="146"/>
      <c r="C496" s="146"/>
      <c r="D496" s="146"/>
      <c r="E496" s="146"/>
      <c r="F496" s="146"/>
      <c r="G496" s="146"/>
      <c r="H496" s="146"/>
      <c r="I496" s="146"/>
      <c r="J496" s="146"/>
      <c r="K496" s="146"/>
      <c r="L496" s="146"/>
      <c r="M496" s="146"/>
      <c r="N496" s="146"/>
      <c r="O496" s="147"/>
      <c r="P496" s="146"/>
      <c r="Q496" s="146"/>
      <c r="R496" s="146"/>
      <c r="S496" s="146"/>
      <c r="T496" s="146"/>
      <c r="U496" s="146"/>
      <c r="V496" s="146"/>
      <c r="W496" s="148"/>
      <c r="X496" s="146"/>
      <c r="Y496" s="146"/>
      <c r="Z496" s="146"/>
      <c r="AA496" s="146"/>
      <c r="AB496" s="146"/>
      <c r="AC496" s="146"/>
    </row>
    <row r="497" ht="15.75" customHeight="1">
      <c r="A497" s="146"/>
      <c r="B497" s="146"/>
      <c r="C497" s="146"/>
      <c r="D497" s="146"/>
      <c r="E497" s="146"/>
      <c r="F497" s="146"/>
      <c r="G497" s="146"/>
      <c r="H497" s="146"/>
      <c r="I497" s="146"/>
      <c r="J497" s="146"/>
      <c r="K497" s="146"/>
      <c r="L497" s="146"/>
      <c r="M497" s="146"/>
      <c r="N497" s="146"/>
      <c r="O497" s="147"/>
      <c r="P497" s="146"/>
      <c r="Q497" s="146"/>
      <c r="R497" s="146"/>
      <c r="S497" s="146"/>
      <c r="T497" s="146"/>
      <c r="U497" s="146"/>
      <c r="V497" s="146"/>
      <c r="W497" s="148"/>
      <c r="X497" s="146"/>
      <c r="Y497" s="146"/>
      <c r="Z497" s="146"/>
      <c r="AA497" s="146"/>
      <c r="AB497" s="146"/>
      <c r="AC497" s="146"/>
    </row>
    <row r="498" ht="15.75" customHeight="1">
      <c r="A498" s="146"/>
      <c r="B498" s="146"/>
      <c r="C498" s="146"/>
      <c r="D498" s="146"/>
      <c r="E498" s="146"/>
      <c r="F498" s="146"/>
      <c r="G498" s="146"/>
      <c r="H498" s="146"/>
      <c r="I498" s="146"/>
      <c r="J498" s="146"/>
      <c r="K498" s="146"/>
      <c r="L498" s="146"/>
      <c r="M498" s="146"/>
      <c r="N498" s="146"/>
      <c r="O498" s="147"/>
      <c r="P498" s="146"/>
      <c r="Q498" s="146"/>
      <c r="R498" s="146"/>
      <c r="S498" s="146"/>
      <c r="T498" s="146"/>
      <c r="U498" s="146"/>
      <c r="V498" s="146"/>
      <c r="W498" s="148"/>
      <c r="X498" s="146"/>
      <c r="Y498" s="146"/>
      <c r="Z498" s="146"/>
      <c r="AA498" s="146"/>
      <c r="AB498" s="146"/>
      <c r="AC498" s="146"/>
    </row>
    <row r="499" ht="15.75" customHeight="1">
      <c r="A499" s="146"/>
      <c r="B499" s="146"/>
      <c r="C499" s="146"/>
      <c r="D499" s="146"/>
      <c r="E499" s="146"/>
      <c r="F499" s="146"/>
      <c r="G499" s="146"/>
      <c r="H499" s="146"/>
      <c r="I499" s="146"/>
      <c r="J499" s="146"/>
      <c r="K499" s="146"/>
      <c r="L499" s="146"/>
      <c r="M499" s="146"/>
      <c r="N499" s="146"/>
      <c r="O499" s="147"/>
      <c r="P499" s="146"/>
      <c r="Q499" s="146"/>
      <c r="R499" s="146"/>
      <c r="S499" s="146"/>
      <c r="T499" s="146"/>
      <c r="U499" s="146"/>
      <c r="V499" s="146"/>
      <c r="W499" s="148"/>
      <c r="X499" s="146"/>
      <c r="Y499" s="146"/>
      <c r="Z499" s="146"/>
      <c r="AA499" s="146"/>
      <c r="AB499" s="146"/>
      <c r="AC499" s="146"/>
    </row>
    <row r="500" ht="15.75" customHeight="1">
      <c r="A500" s="146"/>
      <c r="B500" s="146"/>
      <c r="C500" s="146"/>
      <c r="D500" s="146"/>
      <c r="E500" s="146"/>
      <c r="F500" s="146"/>
      <c r="G500" s="146"/>
      <c r="H500" s="146"/>
      <c r="I500" s="146"/>
      <c r="J500" s="146"/>
      <c r="K500" s="146"/>
      <c r="L500" s="146"/>
      <c r="M500" s="146"/>
      <c r="N500" s="146"/>
      <c r="O500" s="147"/>
      <c r="P500" s="146"/>
      <c r="Q500" s="146"/>
      <c r="R500" s="146"/>
      <c r="S500" s="146"/>
      <c r="T500" s="146"/>
      <c r="U500" s="146"/>
      <c r="V500" s="146"/>
      <c r="W500" s="148"/>
      <c r="X500" s="146"/>
      <c r="Y500" s="146"/>
      <c r="Z500" s="146"/>
      <c r="AA500" s="146"/>
      <c r="AB500" s="146"/>
      <c r="AC500" s="146"/>
    </row>
    <row r="501" ht="15.75" customHeight="1">
      <c r="A501" s="146"/>
      <c r="B501" s="146"/>
      <c r="C501" s="146"/>
      <c r="D501" s="146"/>
      <c r="E501" s="146"/>
      <c r="F501" s="146"/>
      <c r="G501" s="146"/>
      <c r="H501" s="146"/>
      <c r="I501" s="146"/>
      <c r="J501" s="146"/>
      <c r="K501" s="146"/>
      <c r="L501" s="146"/>
      <c r="M501" s="146"/>
      <c r="N501" s="146"/>
      <c r="O501" s="147"/>
      <c r="P501" s="146"/>
      <c r="Q501" s="146"/>
      <c r="R501" s="146"/>
      <c r="S501" s="146"/>
      <c r="T501" s="146"/>
      <c r="U501" s="146"/>
      <c r="V501" s="146"/>
      <c r="W501" s="148"/>
      <c r="X501" s="146"/>
      <c r="Y501" s="146"/>
      <c r="Z501" s="146"/>
      <c r="AA501" s="146"/>
      <c r="AB501" s="146"/>
      <c r="AC501" s="146"/>
    </row>
    <row r="502" ht="15.75" customHeight="1">
      <c r="A502" s="146"/>
      <c r="B502" s="146"/>
      <c r="C502" s="146"/>
      <c r="D502" s="146"/>
      <c r="E502" s="146"/>
      <c r="F502" s="146"/>
      <c r="G502" s="146"/>
      <c r="H502" s="146"/>
      <c r="I502" s="146"/>
      <c r="J502" s="146"/>
      <c r="K502" s="146"/>
      <c r="L502" s="146"/>
      <c r="M502" s="146"/>
      <c r="N502" s="146"/>
      <c r="O502" s="147"/>
      <c r="P502" s="146"/>
      <c r="Q502" s="146"/>
      <c r="R502" s="146"/>
      <c r="S502" s="146"/>
      <c r="T502" s="146"/>
      <c r="U502" s="146"/>
      <c r="V502" s="146"/>
      <c r="W502" s="148"/>
      <c r="X502" s="146"/>
      <c r="Y502" s="146"/>
      <c r="Z502" s="146"/>
      <c r="AA502" s="146"/>
      <c r="AB502" s="146"/>
      <c r="AC502" s="146"/>
    </row>
    <row r="503" ht="15.75" customHeight="1">
      <c r="A503" s="146"/>
      <c r="B503" s="146"/>
      <c r="C503" s="146"/>
      <c r="D503" s="146"/>
      <c r="E503" s="146"/>
      <c r="F503" s="146"/>
      <c r="G503" s="146"/>
      <c r="H503" s="146"/>
      <c r="I503" s="146"/>
      <c r="J503" s="146"/>
      <c r="K503" s="146"/>
      <c r="L503" s="146"/>
      <c r="M503" s="146"/>
      <c r="N503" s="146"/>
      <c r="O503" s="147"/>
      <c r="P503" s="146"/>
      <c r="Q503" s="146"/>
      <c r="R503" s="146"/>
      <c r="S503" s="146"/>
      <c r="T503" s="146"/>
      <c r="U503" s="146"/>
      <c r="V503" s="146"/>
      <c r="W503" s="148"/>
      <c r="X503" s="146"/>
      <c r="Y503" s="146"/>
      <c r="Z503" s="146"/>
      <c r="AA503" s="146"/>
      <c r="AB503" s="146"/>
      <c r="AC503" s="146"/>
    </row>
    <row r="504" ht="15.75" customHeight="1">
      <c r="A504" s="146"/>
      <c r="B504" s="146"/>
      <c r="C504" s="146"/>
      <c r="D504" s="146"/>
      <c r="E504" s="146"/>
      <c r="F504" s="146"/>
      <c r="G504" s="146"/>
      <c r="H504" s="146"/>
      <c r="I504" s="146"/>
      <c r="J504" s="146"/>
      <c r="K504" s="146"/>
      <c r="L504" s="146"/>
      <c r="M504" s="146"/>
      <c r="N504" s="146"/>
      <c r="O504" s="147"/>
      <c r="P504" s="146"/>
      <c r="Q504" s="146"/>
      <c r="R504" s="146"/>
      <c r="S504" s="146"/>
      <c r="T504" s="146"/>
      <c r="U504" s="146"/>
      <c r="V504" s="146"/>
      <c r="W504" s="148"/>
      <c r="X504" s="146"/>
      <c r="Y504" s="146"/>
      <c r="Z504" s="146"/>
      <c r="AA504" s="146"/>
      <c r="AB504" s="146"/>
      <c r="AC504" s="146"/>
    </row>
    <row r="505" ht="15.75" customHeight="1">
      <c r="A505" s="146"/>
      <c r="B505" s="146"/>
      <c r="C505" s="146"/>
      <c r="D505" s="146"/>
      <c r="E505" s="146"/>
      <c r="F505" s="146"/>
      <c r="G505" s="146"/>
      <c r="H505" s="146"/>
      <c r="I505" s="146"/>
      <c r="J505" s="146"/>
      <c r="K505" s="146"/>
      <c r="L505" s="146"/>
      <c r="M505" s="146"/>
      <c r="N505" s="146"/>
      <c r="O505" s="147"/>
      <c r="P505" s="146"/>
      <c r="Q505" s="146"/>
      <c r="R505" s="146"/>
      <c r="S505" s="146"/>
      <c r="T505" s="146"/>
      <c r="U505" s="146"/>
      <c r="V505" s="146"/>
      <c r="W505" s="148"/>
      <c r="X505" s="146"/>
      <c r="Y505" s="146"/>
      <c r="Z505" s="146"/>
      <c r="AA505" s="146"/>
      <c r="AB505" s="146"/>
      <c r="AC505" s="146"/>
    </row>
    <row r="506" ht="15.75" customHeight="1">
      <c r="A506" s="146"/>
      <c r="B506" s="146"/>
      <c r="C506" s="146"/>
      <c r="D506" s="146"/>
      <c r="E506" s="146"/>
      <c r="F506" s="146"/>
      <c r="G506" s="146"/>
      <c r="H506" s="146"/>
      <c r="I506" s="146"/>
      <c r="J506" s="146"/>
      <c r="K506" s="146"/>
      <c r="L506" s="146"/>
      <c r="M506" s="146"/>
      <c r="N506" s="146"/>
      <c r="O506" s="147"/>
      <c r="P506" s="146"/>
      <c r="Q506" s="146"/>
      <c r="R506" s="146"/>
      <c r="S506" s="146"/>
      <c r="T506" s="146"/>
      <c r="U506" s="146"/>
      <c r="V506" s="146"/>
      <c r="W506" s="148"/>
      <c r="X506" s="146"/>
      <c r="Y506" s="146"/>
      <c r="Z506" s="146"/>
      <c r="AA506" s="146"/>
      <c r="AB506" s="146"/>
      <c r="AC506" s="146"/>
    </row>
    <row r="507" ht="15.75" customHeight="1">
      <c r="A507" s="146"/>
      <c r="B507" s="146"/>
      <c r="C507" s="146"/>
      <c r="D507" s="146"/>
      <c r="E507" s="146"/>
      <c r="F507" s="146"/>
      <c r="G507" s="146"/>
      <c r="H507" s="146"/>
      <c r="I507" s="146"/>
      <c r="J507" s="146"/>
      <c r="K507" s="146"/>
      <c r="L507" s="146"/>
      <c r="M507" s="146"/>
      <c r="N507" s="146"/>
      <c r="O507" s="147"/>
      <c r="P507" s="146"/>
      <c r="Q507" s="146"/>
      <c r="R507" s="146"/>
      <c r="S507" s="146"/>
      <c r="T507" s="146"/>
      <c r="U507" s="146"/>
      <c r="V507" s="146"/>
      <c r="W507" s="148"/>
      <c r="X507" s="146"/>
      <c r="Y507" s="146"/>
      <c r="Z507" s="146"/>
      <c r="AA507" s="146"/>
      <c r="AB507" s="146"/>
      <c r="AC507" s="146"/>
    </row>
    <row r="508" ht="15.75" customHeight="1">
      <c r="A508" s="146"/>
      <c r="B508" s="146"/>
      <c r="C508" s="146"/>
      <c r="D508" s="146"/>
      <c r="E508" s="146"/>
      <c r="F508" s="146"/>
      <c r="G508" s="146"/>
      <c r="H508" s="146"/>
      <c r="I508" s="146"/>
      <c r="J508" s="146"/>
      <c r="K508" s="146"/>
      <c r="L508" s="146"/>
      <c r="M508" s="146"/>
      <c r="N508" s="146"/>
      <c r="O508" s="147"/>
      <c r="P508" s="146"/>
      <c r="Q508" s="146"/>
      <c r="R508" s="146"/>
      <c r="S508" s="146"/>
      <c r="T508" s="146"/>
      <c r="U508" s="146"/>
      <c r="V508" s="146"/>
      <c r="W508" s="148"/>
      <c r="X508" s="146"/>
      <c r="Y508" s="146"/>
      <c r="Z508" s="146"/>
      <c r="AA508" s="146"/>
      <c r="AB508" s="146"/>
      <c r="AC508" s="146"/>
    </row>
    <row r="509" ht="15.75" customHeight="1">
      <c r="A509" s="146"/>
      <c r="B509" s="146"/>
      <c r="C509" s="146"/>
      <c r="D509" s="146"/>
      <c r="E509" s="146"/>
      <c r="F509" s="146"/>
      <c r="G509" s="146"/>
      <c r="H509" s="146"/>
      <c r="I509" s="146"/>
      <c r="J509" s="146"/>
      <c r="K509" s="146"/>
      <c r="L509" s="146"/>
      <c r="M509" s="146"/>
      <c r="N509" s="146"/>
      <c r="O509" s="147"/>
      <c r="P509" s="146"/>
      <c r="Q509" s="146"/>
      <c r="R509" s="146"/>
      <c r="S509" s="146"/>
      <c r="T509" s="146"/>
      <c r="U509" s="146"/>
      <c r="V509" s="146"/>
      <c r="W509" s="148"/>
      <c r="X509" s="146"/>
      <c r="Y509" s="146"/>
      <c r="Z509" s="146"/>
      <c r="AA509" s="146"/>
      <c r="AB509" s="146"/>
      <c r="AC509" s="146"/>
    </row>
    <row r="510" ht="15.75" customHeight="1">
      <c r="A510" s="146"/>
      <c r="B510" s="146"/>
      <c r="C510" s="146"/>
      <c r="D510" s="146"/>
      <c r="E510" s="146"/>
      <c r="F510" s="146"/>
      <c r="G510" s="146"/>
      <c r="H510" s="146"/>
      <c r="I510" s="146"/>
      <c r="J510" s="146"/>
      <c r="K510" s="146"/>
      <c r="L510" s="146"/>
      <c r="M510" s="146"/>
      <c r="N510" s="146"/>
      <c r="O510" s="147"/>
      <c r="P510" s="146"/>
      <c r="Q510" s="146"/>
      <c r="R510" s="146"/>
      <c r="S510" s="146"/>
      <c r="T510" s="146"/>
      <c r="U510" s="146"/>
      <c r="V510" s="146"/>
      <c r="W510" s="148"/>
      <c r="X510" s="146"/>
      <c r="Y510" s="146"/>
      <c r="Z510" s="146"/>
      <c r="AA510" s="146"/>
      <c r="AB510" s="146"/>
      <c r="AC510" s="146"/>
    </row>
    <row r="511" ht="15.75" customHeight="1">
      <c r="A511" s="146"/>
      <c r="B511" s="146"/>
      <c r="C511" s="146"/>
      <c r="D511" s="146"/>
      <c r="E511" s="146"/>
      <c r="F511" s="146"/>
      <c r="G511" s="146"/>
      <c r="H511" s="146"/>
      <c r="I511" s="146"/>
      <c r="J511" s="146"/>
      <c r="K511" s="146"/>
      <c r="L511" s="146"/>
      <c r="M511" s="146"/>
      <c r="N511" s="146"/>
      <c r="O511" s="147"/>
      <c r="P511" s="146"/>
      <c r="Q511" s="146"/>
      <c r="R511" s="146"/>
      <c r="S511" s="146"/>
      <c r="T511" s="146"/>
      <c r="U511" s="146"/>
      <c r="V511" s="146"/>
      <c r="W511" s="148"/>
      <c r="X511" s="146"/>
      <c r="Y511" s="146"/>
      <c r="Z511" s="146"/>
      <c r="AA511" s="146"/>
      <c r="AB511" s="146"/>
      <c r="AC511" s="146"/>
    </row>
    <row r="512" ht="15.75" customHeight="1">
      <c r="A512" s="146"/>
      <c r="B512" s="146"/>
      <c r="C512" s="146"/>
      <c r="D512" s="146"/>
      <c r="E512" s="146"/>
      <c r="F512" s="146"/>
      <c r="G512" s="146"/>
      <c r="H512" s="146"/>
      <c r="I512" s="146"/>
      <c r="J512" s="146"/>
      <c r="K512" s="146"/>
      <c r="L512" s="146"/>
      <c r="M512" s="146"/>
      <c r="N512" s="146"/>
      <c r="O512" s="147"/>
      <c r="P512" s="146"/>
      <c r="Q512" s="146"/>
      <c r="R512" s="146"/>
      <c r="S512" s="146"/>
      <c r="T512" s="146"/>
      <c r="U512" s="146"/>
      <c r="V512" s="146"/>
      <c r="W512" s="148"/>
      <c r="X512" s="146"/>
      <c r="Y512" s="146"/>
      <c r="Z512" s="146"/>
      <c r="AA512" s="146"/>
      <c r="AB512" s="146"/>
      <c r="AC512" s="146"/>
    </row>
    <row r="513" ht="15.75" customHeight="1">
      <c r="A513" s="146"/>
      <c r="B513" s="146"/>
      <c r="C513" s="146"/>
      <c r="D513" s="146"/>
      <c r="E513" s="146"/>
      <c r="F513" s="146"/>
      <c r="G513" s="146"/>
      <c r="H513" s="146"/>
      <c r="I513" s="146"/>
      <c r="J513" s="146"/>
      <c r="K513" s="146"/>
      <c r="L513" s="146"/>
      <c r="M513" s="146"/>
      <c r="N513" s="146"/>
      <c r="O513" s="147"/>
      <c r="P513" s="146"/>
      <c r="Q513" s="146"/>
      <c r="R513" s="146"/>
      <c r="S513" s="146"/>
      <c r="T513" s="146"/>
      <c r="U513" s="146"/>
      <c r="V513" s="146"/>
      <c r="W513" s="148"/>
      <c r="X513" s="146"/>
      <c r="Y513" s="146"/>
      <c r="Z513" s="146"/>
      <c r="AA513" s="146"/>
      <c r="AB513" s="146"/>
      <c r="AC513" s="146"/>
    </row>
    <row r="514" ht="15.75" customHeight="1">
      <c r="A514" s="146"/>
      <c r="B514" s="146"/>
      <c r="C514" s="146"/>
      <c r="D514" s="146"/>
      <c r="E514" s="146"/>
      <c r="F514" s="146"/>
      <c r="G514" s="146"/>
      <c r="H514" s="146"/>
      <c r="I514" s="146"/>
      <c r="J514" s="146"/>
      <c r="K514" s="146"/>
      <c r="L514" s="146"/>
      <c r="M514" s="146"/>
      <c r="N514" s="146"/>
      <c r="O514" s="147"/>
      <c r="P514" s="146"/>
      <c r="Q514" s="146"/>
      <c r="R514" s="146"/>
      <c r="S514" s="146"/>
      <c r="T514" s="146"/>
      <c r="U514" s="146"/>
      <c r="V514" s="146"/>
      <c r="W514" s="148"/>
      <c r="X514" s="146"/>
      <c r="Y514" s="146"/>
      <c r="Z514" s="146"/>
      <c r="AA514" s="146"/>
      <c r="AB514" s="146"/>
      <c r="AC514" s="146"/>
    </row>
    <row r="515" ht="15.75" customHeight="1">
      <c r="A515" s="146"/>
      <c r="B515" s="146"/>
      <c r="C515" s="146"/>
      <c r="D515" s="146"/>
      <c r="E515" s="146"/>
      <c r="F515" s="146"/>
      <c r="G515" s="146"/>
      <c r="H515" s="146"/>
      <c r="I515" s="146"/>
      <c r="J515" s="146"/>
      <c r="K515" s="146"/>
      <c r="L515" s="146"/>
      <c r="M515" s="146"/>
      <c r="N515" s="146"/>
      <c r="O515" s="147"/>
      <c r="P515" s="146"/>
      <c r="Q515" s="146"/>
      <c r="R515" s="146"/>
      <c r="S515" s="146"/>
      <c r="T515" s="146"/>
      <c r="U515" s="146"/>
      <c r="V515" s="146"/>
      <c r="W515" s="148"/>
      <c r="X515" s="146"/>
      <c r="Y515" s="146"/>
      <c r="Z515" s="146"/>
      <c r="AA515" s="146"/>
      <c r="AB515" s="146"/>
      <c r="AC515" s="146"/>
    </row>
    <row r="516" ht="15.75" customHeight="1">
      <c r="A516" s="146"/>
      <c r="B516" s="146"/>
      <c r="C516" s="146"/>
      <c r="D516" s="146"/>
      <c r="E516" s="146"/>
      <c r="F516" s="146"/>
      <c r="G516" s="146"/>
      <c r="H516" s="146"/>
      <c r="I516" s="146"/>
      <c r="J516" s="146"/>
      <c r="K516" s="146"/>
      <c r="L516" s="146"/>
      <c r="M516" s="146"/>
      <c r="N516" s="146"/>
      <c r="O516" s="147"/>
      <c r="P516" s="146"/>
      <c r="Q516" s="146"/>
      <c r="R516" s="146"/>
      <c r="S516" s="146"/>
      <c r="T516" s="146"/>
      <c r="U516" s="146"/>
      <c r="V516" s="146"/>
      <c r="W516" s="148"/>
      <c r="X516" s="146"/>
      <c r="Y516" s="146"/>
      <c r="Z516" s="146"/>
      <c r="AA516" s="146"/>
      <c r="AB516" s="146"/>
      <c r="AC516" s="146"/>
    </row>
    <row r="517" ht="15.75" customHeight="1">
      <c r="A517" s="146"/>
      <c r="B517" s="146"/>
      <c r="C517" s="146"/>
      <c r="D517" s="146"/>
      <c r="E517" s="146"/>
      <c r="F517" s="146"/>
      <c r="G517" s="146"/>
      <c r="H517" s="146"/>
      <c r="I517" s="146"/>
      <c r="J517" s="146"/>
      <c r="K517" s="146"/>
      <c r="L517" s="146"/>
      <c r="M517" s="146"/>
      <c r="N517" s="146"/>
      <c r="O517" s="147"/>
      <c r="P517" s="146"/>
      <c r="Q517" s="146"/>
      <c r="R517" s="146"/>
      <c r="S517" s="146"/>
      <c r="T517" s="146"/>
      <c r="U517" s="146"/>
      <c r="V517" s="146"/>
      <c r="W517" s="148"/>
      <c r="X517" s="146"/>
      <c r="Y517" s="146"/>
      <c r="Z517" s="146"/>
      <c r="AA517" s="146"/>
      <c r="AB517" s="146"/>
      <c r="AC517" s="146"/>
    </row>
    <row r="518" ht="15.75" customHeight="1">
      <c r="A518" s="146"/>
      <c r="B518" s="146"/>
      <c r="C518" s="146"/>
      <c r="D518" s="146"/>
      <c r="E518" s="146"/>
      <c r="F518" s="146"/>
      <c r="G518" s="146"/>
      <c r="H518" s="146"/>
      <c r="I518" s="146"/>
      <c r="J518" s="146"/>
      <c r="K518" s="146"/>
      <c r="L518" s="146"/>
      <c r="M518" s="146"/>
      <c r="N518" s="146"/>
      <c r="O518" s="147"/>
      <c r="P518" s="146"/>
      <c r="Q518" s="146"/>
      <c r="R518" s="146"/>
      <c r="S518" s="146"/>
      <c r="T518" s="146"/>
      <c r="U518" s="146"/>
      <c r="V518" s="146"/>
      <c r="W518" s="148"/>
      <c r="X518" s="146"/>
      <c r="Y518" s="146"/>
      <c r="Z518" s="146"/>
      <c r="AA518" s="146"/>
      <c r="AB518" s="146"/>
      <c r="AC518" s="146"/>
    </row>
    <row r="519" ht="15.75" customHeight="1">
      <c r="A519" s="146"/>
      <c r="B519" s="146"/>
      <c r="C519" s="146"/>
      <c r="D519" s="146"/>
      <c r="E519" s="146"/>
      <c r="F519" s="146"/>
      <c r="G519" s="146"/>
      <c r="H519" s="146"/>
      <c r="I519" s="146"/>
      <c r="J519" s="146"/>
      <c r="K519" s="146"/>
      <c r="L519" s="146"/>
      <c r="M519" s="146"/>
      <c r="N519" s="146"/>
      <c r="O519" s="147"/>
      <c r="P519" s="146"/>
      <c r="Q519" s="146"/>
      <c r="R519" s="146"/>
      <c r="S519" s="146"/>
      <c r="T519" s="146"/>
      <c r="U519" s="146"/>
      <c r="V519" s="146"/>
      <c r="W519" s="148"/>
      <c r="X519" s="146"/>
      <c r="Y519" s="146"/>
      <c r="Z519" s="146"/>
      <c r="AA519" s="146"/>
      <c r="AB519" s="146"/>
      <c r="AC519" s="146"/>
    </row>
    <row r="520" ht="15.75" customHeight="1">
      <c r="A520" s="146"/>
      <c r="B520" s="146"/>
      <c r="C520" s="146"/>
      <c r="D520" s="146"/>
      <c r="E520" s="146"/>
      <c r="F520" s="146"/>
      <c r="G520" s="146"/>
      <c r="H520" s="146"/>
      <c r="I520" s="146"/>
      <c r="J520" s="146"/>
      <c r="K520" s="146"/>
      <c r="L520" s="146"/>
      <c r="M520" s="146"/>
      <c r="N520" s="146"/>
      <c r="O520" s="147"/>
      <c r="P520" s="146"/>
      <c r="Q520" s="146"/>
      <c r="R520" s="146"/>
      <c r="S520" s="146"/>
      <c r="T520" s="146"/>
      <c r="U520" s="146"/>
      <c r="V520" s="146"/>
      <c r="W520" s="148"/>
      <c r="X520" s="146"/>
      <c r="Y520" s="146"/>
      <c r="Z520" s="146"/>
      <c r="AA520" s="146"/>
      <c r="AB520" s="146"/>
      <c r="AC520" s="146"/>
    </row>
    <row r="521" ht="15.75" customHeight="1">
      <c r="A521" s="146"/>
      <c r="B521" s="146"/>
      <c r="C521" s="146"/>
      <c r="D521" s="146"/>
      <c r="E521" s="146"/>
      <c r="F521" s="146"/>
      <c r="G521" s="146"/>
      <c r="H521" s="146"/>
      <c r="I521" s="146"/>
      <c r="J521" s="146"/>
      <c r="K521" s="146"/>
      <c r="L521" s="146"/>
      <c r="M521" s="146"/>
      <c r="N521" s="146"/>
      <c r="O521" s="147"/>
      <c r="P521" s="146"/>
      <c r="Q521" s="146"/>
      <c r="R521" s="146"/>
      <c r="S521" s="146"/>
      <c r="T521" s="146"/>
      <c r="U521" s="146"/>
      <c r="V521" s="146"/>
      <c r="W521" s="148"/>
      <c r="X521" s="146"/>
      <c r="Y521" s="146"/>
      <c r="Z521" s="146"/>
      <c r="AA521" s="146"/>
      <c r="AB521" s="146"/>
      <c r="AC521" s="146"/>
    </row>
    <row r="522" ht="15.75" customHeight="1">
      <c r="A522" s="146"/>
      <c r="B522" s="146"/>
      <c r="C522" s="146"/>
      <c r="D522" s="146"/>
      <c r="E522" s="146"/>
      <c r="F522" s="146"/>
      <c r="G522" s="146"/>
      <c r="H522" s="146"/>
      <c r="I522" s="146"/>
      <c r="J522" s="146"/>
      <c r="K522" s="146"/>
      <c r="L522" s="146"/>
      <c r="M522" s="146"/>
      <c r="N522" s="146"/>
      <c r="O522" s="147"/>
      <c r="P522" s="146"/>
      <c r="Q522" s="146"/>
      <c r="R522" s="146"/>
      <c r="S522" s="146"/>
      <c r="T522" s="146"/>
      <c r="U522" s="146"/>
      <c r="V522" s="146"/>
      <c r="W522" s="148"/>
      <c r="X522" s="146"/>
      <c r="Y522" s="146"/>
      <c r="Z522" s="146"/>
      <c r="AA522" s="146"/>
      <c r="AB522" s="146"/>
      <c r="AC522" s="146"/>
    </row>
    <row r="523" ht="15.75" customHeight="1">
      <c r="A523" s="146"/>
      <c r="B523" s="146"/>
      <c r="C523" s="146"/>
      <c r="D523" s="146"/>
      <c r="E523" s="146"/>
      <c r="F523" s="146"/>
      <c r="G523" s="146"/>
      <c r="H523" s="146"/>
      <c r="I523" s="146"/>
      <c r="J523" s="146"/>
      <c r="K523" s="146"/>
      <c r="L523" s="146"/>
      <c r="M523" s="146"/>
      <c r="N523" s="146"/>
      <c r="O523" s="147"/>
      <c r="P523" s="146"/>
      <c r="Q523" s="146"/>
      <c r="R523" s="146"/>
      <c r="S523" s="146"/>
      <c r="T523" s="146"/>
      <c r="U523" s="146"/>
      <c r="V523" s="146"/>
      <c r="W523" s="148"/>
      <c r="X523" s="146"/>
      <c r="Y523" s="146"/>
      <c r="Z523" s="146"/>
      <c r="AA523" s="146"/>
      <c r="AB523" s="146"/>
      <c r="AC523" s="146"/>
    </row>
    <row r="524" ht="15.75" customHeight="1">
      <c r="A524" s="146"/>
      <c r="B524" s="146"/>
      <c r="C524" s="146"/>
      <c r="D524" s="146"/>
      <c r="E524" s="146"/>
      <c r="F524" s="146"/>
      <c r="G524" s="146"/>
      <c r="H524" s="146"/>
      <c r="I524" s="146"/>
      <c r="J524" s="146"/>
      <c r="K524" s="146"/>
      <c r="L524" s="146"/>
      <c r="M524" s="146"/>
      <c r="N524" s="146"/>
      <c r="O524" s="147"/>
      <c r="P524" s="146"/>
      <c r="Q524" s="146"/>
      <c r="R524" s="146"/>
      <c r="S524" s="146"/>
      <c r="T524" s="146"/>
      <c r="U524" s="146"/>
      <c r="V524" s="146"/>
      <c r="W524" s="148"/>
      <c r="X524" s="146"/>
      <c r="Y524" s="146"/>
      <c r="Z524" s="146"/>
      <c r="AA524" s="146"/>
      <c r="AB524" s="146"/>
      <c r="AC524" s="146"/>
    </row>
    <row r="525" ht="15.75" customHeight="1">
      <c r="A525" s="146"/>
      <c r="B525" s="146"/>
      <c r="C525" s="146"/>
      <c r="D525" s="146"/>
      <c r="E525" s="146"/>
      <c r="F525" s="146"/>
      <c r="G525" s="146"/>
      <c r="H525" s="146"/>
      <c r="I525" s="146"/>
      <c r="J525" s="146"/>
      <c r="K525" s="146"/>
      <c r="L525" s="146"/>
      <c r="M525" s="146"/>
      <c r="N525" s="146"/>
      <c r="O525" s="147"/>
      <c r="P525" s="146"/>
      <c r="Q525" s="146"/>
      <c r="R525" s="146"/>
      <c r="S525" s="146"/>
      <c r="T525" s="146"/>
      <c r="U525" s="146"/>
      <c r="V525" s="146"/>
      <c r="W525" s="148"/>
      <c r="X525" s="146"/>
      <c r="Y525" s="146"/>
      <c r="Z525" s="146"/>
      <c r="AA525" s="146"/>
      <c r="AB525" s="146"/>
      <c r="AC525" s="146"/>
    </row>
    <row r="526" ht="15.75" customHeight="1">
      <c r="A526" s="146"/>
      <c r="B526" s="146"/>
      <c r="C526" s="146"/>
      <c r="D526" s="146"/>
      <c r="E526" s="146"/>
      <c r="F526" s="146"/>
      <c r="G526" s="146"/>
      <c r="H526" s="146"/>
      <c r="I526" s="146"/>
      <c r="J526" s="146"/>
      <c r="K526" s="146"/>
      <c r="L526" s="146"/>
      <c r="M526" s="146"/>
      <c r="N526" s="146"/>
      <c r="O526" s="147"/>
      <c r="P526" s="146"/>
      <c r="Q526" s="146"/>
      <c r="R526" s="146"/>
      <c r="S526" s="146"/>
      <c r="T526" s="146"/>
      <c r="U526" s="146"/>
      <c r="V526" s="146"/>
      <c r="W526" s="148"/>
      <c r="X526" s="146"/>
      <c r="Y526" s="146"/>
      <c r="Z526" s="146"/>
      <c r="AA526" s="146"/>
      <c r="AB526" s="146"/>
      <c r="AC526" s="146"/>
    </row>
    <row r="527" ht="15.75" customHeight="1">
      <c r="A527" s="146"/>
      <c r="B527" s="146"/>
      <c r="C527" s="146"/>
      <c r="D527" s="146"/>
      <c r="E527" s="146"/>
      <c r="F527" s="146"/>
      <c r="G527" s="146"/>
      <c r="H527" s="146"/>
      <c r="I527" s="146"/>
      <c r="J527" s="146"/>
      <c r="K527" s="146"/>
      <c r="L527" s="146"/>
      <c r="M527" s="146"/>
      <c r="N527" s="146"/>
      <c r="O527" s="147"/>
      <c r="P527" s="146"/>
      <c r="Q527" s="146"/>
      <c r="R527" s="146"/>
      <c r="S527" s="146"/>
      <c r="T527" s="146"/>
      <c r="U527" s="146"/>
      <c r="V527" s="146"/>
      <c r="W527" s="148"/>
      <c r="X527" s="146"/>
      <c r="Y527" s="146"/>
      <c r="Z527" s="146"/>
      <c r="AA527" s="146"/>
      <c r="AB527" s="146"/>
      <c r="AC527" s="146"/>
    </row>
    <row r="528" ht="15.75" customHeight="1">
      <c r="A528" s="146"/>
      <c r="B528" s="146"/>
      <c r="C528" s="146"/>
      <c r="D528" s="146"/>
      <c r="E528" s="146"/>
      <c r="F528" s="146"/>
      <c r="G528" s="146"/>
      <c r="H528" s="146"/>
      <c r="I528" s="146"/>
      <c r="J528" s="146"/>
      <c r="K528" s="146"/>
      <c r="L528" s="146"/>
      <c r="M528" s="146"/>
      <c r="N528" s="146"/>
      <c r="O528" s="147"/>
      <c r="P528" s="146"/>
      <c r="Q528" s="146"/>
      <c r="R528" s="146"/>
      <c r="S528" s="146"/>
      <c r="T528" s="146"/>
      <c r="U528" s="146"/>
      <c r="V528" s="146"/>
      <c r="W528" s="148"/>
      <c r="X528" s="146"/>
      <c r="Y528" s="146"/>
      <c r="Z528" s="146"/>
      <c r="AA528" s="146"/>
      <c r="AB528" s="146"/>
      <c r="AC528" s="146"/>
    </row>
    <row r="529" ht="15.75" customHeight="1">
      <c r="A529" s="146"/>
      <c r="B529" s="146"/>
      <c r="C529" s="146"/>
      <c r="D529" s="146"/>
      <c r="E529" s="146"/>
      <c r="F529" s="146"/>
      <c r="G529" s="146"/>
      <c r="H529" s="146"/>
      <c r="I529" s="146"/>
      <c r="J529" s="146"/>
      <c r="K529" s="146"/>
      <c r="L529" s="146"/>
      <c r="M529" s="146"/>
      <c r="N529" s="146"/>
      <c r="O529" s="147"/>
      <c r="P529" s="146"/>
      <c r="Q529" s="146"/>
      <c r="R529" s="146"/>
      <c r="S529" s="146"/>
      <c r="T529" s="146"/>
      <c r="U529" s="146"/>
      <c r="V529" s="146"/>
      <c r="W529" s="148"/>
      <c r="X529" s="146"/>
      <c r="Y529" s="146"/>
      <c r="Z529" s="146"/>
      <c r="AA529" s="146"/>
      <c r="AB529" s="146"/>
      <c r="AC529" s="146"/>
    </row>
    <row r="530" ht="15.75" customHeight="1">
      <c r="A530" s="146"/>
      <c r="B530" s="146"/>
      <c r="C530" s="146"/>
      <c r="D530" s="146"/>
      <c r="E530" s="146"/>
      <c r="F530" s="146"/>
      <c r="G530" s="146"/>
      <c r="H530" s="146"/>
      <c r="I530" s="146"/>
      <c r="J530" s="146"/>
      <c r="K530" s="146"/>
      <c r="L530" s="146"/>
      <c r="M530" s="146"/>
      <c r="N530" s="146"/>
      <c r="O530" s="147"/>
      <c r="P530" s="146"/>
      <c r="Q530" s="146"/>
      <c r="R530" s="146"/>
      <c r="S530" s="146"/>
      <c r="T530" s="146"/>
      <c r="U530" s="146"/>
      <c r="V530" s="146"/>
      <c r="W530" s="148"/>
      <c r="X530" s="146"/>
      <c r="Y530" s="146"/>
      <c r="Z530" s="146"/>
      <c r="AA530" s="146"/>
      <c r="AB530" s="146"/>
      <c r="AC530" s="146"/>
    </row>
    <row r="531" ht="15.75" customHeight="1">
      <c r="A531" s="146"/>
      <c r="B531" s="146"/>
      <c r="C531" s="146"/>
      <c r="D531" s="146"/>
      <c r="E531" s="146"/>
      <c r="F531" s="146"/>
      <c r="G531" s="146"/>
      <c r="H531" s="146"/>
      <c r="I531" s="146"/>
      <c r="J531" s="146"/>
      <c r="K531" s="146"/>
      <c r="L531" s="146"/>
      <c r="M531" s="146"/>
      <c r="N531" s="146"/>
      <c r="O531" s="147"/>
      <c r="P531" s="146"/>
      <c r="Q531" s="146"/>
      <c r="R531" s="146"/>
      <c r="S531" s="146"/>
      <c r="T531" s="146"/>
      <c r="U531" s="146"/>
      <c r="V531" s="146"/>
      <c r="W531" s="148"/>
      <c r="X531" s="146"/>
      <c r="Y531" s="146"/>
      <c r="Z531" s="146"/>
      <c r="AA531" s="146"/>
      <c r="AB531" s="146"/>
      <c r="AC531" s="146"/>
    </row>
    <row r="532" ht="15.75" customHeight="1">
      <c r="A532" s="146"/>
      <c r="B532" s="146"/>
      <c r="C532" s="146"/>
      <c r="D532" s="146"/>
      <c r="E532" s="146"/>
      <c r="F532" s="146"/>
      <c r="G532" s="146"/>
      <c r="H532" s="146"/>
      <c r="I532" s="146"/>
      <c r="J532" s="146"/>
      <c r="K532" s="146"/>
      <c r="L532" s="146"/>
      <c r="M532" s="146"/>
      <c r="N532" s="146"/>
      <c r="O532" s="147"/>
      <c r="P532" s="146"/>
      <c r="Q532" s="146"/>
      <c r="R532" s="146"/>
      <c r="S532" s="146"/>
      <c r="T532" s="146"/>
      <c r="U532" s="146"/>
      <c r="V532" s="146"/>
      <c r="W532" s="148"/>
      <c r="X532" s="146"/>
      <c r="Y532" s="146"/>
      <c r="Z532" s="146"/>
      <c r="AA532" s="146"/>
      <c r="AB532" s="146"/>
      <c r="AC532" s="146"/>
    </row>
    <row r="533" ht="15.75" customHeight="1">
      <c r="A533" s="146"/>
      <c r="B533" s="146"/>
      <c r="C533" s="146"/>
      <c r="D533" s="146"/>
      <c r="E533" s="146"/>
      <c r="F533" s="146"/>
      <c r="G533" s="146"/>
      <c r="H533" s="146"/>
      <c r="I533" s="146"/>
      <c r="J533" s="146"/>
      <c r="K533" s="146"/>
      <c r="L533" s="146"/>
      <c r="M533" s="146"/>
      <c r="N533" s="146"/>
      <c r="O533" s="147"/>
      <c r="P533" s="146"/>
      <c r="Q533" s="146"/>
      <c r="R533" s="146"/>
      <c r="S533" s="146"/>
      <c r="T533" s="146"/>
      <c r="U533" s="146"/>
      <c r="V533" s="146"/>
      <c r="W533" s="148"/>
      <c r="X533" s="146"/>
      <c r="Y533" s="146"/>
      <c r="Z533" s="146"/>
      <c r="AA533" s="146"/>
      <c r="AB533" s="146"/>
      <c r="AC533" s="146"/>
    </row>
    <row r="534" ht="15.75" customHeight="1">
      <c r="A534" s="146"/>
      <c r="B534" s="146"/>
      <c r="C534" s="146"/>
      <c r="D534" s="146"/>
      <c r="E534" s="146"/>
      <c r="F534" s="146"/>
      <c r="G534" s="146"/>
      <c r="H534" s="146"/>
      <c r="I534" s="146"/>
      <c r="J534" s="146"/>
      <c r="K534" s="146"/>
      <c r="L534" s="146"/>
      <c r="M534" s="146"/>
      <c r="N534" s="146"/>
      <c r="O534" s="147"/>
      <c r="P534" s="146"/>
      <c r="Q534" s="146"/>
      <c r="R534" s="146"/>
      <c r="S534" s="146"/>
      <c r="T534" s="146"/>
      <c r="U534" s="146"/>
      <c r="V534" s="146"/>
      <c r="W534" s="148"/>
      <c r="X534" s="146"/>
      <c r="Y534" s="146"/>
      <c r="Z534" s="146"/>
      <c r="AA534" s="146"/>
      <c r="AB534" s="146"/>
      <c r="AC534" s="146"/>
    </row>
    <row r="535" ht="15.75" customHeight="1">
      <c r="A535" s="146"/>
      <c r="B535" s="146"/>
      <c r="C535" s="146"/>
      <c r="D535" s="146"/>
      <c r="E535" s="146"/>
      <c r="F535" s="146"/>
      <c r="G535" s="146"/>
      <c r="H535" s="146"/>
      <c r="I535" s="146"/>
      <c r="J535" s="146"/>
      <c r="K535" s="146"/>
      <c r="L535" s="146"/>
      <c r="M535" s="146"/>
      <c r="N535" s="146"/>
      <c r="O535" s="147"/>
      <c r="P535" s="146"/>
      <c r="Q535" s="146"/>
      <c r="R535" s="146"/>
      <c r="S535" s="146"/>
      <c r="T535" s="146"/>
      <c r="U535" s="146"/>
      <c r="V535" s="146"/>
      <c r="W535" s="148"/>
      <c r="X535" s="146"/>
      <c r="Y535" s="146"/>
      <c r="Z535" s="146"/>
      <c r="AA535" s="146"/>
      <c r="AB535" s="146"/>
      <c r="AC535" s="146"/>
    </row>
    <row r="536" ht="15.75" customHeight="1">
      <c r="A536" s="146"/>
      <c r="B536" s="146"/>
      <c r="C536" s="146"/>
      <c r="D536" s="146"/>
      <c r="E536" s="146"/>
      <c r="F536" s="146"/>
      <c r="G536" s="146"/>
      <c r="H536" s="146"/>
      <c r="I536" s="146"/>
      <c r="J536" s="146"/>
      <c r="K536" s="146"/>
      <c r="L536" s="146"/>
      <c r="M536" s="146"/>
      <c r="N536" s="146"/>
      <c r="O536" s="147"/>
      <c r="P536" s="146"/>
      <c r="Q536" s="146"/>
      <c r="R536" s="146"/>
      <c r="S536" s="146"/>
      <c r="T536" s="146"/>
      <c r="U536" s="146"/>
      <c r="V536" s="146"/>
      <c r="W536" s="148"/>
      <c r="X536" s="146"/>
      <c r="Y536" s="146"/>
      <c r="Z536" s="146"/>
      <c r="AA536" s="146"/>
      <c r="AB536" s="146"/>
      <c r="AC536" s="146"/>
    </row>
    <row r="537" ht="15.75" customHeight="1">
      <c r="A537" s="146"/>
      <c r="B537" s="146"/>
      <c r="C537" s="146"/>
      <c r="D537" s="146"/>
      <c r="E537" s="146"/>
      <c r="F537" s="146"/>
      <c r="G537" s="146"/>
      <c r="H537" s="146"/>
      <c r="I537" s="146"/>
      <c r="J537" s="146"/>
      <c r="K537" s="146"/>
      <c r="L537" s="146"/>
      <c r="M537" s="146"/>
      <c r="N537" s="146"/>
      <c r="O537" s="147"/>
      <c r="P537" s="146"/>
      <c r="Q537" s="146"/>
      <c r="R537" s="146"/>
      <c r="S537" s="146"/>
      <c r="T537" s="146"/>
      <c r="U537" s="146"/>
      <c r="V537" s="146"/>
      <c r="W537" s="148"/>
      <c r="X537" s="146"/>
      <c r="Y537" s="146"/>
      <c r="Z537" s="146"/>
      <c r="AA537" s="146"/>
      <c r="AB537" s="146"/>
      <c r="AC537" s="146"/>
    </row>
    <row r="538" ht="15.75" customHeight="1">
      <c r="A538" s="146"/>
      <c r="B538" s="146"/>
      <c r="C538" s="146"/>
      <c r="D538" s="146"/>
      <c r="E538" s="146"/>
      <c r="F538" s="146"/>
      <c r="G538" s="146"/>
      <c r="H538" s="146"/>
      <c r="I538" s="146"/>
      <c r="J538" s="146"/>
      <c r="K538" s="146"/>
      <c r="L538" s="146"/>
      <c r="M538" s="146"/>
      <c r="N538" s="146"/>
      <c r="O538" s="147"/>
      <c r="P538" s="146"/>
      <c r="Q538" s="146"/>
      <c r="R538" s="146"/>
      <c r="S538" s="146"/>
      <c r="T538" s="146"/>
      <c r="U538" s="146"/>
      <c r="V538" s="146"/>
      <c r="W538" s="148"/>
      <c r="X538" s="146"/>
      <c r="Y538" s="146"/>
      <c r="Z538" s="146"/>
      <c r="AA538" s="146"/>
      <c r="AB538" s="146"/>
      <c r="AC538" s="146"/>
    </row>
    <row r="539" ht="15.75" customHeight="1">
      <c r="A539" s="146"/>
      <c r="B539" s="146"/>
      <c r="C539" s="146"/>
      <c r="D539" s="146"/>
      <c r="E539" s="146"/>
      <c r="F539" s="146"/>
      <c r="G539" s="146"/>
      <c r="H539" s="146"/>
      <c r="I539" s="146"/>
      <c r="J539" s="146"/>
      <c r="K539" s="146"/>
      <c r="L539" s="146"/>
      <c r="M539" s="146"/>
      <c r="N539" s="146"/>
      <c r="O539" s="147"/>
      <c r="P539" s="146"/>
      <c r="Q539" s="146"/>
      <c r="R539" s="146"/>
      <c r="S539" s="146"/>
      <c r="T539" s="146"/>
      <c r="U539" s="146"/>
      <c r="V539" s="146"/>
      <c r="W539" s="148"/>
      <c r="X539" s="146"/>
      <c r="Y539" s="146"/>
      <c r="Z539" s="146"/>
      <c r="AA539" s="146"/>
      <c r="AB539" s="146"/>
      <c r="AC539" s="146"/>
    </row>
    <row r="540" ht="15.75" customHeight="1">
      <c r="A540" s="146"/>
      <c r="B540" s="146"/>
      <c r="C540" s="146"/>
      <c r="D540" s="146"/>
      <c r="E540" s="146"/>
      <c r="F540" s="146"/>
      <c r="G540" s="146"/>
      <c r="H540" s="146"/>
      <c r="I540" s="146"/>
      <c r="J540" s="146"/>
      <c r="K540" s="146"/>
      <c r="L540" s="146"/>
      <c r="M540" s="146"/>
      <c r="N540" s="146"/>
      <c r="O540" s="147"/>
      <c r="P540" s="146"/>
      <c r="Q540" s="146"/>
      <c r="R540" s="146"/>
      <c r="S540" s="146"/>
      <c r="T540" s="146"/>
      <c r="U540" s="146"/>
      <c r="V540" s="146"/>
      <c r="W540" s="148"/>
      <c r="X540" s="146"/>
      <c r="Y540" s="146"/>
      <c r="Z540" s="146"/>
      <c r="AA540" s="146"/>
      <c r="AB540" s="146"/>
      <c r="AC540" s="146"/>
    </row>
    <row r="541" ht="15.75" customHeight="1">
      <c r="A541" s="146"/>
      <c r="B541" s="146"/>
      <c r="C541" s="146"/>
      <c r="D541" s="146"/>
      <c r="E541" s="146"/>
      <c r="F541" s="146"/>
      <c r="G541" s="146"/>
      <c r="H541" s="146"/>
      <c r="I541" s="146"/>
      <c r="J541" s="146"/>
      <c r="K541" s="146"/>
      <c r="L541" s="146"/>
      <c r="M541" s="146"/>
      <c r="N541" s="146"/>
      <c r="O541" s="147"/>
      <c r="P541" s="146"/>
      <c r="Q541" s="146"/>
      <c r="R541" s="146"/>
      <c r="S541" s="146"/>
      <c r="T541" s="146"/>
      <c r="U541" s="146"/>
      <c r="V541" s="146"/>
      <c r="W541" s="148"/>
      <c r="X541" s="146"/>
      <c r="Y541" s="146"/>
      <c r="Z541" s="146"/>
      <c r="AA541" s="146"/>
      <c r="AB541" s="146"/>
      <c r="AC541" s="146"/>
    </row>
    <row r="542" ht="15.75" customHeight="1">
      <c r="A542" s="146"/>
      <c r="B542" s="146"/>
      <c r="C542" s="146"/>
      <c r="D542" s="146"/>
      <c r="E542" s="146"/>
      <c r="F542" s="146"/>
      <c r="G542" s="146"/>
      <c r="H542" s="146"/>
      <c r="I542" s="146"/>
      <c r="J542" s="146"/>
      <c r="K542" s="146"/>
      <c r="L542" s="146"/>
      <c r="M542" s="146"/>
      <c r="N542" s="146"/>
      <c r="O542" s="147"/>
      <c r="P542" s="146"/>
      <c r="Q542" s="146"/>
      <c r="R542" s="146"/>
      <c r="S542" s="146"/>
      <c r="T542" s="146"/>
      <c r="U542" s="146"/>
      <c r="V542" s="146"/>
      <c r="W542" s="148"/>
      <c r="X542" s="146"/>
      <c r="Y542" s="146"/>
      <c r="Z542" s="146"/>
      <c r="AA542" s="146"/>
      <c r="AB542" s="146"/>
      <c r="AC542" s="146"/>
    </row>
    <row r="543" ht="15.75" customHeight="1">
      <c r="A543" s="146"/>
      <c r="B543" s="146"/>
      <c r="C543" s="146"/>
      <c r="D543" s="146"/>
      <c r="E543" s="146"/>
      <c r="F543" s="146"/>
      <c r="G543" s="146"/>
      <c r="H543" s="146"/>
      <c r="I543" s="146"/>
      <c r="J543" s="146"/>
      <c r="K543" s="146"/>
      <c r="L543" s="146"/>
      <c r="M543" s="146"/>
      <c r="N543" s="146"/>
      <c r="O543" s="147"/>
      <c r="P543" s="146"/>
      <c r="Q543" s="146"/>
      <c r="R543" s="146"/>
      <c r="S543" s="146"/>
      <c r="T543" s="146"/>
      <c r="U543" s="146"/>
      <c r="V543" s="146"/>
      <c r="W543" s="148"/>
      <c r="X543" s="146"/>
      <c r="Y543" s="146"/>
      <c r="Z543" s="146"/>
      <c r="AA543" s="146"/>
      <c r="AB543" s="146"/>
      <c r="AC543" s="146"/>
    </row>
    <row r="544" ht="15.75" customHeight="1">
      <c r="A544" s="146"/>
      <c r="B544" s="146"/>
      <c r="C544" s="146"/>
      <c r="D544" s="146"/>
      <c r="E544" s="146"/>
      <c r="F544" s="146"/>
      <c r="G544" s="146"/>
      <c r="H544" s="146"/>
      <c r="I544" s="146"/>
      <c r="J544" s="146"/>
      <c r="K544" s="146"/>
      <c r="L544" s="146"/>
      <c r="M544" s="146"/>
      <c r="N544" s="146"/>
      <c r="O544" s="147"/>
      <c r="P544" s="146"/>
      <c r="Q544" s="146"/>
      <c r="R544" s="146"/>
      <c r="S544" s="146"/>
      <c r="T544" s="146"/>
      <c r="U544" s="146"/>
      <c r="V544" s="146"/>
      <c r="W544" s="148"/>
      <c r="X544" s="146"/>
      <c r="Y544" s="146"/>
      <c r="Z544" s="146"/>
      <c r="AA544" s="146"/>
      <c r="AB544" s="146"/>
      <c r="AC544" s="146"/>
    </row>
    <row r="545" ht="15.75" customHeight="1">
      <c r="A545" s="146"/>
      <c r="B545" s="146"/>
      <c r="C545" s="146"/>
      <c r="D545" s="146"/>
      <c r="E545" s="146"/>
      <c r="F545" s="146"/>
      <c r="G545" s="146"/>
      <c r="H545" s="146"/>
      <c r="I545" s="146"/>
      <c r="J545" s="146"/>
      <c r="K545" s="146"/>
      <c r="L545" s="146"/>
      <c r="M545" s="146"/>
      <c r="N545" s="146"/>
      <c r="O545" s="147"/>
      <c r="P545" s="146"/>
      <c r="Q545" s="146"/>
      <c r="R545" s="146"/>
      <c r="S545" s="146"/>
      <c r="T545" s="146"/>
      <c r="U545" s="146"/>
      <c r="V545" s="146"/>
      <c r="W545" s="148"/>
      <c r="X545" s="146"/>
      <c r="Y545" s="146"/>
      <c r="Z545" s="146"/>
      <c r="AA545" s="146"/>
      <c r="AB545" s="146"/>
      <c r="AC545" s="146"/>
    </row>
    <row r="546" ht="15.75" customHeight="1">
      <c r="A546" s="146"/>
      <c r="B546" s="146"/>
      <c r="C546" s="146"/>
      <c r="D546" s="146"/>
      <c r="E546" s="146"/>
      <c r="F546" s="146"/>
      <c r="G546" s="146"/>
      <c r="H546" s="146"/>
      <c r="I546" s="146"/>
      <c r="J546" s="146"/>
      <c r="K546" s="146"/>
      <c r="L546" s="146"/>
      <c r="M546" s="146"/>
      <c r="N546" s="146"/>
      <c r="O546" s="147"/>
      <c r="P546" s="146"/>
      <c r="Q546" s="146"/>
      <c r="R546" s="146"/>
      <c r="S546" s="146"/>
      <c r="T546" s="146"/>
      <c r="U546" s="146"/>
      <c r="V546" s="146"/>
      <c r="W546" s="148"/>
      <c r="X546" s="146"/>
      <c r="Y546" s="146"/>
      <c r="Z546" s="146"/>
      <c r="AA546" s="146"/>
      <c r="AB546" s="146"/>
      <c r="AC546" s="146"/>
    </row>
    <row r="547" ht="15.75" customHeight="1">
      <c r="A547" s="146"/>
      <c r="B547" s="146"/>
      <c r="C547" s="146"/>
      <c r="D547" s="146"/>
      <c r="E547" s="146"/>
      <c r="F547" s="146"/>
      <c r="G547" s="146"/>
      <c r="H547" s="146"/>
      <c r="I547" s="146"/>
      <c r="J547" s="146"/>
      <c r="K547" s="146"/>
      <c r="L547" s="146"/>
      <c r="M547" s="146"/>
      <c r="N547" s="146"/>
      <c r="O547" s="147"/>
      <c r="P547" s="146"/>
      <c r="Q547" s="146"/>
      <c r="R547" s="146"/>
      <c r="S547" s="146"/>
      <c r="T547" s="146"/>
      <c r="U547" s="146"/>
      <c r="V547" s="146"/>
      <c r="W547" s="148"/>
      <c r="X547" s="146"/>
      <c r="Y547" s="146"/>
      <c r="Z547" s="146"/>
      <c r="AA547" s="146"/>
      <c r="AB547" s="146"/>
      <c r="AC547" s="146"/>
    </row>
    <row r="548" ht="15.75" customHeight="1">
      <c r="A548" s="146"/>
      <c r="B548" s="146"/>
      <c r="C548" s="146"/>
      <c r="D548" s="146"/>
      <c r="E548" s="146"/>
      <c r="F548" s="146"/>
      <c r="G548" s="146"/>
      <c r="H548" s="146"/>
      <c r="I548" s="146"/>
      <c r="J548" s="146"/>
      <c r="K548" s="146"/>
      <c r="L548" s="146"/>
      <c r="M548" s="146"/>
      <c r="N548" s="146"/>
      <c r="O548" s="147"/>
      <c r="P548" s="146"/>
      <c r="Q548" s="146"/>
      <c r="R548" s="146"/>
      <c r="S548" s="146"/>
      <c r="T548" s="146"/>
      <c r="U548" s="146"/>
      <c r="V548" s="146"/>
      <c r="W548" s="148"/>
      <c r="X548" s="146"/>
      <c r="Y548" s="146"/>
      <c r="Z548" s="146"/>
      <c r="AA548" s="146"/>
      <c r="AB548" s="146"/>
      <c r="AC548" s="146"/>
    </row>
    <row r="549" ht="15.75" customHeight="1">
      <c r="A549" s="146"/>
      <c r="B549" s="146"/>
      <c r="C549" s="146"/>
      <c r="D549" s="146"/>
      <c r="E549" s="146"/>
      <c r="F549" s="146"/>
      <c r="G549" s="146"/>
      <c r="H549" s="146"/>
      <c r="I549" s="146"/>
      <c r="J549" s="146"/>
      <c r="K549" s="146"/>
      <c r="L549" s="146"/>
      <c r="M549" s="146"/>
      <c r="N549" s="146"/>
      <c r="O549" s="147"/>
      <c r="P549" s="146"/>
      <c r="Q549" s="146"/>
      <c r="R549" s="146"/>
      <c r="S549" s="146"/>
      <c r="T549" s="146"/>
      <c r="U549" s="146"/>
      <c r="V549" s="146"/>
      <c r="W549" s="148"/>
      <c r="X549" s="146"/>
      <c r="Y549" s="146"/>
      <c r="Z549" s="146"/>
      <c r="AA549" s="146"/>
      <c r="AB549" s="146"/>
      <c r="AC549" s="146"/>
    </row>
    <row r="550" ht="15.75" customHeight="1">
      <c r="A550" s="146"/>
      <c r="B550" s="146"/>
      <c r="C550" s="146"/>
      <c r="D550" s="146"/>
      <c r="E550" s="146"/>
      <c r="F550" s="146"/>
      <c r="G550" s="146"/>
      <c r="H550" s="146"/>
      <c r="I550" s="146"/>
      <c r="J550" s="146"/>
      <c r="K550" s="146"/>
      <c r="L550" s="146"/>
      <c r="M550" s="146"/>
      <c r="N550" s="146"/>
      <c r="O550" s="147"/>
      <c r="P550" s="146"/>
      <c r="Q550" s="146"/>
      <c r="R550" s="146"/>
      <c r="S550" s="146"/>
      <c r="T550" s="146"/>
      <c r="U550" s="146"/>
      <c r="V550" s="146"/>
      <c r="W550" s="148"/>
      <c r="X550" s="146"/>
      <c r="Y550" s="146"/>
      <c r="Z550" s="146"/>
      <c r="AA550" s="146"/>
      <c r="AB550" s="146"/>
      <c r="AC550" s="146"/>
    </row>
    <row r="551" ht="15.75" customHeight="1">
      <c r="A551" s="146"/>
      <c r="B551" s="146"/>
      <c r="C551" s="146"/>
      <c r="D551" s="146"/>
      <c r="E551" s="146"/>
      <c r="F551" s="146"/>
      <c r="G551" s="146"/>
      <c r="H551" s="146"/>
      <c r="I551" s="146"/>
      <c r="J551" s="146"/>
      <c r="K551" s="146"/>
      <c r="L551" s="146"/>
      <c r="M551" s="146"/>
      <c r="N551" s="146"/>
      <c r="O551" s="147"/>
      <c r="P551" s="146"/>
      <c r="Q551" s="146"/>
      <c r="R551" s="146"/>
      <c r="S551" s="146"/>
      <c r="T551" s="146"/>
      <c r="U551" s="146"/>
      <c r="V551" s="146"/>
      <c r="W551" s="148"/>
      <c r="X551" s="146"/>
      <c r="Y551" s="146"/>
      <c r="Z551" s="146"/>
      <c r="AA551" s="146"/>
      <c r="AB551" s="146"/>
      <c r="AC551" s="146"/>
    </row>
    <row r="552" ht="15.75" customHeight="1">
      <c r="A552" s="146"/>
      <c r="B552" s="146"/>
      <c r="C552" s="146"/>
      <c r="D552" s="146"/>
      <c r="E552" s="146"/>
      <c r="F552" s="146"/>
      <c r="G552" s="146"/>
      <c r="H552" s="146"/>
      <c r="I552" s="146"/>
      <c r="J552" s="146"/>
      <c r="K552" s="146"/>
      <c r="L552" s="146"/>
      <c r="M552" s="146"/>
      <c r="N552" s="146"/>
      <c r="O552" s="147"/>
      <c r="P552" s="146"/>
      <c r="Q552" s="146"/>
      <c r="R552" s="146"/>
      <c r="S552" s="146"/>
      <c r="T552" s="146"/>
      <c r="U552" s="146"/>
      <c r="V552" s="146"/>
      <c r="W552" s="148"/>
      <c r="X552" s="146"/>
      <c r="Y552" s="146"/>
      <c r="Z552" s="146"/>
      <c r="AA552" s="146"/>
      <c r="AB552" s="146"/>
      <c r="AC552" s="146"/>
    </row>
    <row r="553" ht="15.75" customHeight="1">
      <c r="A553" s="146"/>
      <c r="B553" s="146"/>
      <c r="C553" s="146"/>
      <c r="D553" s="146"/>
      <c r="E553" s="146"/>
      <c r="F553" s="146"/>
      <c r="G553" s="146"/>
      <c r="H553" s="146"/>
      <c r="I553" s="146"/>
      <c r="J553" s="146"/>
      <c r="K553" s="146"/>
      <c r="L553" s="146"/>
      <c r="M553" s="146"/>
      <c r="N553" s="146"/>
      <c r="O553" s="147"/>
      <c r="P553" s="146"/>
      <c r="Q553" s="146"/>
      <c r="R553" s="146"/>
      <c r="S553" s="146"/>
      <c r="T553" s="146"/>
      <c r="U553" s="146"/>
      <c r="V553" s="146"/>
      <c r="W553" s="148"/>
      <c r="X553" s="146"/>
      <c r="Y553" s="146"/>
      <c r="Z553" s="146"/>
      <c r="AA553" s="146"/>
      <c r="AB553" s="146"/>
      <c r="AC553" s="146"/>
    </row>
    <row r="554" ht="15.75" customHeight="1">
      <c r="A554" s="146"/>
      <c r="B554" s="146"/>
      <c r="C554" s="146"/>
      <c r="D554" s="146"/>
      <c r="E554" s="146"/>
      <c r="F554" s="146"/>
      <c r="G554" s="146"/>
      <c r="H554" s="146"/>
      <c r="I554" s="146"/>
      <c r="J554" s="146"/>
      <c r="K554" s="146"/>
      <c r="L554" s="146"/>
      <c r="M554" s="146"/>
      <c r="N554" s="146"/>
      <c r="O554" s="147"/>
      <c r="P554" s="146"/>
      <c r="Q554" s="146"/>
      <c r="R554" s="146"/>
      <c r="S554" s="146"/>
      <c r="T554" s="146"/>
      <c r="U554" s="146"/>
      <c r="V554" s="146"/>
      <c r="W554" s="148"/>
      <c r="X554" s="146"/>
      <c r="Y554" s="146"/>
      <c r="Z554" s="146"/>
      <c r="AA554" s="146"/>
      <c r="AB554" s="146"/>
      <c r="AC554" s="146"/>
    </row>
    <row r="555" ht="15.75" customHeight="1">
      <c r="A555" s="146"/>
      <c r="B555" s="146"/>
      <c r="C555" s="146"/>
      <c r="D555" s="146"/>
      <c r="E555" s="146"/>
      <c r="F555" s="146"/>
      <c r="G555" s="146"/>
      <c r="H555" s="146"/>
      <c r="I555" s="146"/>
      <c r="J555" s="146"/>
      <c r="K555" s="146"/>
      <c r="L555" s="146"/>
      <c r="M555" s="146"/>
      <c r="N555" s="146"/>
      <c r="O555" s="147"/>
      <c r="P555" s="146"/>
      <c r="Q555" s="146"/>
      <c r="R555" s="146"/>
      <c r="S555" s="146"/>
      <c r="T555" s="146"/>
      <c r="U555" s="146"/>
      <c r="V555" s="146"/>
      <c r="W555" s="148"/>
      <c r="X555" s="146"/>
      <c r="Y555" s="146"/>
      <c r="Z555" s="146"/>
      <c r="AA555" s="146"/>
      <c r="AB555" s="146"/>
      <c r="AC555" s="146"/>
    </row>
    <row r="556" ht="15.75" customHeight="1">
      <c r="A556" s="146"/>
      <c r="B556" s="146"/>
      <c r="C556" s="146"/>
      <c r="D556" s="146"/>
      <c r="E556" s="146"/>
      <c r="F556" s="146"/>
      <c r="G556" s="146"/>
      <c r="H556" s="146"/>
      <c r="I556" s="146"/>
      <c r="J556" s="146"/>
      <c r="K556" s="146"/>
      <c r="L556" s="146"/>
      <c r="M556" s="146"/>
      <c r="N556" s="146"/>
      <c r="O556" s="147"/>
      <c r="P556" s="146"/>
      <c r="Q556" s="146"/>
      <c r="R556" s="146"/>
      <c r="S556" s="146"/>
      <c r="T556" s="146"/>
      <c r="U556" s="146"/>
      <c r="V556" s="146"/>
      <c r="W556" s="148"/>
      <c r="X556" s="146"/>
      <c r="Y556" s="146"/>
      <c r="Z556" s="146"/>
      <c r="AA556" s="146"/>
      <c r="AB556" s="146"/>
      <c r="AC556" s="146"/>
    </row>
    <row r="557" ht="15.75" customHeight="1">
      <c r="A557" s="146"/>
      <c r="B557" s="146"/>
      <c r="C557" s="146"/>
      <c r="D557" s="146"/>
      <c r="E557" s="146"/>
      <c r="F557" s="146"/>
      <c r="G557" s="146"/>
      <c r="H557" s="146"/>
      <c r="I557" s="146"/>
      <c r="J557" s="146"/>
      <c r="K557" s="146"/>
      <c r="L557" s="146"/>
      <c r="M557" s="146"/>
      <c r="N557" s="146"/>
      <c r="O557" s="147"/>
      <c r="P557" s="146"/>
      <c r="Q557" s="146"/>
      <c r="R557" s="146"/>
      <c r="S557" s="146"/>
      <c r="T557" s="146"/>
      <c r="U557" s="146"/>
      <c r="V557" s="146"/>
      <c r="W557" s="148"/>
      <c r="X557" s="146"/>
      <c r="Y557" s="146"/>
      <c r="Z557" s="146"/>
      <c r="AA557" s="146"/>
      <c r="AB557" s="146"/>
      <c r="AC557" s="146"/>
    </row>
    <row r="558" ht="15.75" customHeight="1">
      <c r="A558" s="146"/>
      <c r="B558" s="146"/>
      <c r="C558" s="146"/>
      <c r="D558" s="146"/>
      <c r="E558" s="146"/>
      <c r="F558" s="146"/>
      <c r="G558" s="146"/>
      <c r="H558" s="146"/>
      <c r="I558" s="146"/>
      <c r="J558" s="146"/>
      <c r="K558" s="146"/>
      <c r="L558" s="146"/>
      <c r="M558" s="146"/>
      <c r="N558" s="146"/>
      <c r="O558" s="147"/>
      <c r="P558" s="146"/>
      <c r="Q558" s="146"/>
      <c r="R558" s="146"/>
      <c r="S558" s="146"/>
      <c r="T558" s="146"/>
      <c r="U558" s="146"/>
      <c r="V558" s="146"/>
      <c r="W558" s="148"/>
      <c r="X558" s="146"/>
      <c r="Y558" s="146"/>
      <c r="Z558" s="146"/>
      <c r="AA558" s="146"/>
      <c r="AB558" s="146"/>
      <c r="AC558" s="146"/>
    </row>
    <row r="559" ht="15.75" customHeight="1">
      <c r="A559" s="146"/>
      <c r="B559" s="146"/>
      <c r="C559" s="146"/>
      <c r="D559" s="146"/>
      <c r="E559" s="146"/>
      <c r="F559" s="146"/>
      <c r="G559" s="146"/>
      <c r="H559" s="146"/>
      <c r="I559" s="146"/>
      <c r="J559" s="146"/>
      <c r="K559" s="146"/>
      <c r="L559" s="146"/>
      <c r="M559" s="146"/>
      <c r="N559" s="146"/>
      <c r="O559" s="147"/>
      <c r="P559" s="146"/>
      <c r="Q559" s="146"/>
      <c r="R559" s="146"/>
      <c r="S559" s="146"/>
      <c r="T559" s="146"/>
      <c r="U559" s="146"/>
      <c r="V559" s="146"/>
      <c r="W559" s="148"/>
      <c r="X559" s="146"/>
      <c r="Y559" s="146"/>
      <c r="Z559" s="146"/>
      <c r="AA559" s="146"/>
      <c r="AB559" s="146"/>
      <c r="AC559" s="146"/>
    </row>
    <row r="560" ht="15.75" customHeight="1">
      <c r="A560" s="146"/>
      <c r="B560" s="146"/>
      <c r="C560" s="146"/>
      <c r="D560" s="146"/>
      <c r="E560" s="146"/>
      <c r="F560" s="146"/>
      <c r="G560" s="146"/>
      <c r="H560" s="146"/>
      <c r="I560" s="146"/>
      <c r="J560" s="146"/>
      <c r="K560" s="146"/>
      <c r="L560" s="146"/>
      <c r="M560" s="146"/>
      <c r="N560" s="146"/>
      <c r="O560" s="147"/>
      <c r="P560" s="146"/>
      <c r="Q560" s="146"/>
      <c r="R560" s="146"/>
      <c r="S560" s="146"/>
      <c r="T560" s="146"/>
      <c r="U560" s="146"/>
      <c r="V560" s="146"/>
      <c r="W560" s="148"/>
      <c r="X560" s="146"/>
      <c r="Y560" s="146"/>
      <c r="Z560" s="146"/>
      <c r="AA560" s="146"/>
      <c r="AB560" s="146"/>
      <c r="AC560" s="146"/>
    </row>
    <row r="561" ht="15.75" customHeight="1">
      <c r="A561" s="146"/>
      <c r="B561" s="146"/>
      <c r="C561" s="146"/>
      <c r="D561" s="146"/>
      <c r="E561" s="146"/>
      <c r="F561" s="146"/>
      <c r="G561" s="146"/>
      <c r="H561" s="146"/>
      <c r="I561" s="146"/>
      <c r="J561" s="146"/>
      <c r="K561" s="146"/>
      <c r="L561" s="146"/>
      <c r="M561" s="146"/>
      <c r="N561" s="146"/>
      <c r="O561" s="147"/>
      <c r="P561" s="146"/>
      <c r="Q561" s="146"/>
      <c r="R561" s="146"/>
      <c r="S561" s="146"/>
      <c r="T561" s="146"/>
      <c r="U561" s="146"/>
      <c r="V561" s="146"/>
      <c r="W561" s="148"/>
      <c r="X561" s="146"/>
      <c r="Y561" s="146"/>
      <c r="Z561" s="146"/>
      <c r="AA561" s="146"/>
      <c r="AB561" s="146"/>
      <c r="AC561" s="146"/>
    </row>
    <row r="562" ht="15.75" customHeight="1">
      <c r="A562" s="146"/>
      <c r="B562" s="146"/>
      <c r="C562" s="146"/>
      <c r="D562" s="146"/>
      <c r="E562" s="146"/>
      <c r="F562" s="146"/>
      <c r="G562" s="146"/>
      <c r="H562" s="146"/>
      <c r="I562" s="146"/>
      <c r="J562" s="146"/>
      <c r="K562" s="146"/>
      <c r="L562" s="146"/>
      <c r="M562" s="146"/>
      <c r="N562" s="146"/>
      <c r="O562" s="147"/>
      <c r="P562" s="146"/>
      <c r="Q562" s="146"/>
      <c r="R562" s="146"/>
      <c r="S562" s="146"/>
      <c r="T562" s="146"/>
      <c r="U562" s="146"/>
      <c r="V562" s="146"/>
      <c r="W562" s="148"/>
      <c r="X562" s="146"/>
      <c r="Y562" s="146"/>
      <c r="Z562" s="146"/>
      <c r="AA562" s="146"/>
      <c r="AB562" s="146"/>
      <c r="AC562" s="146"/>
    </row>
    <row r="563" ht="15.75" customHeight="1">
      <c r="A563" s="146"/>
      <c r="B563" s="146"/>
      <c r="C563" s="146"/>
      <c r="D563" s="146"/>
      <c r="E563" s="146"/>
      <c r="F563" s="146"/>
      <c r="G563" s="146"/>
      <c r="H563" s="146"/>
      <c r="I563" s="146"/>
      <c r="J563" s="146"/>
      <c r="K563" s="146"/>
      <c r="L563" s="146"/>
      <c r="M563" s="146"/>
      <c r="N563" s="146"/>
      <c r="O563" s="147"/>
      <c r="P563" s="146"/>
      <c r="Q563" s="146"/>
      <c r="R563" s="146"/>
      <c r="S563" s="146"/>
      <c r="T563" s="146"/>
      <c r="U563" s="146"/>
      <c r="V563" s="146"/>
      <c r="W563" s="148"/>
      <c r="X563" s="146"/>
      <c r="Y563" s="146"/>
      <c r="Z563" s="146"/>
      <c r="AA563" s="146"/>
      <c r="AB563" s="146"/>
      <c r="AC563" s="146"/>
    </row>
    <row r="564" ht="15.75" customHeight="1">
      <c r="A564" s="146"/>
      <c r="B564" s="146"/>
      <c r="C564" s="146"/>
      <c r="D564" s="146"/>
      <c r="E564" s="146"/>
      <c r="F564" s="146"/>
      <c r="G564" s="146"/>
      <c r="H564" s="146"/>
      <c r="I564" s="146"/>
      <c r="J564" s="146"/>
      <c r="K564" s="146"/>
      <c r="L564" s="146"/>
      <c r="M564" s="146"/>
      <c r="N564" s="146"/>
      <c r="O564" s="147"/>
      <c r="P564" s="146"/>
      <c r="Q564" s="146"/>
      <c r="R564" s="146"/>
      <c r="S564" s="146"/>
      <c r="T564" s="146"/>
      <c r="U564" s="146"/>
      <c r="V564" s="146"/>
      <c r="W564" s="148"/>
      <c r="X564" s="146"/>
      <c r="Y564" s="146"/>
      <c r="Z564" s="146"/>
      <c r="AA564" s="146"/>
      <c r="AB564" s="146"/>
      <c r="AC564" s="146"/>
    </row>
    <row r="565" ht="15.75" customHeight="1">
      <c r="A565" s="146"/>
      <c r="B565" s="146"/>
      <c r="C565" s="146"/>
      <c r="D565" s="146"/>
      <c r="E565" s="146"/>
      <c r="F565" s="146"/>
      <c r="G565" s="146"/>
      <c r="H565" s="146"/>
      <c r="I565" s="146"/>
      <c r="J565" s="146"/>
      <c r="K565" s="146"/>
      <c r="L565" s="146"/>
      <c r="M565" s="146"/>
      <c r="N565" s="146"/>
      <c r="O565" s="147"/>
      <c r="P565" s="146"/>
      <c r="Q565" s="146"/>
      <c r="R565" s="146"/>
      <c r="S565" s="146"/>
      <c r="T565" s="146"/>
      <c r="U565" s="146"/>
      <c r="V565" s="146"/>
      <c r="W565" s="148"/>
      <c r="X565" s="146"/>
      <c r="Y565" s="146"/>
      <c r="Z565" s="146"/>
      <c r="AA565" s="146"/>
      <c r="AB565" s="146"/>
      <c r="AC565" s="146"/>
    </row>
    <row r="566" ht="15.75" customHeight="1">
      <c r="A566" s="146"/>
      <c r="B566" s="146"/>
      <c r="C566" s="146"/>
      <c r="D566" s="146"/>
      <c r="E566" s="146"/>
      <c r="F566" s="146"/>
      <c r="G566" s="146"/>
      <c r="H566" s="146"/>
      <c r="I566" s="146"/>
      <c r="J566" s="146"/>
      <c r="K566" s="146"/>
      <c r="L566" s="146"/>
      <c r="M566" s="146"/>
      <c r="N566" s="146"/>
      <c r="O566" s="147"/>
      <c r="P566" s="146"/>
      <c r="Q566" s="146"/>
      <c r="R566" s="146"/>
      <c r="S566" s="146"/>
      <c r="T566" s="146"/>
      <c r="U566" s="146"/>
      <c r="V566" s="146"/>
      <c r="W566" s="148"/>
      <c r="X566" s="146"/>
      <c r="Y566" s="146"/>
      <c r="Z566" s="146"/>
      <c r="AA566" s="146"/>
      <c r="AB566" s="146"/>
      <c r="AC566" s="146"/>
    </row>
    <row r="567" ht="15.75" customHeight="1">
      <c r="A567" s="146"/>
      <c r="B567" s="146"/>
      <c r="C567" s="146"/>
      <c r="D567" s="146"/>
      <c r="E567" s="146"/>
      <c r="F567" s="146"/>
      <c r="G567" s="146"/>
      <c r="H567" s="146"/>
      <c r="I567" s="146"/>
      <c r="J567" s="146"/>
      <c r="K567" s="146"/>
      <c r="L567" s="146"/>
      <c r="M567" s="146"/>
      <c r="N567" s="146"/>
      <c r="O567" s="147"/>
      <c r="P567" s="146"/>
      <c r="Q567" s="146"/>
      <c r="R567" s="146"/>
      <c r="S567" s="146"/>
      <c r="T567" s="146"/>
      <c r="U567" s="146"/>
      <c r="V567" s="146"/>
      <c r="W567" s="148"/>
      <c r="X567" s="146"/>
      <c r="Y567" s="146"/>
      <c r="Z567" s="146"/>
      <c r="AA567" s="146"/>
      <c r="AB567" s="146"/>
      <c r="AC567" s="146"/>
    </row>
    <row r="568" ht="15.75" customHeight="1">
      <c r="A568" s="146"/>
      <c r="B568" s="146"/>
      <c r="C568" s="146"/>
      <c r="D568" s="146"/>
      <c r="E568" s="146"/>
      <c r="F568" s="146"/>
      <c r="G568" s="146"/>
      <c r="H568" s="146"/>
      <c r="I568" s="146"/>
      <c r="J568" s="146"/>
      <c r="K568" s="146"/>
      <c r="L568" s="146"/>
      <c r="M568" s="146"/>
      <c r="N568" s="146"/>
      <c r="O568" s="147"/>
      <c r="P568" s="146"/>
      <c r="Q568" s="146"/>
      <c r="R568" s="146"/>
      <c r="S568" s="146"/>
      <c r="T568" s="146"/>
      <c r="U568" s="146"/>
      <c r="V568" s="146"/>
      <c r="W568" s="148"/>
      <c r="X568" s="146"/>
      <c r="Y568" s="146"/>
      <c r="Z568" s="146"/>
      <c r="AA568" s="146"/>
      <c r="AB568" s="146"/>
      <c r="AC568" s="146"/>
    </row>
    <row r="569" ht="15.75" customHeight="1">
      <c r="A569" s="146"/>
      <c r="B569" s="146"/>
      <c r="C569" s="146"/>
      <c r="D569" s="146"/>
      <c r="E569" s="146"/>
      <c r="F569" s="146"/>
      <c r="G569" s="146"/>
      <c r="H569" s="146"/>
      <c r="I569" s="146"/>
      <c r="J569" s="146"/>
      <c r="K569" s="146"/>
      <c r="L569" s="146"/>
      <c r="M569" s="146"/>
      <c r="N569" s="146"/>
      <c r="O569" s="147"/>
      <c r="P569" s="146"/>
      <c r="Q569" s="146"/>
      <c r="R569" s="146"/>
      <c r="S569" s="146"/>
      <c r="T569" s="146"/>
      <c r="U569" s="146"/>
      <c r="V569" s="146"/>
      <c r="W569" s="148"/>
      <c r="X569" s="146"/>
      <c r="Y569" s="146"/>
      <c r="Z569" s="146"/>
      <c r="AA569" s="146"/>
      <c r="AB569" s="146"/>
      <c r="AC569" s="146"/>
    </row>
    <row r="570" ht="15.75" customHeight="1">
      <c r="A570" s="146"/>
      <c r="B570" s="146"/>
      <c r="C570" s="146"/>
      <c r="D570" s="146"/>
      <c r="E570" s="146"/>
      <c r="F570" s="146"/>
      <c r="G570" s="146"/>
      <c r="H570" s="146"/>
      <c r="I570" s="146"/>
      <c r="J570" s="146"/>
      <c r="K570" s="146"/>
      <c r="L570" s="146"/>
      <c r="M570" s="146"/>
      <c r="N570" s="146"/>
      <c r="O570" s="147"/>
      <c r="P570" s="146"/>
      <c r="Q570" s="146"/>
      <c r="R570" s="146"/>
      <c r="S570" s="146"/>
      <c r="T570" s="146"/>
      <c r="U570" s="146"/>
      <c r="V570" s="146"/>
      <c r="W570" s="148"/>
      <c r="X570" s="146"/>
      <c r="Y570" s="146"/>
      <c r="Z570" s="146"/>
      <c r="AA570" s="146"/>
      <c r="AB570" s="146"/>
      <c r="AC570" s="146"/>
    </row>
    <row r="571" ht="15.75" customHeight="1">
      <c r="A571" s="146"/>
      <c r="B571" s="146"/>
      <c r="C571" s="146"/>
      <c r="D571" s="146"/>
      <c r="E571" s="146"/>
      <c r="F571" s="146"/>
      <c r="G571" s="146"/>
      <c r="H571" s="146"/>
      <c r="I571" s="146"/>
      <c r="J571" s="146"/>
      <c r="K571" s="146"/>
      <c r="L571" s="146"/>
      <c r="M571" s="146"/>
      <c r="N571" s="146"/>
      <c r="O571" s="147"/>
      <c r="P571" s="146"/>
      <c r="Q571" s="146"/>
      <c r="R571" s="146"/>
      <c r="S571" s="146"/>
      <c r="T571" s="146"/>
      <c r="U571" s="146"/>
      <c r="V571" s="146"/>
      <c r="W571" s="148"/>
      <c r="X571" s="146"/>
      <c r="Y571" s="146"/>
      <c r="Z571" s="146"/>
      <c r="AA571" s="146"/>
      <c r="AB571" s="146"/>
      <c r="AC571" s="146"/>
    </row>
    <row r="572" ht="15.75" customHeight="1">
      <c r="A572" s="146"/>
      <c r="B572" s="146"/>
      <c r="C572" s="146"/>
      <c r="D572" s="146"/>
      <c r="E572" s="146"/>
      <c r="F572" s="146"/>
      <c r="G572" s="146"/>
      <c r="H572" s="146"/>
      <c r="I572" s="146"/>
      <c r="J572" s="146"/>
      <c r="K572" s="146"/>
      <c r="L572" s="146"/>
      <c r="M572" s="146"/>
      <c r="N572" s="146"/>
      <c r="O572" s="147"/>
      <c r="P572" s="146"/>
      <c r="Q572" s="146"/>
      <c r="R572" s="146"/>
      <c r="S572" s="146"/>
      <c r="T572" s="146"/>
      <c r="U572" s="146"/>
      <c r="V572" s="146"/>
      <c r="W572" s="148"/>
      <c r="X572" s="146"/>
      <c r="Y572" s="146"/>
      <c r="Z572" s="146"/>
      <c r="AA572" s="146"/>
      <c r="AB572" s="146"/>
      <c r="AC572" s="146"/>
    </row>
    <row r="573" ht="15.75" customHeight="1">
      <c r="A573" s="146"/>
      <c r="B573" s="146"/>
      <c r="C573" s="146"/>
      <c r="D573" s="146"/>
      <c r="E573" s="146"/>
      <c r="F573" s="146"/>
      <c r="G573" s="146"/>
      <c r="H573" s="146"/>
      <c r="I573" s="146"/>
      <c r="J573" s="146"/>
      <c r="K573" s="146"/>
      <c r="L573" s="146"/>
      <c r="M573" s="146"/>
      <c r="N573" s="146"/>
      <c r="O573" s="147"/>
      <c r="P573" s="146"/>
      <c r="Q573" s="146"/>
      <c r="R573" s="146"/>
      <c r="S573" s="146"/>
      <c r="T573" s="146"/>
      <c r="U573" s="146"/>
      <c r="V573" s="146"/>
      <c r="W573" s="148"/>
      <c r="X573" s="146"/>
      <c r="Y573" s="146"/>
      <c r="Z573" s="146"/>
      <c r="AA573" s="146"/>
      <c r="AB573" s="146"/>
      <c r="AC573" s="146"/>
    </row>
    <row r="574" ht="15.75" customHeight="1">
      <c r="A574" s="146"/>
      <c r="B574" s="146"/>
      <c r="C574" s="146"/>
      <c r="D574" s="146"/>
      <c r="E574" s="146"/>
      <c r="F574" s="146"/>
      <c r="G574" s="146"/>
      <c r="H574" s="146"/>
      <c r="I574" s="146"/>
      <c r="J574" s="146"/>
      <c r="K574" s="146"/>
      <c r="L574" s="146"/>
      <c r="M574" s="146"/>
      <c r="N574" s="146"/>
      <c r="O574" s="147"/>
      <c r="P574" s="146"/>
      <c r="Q574" s="146"/>
      <c r="R574" s="146"/>
      <c r="S574" s="146"/>
      <c r="T574" s="146"/>
      <c r="U574" s="146"/>
      <c r="V574" s="146"/>
      <c r="W574" s="148"/>
      <c r="X574" s="146"/>
      <c r="Y574" s="146"/>
      <c r="Z574" s="146"/>
      <c r="AA574" s="146"/>
      <c r="AB574" s="146"/>
      <c r="AC574" s="146"/>
    </row>
    <row r="575" ht="15.75" customHeight="1">
      <c r="A575" s="146"/>
      <c r="B575" s="146"/>
      <c r="C575" s="146"/>
      <c r="D575" s="146"/>
      <c r="E575" s="146"/>
      <c r="F575" s="146"/>
      <c r="G575" s="146"/>
      <c r="H575" s="146"/>
      <c r="I575" s="146"/>
      <c r="J575" s="146"/>
      <c r="K575" s="146"/>
      <c r="L575" s="146"/>
      <c r="M575" s="146"/>
      <c r="N575" s="146"/>
      <c r="O575" s="147"/>
      <c r="P575" s="146"/>
      <c r="Q575" s="146"/>
      <c r="R575" s="146"/>
      <c r="S575" s="146"/>
      <c r="T575" s="146"/>
      <c r="U575" s="146"/>
      <c r="V575" s="146"/>
      <c r="W575" s="148"/>
      <c r="X575" s="146"/>
      <c r="Y575" s="146"/>
      <c r="Z575" s="146"/>
      <c r="AA575" s="146"/>
      <c r="AB575" s="146"/>
      <c r="AC575" s="146"/>
    </row>
    <row r="576" ht="15.75" customHeight="1">
      <c r="A576" s="146"/>
      <c r="B576" s="146"/>
      <c r="C576" s="146"/>
      <c r="D576" s="146"/>
      <c r="E576" s="146"/>
      <c r="F576" s="146"/>
      <c r="G576" s="146"/>
      <c r="H576" s="146"/>
      <c r="I576" s="146"/>
      <c r="J576" s="146"/>
      <c r="K576" s="146"/>
      <c r="L576" s="146"/>
      <c r="M576" s="146"/>
      <c r="N576" s="146"/>
      <c r="O576" s="147"/>
      <c r="P576" s="146"/>
      <c r="Q576" s="146"/>
      <c r="R576" s="146"/>
      <c r="S576" s="146"/>
      <c r="T576" s="146"/>
      <c r="U576" s="146"/>
      <c r="V576" s="146"/>
      <c r="W576" s="148"/>
      <c r="X576" s="146"/>
      <c r="Y576" s="146"/>
      <c r="Z576" s="146"/>
      <c r="AA576" s="146"/>
      <c r="AB576" s="146"/>
      <c r="AC576" s="146"/>
    </row>
    <row r="577" ht="15.75" customHeight="1">
      <c r="A577" s="146"/>
      <c r="B577" s="146"/>
      <c r="C577" s="146"/>
      <c r="D577" s="146"/>
      <c r="E577" s="146"/>
      <c r="F577" s="146"/>
      <c r="G577" s="146"/>
      <c r="H577" s="146"/>
      <c r="I577" s="146"/>
      <c r="J577" s="146"/>
      <c r="K577" s="146"/>
      <c r="L577" s="146"/>
      <c r="M577" s="146"/>
      <c r="N577" s="146"/>
      <c r="O577" s="147"/>
      <c r="P577" s="146"/>
      <c r="Q577" s="146"/>
      <c r="R577" s="146"/>
      <c r="S577" s="146"/>
      <c r="T577" s="146"/>
      <c r="U577" s="146"/>
      <c r="V577" s="146"/>
      <c r="W577" s="148"/>
      <c r="X577" s="146"/>
      <c r="Y577" s="146"/>
      <c r="Z577" s="146"/>
      <c r="AA577" s="146"/>
      <c r="AB577" s="146"/>
      <c r="AC577" s="146"/>
    </row>
    <row r="578" ht="15.75" customHeight="1">
      <c r="A578" s="146"/>
      <c r="B578" s="146"/>
      <c r="C578" s="146"/>
      <c r="D578" s="146"/>
      <c r="E578" s="146"/>
      <c r="F578" s="146"/>
      <c r="G578" s="146"/>
      <c r="H578" s="146"/>
      <c r="I578" s="146"/>
      <c r="J578" s="146"/>
      <c r="K578" s="146"/>
      <c r="L578" s="146"/>
      <c r="M578" s="146"/>
      <c r="N578" s="146"/>
      <c r="O578" s="147"/>
      <c r="P578" s="146"/>
      <c r="Q578" s="146"/>
      <c r="R578" s="146"/>
      <c r="S578" s="146"/>
      <c r="T578" s="146"/>
      <c r="U578" s="146"/>
      <c r="V578" s="146"/>
      <c r="W578" s="148"/>
      <c r="X578" s="146"/>
      <c r="Y578" s="146"/>
      <c r="Z578" s="146"/>
      <c r="AA578" s="146"/>
      <c r="AB578" s="146"/>
      <c r="AC578" s="146"/>
    </row>
    <row r="579" ht="15.75" customHeight="1">
      <c r="A579" s="146"/>
      <c r="B579" s="146"/>
      <c r="C579" s="146"/>
      <c r="D579" s="146"/>
      <c r="E579" s="146"/>
      <c r="F579" s="146"/>
      <c r="G579" s="146"/>
      <c r="H579" s="146"/>
      <c r="I579" s="146"/>
      <c r="J579" s="146"/>
      <c r="K579" s="146"/>
      <c r="L579" s="146"/>
      <c r="M579" s="146"/>
      <c r="N579" s="146"/>
      <c r="O579" s="147"/>
      <c r="P579" s="146"/>
      <c r="Q579" s="146"/>
      <c r="R579" s="146"/>
      <c r="S579" s="146"/>
      <c r="T579" s="146"/>
      <c r="U579" s="146"/>
      <c r="V579" s="146"/>
      <c r="W579" s="148"/>
      <c r="X579" s="146"/>
      <c r="Y579" s="146"/>
      <c r="Z579" s="146"/>
      <c r="AA579" s="146"/>
      <c r="AB579" s="146"/>
      <c r="AC579" s="146"/>
    </row>
    <row r="580" ht="15.75" customHeight="1">
      <c r="A580" s="146"/>
      <c r="B580" s="146"/>
      <c r="C580" s="146"/>
      <c r="D580" s="146"/>
      <c r="E580" s="146"/>
      <c r="F580" s="146"/>
      <c r="G580" s="146"/>
      <c r="H580" s="146"/>
      <c r="I580" s="146"/>
      <c r="J580" s="146"/>
      <c r="K580" s="146"/>
      <c r="L580" s="146"/>
      <c r="M580" s="146"/>
      <c r="N580" s="146"/>
      <c r="O580" s="147"/>
      <c r="P580" s="146"/>
      <c r="Q580" s="146"/>
      <c r="R580" s="146"/>
      <c r="S580" s="146"/>
      <c r="T580" s="146"/>
      <c r="U580" s="146"/>
      <c r="V580" s="146"/>
      <c r="W580" s="148"/>
      <c r="X580" s="146"/>
      <c r="Y580" s="146"/>
      <c r="Z580" s="146"/>
      <c r="AA580" s="146"/>
      <c r="AB580" s="146"/>
      <c r="AC580" s="146"/>
    </row>
    <row r="581" ht="15.75" customHeight="1">
      <c r="A581" s="146"/>
      <c r="B581" s="146"/>
      <c r="C581" s="146"/>
      <c r="D581" s="146"/>
      <c r="E581" s="146"/>
      <c r="F581" s="146"/>
      <c r="G581" s="146"/>
      <c r="H581" s="146"/>
      <c r="I581" s="146"/>
      <c r="J581" s="146"/>
      <c r="K581" s="146"/>
      <c r="L581" s="146"/>
      <c r="M581" s="146"/>
      <c r="N581" s="146"/>
      <c r="O581" s="147"/>
      <c r="P581" s="146"/>
      <c r="Q581" s="146"/>
      <c r="R581" s="146"/>
      <c r="S581" s="146"/>
      <c r="T581" s="146"/>
      <c r="U581" s="146"/>
      <c r="V581" s="146"/>
      <c r="W581" s="148"/>
      <c r="X581" s="146"/>
      <c r="Y581" s="146"/>
      <c r="Z581" s="146"/>
      <c r="AA581" s="146"/>
      <c r="AB581" s="146"/>
      <c r="AC581" s="146"/>
    </row>
    <row r="582" ht="15.75" customHeight="1">
      <c r="A582" s="146"/>
      <c r="B582" s="146"/>
      <c r="C582" s="146"/>
      <c r="D582" s="146"/>
      <c r="E582" s="146"/>
      <c r="F582" s="146"/>
      <c r="G582" s="146"/>
      <c r="H582" s="146"/>
      <c r="I582" s="146"/>
      <c r="J582" s="146"/>
      <c r="K582" s="146"/>
      <c r="L582" s="146"/>
      <c r="M582" s="146"/>
      <c r="N582" s="146"/>
      <c r="O582" s="147"/>
      <c r="P582" s="146"/>
      <c r="Q582" s="146"/>
      <c r="R582" s="146"/>
      <c r="S582" s="146"/>
      <c r="T582" s="146"/>
      <c r="U582" s="146"/>
      <c r="V582" s="146"/>
      <c r="W582" s="148"/>
      <c r="X582" s="146"/>
      <c r="Y582" s="146"/>
      <c r="Z582" s="146"/>
      <c r="AA582" s="146"/>
      <c r="AB582" s="146"/>
      <c r="AC582" s="146"/>
    </row>
    <row r="583" ht="15.75" customHeight="1">
      <c r="A583" s="146"/>
      <c r="B583" s="146"/>
      <c r="C583" s="146"/>
      <c r="D583" s="146"/>
      <c r="E583" s="146"/>
      <c r="F583" s="146"/>
      <c r="G583" s="146"/>
      <c r="H583" s="146"/>
      <c r="I583" s="146"/>
      <c r="J583" s="146"/>
      <c r="K583" s="146"/>
      <c r="L583" s="146"/>
      <c r="M583" s="146"/>
      <c r="N583" s="146"/>
      <c r="O583" s="147"/>
      <c r="P583" s="146"/>
      <c r="Q583" s="146"/>
      <c r="R583" s="146"/>
      <c r="S583" s="146"/>
      <c r="T583" s="146"/>
      <c r="U583" s="146"/>
      <c r="V583" s="146"/>
      <c r="W583" s="148"/>
      <c r="X583" s="146"/>
      <c r="Y583" s="146"/>
      <c r="Z583" s="146"/>
      <c r="AA583" s="146"/>
      <c r="AB583" s="146"/>
      <c r="AC583" s="146"/>
    </row>
    <row r="584" ht="15.75" customHeight="1">
      <c r="A584" s="146"/>
      <c r="B584" s="146"/>
      <c r="C584" s="146"/>
      <c r="D584" s="146"/>
      <c r="E584" s="146"/>
      <c r="F584" s="146"/>
      <c r="G584" s="146"/>
      <c r="H584" s="146"/>
      <c r="I584" s="146"/>
      <c r="J584" s="146"/>
      <c r="K584" s="146"/>
      <c r="L584" s="146"/>
      <c r="M584" s="146"/>
      <c r="N584" s="146"/>
      <c r="O584" s="147"/>
      <c r="P584" s="146"/>
      <c r="Q584" s="146"/>
      <c r="R584" s="146"/>
      <c r="S584" s="146"/>
      <c r="T584" s="146"/>
      <c r="U584" s="146"/>
      <c r="V584" s="146"/>
      <c r="W584" s="148"/>
      <c r="X584" s="146"/>
      <c r="Y584" s="146"/>
      <c r="Z584" s="146"/>
      <c r="AA584" s="146"/>
      <c r="AB584" s="146"/>
      <c r="AC584" s="146"/>
    </row>
    <row r="585" ht="15.75" customHeight="1">
      <c r="A585" s="146"/>
      <c r="B585" s="146"/>
      <c r="C585" s="146"/>
      <c r="D585" s="146"/>
      <c r="E585" s="146"/>
      <c r="F585" s="146"/>
      <c r="G585" s="146"/>
      <c r="H585" s="146"/>
      <c r="I585" s="146"/>
      <c r="J585" s="146"/>
      <c r="K585" s="146"/>
      <c r="L585" s="146"/>
      <c r="M585" s="146"/>
      <c r="N585" s="146"/>
      <c r="O585" s="147"/>
      <c r="P585" s="146"/>
      <c r="Q585" s="146"/>
      <c r="R585" s="146"/>
      <c r="S585" s="146"/>
      <c r="T585" s="146"/>
      <c r="U585" s="146"/>
      <c r="V585" s="146"/>
      <c r="W585" s="148"/>
      <c r="X585" s="146"/>
      <c r="Y585" s="146"/>
      <c r="Z585" s="146"/>
      <c r="AA585" s="146"/>
      <c r="AB585" s="146"/>
      <c r="AC585" s="146"/>
    </row>
    <row r="586" ht="15.75" customHeight="1">
      <c r="A586" s="146"/>
      <c r="B586" s="146"/>
      <c r="C586" s="146"/>
      <c r="D586" s="146"/>
      <c r="E586" s="146"/>
      <c r="F586" s="146"/>
      <c r="G586" s="146"/>
      <c r="H586" s="146"/>
      <c r="I586" s="146"/>
      <c r="J586" s="146"/>
      <c r="K586" s="146"/>
      <c r="L586" s="146"/>
      <c r="M586" s="146"/>
      <c r="N586" s="146"/>
      <c r="O586" s="147"/>
      <c r="P586" s="146"/>
      <c r="Q586" s="146"/>
      <c r="R586" s="146"/>
      <c r="S586" s="146"/>
      <c r="T586" s="146"/>
      <c r="U586" s="146"/>
      <c r="V586" s="146"/>
      <c r="W586" s="148"/>
      <c r="X586" s="146"/>
      <c r="Y586" s="146"/>
      <c r="Z586" s="146"/>
      <c r="AA586" s="146"/>
      <c r="AB586" s="146"/>
      <c r="AC586" s="146"/>
    </row>
    <row r="587" ht="15.75" customHeight="1">
      <c r="A587" s="146"/>
      <c r="B587" s="146"/>
      <c r="C587" s="146"/>
      <c r="D587" s="146"/>
      <c r="E587" s="146"/>
      <c r="F587" s="146"/>
      <c r="G587" s="146"/>
      <c r="H587" s="146"/>
      <c r="I587" s="146"/>
      <c r="J587" s="146"/>
      <c r="K587" s="146"/>
      <c r="L587" s="146"/>
      <c r="M587" s="146"/>
      <c r="N587" s="146"/>
      <c r="O587" s="147"/>
      <c r="P587" s="146"/>
      <c r="Q587" s="146"/>
      <c r="R587" s="146"/>
      <c r="S587" s="146"/>
      <c r="T587" s="146"/>
      <c r="U587" s="146"/>
      <c r="V587" s="146"/>
      <c r="W587" s="148"/>
      <c r="X587" s="146"/>
      <c r="Y587" s="146"/>
      <c r="Z587" s="146"/>
      <c r="AA587" s="146"/>
      <c r="AB587" s="146"/>
      <c r="AC587" s="146"/>
    </row>
    <row r="588" ht="15.75" customHeight="1">
      <c r="A588" s="146"/>
      <c r="B588" s="146"/>
      <c r="C588" s="146"/>
      <c r="D588" s="146"/>
      <c r="E588" s="146"/>
      <c r="F588" s="146"/>
      <c r="G588" s="146"/>
      <c r="H588" s="146"/>
      <c r="I588" s="146"/>
      <c r="J588" s="146"/>
      <c r="K588" s="146"/>
      <c r="L588" s="146"/>
      <c r="M588" s="146"/>
      <c r="N588" s="146"/>
      <c r="O588" s="147"/>
      <c r="P588" s="146"/>
      <c r="Q588" s="146"/>
      <c r="R588" s="146"/>
      <c r="S588" s="146"/>
      <c r="T588" s="146"/>
      <c r="U588" s="146"/>
      <c r="V588" s="146"/>
      <c r="W588" s="148"/>
      <c r="X588" s="146"/>
      <c r="Y588" s="146"/>
      <c r="Z588" s="146"/>
      <c r="AA588" s="146"/>
      <c r="AB588" s="146"/>
      <c r="AC588" s="146"/>
    </row>
    <row r="589" ht="15.75" customHeight="1">
      <c r="A589" s="146"/>
      <c r="B589" s="146"/>
      <c r="C589" s="146"/>
      <c r="D589" s="146"/>
      <c r="E589" s="146"/>
      <c r="F589" s="146"/>
      <c r="G589" s="146"/>
      <c r="H589" s="146"/>
      <c r="I589" s="146"/>
      <c r="J589" s="146"/>
      <c r="K589" s="146"/>
      <c r="L589" s="146"/>
      <c r="M589" s="146"/>
      <c r="N589" s="146"/>
      <c r="O589" s="147"/>
      <c r="P589" s="146"/>
      <c r="Q589" s="146"/>
      <c r="R589" s="146"/>
      <c r="S589" s="146"/>
      <c r="T589" s="146"/>
      <c r="U589" s="146"/>
      <c r="V589" s="146"/>
      <c r="W589" s="148"/>
      <c r="X589" s="146"/>
      <c r="Y589" s="146"/>
      <c r="Z589" s="146"/>
      <c r="AA589" s="146"/>
      <c r="AB589" s="146"/>
      <c r="AC589" s="146"/>
    </row>
    <row r="590" ht="15.75" customHeight="1">
      <c r="A590" s="146"/>
      <c r="B590" s="146"/>
      <c r="C590" s="146"/>
      <c r="D590" s="146"/>
      <c r="E590" s="146"/>
      <c r="F590" s="146"/>
      <c r="G590" s="146"/>
      <c r="H590" s="146"/>
      <c r="I590" s="146"/>
      <c r="J590" s="146"/>
      <c r="K590" s="146"/>
      <c r="L590" s="146"/>
      <c r="M590" s="146"/>
      <c r="N590" s="146"/>
      <c r="O590" s="147"/>
      <c r="P590" s="146"/>
      <c r="Q590" s="146"/>
      <c r="R590" s="146"/>
      <c r="S590" s="146"/>
      <c r="T590" s="146"/>
      <c r="U590" s="146"/>
      <c r="V590" s="146"/>
      <c r="W590" s="148"/>
      <c r="X590" s="146"/>
      <c r="Y590" s="146"/>
      <c r="Z590" s="146"/>
      <c r="AA590" s="146"/>
      <c r="AB590" s="146"/>
      <c r="AC590" s="146"/>
    </row>
    <row r="591" ht="15.75" customHeight="1">
      <c r="A591" s="146"/>
      <c r="B591" s="146"/>
      <c r="C591" s="146"/>
      <c r="D591" s="146"/>
      <c r="E591" s="146"/>
      <c r="F591" s="146"/>
      <c r="G591" s="146"/>
      <c r="H591" s="146"/>
      <c r="I591" s="146"/>
      <c r="J591" s="146"/>
      <c r="K591" s="146"/>
      <c r="L591" s="146"/>
      <c r="M591" s="146"/>
      <c r="N591" s="146"/>
      <c r="O591" s="147"/>
      <c r="P591" s="146"/>
      <c r="Q591" s="146"/>
      <c r="R591" s="146"/>
      <c r="S591" s="146"/>
      <c r="T591" s="146"/>
      <c r="U591" s="146"/>
      <c r="V591" s="146"/>
      <c r="W591" s="148"/>
      <c r="X591" s="146"/>
      <c r="Y591" s="146"/>
      <c r="Z591" s="146"/>
      <c r="AA591" s="146"/>
      <c r="AB591" s="146"/>
      <c r="AC591" s="146"/>
    </row>
    <row r="592" ht="15.75" customHeight="1">
      <c r="A592" s="146"/>
      <c r="B592" s="146"/>
      <c r="C592" s="146"/>
      <c r="D592" s="146"/>
      <c r="E592" s="146"/>
      <c r="F592" s="146"/>
      <c r="G592" s="146"/>
      <c r="H592" s="146"/>
      <c r="I592" s="146"/>
      <c r="J592" s="146"/>
      <c r="K592" s="146"/>
      <c r="L592" s="146"/>
      <c r="M592" s="146"/>
      <c r="N592" s="146"/>
      <c r="O592" s="147"/>
      <c r="P592" s="146"/>
      <c r="Q592" s="146"/>
      <c r="R592" s="146"/>
      <c r="S592" s="146"/>
      <c r="T592" s="146"/>
      <c r="U592" s="146"/>
      <c r="V592" s="146"/>
      <c r="W592" s="148"/>
      <c r="X592" s="146"/>
      <c r="Y592" s="146"/>
      <c r="Z592" s="146"/>
      <c r="AA592" s="146"/>
      <c r="AB592" s="146"/>
      <c r="AC592" s="146"/>
    </row>
    <row r="593" ht="15.75" customHeight="1">
      <c r="A593" s="146"/>
      <c r="B593" s="146"/>
      <c r="C593" s="146"/>
      <c r="D593" s="146"/>
      <c r="E593" s="146"/>
      <c r="F593" s="146"/>
      <c r="G593" s="146"/>
      <c r="H593" s="146"/>
      <c r="I593" s="146"/>
      <c r="J593" s="146"/>
      <c r="K593" s="146"/>
      <c r="L593" s="146"/>
      <c r="M593" s="146"/>
      <c r="N593" s="146"/>
      <c r="O593" s="147"/>
      <c r="P593" s="146"/>
      <c r="Q593" s="146"/>
      <c r="R593" s="146"/>
      <c r="S593" s="146"/>
      <c r="T593" s="146"/>
      <c r="U593" s="146"/>
      <c r="V593" s="146"/>
      <c r="W593" s="148"/>
      <c r="X593" s="146"/>
      <c r="Y593" s="146"/>
      <c r="Z593" s="146"/>
      <c r="AA593" s="146"/>
      <c r="AB593" s="146"/>
      <c r="AC593" s="146"/>
    </row>
    <row r="594" ht="15.75" customHeight="1">
      <c r="A594" s="146"/>
      <c r="B594" s="146"/>
      <c r="C594" s="146"/>
      <c r="D594" s="146"/>
      <c r="E594" s="146"/>
      <c r="F594" s="146"/>
      <c r="G594" s="146"/>
      <c r="H594" s="146"/>
      <c r="I594" s="146"/>
      <c r="J594" s="146"/>
      <c r="K594" s="146"/>
      <c r="L594" s="146"/>
      <c r="M594" s="146"/>
      <c r="N594" s="146"/>
      <c r="O594" s="147"/>
      <c r="P594" s="146"/>
      <c r="Q594" s="146"/>
      <c r="R594" s="146"/>
      <c r="S594" s="146"/>
      <c r="T594" s="146"/>
      <c r="U594" s="146"/>
      <c r="V594" s="146"/>
      <c r="W594" s="148"/>
      <c r="X594" s="146"/>
      <c r="Y594" s="146"/>
      <c r="Z594" s="146"/>
      <c r="AA594" s="146"/>
      <c r="AB594" s="146"/>
      <c r="AC594" s="146"/>
    </row>
    <row r="595" ht="15.75" customHeight="1">
      <c r="A595" s="146"/>
      <c r="B595" s="146"/>
      <c r="C595" s="146"/>
      <c r="D595" s="146"/>
      <c r="E595" s="146"/>
      <c r="F595" s="146"/>
      <c r="G595" s="146"/>
      <c r="H595" s="146"/>
      <c r="I595" s="146"/>
      <c r="J595" s="146"/>
      <c r="K595" s="146"/>
      <c r="L595" s="146"/>
      <c r="M595" s="146"/>
      <c r="N595" s="146"/>
      <c r="O595" s="147"/>
      <c r="P595" s="146"/>
      <c r="Q595" s="146"/>
      <c r="R595" s="146"/>
      <c r="S595" s="146"/>
      <c r="T595" s="146"/>
      <c r="U595" s="146"/>
      <c r="V595" s="146"/>
      <c r="W595" s="148"/>
      <c r="X595" s="146"/>
      <c r="Y595" s="146"/>
      <c r="Z595" s="146"/>
      <c r="AA595" s="146"/>
      <c r="AB595" s="146"/>
      <c r="AC595" s="146"/>
    </row>
    <row r="596" ht="15.75" customHeight="1">
      <c r="A596" s="146"/>
      <c r="B596" s="146"/>
      <c r="C596" s="146"/>
      <c r="D596" s="146"/>
      <c r="E596" s="146"/>
      <c r="F596" s="146"/>
      <c r="G596" s="146"/>
      <c r="H596" s="146"/>
      <c r="I596" s="146"/>
      <c r="J596" s="146"/>
      <c r="K596" s="146"/>
      <c r="L596" s="146"/>
      <c r="M596" s="146"/>
      <c r="N596" s="146"/>
      <c r="O596" s="147"/>
      <c r="P596" s="146"/>
      <c r="Q596" s="146"/>
      <c r="R596" s="146"/>
      <c r="S596" s="146"/>
      <c r="T596" s="146"/>
      <c r="U596" s="146"/>
      <c r="V596" s="146"/>
      <c r="W596" s="148"/>
      <c r="X596" s="146"/>
      <c r="Y596" s="146"/>
      <c r="Z596" s="146"/>
      <c r="AA596" s="146"/>
      <c r="AB596" s="146"/>
      <c r="AC596" s="146"/>
    </row>
    <row r="597" ht="15.75" customHeight="1">
      <c r="A597" s="146"/>
      <c r="B597" s="146"/>
      <c r="C597" s="146"/>
      <c r="D597" s="146"/>
      <c r="E597" s="146"/>
      <c r="F597" s="146"/>
      <c r="G597" s="146"/>
      <c r="H597" s="146"/>
      <c r="I597" s="146"/>
      <c r="J597" s="146"/>
      <c r="K597" s="146"/>
      <c r="L597" s="146"/>
      <c r="M597" s="146"/>
      <c r="N597" s="146"/>
      <c r="O597" s="147"/>
      <c r="P597" s="146"/>
      <c r="Q597" s="146"/>
      <c r="R597" s="146"/>
      <c r="S597" s="146"/>
      <c r="T597" s="146"/>
      <c r="U597" s="146"/>
      <c r="V597" s="146"/>
      <c r="W597" s="148"/>
      <c r="X597" s="146"/>
      <c r="Y597" s="146"/>
      <c r="Z597" s="146"/>
      <c r="AA597" s="146"/>
      <c r="AB597" s="146"/>
      <c r="AC597" s="146"/>
    </row>
    <row r="598" ht="15.75" customHeight="1">
      <c r="A598" s="146"/>
      <c r="B598" s="146"/>
      <c r="C598" s="146"/>
      <c r="D598" s="146"/>
      <c r="E598" s="146"/>
      <c r="F598" s="146"/>
      <c r="G598" s="146"/>
      <c r="H598" s="146"/>
      <c r="I598" s="146"/>
      <c r="J598" s="146"/>
      <c r="K598" s="146"/>
      <c r="L598" s="146"/>
      <c r="M598" s="146"/>
      <c r="N598" s="146"/>
      <c r="O598" s="147"/>
      <c r="P598" s="146"/>
      <c r="Q598" s="146"/>
      <c r="R598" s="146"/>
      <c r="S598" s="146"/>
      <c r="T598" s="146"/>
      <c r="U598" s="146"/>
      <c r="V598" s="146"/>
      <c r="W598" s="148"/>
      <c r="X598" s="146"/>
      <c r="Y598" s="146"/>
      <c r="Z598" s="146"/>
      <c r="AA598" s="146"/>
      <c r="AB598" s="146"/>
      <c r="AC598" s="146"/>
    </row>
    <row r="599" ht="15.75" customHeight="1">
      <c r="A599" s="146"/>
      <c r="B599" s="146"/>
      <c r="C599" s="146"/>
      <c r="D599" s="146"/>
      <c r="E599" s="146"/>
      <c r="F599" s="146"/>
      <c r="G599" s="146"/>
      <c r="H599" s="146"/>
      <c r="I599" s="146"/>
      <c r="J599" s="146"/>
      <c r="K599" s="146"/>
      <c r="L599" s="146"/>
      <c r="M599" s="146"/>
      <c r="N599" s="146"/>
      <c r="O599" s="147"/>
      <c r="P599" s="146"/>
      <c r="Q599" s="146"/>
      <c r="R599" s="146"/>
      <c r="S599" s="146"/>
      <c r="T599" s="146"/>
      <c r="U599" s="146"/>
      <c r="V599" s="146"/>
      <c r="W599" s="148"/>
      <c r="X599" s="146"/>
      <c r="Y599" s="146"/>
      <c r="Z599" s="146"/>
      <c r="AA599" s="146"/>
      <c r="AB599" s="146"/>
      <c r="AC599" s="146"/>
    </row>
    <row r="600" ht="15.75" customHeight="1">
      <c r="A600" s="146"/>
      <c r="B600" s="146"/>
      <c r="C600" s="146"/>
      <c r="D600" s="146"/>
      <c r="E600" s="146"/>
      <c r="F600" s="146"/>
      <c r="G600" s="146"/>
      <c r="H600" s="146"/>
      <c r="I600" s="146"/>
      <c r="J600" s="146"/>
      <c r="K600" s="146"/>
      <c r="L600" s="146"/>
      <c r="M600" s="146"/>
      <c r="N600" s="146"/>
      <c r="O600" s="147"/>
      <c r="P600" s="146"/>
      <c r="Q600" s="146"/>
      <c r="R600" s="146"/>
      <c r="S600" s="146"/>
      <c r="T600" s="146"/>
      <c r="U600" s="146"/>
      <c r="V600" s="146"/>
      <c r="W600" s="148"/>
      <c r="X600" s="146"/>
      <c r="Y600" s="146"/>
      <c r="Z600" s="146"/>
      <c r="AA600" s="146"/>
      <c r="AB600" s="146"/>
      <c r="AC600" s="146"/>
    </row>
    <row r="601" ht="15.75" customHeight="1">
      <c r="A601" s="146"/>
      <c r="B601" s="146"/>
      <c r="C601" s="146"/>
      <c r="D601" s="146"/>
      <c r="E601" s="146"/>
      <c r="F601" s="146"/>
      <c r="G601" s="146"/>
      <c r="H601" s="146"/>
      <c r="I601" s="146"/>
      <c r="J601" s="146"/>
      <c r="K601" s="146"/>
      <c r="L601" s="146"/>
      <c r="M601" s="146"/>
      <c r="N601" s="146"/>
      <c r="O601" s="147"/>
      <c r="P601" s="146"/>
      <c r="Q601" s="146"/>
      <c r="R601" s="146"/>
      <c r="S601" s="146"/>
      <c r="T601" s="146"/>
      <c r="U601" s="146"/>
      <c r="V601" s="146"/>
      <c r="W601" s="148"/>
      <c r="X601" s="146"/>
      <c r="Y601" s="146"/>
      <c r="Z601" s="146"/>
      <c r="AA601" s="146"/>
      <c r="AB601" s="146"/>
      <c r="AC601" s="146"/>
    </row>
    <row r="602" ht="15.75" customHeight="1">
      <c r="A602" s="146"/>
      <c r="B602" s="146"/>
      <c r="C602" s="146"/>
      <c r="D602" s="146"/>
      <c r="E602" s="146"/>
      <c r="F602" s="146"/>
      <c r="G602" s="146"/>
      <c r="H602" s="146"/>
      <c r="I602" s="146"/>
      <c r="J602" s="146"/>
      <c r="K602" s="146"/>
      <c r="L602" s="146"/>
      <c r="M602" s="146"/>
      <c r="N602" s="146"/>
      <c r="O602" s="147"/>
      <c r="P602" s="146"/>
      <c r="Q602" s="146"/>
      <c r="R602" s="146"/>
      <c r="S602" s="146"/>
      <c r="T602" s="146"/>
      <c r="U602" s="146"/>
      <c r="V602" s="146"/>
      <c r="W602" s="148"/>
      <c r="X602" s="146"/>
      <c r="Y602" s="146"/>
      <c r="Z602" s="146"/>
      <c r="AA602" s="146"/>
      <c r="AB602" s="146"/>
      <c r="AC602" s="146"/>
    </row>
    <row r="603" ht="15.75" customHeight="1">
      <c r="A603" s="146"/>
      <c r="B603" s="146"/>
      <c r="C603" s="146"/>
      <c r="D603" s="146"/>
      <c r="E603" s="146"/>
      <c r="F603" s="146"/>
      <c r="G603" s="146"/>
      <c r="H603" s="146"/>
      <c r="I603" s="146"/>
      <c r="J603" s="146"/>
      <c r="K603" s="146"/>
      <c r="L603" s="146"/>
      <c r="M603" s="146"/>
      <c r="N603" s="146"/>
      <c r="O603" s="147"/>
      <c r="P603" s="146"/>
      <c r="Q603" s="146"/>
      <c r="R603" s="146"/>
      <c r="S603" s="146"/>
      <c r="T603" s="146"/>
      <c r="U603" s="146"/>
      <c r="V603" s="146"/>
      <c r="W603" s="148"/>
      <c r="X603" s="146"/>
      <c r="Y603" s="146"/>
      <c r="Z603" s="146"/>
      <c r="AA603" s="146"/>
      <c r="AB603" s="146"/>
      <c r="AC603" s="146"/>
    </row>
    <row r="604" ht="15.75" customHeight="1">
      <c r="A604" s="146"/>
      <c r="B604" s="146"/>
      <c r="C604" s="146"/>
      <c r="D604" s="146"/>
      <c r="E604" s="146"/>
      <c r="F604" s="146"/>
      <c r="G604" s="146"/>
      <c r="H604" s="146"/>
      <c r="I604" s="146"/>
      <c r="J604" s="146"/>
      <c r="K604" s="146"/>
      <c r="L604" s="146"/>
      <c r="M604" s="146"/>
      <c r="N604" s="146"/>
      <c r="O604" s="147"/>
      <c r="P604" s="146"/>
      <c r="Q604" s="146"/>
      <c r="R604" s="146"/>
      <c r="S604" s="146"/>
      <c r="T604" s="146"/>
      <c r="U604" s="146"/>
      <c r="V604" s="146"/>
      <c r="W604" s="148"/>
      <c r="X604" s="146"/>
      <c r="Y604" s="146"/>
      <c r="Z604" s="146"/>
      <c r="AA604" s="146"/>
      <c r="AB604" s="146"/>
      <c r="AC604" s="146"/>
    </row>
    <row r="605" ht="15.75" customHeight="1">
      <c r="A605" s="146"/>
      <c r="B605" s="146"/>
      <c r="C605" s="146"/>
      <c r="D605" s="146"/>
      <c r="E605" s="146"/>
      <c r="F605" s="146"/>
      <c r="G605" s="146"/>
      <c r="H605" s="146"/>
      <c r="I605" s="146"/>
      <c r="J605" s="146"/>
      <c r="K605" s="146"/>
      <c r="L605" s="146"/>
      <c r="M605" s="146"/>
      <c r="N605" s="146"/>
      <c r="O605" s="147"/>
      <c r="P605" s="146"/>
      <c r="Q605" s="146"/>
      <c r="R605" s="146"/>
      <c r="S605" s="146"/>
      <c r="T605" s="146"/>
      <c r="U605" s="146"/>
      <c r="V605" s="146"/>
      <c r="W605" s="148"/>
      <c r="X605" s="146"/>
      <c r="Y605" s="146"/>
      <c r="Z605" s="146"/>
      <c r="AA605" s="146"/>
      <c r="AB605" s="146"/>
      <c r="AC605" s="146"/>
    </row>
    <row r="606" ht="15.75" customHeight="1">
      <c r="A606" s="146"/>
      <c r="B606" s="146"/>
      <c r="C606" s="146"/>
      <c r="D606" s="146"/>
      <c r="E606" s="146"/>
      <c r="F606" s="146"/>
      <c r="G606" s="146"/>
      <c r="H606" s="146"/>
      <c r="I606" s="146"/>
      <c r="J606" s="146"/>
      <c r="K606" s="146"/>
      <c r="L606" s="146"/>
      <c r="M606" s="146"/>
      <c r="N606" s="146"/>
      <c r="O606" s="147"/>
      <c r="P606" s="146"/>
      <c r="Q606" s="146"/>
      <c r="R606" s="146"/>
      <c r="S606" s="146"/>
      <c r="T606" s="146"/>
      <c r="U606" s="146"/>
      <c r="V606" s="146"/>
      <c r="W606" s="148"/>
      <c r="X606" s="146"/>
      <c r="Y606" s="146"/>
      <c r="Z606" s="146"/>
      <c r="AA606" s="146"/>
      <c r="AB606" s="146"/>
      <c r="AC606" s="146"/>
    </row>
    <row r="607" ht="15.75" customHeight="1">
      <c r="A607" s="146"/>
      <c r="B607" s="146"/>
      <c r="C607" s="146"/>
      <c r="D607" s="146"/>
      <c r="E607" s="146"/>
      <c r="F607" s="146"/>
      <c r="G607" s="146"/>
      <c r="H607" s="146"/>
      <c r="I607" s="146"/>
      <c r="J607" s="146"/>
      <c r="K607" s="146"/>
      <c r="L607" s="146"/>
      <c r="M607" s="146"/>
      <c r="N607" s="146"/>
      <c r="O607" s="147"/>
      <c r="P607" s="146"/>
      <c r="Q607" s="146"/>
      <c r="R607" s="146"/>
      <c r="S607" s="146"/>
      <c r="T607" s="146"/>
      <c r="U607" s="146"/>
      <c r="V607" s="146"/>
      <c r="W607" s="148"/>
      <c r="X607" s="146"/>
      <c r="Y607" s="146"/>
      <c r="Z607" s="146"/>
      <c r="AA607" s="146"/>
      <c r="AB607" s="146"/>
      <c r="AC607" s="146"/>
    </row>
    <row r="608" ht="15.75" customHeight="1">
      <c r="A608" s="146"/>
      <c r="B608" s="146"/>
      <c r="C608" s="146"/>
      <c r="D608" s="146"/>
      <c r="E608" s="146"/>
      <c r="F608" s="146"/>
      <c r="G608" s="146"/>
      <c r="H608" s="146"/>
      <c r="I608" s="146"/>
      <c r="J608" s="146"/>
      <c r="K608" s="146"/>
      <c r="L608" s="146"/>
      <c r="M608" s="146"/>
      <c r="N608" s="146"/>
      <c r="O608" s="147"/>
      <c r="P608" s="146"/>
      <c r="Q608" s="146"/>
      <c r="R608" s="146"/>
      <c r="S608" s="146"/>
      <c r="T608" s="146"/>
      <c r="U608" s="146"/>
      <c r="V608" s="146"/>
      <c r="W608" s="148"/>
      <c r="X608" s="146"/>
      <c r="Y608" s="146"/>
      <c r="Z608" s="146"/>
      <c r="AA608" s="146"/>
      <c r="AB608" s="146"/>
      <c r="AC608" s="146"/>
    </row>
    <row r="609" ht="15.75" customHeight="1">
      <c r="A609" s="146"/>
      <c r="B609" s="146"/>
      <c r="C609" s="146"/>
      <c r="D609" s="146"/>
      <c r="E609" s="146"/>
      <c r="F609" s="146"/>
      <c r="G609" s="146"/>
      <c r="H609" s="146"/>
      <c r="I609" s="146"/>
      <c r="J609" s="146"/>
      <c r="K609" s="146"/>
      <c r="L609" s="146"/>
      <c r="M609" s="146"/>
      <c r="N609" s="146"/>
      <c r="O609" s="147"/>
      <c r="P609" s="146"/>
      <c r="Q609" s="146"/>
      <c r="R609" s="146"/>
      <c r="S609" s="146"/>
      <c r="T609" s="146"/>
      <c r="U609" s="146"/>
      <c r="V609" s="146"/>
      <c r="W609" s="148"/>
      <c r="X609" s="146"/>
      <c r="Y609" s="146"/>
      <c r="Z609" s="146"/>
      <c r="AA609" s="146"/>
      <c r="AB609" s="146"/>
      <c r="AC609" s="146"/>
    </row>
    <row r="610" ht="15.75" customHeight="1">
      <c r="A610" s="146"/>
      <c r="B610" s="146"/>
      <c r="C610" s="146"/>
      <c r="D610" s="146"/>
      <c r="E610" s="146"/>
      <c r="F610" s="146"/>
      <c r="G610" s="146"/>
      <c r="H610" s="146"/>
      <c r="I610" s="146"/>
      <c r="J610" s="146"/>
      <c r="K610" s="146"/>
      <c r="L610" s="146"/>
      <c r="M610" s="146"/>
      <c r="N610" s="146"/>
      <c r="O610" s="147"/>
      <c r="P610" s="146"/>
      <c r="Q610" s="146"/>
      <c r="R610" s="146"/>
      <c r="S610" s="146"/>
      <c r="T610" s="146"/>
      <c r="U610" s="146"/>
      <c r="V610" s="146"/>
      <c r="W610" s="148"/>
      <c r="X610" s="146"/>
      <c r="Y610" s="146"/>
      <c r="Z610" s="146"/>
      <c r="AA610" s="146"/>
      <c r="AB610" s="146"/>
      <c r="AC610" s="146"/>
    </row>
    <row r="611" ht="15.75" customHeight="1">
      <c r="A611" s="146"/>
      <c r="B611" s="146"/>
      <c r="C611" s="146"/>
      <c r="D611" s="146"/>
      <c r="E611" s="146"/>
      <c r="F611" s="146"/>
      <c r="G611" s="146"/>
      <c r="H611" s="146"/>
      <c r="I611" s="146"/>
      <c r="J611" s="146"/>
      <c r="K611" s="146"/>
      <c r="L611" s="146"/>
      <c r="M611" s="146"/>
      <c r="N611" s="146"/>
      <c r="O611" s="147"/>
      <c r="P611" s="146"/>
      <c r="Q611" s="146"/>
      <c r="R611" s="146"/>
      <c r="S611" s="146"/>
      <c r="T611" s="146"/>
      <c r="U611" s="146"/>
      <c r="V611" s="146"/>
      <c r="W611" s="148"/>
      <c r="X611" s="146"/>
      <c r="Y611" s="146"/>
      <c r="Z611" s="146"/>
      <c r="AA611" s="146"/>
      <c r="AB611" s="146"/>
      <c r="AC611" s="146"/>
    </row>
    <row r="612" ht="15.75" customHeight="1">
      <c r="A612" s="146"/>
      <c r="B612" s="146"/>
      <c r="C612" s="146"/>
      <c r="D612" s="146"/>
      <c r="E612" s="146"/>
      <c r="F612" s="146"/>
      <c r="G612" s="146"/>
      <c r="H612" s="146"/>
      <c r="I612" s="146"/>
      <c r="J612" s="146"/>
      <c r="K612" s="146"/>
      <c r="L612" s="146"/>
      <c r="M612" s="146"/>
      <c r="N612" s="146"/>
      <c r="O612" s="147"/>
      <c r="P612" s="146"/>
      <c r="Q612" s="146"/>
      <c r="R612" s="146"/>
      <c r="S612" s="146"/>
      <c r="T612" s="146"/>
      <c r="U612" s="146"/>
      <c r="V612" s="146"/>
      <c r="W612" s="148"/>
      <c r="X612" s="146"/>
      <c r="Y612" s="146"/>
      <c r="Z612" s="146"/>
      <c r="AA612" s="146"/>
      <c r="AB612" s="146"/>
      <c r="AC612" s="146"/>
    </row>
    <row r="613" ht="15.75" customHeight="1">
      <c r="A613" s="146"/>
      <c r="B613" s="146"/>
      <c r="C613" s="146"/>
      <c r="D613" s="146"/>
      <c r="E613" s="146"/>
      <c r="F613" s="146"/>
      <c r="G613" s="146"/>
      <c r="H613" s="146"/>
      <c r="I613" s="146"/>
      <c r="J613" s="146"/>
      <c r="K613" s="146"/>
      <c r="L613" s="146"/>
      <c r="M613" s="146"/>
      <c r="N613" s="146"/>
      <c r="O613" s="147"/>
      <c r="P613" s="146"/>
      <c r="Q613" s="146"/>
      <c r="R613" s="146"/>
      <c r="S613" s="146"/>
      <c r="T613" s="146"/>
      <c r="U613" s="146"/>
      <c r="V613" s="146"/>
      <c r="W613" s="148"/>
      <c r="X613" s="146"/>
      <c r="Y613" s="146"/>
      <c r="Z613" s="146"/>
      <c r="AA613" s="146"/>
      <c r="AB613" s="146"/>
      <c r="AC613" s="146"/>
    </row>
    <row r="614" ht="15.75" customHeight="1">
      <c r="A614" s="146"/>
      <c r="B614" s="146"/>
      <c r="C614" s="146"/>
      <c r="D614" s="146"/>
      <c r="E614" s="146"/>
      <c r="F614" s="146"/>
      <c r="G614" s="146"/>
      <c r="H614" s="146"/>
      <c r="I614" s="146"/>
      <c r="J614" s="146"/>
      <c r="K614" s="146"/>
      <c r="L614" s="146"/>
      <c r="M614" s="146"/>
      <c r="N614" s="146"/>
      <c r="O614" s="147"/>
      <c r="P614" s="146"/>
      <c r="Q614" s="146"/>
      <c r="R614" s="146"/>
      <c r="S614" s="146"/>
      <c r="T614" s="146"/>
      <c r="U614" s="146"/>
      <c r="V614" s="146"/>
      <c r="W614" s="148"/>
      <c r="X614" s="146"/>
      <c r="Y614" s="146"/>
      <c r="Z614" s="146"/>
      <c r="AA614" s="146"/>
      <c r="AB614" s="146"/>
      <c r="AC614" s="146"/>
    </row>
    <row r="615" ht="15.75" customHeight="1">
      <c r="A615" s="146"/>
      <c r="B615" s="146"/>
      <c r="C615" s="146"/>
      <c r="D615" s="146"/>
      <c r="E615" s="146"/>
      <c r="F615" s="146"/>
      <c r="G615" s="146"/>
      <c r="H615" s="146"/>
      <c r="I615" s="146"/>
      <c r="J615" s="146"/>
      <c r="K615" s="146"/>
      <c r="L615" s="146"/>
      <c r="M615" s="146"/>
      <c r="N615" s="146"/>
      <c r="O615" s="147"/>
      <c r="P615" s="146"/>
      <c r="Q615" s="146"/>
      <c r="R615" s="146"/>
      <c r="S615" s="146"/>
      <c r="T615" s="146"/>
      <c r="U615" s="146"/>
      <c r="V615" s="146"/>
      <c r="W615" s="148"/>
      <c r="X615" s="146"/>
      <c r="Y615" s="146"/>
      <c r="Z615" s="146"/>
      <c r="AA615" s="146"/>
      <c r="AB615" s="146"/>
      <c r="AC615" s="146"/>
    </row>
    <row r="616" ht="15.75" customHeight="1">
      <c r="A616" s="146"/>
      <c r="B616" s="146"/>
      <c r="C616" s="146"/>
      <c r="D616" s="146"/>
      <c r="E616" s="146"/>
      <c r="F616" s="146"/>
      <c r="G616" s="146"/>
      <c r="H616" s="146"/>
      <c r="I616" s="146"/>
      <c r="J616" s="146"/>
      <c r="K616" s="146"/>
      <c r="L616" s="146"/>
      <c r="M616" s="146"/>
      <c r="N616" s="146"/>
      <c r="O616" s="147"/>
      <c r="P616" s="146"/>
      <c r="Q616" s="146"/>
      <c r="R616" s="146"/>
      <c r="S616" s="146"/>
      <c r="T616" s="146"/>
      <c r="U616" s="146"/>
      <c r="V616" s="146"/>
      <c r="W616" s="148"/>
      <c r="X616" s="146"/>
      <c r="Y616" s="146"/>
      <c r="Z616" s="146"/>
      <c r="AA616" s="146"/>
      <c r="AB616" s="146"/>
      <c r="AC616" s="146"/>
    </row>
    <row r="617" ht="15.75" customHeight="1">
      <c r="A617" s="146"/>
      <c r="B617" s="146"/>
      <c r="C617" s="146"/>
      <c r="D617" s="146"/>
      <c r="E617" s="146"/>
      <c r="F617" s="146"/>
      <c r="G617" s="146"/>
      <c r="H617" s="146"/>
      <c r="I617" s="146"/>
      <c r="J617" s="146"/>
      <c r="K617" s="146"/>
      <c r="L617" s="146"/>
      <c r="M617" s="146"/>
      <c r="N617" s="146"/>
      <c r="O617" s="147"/>
      <c r="P617" s="146"/>
      <c r="Q617" s="146"/>
      <c r="R617" s="146"/>
      <c r="S617" s="146"/>
      <c r="T617" s="146"/>
      <c r="U617" s="146"/>
      <c r="V617" s="146"/>
      <c r="W617" s="148"/>
      <c r="X617" s="146"/>
      <c r="Y617" s="146"/>
      <c r="Z617" s="146"/>
      <c r="AA617" s="146"/>
      <c r="AB617" s="146"/>
      <c r="AC617" s="146"/>
    </row>
    <row r="618" ht="15.75" customHeight="1">
      <c r="A618" s="146"/>
      <c r="B618" s="146"/>
      <c r="C618" s="146"/>
      <c r="D618" s="146"/>
      <c r="E618" s="146"/>
      <c r="F618" s="146"/>
      <c r="G618" s="146"/>
      <c r="H618" s="146"/>
      <c r="I618" s="146"/>
      <c r="J618" s="146"/>
      <c r="K618" s="146"/>
      <c r="L618" s="146"/>
      <c r="M618" s="146"/>
      <c r="N618" s="146"/>
      <c r="O618" s="147"/>
      <c r="P618" s="146"/>
      <c r="Q618" s="146"/>
      <c r="R618" s="146"/>
      <c r="S618" s="146"/>
      <c r="T618" s="146"/>
      <c r="U618" s="146"/>
      <c r="V618" s="146"/>
      <c r="W618" s="148"/>
      <c r="X618" s="146"/>
      <c r="Y618" s="146"/>
      <c r="Z618" s="146"/>
      <c r="AA618" s="146"/>
      <c r="AB618" s="146"/>
      <c r="AC618" s="146"/>
    </row>
    <row r="619" ht="15.75" customHeight="1">
      <c r="A619" s="146"/>
      <c r="B619" s="146"/>
      <c r="C619" s="146"/>
      <c r="D619" s="146"/>
      <c r="E619" s="146"/>
      <c r="F619" s="146"/>
      <c r="G619" s="146"/>
      <c r="H619" s="146"/>
      <c r="I619" s="146"/>
      <c r="J619" s="146"/>
      <c r="K619" s="146"/>
      <c r="L619" s="146"/>
      <c r="M619" s="146"/>
      <c r="N619" s="146"/>
      <c r="O619" s="147"/>
      <c r="P619" s="146"/>
      <c r="Q619" s="146"/>
      <c r="R619" s="146"/>
      <c r="S619" s="146"/>
      <c r="T619" s="146"/>
      <c r="U619" s="146"/>
      <c r="V619" s="146"/>
      <c r="W619" s="148"/>
      <c r="X619" s="146"/>
      <c r="Y619" s="146"/>
      <c r="Z619" s="146"/>
      <c r="AA619" s="146"/>
      <c r="AB619" s="146"/>
      <c r="AC619" s="146"/>
    </row>
    <row r="620" ht="15.75" customHeight="1">
      <c r="A620" s="146"/>
      <c r="B620" s="146"/>
      <c r="C620" s="146"/>
      <c r="D620" s="146"/>
      <c r="E620" s="146"/>
      <c r="F620" s="146"/>
      <c r="G620" s="146"/>
      <c r="H620" s="146"/>
      <c r="I620" s="146"/>
      <c r="J620" s="146"/>
      <c r="K620" s="146"/>
      <c r="L620" s="146"/>
      <c r="M620" s="146"/>
      <c r="N620" s="146"/>
      <c r="O620" s="147"/>
      <c r="P620" s="146"/>
      <c r="Q620" s="146"/>
      <c r="R620" s="146"/>
      <c r="S620" s="146"/>
      <c r="T620" s="146"/>
      <c r="U620" s="146"/>
      <c r="V620" s="146"/>
      <c r="W620" s="148"/>
      <c r="X620" s="146"/>
      <c r="Y620" s="146"/>
      <c r="Z620" s="146"/>
      <c r="AA620" s="146"/>
      <c r="AB620" s="146"/>
      <c r="AC620" s="146"/>
    </row>
    <row r="621" ht="15.75" customHeight="1">
      <c r="A621" s="146"/>
      <c r="B621" s="146"/>
      <c r="C621" s="146"/>
      <c r="D621" s="146"/>
      <c r="E621" s="146"/>
      <c r="F621" s="146"/>
      <c r="G621" s="146"/>
      <c r="H621" s="146"/>
      <c r="I621" s="146"/>
      <c r="J621" s="146"/>
      <c r="K621" s="146"/>
      <c r="L621" s="146"/>
      <c r="M621" s="146"/>
      <c r="N621" s="146"/>
      <c r="O621" s="147"/>
      <c r="P621" s="146"/>
      <c r="Q621" s="146"/>
      <c r="R621" s="146"/>
      <c r="S621" s="146"/>
      <c r="T621" s="146"/>
      <c r="U621" s="146"/>
      <c r="V621" s="146"/>
      <c r="W621" s="148"/>
      <c r="X621" s="146"/>
      <c r="Y621" s="146"/>
      <c r="Z621" s="146"/>
      <c r="AA621" s="146"/>
      <c r="AB621" s="146"/>
      <c r="AC621" s="146"/>
    </row>
    <row r="622" ht="15.75" customHeight="1">
      <c r="A622" s="146"/>
      <c r="B622" s="146"/>
      <c r="C622" s="146"/>
      <c r="D622" s="146"/>
      <c r="E622" s="146"/>
      <c r="F622" s="146"/>
      <c r="G622" s="146"/>
      <c r="H622" s="146"/>
      <c r="I622" s="146"/>
      <c r="J622" s="146"/>
      <c r="K622" s="146"/>
      <c r="L622" s="146"/>
      <c r="M622" s="146"/>
      <c r="N622" s="146"/>
      <c r="O622" s="147"/>
      <c r="P622" s="146"/>
      <c r="Q622" s="146"/>
      <c r="R622" s="146"/>
      <c r="S622" s="146"/>
      <c r="T622" s="146"/>
      <c r="U622" s="146"/>
      <c r="V622" s="146"/>
      <c r="W622" s="148"/>
      <c r="X622" s="146"/>
      <c r="Y622" s="146"/>
      <c r="Z622" s="146"/>
      <c r="AA622" s="146"/>
      <c r="AB622" s="146"/>
      <c r="AC622" s="146"/>
    </row>
    <row r="623" ht="15.75" customHeight="1">
      <c r="A623" s="146"/>
      <c r="B623" s="146"/>
      <c r="C623" s="146"/>
      <c r="D623" s="146"/>
      <c r="E623" s="146"/>
      <c r="F623" s="146"/>
      <c r="G623" s="146"/>
      <c r="H623" s="146"/>
      <c r="I623" s="146"/>
      <c r="J623" s="146"/>
      <c r="K623" s="146"/>
      <c r="L623" s="146"/>
      <c r="M623" s="146"/>
      <c r="N623" s="146"/>
      <c r="O623" s="147"/>
      <c r="P623" s="146"/>
      <c r="Q623" s="146"/>
      <c r="R623" s="146"/>
      <c r="S623" s="146"/>
      <c r="T623" s="146"/>
      <c r="U623" s="146"/>
      <c r="V623" s="146"/>
      <c r="W623" s="148"/>
      <c r="X623" s="146"/>
      <c r="Y623" s="146"/>
      <c r="Z623" s="146"/>
      <c r="AA623" s="146"/>
      <c r="AB623" s="146"/>
      <c r="AC623" s="146"/>
    </row>
    <row r="624" ht="15.75" customHeight="1">
      <c r="A624" s="146"/>
      <c r="B624" s="146"/>
      <c r="C624" s="146"/>
      <c r="D624" s="146"/>
      <c r="E624" s="146"/>
      <c r="F624" s="146"/>
      <c r="G624" s="146"/>
      <c r="H624" s="146"/>
      <c r="I624" s="146"/>
      <c r="J624" s="146"/>
      <c r="K624" s="146"/>
      <c r="L624" s="146"/>
      <c r="M624" s="146"/>
      <c r="N624" s="146"/>
      <c r="O624" s="147"/>
      <c r="P624" s="146"/>
      <c r="Q624" s="146"/>
      <c r="R624" s="146"/>
      <c r="S624" s="146"/>
      <c r="T624" s="146"/>
      <c r="U624" s="146"/>
      <c r="V624" s="146"/>
      <c r="W624" s="148"/>
      <c r="X624" s="146"/>
      <c r="Y624" s="146"/>
      <c r="Z624" s="146"/>
      <c r="AA624" s="146"/>
      <c r="AB624" s="146"/>
      <c r="AC624" s="146"/>
    </row>
    <row r="625" ht="15.75" customHeight="1">
      <c r="A625" s="146"/>
      <c r="B625" s="146"/>
      <c r="C625" s="146"/>
      <c r="D625" s="146"/>
      <c r="E625" s="146"/>
      <c r="F625" s="146"/>
      <c r="G625" s="146"/>
      <c r="H625" s="146"/>
      <c r="I625" s="146"/>
      <c r="J625" s="146"/>
      <c r="K625" s="146"/>
      <c r="L625" s="146"/>
      <c r="M625" s="146"/>
      <c r="N625" s="146"/>
      <c r="O625" s="147"/>
      <c r="P625" s="146"/>
      <c r="Q625" s="146"/>
      <c r="R625" s="146"/>
      <c r="S625" s="146"/>
      <c r="T625" s="146"/>
      <c r="U625" s="146"/>
      <c r="V625" s="146"/>
      <c r="W625" s="148"/>
      <c r="X625" s="146"/>
      <c r="Y625" s="146"/>
      <c r="Z625" s="146"/>
      <c r="AA625" s="146"/>
      <c r="AB625" s="146"/>
      <c r="AC625" s="146"/>
    </row>
    <row r="626" ht="15.75" customHeight="1">
      <c r="A626" s="146"/>
      <c r="B626" s="146"/>
      <c r="C626" s="146"/>
      <c r="D626" s="146"/>
      <c r="E626" s="146"/>
      <c r="F626" s="146"/>
      <c r="G626" s="146"/>
      <c r="H626" s="146"/>
      <c r="I626" s="146"/>
      <c r="J626" s="146"/>
      <c r="K626" s="146"/>
      <c r="L626" s="146"/>
      <c r="M626" s="146"/>
      <c r="N626" s="146"/>
      <c r="O626" s="147"/>
      <c r="P626" s="146"/>
      <c r="Q626" s="146"/>
      <c r="R626" s="146"/>
      <c r="S626" s="146"/>
      <c r="T626" s="146"/>
      <c r="U626" s="146"/>
      <c r="V626" s="146"/>
      <c r="W626" s="148"/>
      <c r="X626" s="146"/>
      <c r="Y626" s="146"/>
      <c r="Z626" s="146"/>
      <c r="AA626" s="146"/>
      <c r="AB626" s="146"/>
      <c r="AC626" s="146"/>
    </row>
    <row r="627" ht="15.75" customHeight="1">
      <c r="A627" s="146"/>
      <c r="B627" s="146"/>
      <c r="C627" s="146"/>
      <c r="D627" s="146"/>
      <c r="E627" s="146"/>
      <c r="F627" s="146"/>
      <c r="G627" s="146"/>
      <c r="H627" s="146"/>
      <c r="I627" s="146"/>
      <c r="J627" s="146"/>
      <c r="K627" s="146"/>
      <c r="L627" s="146"/>
      <c r="M627" s="146"/>
      <c r="N627" s="146"/>
      <c r="O627" s="147"/>
      <c r="P627" s="146"/>
      <c r="Q627" s="146"/>
      <c r="R627" s="146"/>
      <c r="S627" s="146"/>
      <c r="T627" s="146"/>
      <c r="U627" s="146"/>
      <c r="V627" s="146"/>
      <c r="W627" s="148"/>
      <c r="X627" s="146"/>
      <c r="Y627" s="146"/>
      <c r="Z627" s="146"/>
      <c r="AA627" s="146"/>
      <c r="AB627" s="146"/>
      <c r="AC627" s="146"/>
    </row>
    <row r="628" ht="15.75" customHeight="1">
      <c r="A628" s="146"/>
      <c r="B628" s="146"/>
      <c r="C628" s="146"/>
      <c r="D628" s="146"/>
      <c r="E628" s="146"/>
      <c r="F628" s="146"/>
      <c r="G628" s="146"/>
      <c r="H628" s="146"/>
      <c r="I628" s="146"/>
      <c r="J628" s="146"/>
      <c r="K628" s="146"/>
      <c r="L628" s="146"/>
      <c r="M628" s="146"/>
      <c r="N628" s="146"/>
      <c r="O628" s="147"/>
      <c r="P628" s="146"/>
      <c r="Q628" s="146"/>
      <c r="R628" s="146"/>
      <c r="S628" s="146"/>
      <c r="T628" s="146"/>
      <c r="U628" s="146"/>
      <c r="V628" s="146"/>
      <c r="W628" s="148"/>
      <c r="X628" s="146"/>
      <c r="Y628" s="146"/>
      <c r="Z628" s="146"/>
      <c r="AA628" s="146"/>
      <c r="AB628" s="146"/>
      <c r="AC628" s="146"/>
    </row>
    <row r="629" ht="15.75" customHeight="1">
      <c r="A629" s="146"/>
      <c r="B629" s="146"/>
      <c r="C629" s="146"/>
      <c r="D629" s="146"/>
      <c r="E629" s="146"/>
      <c r="F629" s="146"/>
      <c r="G629" s="146"/>
      <c r="H629" s="146"/>
      <c r="I629" s="146"/>
      <c r="J629" s="146"/>
      <c r="K629" s="146"/>
      <c r="L629" s="146"/>
      <c r="M629" s="146"/>
      <c r="N629" s="146"/>
      <c r="O629" s="147"/>
      <c r="P629" s="146"/>
      <c r="Q629" s="146"/>
      <c r="R629" s="146"/>
      <c r="S629" s="146"/>
      <c r="T629" s="146"/>
      <c r="U629" s="146"/>
      <c r="V629" s="146"/>
      <c r="W629" s="148"/>
      <c r="X629" s="146"/>
      <c r="Y629" s="146"/>
      <c r="Z629" s="146"/>
      <c r="AA629" s="146"/>
      <c r="AB629" s="146"/>
      <c r="AC629" s="146"/>
    </row>
    <row r="630" ht="15.75" customHeight="1">
      <c r="A630" s="146"/>
      <c r="B630" s="146"/>
      <c r="C630" s="146"/>
      <c r="D630" s="146"/>
      <c r="E630" s="146"/>
      <c r="F630" s="146"/>
      <c r="G630" s="146"/>
      <c r="H630" s="146"/>
      <c r="I630" s="146"/>
      <c r="J630" s="146"/>
      <c r="K630" s="146"/>
      <c r="L630" s="146"/>
      <c r="M630" s="146"/>
      <c r="N630" s="146"/>
      <c r="O630" s="147"/>
      <c r="P630" s="146"/>
      <c r="Q630" s="146"/>
      <c r="R630" s="146"/>
      <c r="S630" s="146"/>
      <c r="T630" s="146"/>
      <c r="U630" s="146"/>
      <c r="V630" s="146"/>
      <c r="W630" s="148"/>
      <c r="X630" s="146"/>
      <c r="Y630" s="146"/>
      <c r="Z630" s="146"/>
      <c r="AA630" s="146"/>
      <c r="AB630" s="146"/>
      <c r="AC630" s="146"/>
    </row>
    <row r="631" ht="15.75" customHeight="1">
      <c r="A631" s="146"/>
      <c r="B631" s="146"/>
      <c r="C631" s="146"/>
      <c r="D631" s="146"/>
      <c r="E631" s="146"/>
      <c r="F631" s="146"/>
      <c r="G631" s="146"/>
      <c r="H631" s="146"/>
      <c r="I631" s="146"/>
      <c r="J631" s="146"/>
      <c r="K631" s="146"/>
      <c r="L631" s="146"/>
      <c r="M631" s="146"/>
      <c r="N631" s="146"/>
      <c r="O631" s="147"/>
      <c r="P631" s="146"/>
      <c r="Q631" s="146"/>
      <c r="R631" s="146"/>
      <c r="S631" s="146"/>
      <c r="T631" s="146"/>
      <c r="U631" s="146"/>
      <c r="V631" s="146"/>
      <c r="W631" s="148"/>
      <c r="X631" s="146"/>
      <c r="Y631" s="146"/>
      <c r="Z631" s="146"/>
      <c r="AA631" s="146"/>
      <c r="AB631" s="146"/>
      <c r="AC631" s="146"/>
    </row>
    <row r="632" ht="15.75" customHeight="1">
      <c r="A632" s="146"/>
      <c r="B632" s="146"/>
      <c r="C632" s="146"/>
      <c r="D632" s="146"/>
      <c r="E632" s="146"/>
      <c r="F632" s="146"/>
      <c r="G632" s="146"/>
      <c r="H632" s="146"/>
      <c r="I632" s="146"/>
      <c r="J632" s="146"/>
      <c r="K632" s="146"/>
      <c r="L632" s="146"/>
      <c r="M632" s="146"/>
      <c r="N632" s="146"/>
      <c r="O632" s="147"/>
      <c r="P632" s="146"/>
      <c r="Q632" s="146"/>
      <c r="R632" s="146"/>
      <c r="S632" s="146"/>
      <c r="T632" s="146"/>
      <c r="U632" s="146"/>
      <c r="V632" s="146"/>
      <c r="W632" s="148"/>
      <c r="X632" s="146"/>
      <c r="Y632" s="146"/>
      <c r="Z632" s="146"/>
      <c r="AA632" s="146"/>
      <c r="AB632" s="146"/>
      <c r="AC632" s="146"/>
    </row>
    <row r="633" ht="15.75" customHeight="1">
      <c r="A633" s="146"/>
      <c r="B633" s="146"/>
      <c r="C633" s="146"/>
      <c r="D633" s="146"/>
      <c r="E633" s="146"/>
      <c r="F633" s="146"/>
      <c r="G633" s="146"/>
      <c r="H633" s="146"/>
      <c r="I633" s="146"/>
      <c r="J633" s="146"/>
      <c r="K633" s="146"/>
      <c r="L633" s="146"/>
      <c r="M633" s="146"/>
      <c r="N633" s="146"/>
      <c r="O633" s="147"/>
      <c r="P633" s="146"/>
      <c r="Q633" s="146"/>
      <c r="R633" s="146"/>
      <c r="S633" s="146"/>
      <c r="T633" s="146"/>
      <c r="U633" s="146"/>
      <c r="V633" s="146"/>
      <c r="W633" s="148"/>
      <c r="X633" s="146"/>
      <c r="Y633" s="146"/>
      <c r="Z633" s="146"/>
      <c r="AA633" s="146"/>
      <c r="AB633" s="146"/>
      <c r="AC633" s="146"/>
    </row>
    <row r="634" ht="15.75" customHeight="1">
      <c r="A634" s="146"/>
      <c r="B634" s="146"/>
      <c r="C634" s="146"/>
      <c r="D634" s="146"/>
      <c r="E634" s="146"/>
      <c r="F634" s="146"/>
      <c r="G634" s="146"/>
      <c r="H634" s="146"/>
      <c r="I634" s="146"/>
      <c r="J634" s="146"/>
      <c r="K634" s="146"/>
      <c r="L634" s="146"/>
      <c r="M634" s="146"/>
      <c r="N634" s="146"/>
      <c r="O634" s="147"/>
      <c r="P634" s="146"/>
      <c r="Q634" s="146"/>
      <c r="R634" s="146"/>
      <c r="S634" s="146"/>
      <c r="T634" s="146"/>
      <c r="U634" s="146"/>
      <c r="V634" s="146"/>
      <c r="W634" s="148"/>
      <c r="X634" s="146"/>
      <c r="Y634" s="146"/>
      <c r="Z634" s="146"/>
      <c r="AA634" s="146"/>
      <c r="AB634" s="146"/>
      <c r="AC634" s="146"/>
    </row>
    <row r="635" ht="15.75" customHeight="1">
      <c r="A635" s="146"/>
      <c r="B635" s="146"/>
      <c r="C635" s="146"/>
      <c r="D635" s="146"/>
      <c r="E635" s="146"/>
      <c r="F635" s="146"/>
      <c r="G635" s="146"/>
      <c r="H635" s="146"/>
      <c r="I635" s="146"/>
      <c r="J635" s="146"/>
      <c r="K635" s="146"/>
      <c r="L635" s="146"/>
      <c r="M635" s="146"/>
      <c r="N635" s="146"/>
      <c r="O635" s="147"/>
      <c r="P635" s="146"/>
      <c r="Q635" s="146"/>
      <c r="R635" s="146"/>
      <c r="S635" s="146"/>
      <c r="T635" s="146"/>
      <c r="U635" s="146"/>
      <c r="V635" s="146"/>
      <c r="W635" s="148"/>
      <c r="X635" s="146"/>
      <c r="Y635" s="146"/>
      <c r="Z635" s="146"/>
      <c r="AA635" s="146"/>
      <c r="AB635" s="146"/>
      <c r="AC635" s="146"/>
    </row>
    <row r="636" ht="15.75" customHeight="1">
      <c r="A636" s="146"/>
      <c r="B636" s="146"/>
      <c r="C636" s="146"/>
      <c r="D636" s="146"/>
      <c r="E636" s="146"/>
      <c r="F636" s="146"/>
      <c r="G636" s="146"/>
      <c r="H636" s="146"/>
      <c r="I636" s="146"/>
      <c r="J636" s="146"/>
      <c r="K636" s="146"/>
      <c r="L636" s="146"/>
      <c r="M636" s="146"/>
      <c r="N636" s="146"/>
      <c r="O636" s="147"/>
      <c r="P636" s="146"/>
      <c r="Q636" s="146"/>
      <c r="R636" s="146"/>
      <c r="S636" s="146"/>
      <c r="T636" s="146"/>
      <c r="U636" s="146"/>
      <c r="V636" s="146"/>
      <c r="W636" s="148"/>
      <c r="X636" s="146"/>
      <c r="Y636" s="146"/>
      <c r="Z636" s="146"/>
      <c r="AA636" s="146"/>
      <c r="AB636" s="146"/>
      <c r="AC636" s="146"/>
    </row>
    <row r="637" ht="15.75" customHeight="1">
      <c r="A637" s="146"/>
      <c r="B637" s="146"/>
      <c r="C637" s="146"/>
      <c r="D637" s="146"/>
      <c r="E637" s="146"/>
      <c r="F637" s="146"/>
      <c r="G637" s="146"/>
      <c r="H637" s="146"/>
      <c r="I637" s="146"/>
      <c r="J637" s="146"/>
      <c r="K637" s="146"/>
      <c r="L637" s="146"/>
      <c r="M637" s="146"/>
      <c r="N637" s="146"/>
      <c r="O637" s="147"/>
      <c r="P637" s="146"/>
      <c r="Q637" s="146"/>
      <c r="R637" s="146"/>
      <c r="S637" s="146"/>
      <c r="T637" s="146"/>
      <c r="U637" s="146"/>
      <c r="V637" s="146"/>
      <c r="W637" s="148"/>
      <c r="X637" s="146"/>
      <c r="Y637" s="146"/>
      <c r="Z637" s="146"/>
      <c r="AA637" s="146"/>
      <c r="AB637" s="146"/>
      <c r="AC637" s="146"/>
    </row>
    <row r="638" ht="15.75" customHeight="1">
      <c r="A638" s="146"/>
      <c r="B638" s="146"/>
      <c r="C638" s="146"/>
      <c r="D638" s="146"/>
      <c r="E638" s="146"/>
      <c r="F638" s="146"/>
      <c r="G638" s="146"/>
      <c r="H638" s="146"/>
      <c r="I638" s="146"/>
      <c r="J638" s="146"/>
      <c r="K638" s="146"/>
      <c r="L638" s="146"/>
      <c r="M638" s="146"/>
      <c r="N638" s="146"/>
      <c r="O638" s="147"/>
      <c r="P638" s="146"/>
      <c r="Q638" s="146"/>
      <c r="R638" s="146"/>
      <c r="S638" s="146"/>
      <c r="T638" s="146"/>
      <c r="U638" s="146"/>
      <c r="V638" s="146"/>
      <c r="W638" s="148"/>
      <c r="X638" s="146"/>
      <c r="Y638" s="146"/>
      <c r="Z638" s="146"/>
      <c r="AA638" s="146"/>
      <c r="AB638" s="146"/>
      <c r="AC638" s="146"/>
    </row>
    <row r="639" ht="15.75" customHeight="1">
      <c r="A639" s="146"/>
      <c r="B639" s="146"/>
      <c r="C639" s="146"/>
      <c r="D639" s="146"/>
      <c r="E639" s="146"/>
      <c r="F639" s="146"/>
      <c r="G639" s="146"/>
      <c r="H639" s="146"/>
      <c r="I639" s="146"/>
      <c r="J639" s="146"/>
      <c r="K639" s="146"/>
      <c r="L639" s="146"/>
      <c r="M639" s="146"/>
      <c r="N639" s="146"/>
      <c r="O639" s="147"/>
      <c r="P639" s="146"/>
      <c r="Q639" s="146"/>
      <c r="R639" s="146"/>
      <c r="S639" s="146"/>
      <c r="T639" s="146"/>
      <c r="U639" s="146"/>
      <c r="V639" s="146"/>
      <c r="W639" s="148"/>
      <c r="X639" s="146"/>
      <c r="Y639" s="146"/>
      <c r="Z639" s="146"/>
      <c r="AA639" s="146"/>
      <c r="AB639" s="146"/>
      <c r="AC639" s="146"/>
    </row>
    <row r="640" ht="15.75" customHeight="1">
      <c r="A640" s="146"/>
      <c r="B640" s="146"/>
      <c r="C640" s="146"/>
      <c r="D640" s="146"/>
      <c r="E640" s="146"/>
      <c r="F640" s="146"/>
      <c r="G640" s="146"/>
      <c r="H640" s="146"/>
      <c r="I640" s="146"/>
      <c r="J640" s="146"/>
      <c r="K640" s="146"/>
      <c r="L640" s="146"/>
      <c r="M640" s="146"/>
      <c r="N640" s="146"/>
      <c r="O640" s="147"/>
      <c r="P640" s="146"/>
      <c r="Q640" s="146"/>
      <c r="R640" s="146"/>
      <c r="S640" s="146"/>
      <c r="T640" s="146"/>
      <c r="U640" s="146"/>
      <c r="V640" s="146"/>
      <c r="W640" s="148"/>
      <c r="X640" s="146"/>
      <c r="Y640" s="146"/>
      <c r="Z640" s="146"/>
      <c r="AA640" s="146"/>
      <c r="AB640" s="146"/>
      <c r="AC640" s="146"/>
    </row>
    <row r="641" ht="15.75" customHeight="1">
      <c r="A641" s="146"/>
      <c r="B641" s="146"/>
      <c r="C641" s="146"/>
      <c r="D641" s="146"/>
      <c r="E641" s="146"/>
      <c r="F641" s="146"/>
      <c r="G641" s="146"/>
      <c r="H641" s="146"/>
      <c r="I641" s="146"/>
      <c r="J641" s="146"/>
      <c r="K641" s="146"/>
      <c r="L641" s="146"/>
      <c r="M641" s="146"/>
      <c r="N641" s="146"/>
      <c r="O641" s="147"/>
      <c r="P641" s="146"/>
      <c r="Q641" s="146"/>
      <c r="R641" s="146"/>
      <c r="S641" s="146"/>
      <c r="T641" s="146"/>
      <c r="U641" s="146"/>
      <c r="V641" s="146"/>
      <c r="W641" s="148"/>
      <c r="X641" s="146"/>
      <c r="Y641" s="146"/>
      <c r="Z641" s="146"/>
      <c r="AA641" s="146"/>
      <c r="AB641" s="146"/>
      <c r="AC641" s="146"/>
    </row>
    <row r="642" ht="15.75" customHeight="1">
      <c r="A642" s="146"/>
      <c r="B642" s="146"/>
      <c r="C642" s="146"/>
      <c r="D642" s="146"/>
      <c r="E642" s="146"/>
      <c r="F642" s="146"/>
      <c r="G642" s="146"/>
      <c r="H642" s="146"/>
      <c r="I642" s="146"/>
      <c r="J642" s="146"/>
      <c r="K642" s="146"/>
      <c r="L642" s="146"/>
      <c r="M642" s="146"/>
      <c r="N642" s="146"/>
      <c r="O642" s="147"/>
      <c r="P642" s="146"/>
      <c r="Q642" s="146"/>
      <c r="R642" s="146"/>
      <c r="S642" s="146"/>
      <c r="T642" s="146"/>
      <c r="U642" s="146"/>
      <c r="V642" s="146"/>
      <c r="W642" s="148"/>
      <c r="X642" s="146"/>
      <c r="Y642" s="146"/>
      <c r="Z642" s="146"/>
      <c r="AA642" s="146"/>
      <c r="AB642" s="146"/>
      <c r="AC642" s="146"/>
    </row>
    <row r="643" ht="15.75" customHeight="1">
      <c r="A643" s="146"/>
      <c r="B643" s="146"/>
      <c r="C643" s="146"/>
      <c r="D643" s="146"/>
      <c r="E643" s="146"/>
      <c r="F643" s="146"/>
      <c r="G643" s="146"/>
      <c r="H643" s="146"/>
      <c r="I643" s="146"/>
      <c r="J643" s="146"/>
      <c r="K643" s="146"/>
      <c r="L643" s="146"/>
      <c r="M643" s="146"/>
      <c r="N643" s="146"/>
      <c r="O643" s="147"/>
      <c r="P643" s="146"/>
      <c r="Q643" s="146"/>
      <c r="R643" s="146"/>
      <c r="S643" s="146"/>
      <c r="T643" s="146"/>
      <c r="U643" s="146"/>
      <c r="V643" s="146"/>
      <c r="W643" s="148"/>
      <c r="X643" s="146"/>
      <c r="Y643" s="146"/>
      <c r="Z643" s="146"/>
      <c r="AA643" s="146"/>
      <c r="AB643" s="146"/>
      <c r="AC643" s="146"/>
    </row>
    <row r="644" ht="15.75" customHeight="1">
      <c r="A644" s="146"/>
      <c r="B644" s="146"/>
      <c r="C644" s="146"/>
      <c r="D644" s="146"/>
      <c r="E644" s="146"/>
      <c r="F644" s="146"/>
      <c r="G644" s="146"/>
      <c r="H644" s="146"/>
      <c r="I644" s="146"/>
      <c r="J644" s="146"/>
      <c r="K644" s="146"/>
      <c r="L644" s="146"/>
      <c r="M644" s="146"/>
      <c r="N644" s="146"/>
      <c r="O644" s="147"/>
      <c r="P644" s="146"/>
      <c r="Q644" s="146"/>
      <c r="R644" s="146"/>
      <c r="S644" s="146"/>
      <c r="T644" s="146"/>
      <c r="U644" s="146"/>
      <c r="V644" s="146"/>
      <c r="W644" s="148"/>
      <c r="X644" s="146"/>
      <c r="Y644" s="146"/>
      <c r="Z644" s="146"/>
      <c r="AA644" s="146"/>
      <c r="AB644" s="146"/>
      <c r="AC644" s="146"/>
    </row>
    <row r="645" ht="15.75" customHeight="1">
      <c r="A645" s="146"/>
      <c r="B645" s="146"/>
      <c r="C645" s="146"/>
      <c r="D645" s="146"/>
      <c r="E645" s="146"/>
      <c r="F645" s="146"/>
      <c r="G645" s="146"/>
      <c r="H645" s="146"/>
      <c r="I645" s="146"/>
      <c r="J645" s="146"/>
      <c r="K645" s="146"/>
      <c r="L645" s="146"/>
      <c r="M645" s="146"/>
      <c r="N645" s="146"/>
      <c r="O645" s="147"/>
      <c r="P645" s="146"/>
      <c r="Q645" s="146"/>
      <c r="R645" s="146"/>
      <c r="S645" s="146"/>
      <c r="T645" s="146"/>
      <c r="U645" s="146"/>
      <c r="V645" s="146"/>
      <c r="W645" s="148"/>
      <c r="X645" s="146"/>
      <c r="Y645" s="146"/>
      <c r="Z645" s="146"/>
      <c r="AA645" s="146"/>
      <c r="AB645" s="146"/>
      <c r="AC645" s="146"/>
    </row>
    <row r="646" ht="15.75" customHeight="1">
      <c r="A646" s="146"/>
      <c r="B646" s="146"/>
      <c r="C646" s="146"/>
      <c r="D646" s="146"/>
      <c r="E646" s="146"/>
      <c r="F646" s="146"/>
      <c r="G646" s="146"/>
      <c r="H646" s="146"/>
      <c r="I646" s="146"/>
      <c r="J646" s="146"/>
      <c r="K646" s="146"/>
      <c r="L646" s="146"/>
      <c r="M646" s="146"/>
      <c r="N646" s="146"/>
      <c r="O646" s="147"/>
      <c r="P646" s="146"/>
      <c r="Q646" s="146"/>
      <c r="R646" s="146"/>
      <c r="S646" s="146"/>
      <c r="T646" s="146"/>
      <c r="U646" s="146"/>
      <c r="V646" s="146"/>
      <c r="W646" s="148"/>
      <c r="X646" s="146"/>
      <c r="Y646" s="146"/>
      <c r="Z646" s="146"/>
      <c r="AA646" s="146"/>
      <c r="AB646" s="146"/>
      <c r="AC646" s="146"/>
    </row>
    <row r="647" ht="15.75" customHeight="1">
      <c r="A647" s="146"/>
      <c r="B647" s="146"/>
      <c r="C647" s="146"/>
      <c r="D647" s="146"/>
      <c r="E647" s="146"/>
      <c r="F647" s="146"/>
      <c r="G647" s="146"/>
      <c r="H647" s="146"/>
      <c r="I647" s="146"/>
      <c r="J647" s="146"/>
      <c r="K647" s="146"/>
      <c r="L647" s="146"/>
      <c r="M647" s="146"/>
      <c r="N647" s="146"/>
      <c r="O647" s="147"/>
      <c r="P647" s="146"/>
      <c r="Q647" s="146"/>
      <c r="R647" s="146"/>
      <c r="S647" s="146"/>
      <c r="T647" s="146"/>
      <c r="U647" s="146"/>
      <c r="V647" s="146"/>
      <c r="W647" s="148"/>
      <c r="X647" s="146"/>
      <c r="Y647" s="146"/>
      <c r="Z647" s="146"/>
      <c r="AA647" s="146"/>
      <c r="AB647" s="146"/>
      <c r="AC647" s="146"/>
    </row>
    <row r="648" ht="15.75" customHeight="1">
      <c r="A648" s="146"/>
      <c r="B648" s="146"/>
      <c r="C648" s="146"/>
      <c r="D648" s="146"/>
      <c r="E648" s="146"/>
      <c r="F648" s="146"/>
      <c r="G648" s="146"/>
      <c r="H648" s="146"/>
      <c r="I648" s="146"/>
      <c r="J648" s="146"/>
      <c r="K648" s="146"/>
      <c r="L648" s="146"/>
      <c r="M648" s="146"/>
      <c r="N648" s="146"/>
      <c r="O648" s="147"/>
      <c r="P648" s="146"/>
      <c r="Q648" s="146"/>
      <c r="R648" s="146"/>
      <c r="S648" s="146"/>
      <c r="T648" s="146"/>
      <c r="U648" s="146"/>
      <c r="V648" s="146"/>
      <c r="W648" s="148"/>
      <c r="X648" s="146"/>
      <c r="Y648" s="146"/>
      <c r="Z648" s="146"/>
      <c r="AA648" s="146"/>
      <c r="AB648" s="146"/>
      <c r="AC648" s="146"/>
    </row>
    <row r="649" ht="15.75" customHeight="1">
      <c r="A649" s="146"/>
      <c r="B649" s="146"/>
      <c r="C649" s="146"/>
      <c r="D649" s="146"/>
      <c r="E649" s="146"/>
      <c r="F649" s="146"/>
      <c r="G649" s="146"/>
      <c r="H649" s="146"/>
      <c r="I649" s="146"/>
      <c r="J649" s="146"/>
      <c r="K649" s="146"/>
      <c r="L649" s="146"/>
      <c r="M649" s="146"/>
      <c r="N649" s="146"/>
      <c r="O649" s="147"/>
      <c r="P649" s="146"/>
      <c r="Q649" s="146"/>
      <c r="R649" s="146"/>
      <c r="S649" s="146"/>
      <c r="T649" s="146"/>
      <c r="U649" s="146"/>
      <c r="V649" s="146"/>
      <c r="W649" s="148"/>
      <c r="X649" s="146"/>
      <c r="Y649" s="146"/>
      <c r="Z649" s="146"/>
      <c r="AA649" s="146"/>
      <c r="AB649" s="146"/>
      <c r="AC649" s="146"/>
    </row>
    <row r="650" ht="15.75" customHeight="1">
      <c r="A650" s="146"/>
      <c r="B650" s="146"/>
      <c r="C650" s="146"/>
      <c r="D650" s="146"/>
      <c r="E650" s="146"/>
      <c r="F650" s="146"/>
      <c r="G650" s="146"/>
      <c r="H650" s="146"/>
      <c r="I650" s="146"/>
      <c r="J650" s="146"/>
      <c r="K650" s="146"/>
      <c r="L650" s="146"/>
      <c r="M650" s="146"/>
      <c r="N650" s="146"/>
      <c r="O650" s="147"/>
      <c r="P650" s="146"/>
      <c r="Q650" s="146"/>
      <c r="R650" s="146"/>
      <c r="S650" s="146"/>
      <c r="T650" s="146"/>
      <c r="U650" s="146"/>
      <c r="V650" s="146"/>
      <c r="W650" s="148"/>
      <c r="X650" s="146"/>
      <c r="Y650" s="146"/>
      <c r="Z650" s="146"/>
      <c r="AA650" s="146"/>
      <c r="AB650" s="146"/>
      <c r="AC650" s="146"/>
    </row>
    <row r="651" ht="15.75" customHeight="1">
      <c r="A651" s="146"/>
      <c r="B651" s="146"/>
      <c r="C651" s="146"/>
      <c r="D651" s="146"/>
      <c r="E651" s="146"/>
      <c r="F651" s="146"/>
      <c r="G651" s="146"/>
      <c r="H651" s="146"/>
      <c r="I651" s="146"/>
      <c r="J651" s="146"/>
      <c r="K651" s="146"/>
      <c r="L651" s="146"/>
      <c r="M651" s="146"/>
      <c r="N651" s="146"/>
      <c r="O651" s="147"/>
      <c r="P651" s="146"/>
      <c r="Q651" s="146"/>
      <c r="R651" s="146"/>
      <c r="S651" s="146"/>
      <c r="T651" s="146"/>
      <c r="U651" s="146"/>
      <c r="V651" s="146"/>
      <c r="W651" s="148"/>
      <c r="X651" s="146"/>
      <c r="Y651" s="146"/>
      <c r="Z651" s="146"/>
      <c r="AA651" s="146"/>
      <c r="AB651" s="146"/>
      <c r="AC651" s="146"/>
    </row>
    <row r="652" ht="15.75" customHeight="1">
      <c r="A652" s="146"/>
      <c r="B652" s="146"/>
      <c r="C652" s="146"/>
      <c r="D652" s="146"/>
      <c r="E652" s="146"/>
      <c r="F652" s="146"/>
      <c r="G652" s="146"/>
      <c r="H652" s="146"/>
      <c r="I652" s="146"/>
      <c r="J652" s="146"/>
      <c r="K652" s="146"/>
      <c r="L652" s="146"/>
      <c r="M652" s="146"/>
      <c r="N652" s="146"/>
      <c r="O652" s="147"/>
      <c r="P652" s="146"/>
      <c r="Q652" s="146"/>
      <c r="R652" s="146"/>
      <c r="S652" s="146"/>
      <c r="T652" s="146"/>
      <c r="U652" s="146"/>
      <c r="V652" s="146"/>
      <c r="W652" s="148"/>
      <c r="X652" s="146"/>
      <c r="Y652" s="146"/>
      <c r="Z652" s="146"/>
      <c r="AA652" s="146"/>
      <c r="AB652" s="146"/>
      <c r="AC652" s="146"/>
    </row>
    <row r="653" ht="15.75" customHeight="1">
      <c r="A653" s="146"/>
      <c r="B653" s="146"/>
      <c r="C653" s="146"/>
      <c r="D653" s="146"/>
      <c r="E653" s="146"/>
      <c r="F653" s="146"/>
      <c r="G653" s="146"/>
      <c r="H653" s="146"/>
      <c r="I653" s="146"/>
      <c r="J653" s="146"/>
      <c r="K653" s="146"/>
      <c r="L653" s="146"/>
      <c r="M653" s="146"/>
      <c r="N653" s="146"/>
      <c r="O653" s="147"/>
      <c r="P653" s="146"/>
      <c r="Q653" s="146"/>
      <c r="R653" s="146"/>
      <c r="S653" s="146"/>
      <c r="T653" s="146"/>
      <c r="U653" s="146"/>
      <c r="V653" s="146"/>
      <c r="W653" s="148"/>
      <c r="X653" s="146"/>
      <c r="Y653" s="146"/>
      <c r="Z653" s="146"/>
      <c r="AA653" s="146"/>
      <c r="AB653" s="146"/>
      <c r="AC653" s="146"/>
    </row>
    <row r="654" ht="15.75" customHeight="1">
      <c r="A654" s="146"/>
      <c r="B654" s="146"/>
      <c r="C654" s="146"/>
      <c r="D654" s="146"/>
      <c r="E654" s="146"/>
      <c r="F654" s="146"/>
      <c r="G654" s="146"/>
      <c r="H654" s="146"/>
      <c r="I654" s="146"/>
      <c r="J654" s="146"/>
      <c r="K654" s="146"/>
      <c r="L654" s="146"/>
      <c r="M654" s="146"/>
      <c r="N654" s="146"/>
      <c r="O654" s="147"/>
      <c r="P654" s="146"/>
      <c r="Q654" s="146"/>
      <c r="R654" s="146"/>
      <c r="S654" s="146"/>
      <c r="T654" s="146"/>
      <c r="U654" s="146"/>
      <c r="V654" s="146"/>
      <c r="W654" s="148"/>
      <c r="X654" s="146"/>
      <c r="Y654" s="146"/>
      <c r="Z654" s="146"/>
      <c r="AA654" s="146"/>
      <c r="AB654" s="146"/>
      <c r="AC654" s="146"/>
    </row>
    <row r="655" ht="15.75" customHeight="1">
      <c r="A655" s="146"/>
      <c r="B655" s="146"/>
      <c r="C655" s="146"/>
      <c r="D655" s="146"/>
      <c r="E655" s="146"/>
      <c r="F655" s="146"/>
      <c r="G655" s="146"/>
      <c r="H655" s="146"/>
      <c r="I655" s="146"/>
      <c r="J655" s="146"/>
      <c r="K655" s="146"/>
      <c r="L655" s="146"/>
      <c r="M655" s="146"/>
      <c r="N655" s="146"/>
      <c r="O655" s="147"/>
      <c r="P655" s="146"/>
      <c r="Q655" s="146"/>
      <c r="R655" s="146"/>
      <c r="S655" s="146"/>
      <c r="T655" s="146"/>
      <c r="U655" s="146"/>
      <c r="V655" s="146"/>
      <c r="W655" s="148"/>
      <c r="X655" s="146"/>
      <c r="Y655" s="146"/>
      <c r="Z655" s="146"/>
      <c r="AA655" s="146"/>
      <c r="AB655" s="146"/>
      <c r="AC655" s="146"/>
    </row>
    <row r="656" ht="15.75" customHeight="1">
      <c r="A656" s="146"/>
      <c r="B656" s="146"/>
      <c r="C656" s="146"/>
      <c r="D656" s="146"/>
      <c r="E656" s="146"/>
      <c r="F656" s="146"/>
      <c r="G656" s="146"/>
      <c r="H656" s="146"/>
      <c r="I656" s="146"/>
      <c r="J656" s="146"/>
      <c r="K656" s="146"/>
      <c r="L656" s="146"/>
      <c r="M656" s="146"/>
      <c r="N656" s="146"/>
      <c r="O656" s="147"/>
      <c r="P656" s="146"/>
      <c r="Q656" s="146"/>
      <c r="R656" s="146"/>
      <c r="S656" s="146"/>
      <c r="T656" s="146"/>
      <c r="U656" s="146"/>
      <c r="V656" s="146"/>
      <c r="W656" s="148"/>
      <c r="X656" s="146"/>
      <c r="Y656" s="146"/>
      <c r="Z656" s="146"/>
      <c r="AA656" s="146"/>
      <c r="AB656" s="146"/>
      <c r="AC656" s="146"/>
    </row>
    <row r="657" ht="15.75" customHeight="1">
      <c r="A657" s="146"/>
      <c r="B657" s="146"/>
      <c r="C657" s="146"/>
      <c r="D657" s="146"/>
      <c r="E657" s="146"/>
      <c r="F657" s="146"/>
      <c r="G657" s="146"/>
      <c r="H657" s="146"/>
      <c r="I657" s="146"/>
      <c r="J657" s="146"/>
      <c r="K657" s="146"/>
      <c r="L657" s="146"/>
      <c r="M657" s="146"/>
      <c r="N657" s="146"/>
      <c r="O657" s="147"/>
      <c r="P657" s="146"/>
      <c r="Q657" s="146"/>
      <c r="R657" s="146"/>
      <c r="S657" s="146"/>
      <c r="T657" s="146"/>
      <c r="U657" s="146"/>
      <c r="V657" s="146"/>
      <c r="W657" s="148"/>
      <c r="X657" s="146"/>
      <c r="Y657" s="146"/>
      <c r="Z657" s="146"/>
      <c r="AA657" s="146"/>
      <c r="AB657" s="146"/>
      <c r="AC657" s="146"/>
    </row>
    <row r="658" ht="15.75" customHeight="1">
      <c r="A658" s="146"/>
      <c r="B658" s="146"/>
      <c r="C658" s="146"/>
      <c r="D658" s="146"/>
      <c r="E658" s="146"/>
      <c r="F658" s="146"/>
      <c r="G658" s="146"/>
      <c r="H658" s="146"/>
      <c r="I658" s="146"/>
      <c r="J658" s="146"/>
      <c r="K658" s="146"/>
      <c r="L658" s="146"/>
      <c r="M658" s="146"/>
      <c r="N658" s="146"/>
      <c r="O658" s="147"/>
      <c r="P658" s="146"/>
      <c r="Q658" s="146"/>
      <c r="R658" s="146"/>
      <c r="S658" s="146"/>
      <c r="T658" s="146"/>
      <c r="U658" s="146"/>
      <c r="V658" s="146"/>
      <c r="W658" s="148"/>
      <c r="X658" s="146"/>
      <c r="Y658" s="146"/>
      <c r="Z658" s="146"/>
      <c r="AA658" s="146"/>
      <c r="AB658" s="146"/>
      <c r="AC658" s="146"/>
    </row>
    <row r="659" ht="15.75" customHeight="1">
      <c r="A659" s="146"/>
      <c r="B659" s="146"/>
      <c r="C659" s="146"/>
      <c r="D659" s="146"/>
      <c r="E659" s="146"/>
      <c r="F659" s="146"/>
      <c r="G659" s="146"/>
      <c r="H659" s="146"/>
      <c r="I659" s="146"/>
      <c r="J659" s="146"/>
      <c r="K659" s="146"/>
      <c r="L659" s="146"/>
      <c r="M659" s="146"/>
      <c r="N659" s="146"/>
      <c r="O659" s="147"/>
      <c r="P659" s="146"/>
      <c r="Q659" s="146"/>
      <c r="R659" s="146"/>
      <c r="S659" s="146"/>
      <c r="T659" s="146"/>
      <c r="U659" s="146"/>
      <c r="V659" s="146"/>
      <c r="W659" s="148"/>
      <c r="X659" s="146"/>
      <c r="Y659" s="146"/>
      <c r="Z659" s="146"/>
      <c r="AA659" s="146"/>
      <c r="AB659" s="146"/>
      <c r="AC659" s="146"/>
    </row>
    <row r="660" ht="15.75" customHeight="1">
      <c r="A660" s="146"/>
      <c r="B660" s="146"/>
      <c r="C660" s="146"/>
      <c r="D660" s="146"/>
      <c r="E660" s="146"/>
      <c r="F660" s="146"/>
      <c r="G660" s="146"/>
      <c r="H660" s="146"/>
      <c r="I660" s="146"/>
      <c r="J660" s="146"/>
      <c r="K660" s="146"/>
      <c r="L660" s="146"/>
      <c r="M660" s="146"/>
      <c r="N660" s="146"/>
      <c r="O660" s="147"/>
      <c r="P660" s="146"/>
      <c r="Q660" s="146"/>
      <c r="R660" s="146"/>
      <c r="S660" s="146"/>
      <c r="T660" s="146"/>
      <c r="U660" s="146"/>
      <c r="V660" s="146"/>
      <c r="W660" s="148"/>
      <c r="X660" s="146"/>
      <c r="Y660" s="146"/>
      <c r="Z660" s="146"/>
      <c r="AA660" s="146"/>
      <c r="AB660" s="146"/>
      <c r="AC660" s="146"/>
    </row>
    <row r="661" ht="15.75" customHeight="1">
      <c r="A661" s="146"/>
      <c r="B661" s="146"/>
      <c r="C661" s="146"/>
      <c r="D661" s="146"/>
      <c r="E661" s="146"/>
      <c r="F661" s="146"/>
      <c r="G661" s="146"/>
      <c r="H661" s="146"/>
      <c r="I661" s="146"/>
      <c r="J661" s="146"/>
      <c r="K661" s="146"/>
      <c r="L661" s="146"/>
      <c r="M661" s="146"/>
      <c r="N661" s="146"/>
      <c r="O661" s="147"/>
      <c r="P661" s="146"/>
      <c r="Q661" s="146"/>
      <c r="R661" s="146"/>
      <c r="S661" s="146"/>
      <c r="T661" s="146"/>
      <c r="U661" s="146"/>
      <c r="V661" s="146"/>
      <c r="W661" s="148"/>
      <c r="X661" s="146"/>
      <c r="Y661" s="146"/>
      <c r="Z661" s="146"/>
      <c r="AA661" s="146"/>
      <c r="AB661" s="146"/>
      <c r="AC661" s="146"/>
    </row>
    <row r="662" ht="15.75" customHeight="1">
      <c r="A662" s="146"/>
      <c r="B662" s="146"/>
      <c r="C662" s="146"/>
      <c r="D662" s="146"/>
      <c r="E662" s="146"/>
      <c r="F662" s="146"/>
      <c r="G662" s="146"/>
      <c r="H662" s="146"/>
      <c r="I662" s="146"/>
      <c r="J662" s="146"/>
      <c r="K662" s="146"/>
      <c r="L662" s="146"/>
      <c r="M662" s="146"/>
      <c r="N662" s="146"/>
      <c r="O662" s="147"/>
      <c r="P662" s="146"/>
      <c r="Q662" s="146"/>
      <c r="R662" s="146"/>
      <c r="S662" s="146"/>
      <c r="T662" s="146"/>
      <c r="U662" s="146"/>
      <c r="V662" s="146"/>
      <c r="W662" s="148"/>
      <c r="X662" s="146"/>
      <c r="Y662" s="146"/>
      <c r="Z662" s="146"/>
      <c r="AA662" s="146"/>
      <c r="AB662" s="146"/>
      <c r="AC662" s="146"/>
    </row>
    <row r="663" ht="15.75" customHeight="1">
      <c r="A663" s="146"/>
      <c r="B663" s="146"/>
      <c r="C663" s="146"/>
      <c r="D663" s="146"/>
      <c r="E663" s="146"/>
      <c r="F663" s="146"/>
      <c r="G663" s="146"/>
      <c r="H663" s="146"/>
      <c r="I663" s="146"/>
      <c r="J663" s="146"/>
      <c r="K663" s="146"/>
      <c r="L663" s="146"/>
      <c r="M663" s="146"/>
      <c r="N663" s="146"/>
      <c r="O663" s="147"/>
      <c r="P663" s="146"/>
      <c r="Q663" s="146"/>
      <c r="R663" s="146"/>
      <c r="S663" s="146"/>
      <c r="T663" s="146"/>
      <c r="U663" s="146"/>
      <c r="V663" s="146"/>
      <c r="W663" s="148"/>
      <c r="X663" s="146"/>
      <c r="Y663" s="146"/>
      <c r="Z663" s="146"/>
      <c r="AA663" s="146"/>
      <c r="AB663" s="146"/>
      <c r="AC663" s="146"/>
    </row>
    <row r="664" ht="15.75" customHeight="1">
      <c r="A664" s="146"/>
      <c r="B664" s="146"/>
      <c r="C664" s="146"/>
      <c r="D664" s="146"/>
      <c r="E664" s="146"/>
      <c r="F664" s="146"/>
      <c r="G664" s="146"/>
      <c r="H664" s="146"/>
      <c r="I664" s="146"/>
      <c r="J664" s="146"/>
      <c r="K664" s="146"/>
      <c r="L664" s="146"/>
      <c r="M664" s="146"/>
      <c r="N664" s="146"/>
      <c r="O664" s="147"/>
      <c r="P664" s="146"/>
      <c r="Q664" s="146"/>
      <c r="R664" s="146"/>
      <c r="S664" s="146"/>
      <c r="T664" s="146"/>
      <c r="U664" s="146"/>
      <c r="V664" s="146"/>
      <c r="W664" s="148"/>
      <c r="X664" s="146"/>
      <c r="Y664" s="146"/>
      <c r="Z664" s="146"/>
      <c r="AA664" s="146"/>
      <c r="AB664" s="146"/>
      <c r="AC664" s="146"/>
    </row>
    <row r="665" ht="15.75" customHeight="1">
      <c r="A665" s="146"/>
      <c r="B665" s="146"/>
      <c r="C665" s="146"/>
      <c r="D665" s="146"/>
      <c r="E665" s="146"/>
      <c r="F665" s="146"/>
      <c r="G665" s="146"/>
      <c r="H665" s="146"/>
      <c r="I665" s="146"/>
      <c r="J665" s="146"/>
      <c r="K665" s="146"/>
      <c r="L665" s="146"/>
      <c r="M665" s="146"/>
      <c r="N665" s="146"/>
      <c r="O665" s="147"/>
      <c r="P665" s="146"/>
      <c r="Q665" s="146"/>
      <c r="R665" s="146"/>
      <c r="S665" s="146"/>
      <c r="T665" s="146"/>
      <c r="U665" s="146"/>
      <c r="V665" s="146"/>
      <c r="W665" s="148"/>
      <c r="X665" s="146"/>
      <c r="Y665" s="146"/>
      <c r="Z665" s="146"/>
      <c r="AA665" s="146"/>
      <c r="AB665" s="146"/>
      <c r="AC665" s="146"/>
    </row>
    <row r="666" ht="15.75" customHeight="1">
      <c r="A666" s="146"/>
      <c r="B666" s="146"/>
      <c r="C666" s="146"/>
      <c r="D666" s="146"/>
      <c r="E666" s="146"/>
      <c r="F666" s="146"/>
      <c r="G666" s="146"/>
      <c r="H666" s="146"/>
      <c r="I666" s="146"/>
      <c r="J666" s="146"/>
      <c r="K666" s="146"/>
      <c r="L666" s="146"/>
      <c r="M666" s="146"/>
      <c r="N666" s="146"/>
      <c r="O666" s="147"/>
      <c r="P666" s="146"/>
      <c r="Q666" s="146"/>
      <c r="R666" s="146"/>
      <c r="S666" s="146"/>
      <c r="T666" s="146"/>
      <c r="U666" s="146"/>
      <c r="V666" s="146"/>
      <c r="W666" s="148"/>
      <c r="X666" s="146"/>
      <c r="Y666" s="146"/>
      <c r="Z666" s="146"/>
      <c r="AA666" s="146"/>
      <c r="AB666" s="146"/>
      <c r="AC666" s="146"/>
    </row>
    <row r="667" ht="15.75" customHeight="1">
      <c r="A667" s="146"/>
      <c r="B667" s="146"/>
      <c r="C667" s="146"/>
      <c r="D667" s="146"/>
      <c r="E667" s="146"/>
      <c r="F667" s="146"/>
      <c r="G667" s="146"/>
      <c r="H667" s="146"/>
      <c r="I667" s="146"/>
      <c r="J667" s="146"/>
      <c r="K667" s="146"/>
      <c r="L667" s="146"/>
      <c r="M667" s="146"/>
      <c r="N667" s="146"/>
      <c r="O667" s="147"/>
      <c r="P667" s="146"/>
      <c r="Q667" s="146"/>
      <c r="R667" s="146"/>
      <c r="S667" s="146"/>
      <c r="T667" s="146"/>
      <c r="U667" s="146"/>
      <c r="V667" s="146"/>
      <c r="W667" s="148"/>
      <c r="X667" s="146"/>
      <c r="Y667" s="146"/>
      <c r="Z667" s="146"/>
      <c r="AA667" s="146"/>
      <c r="AB667" s="146"/>
      <c r="AC667" s="146"/>
    </row>
    <row r="668" ht="15.75" customHeight="1">
      <c r="A668" s="146"/>
      <c r="B668" s="146"/>
      <c r="C668" s="146"/>
      <c r="D668" s="146"/>
      <c r="E668" s="146"/>
      <c r="F668" s="146"/>
      <c r="G668" s="146"/>
      <c r="H668" s="146"/>
      <c r="I668" s="146"/>
      <c r="J668" s="146"/>
      <c r="K668" s="146"/>
      <c r="L668" s="146"/>
      <c r="M668" s="146"/>
      <c r="N668" s="146"/>
      <c r="O668" s="147"/>
      <c r="P668" s="146"/>
      <c r="Q668" s="146"/>
      <c r="R668" s="146"/>
      <c r="S668" s="146"/>
      <c r="T668" s="146"/>
      <c r="U668" s="146"/>
      <c r="V668" s="146"/>
      <c r="W668" s="148"/>
      <c r="X668" s="146"/>
      <c r="Y668" s="146"/>
      <c r="Z668" s="146"/>
      <c r="AA668" s="146"/>
      <c r="AB668" s="146"/>
      <c r="AC668" s="146"/>
    </row>
    <row r="669" ht="15.75" customHeight="1">
      <c r="A669" s="146"/>
      <c r="B669" s="146"/>
      <c r="C669" s="146"/>
      <c r="D669" s="146"/>
      <c r="E669" s="146"/>
      <c r="F669" s="146"/>
      <c r="G669" s="146"/>
      <c r="H669" s="146"/>
      <c r="I669" s="146"/>
      <c r="J669" s="146"/>
      <c r="K669" s="146"/>
      <c r="L669" s="146"/>
      <c r="M669" s="146"/>
      <c r="N669" s="146"/>
      <c r="O669" s="147"/>
      <c r="P669" s="146"/>
      <c r="Q669" s="146"/>
      <c r="R669" s="146"/>
      <c r="S669" s="146"/>
      <c r="T669" s="146"/>
      <c r="U669" s="146"/>
      <c r="V669" s="146"/>
      <c r="W669" s="148"/>
      <c r="X669" s="146"/>
      <c r="Y669" s="146"/>
      <c r="Z669" s="146"/>
      <c r="AA669" s="146"/>
      <c r="AB669" s="146"/>
      <c r="AC669" s="146"/>
    </row>
    <row r="670" ht="15.75" customHeight="1">
      <c r="A670" s="146"/>
      <c r="B670" s="146"/>
      <c r="C670" s="146"/>
      <c r="D670" s="146"/>
      <c r="E670" s="146"/>
      <c r="F670" s="146"/>
      <c r="G670" s="146"/>
      <c r="H670" s="146"/>
      <c r="I670" s="146"/>
      <c r="J670" s="146"/>
      <c r="K670" s="146"/>
      <c r="L670" s="146"/>
      <c r="M670" s="146"/>
      <c r="N670" s="146"/>
      <c r="O670" s="147"/>
      <c r="P670" s="146"/>
      <c r="Q670" s="146"/>
      <c r="R670" s="146"/>
      <c r="S670" s="146"/>
      <c r="T670" s="146"/>
      <c r="U670" s="146"/>
      <c r="V670" s="146"/>
      <c r="W670" s="148"/>
      <c r="X670" s="146"/>
      <c r="Y670" s="146"/>
      <c r="Z670" s="146"/>
      <c r="AA670" s="146"/>
      <c r="AB670" s="146"/>
      <c r="AC670" s="146"/>
    </row>
    <row r="671" ht="15.75" customHeight="1">
      <c r="A671" s="146"/>
      <c r="B671" s="146"/>
      <c r="C671" s="146"/>
      <c r="D671" s="146"/>
      <c r="E671" s="146"/>
      <c r="F671" s="146"/>
      <c r="G671" s="146"/>
      <c r="H671" s="146"/>
      <c r="I671" s="146"/>
      <c r="J671" s="146"/>
      <c r="K671" s="146"/>
      <c r="L671" s="146"/>
      <c r="M671" s="146"/>
      <c r="N671" s="146"/>
      <c r="O671" s="147"/>
      <c r="P671" s="146"/>
      <c r="Q671" s="146"/>
      <c r="R671" s="146"/>
      <c r="S671" s="146"/>
      <c r="T671" s="146"/>
      <c r="U671" s="146"/>
      <c r="V671" s="146"/>
      <c r="W671" s="148"/>
      <c r="X671" s="146"/>
      <c r="Y671" s="146"/>
      <c r="Z671" s="146"/>
      <c r="AA671" s="146"/>
      <c r="AB671" s="146"/>
      <c r="AC671" s="146"/>
    </row>
    <row r="672" ht="15.75" customHeight="1">
      <c r="A672" s="146"/>
      <c r="B672" s="146"/>
      <c r="C672" s="146"/>
      <c r="D672" s="146"/>
      <c r="E672" s="146"/>
      <c r="F672" s="146"/>
      <c r="G672" s="146"/>
      <c r="H672" s="146"/>
      <c r="I672" s="146"/>
      <c r="J672" s="146"/>
      <c r="K672" s="146"/>
      <c r="L672" s="146"/>
      <c r="M672" s="146"/>
      <c r="N672" s="146"/>
      <c r="O672" s="147"/>
      <c r="P672" s="146"/>
      <c r="Q672" s="146"/>
      <c r="R672" s="146"/>
      <c r="S672" s="146"/>
      <c r="T672" s="146"/>
      <c r="U672" s="146"/>
      <c r="V672" s="146"/>
      <c r="W672" s="148"/>
      <c r="X672" s="146"/>
      <c r="Y672" s="146"/>
      <c r="Z672" s="146"/>
      <c r="AA672" s="146"/>
      <c r="AB672" s="146"/>
      <c r="AC672" s="146"/>
    </row>
    <row r="673" ht="15.75" customHeight="1">
      <c r="A673" s="146"/>
      <c r="B673" s="146"/>
      <c r="C673" s="146"/>
      <c r="D673" s="146"/>
      <c r="E673" s="146"/>
      <c r="F673" s="146"/>
      <c r="G673" s="146"/>
      <c r="H673" s="146"/>
      <c r="I673" s="146"/>
      <c r="J673" s="146"/>
      <c r="K673" s="146"/>
      <c r="L673" s="146"/>
      <c r="M673" s="146"/>
      <c r="N673" s="146"/>
      <c r="O673" s="147"/>
      <c r="P673" s="146"/>
      <c r="Q673" s="146"/>
      <c r="R673" s="146"/>
      <c r="S673" s="146"/>
      <c r="T673" s="146"/>
      <c r="U673" s="146"/>
      <c r="V673" s="146"/>
      <c r="W673" s="148"/>
      <c r="X673" s="146"/>
      <c r="Y673" s="146"/>
      <c r="Z673" s="146"/>
      <c r="AA673" s="146"/>
      <c r="AB673" s="146"/>
      <c r="AC673" s="146"/>
    </row>
    <row r="674" ht="15.75" customHeight="1">
      <c r="A674" s="146"/>
      <c r="B674" s="146"/>
      <c r="C674" s="146"/>
      <c r="D674" s="146"/>
      <c r="E674" s="146"/>
      <c r="F674" s="146"/>
      <c r="G674" s="146"/>
      <c r="H674" s="146"/>
      <c r="I674" s="146"/>
      <c r="J674" s="146"/>
      <c r="K674" s="146"/>
      <c r="L674" s="146"/>
      <c r="M674" s="146"/>
      <c r="N674" s="146"/>
      <c r="O674" s="147"/>
      <c r="P674" s="146"/>
      <c r="Q674" s="146"/>
      <c r="R674" s="146"/>
      <c r="S674" s="146"/>
      <c r="T674" s="146"/>
      <c r="U674" s="146"/>
      <c r="V674" s="146"/>
      <c r="W674" s="148"/>
      <c r="X674" s="146"/>
      <c r="Y674" s="146"/>
      <c r="Z674" s="146"/>
      <c r="AA674" s="146"/>
      <c r="AB674" s="146"/>
      <c r="AC674" s="146"/>
    </row>
    <row r="675" ht="15.75" customHeight="1">
      <c r="A675" s="146"/>
      <c r="B675" s="146"/>
      <c r="C675" s="146"/>
      <c r="D675" s="146"/>
      <c r="E675" s="146"/>
      <c r="F675" s="146"/>
      <c r="G675" s="146"/>
      <c r="H675" s="146"/>
      <c r="I675" s="146"/>
      <c r="J675" s="146"/>
      <c r="K675" s="146"/>
      <c r="L675" s="146"/>
      <c r="M675" s="146"/>
      <c r="N675" s="146"/>
      <c r="O675" s="147"/>
      <c r="P675" s="146"/>
      <c r="Q675" s="146"/>
      <c r="R675" s="146"/>
      <c r="S675" s="146"/>
      <c r="T675" s="146"/>
      <c r="U675" s="146"/>
      <c r="V675" s="146"/>
      <c r="W675" s="148"/>
      <c r="X675" s="146"/>
      <c r="Y675" s="146"/>
      <c r="Z675" s="146"/>
      <c r="AA675" s="146"/>
      <c r="AB675" s="146"/>
      <c r="AC675" s="146"/>
    </row>
    <row r="676" ht="15.75" customHeight="1">
      <c r="A676" s="146"/>
      <c r="B676" s="146"/>
      <c r="C676" s="146"/>
      <c r="D676" s="146"/>
      <c r="E676" s="146"/>
      <c r="F676" s="146"/>
      <c r="G676" s="146"/>
      <c r="H676" s="146"/>
      <c r="I676" s="146"/>
      <c r="J676" s="146"/>
      <c r="K676" s="146"/>
      <c r="L676" s="146"/>
      <c r="M676" s="146"/>
      <c r="N676" s="146"/>
      <c r="O676" s="147"/>
      <c r="P676" s="146"/>
      <c r="Q676" s="146"/>
      <c r="R676" s="146"/>
      <c r="S676" s="146"/>
      <c r="T676" s="146"/>
      <c r="U676" s="146"/>
      <c r="V676" s="146"/>
      <c r="W676" s="148"/>
      <c r="X676" s="146"/>
      <c r="Y676" s="146"/>
      <c r="Z676" s="146"/>
      <c r="AA676" s="146"/>
      <c r="AB676" s="146"/>
      <c r="AC676" s="146"/>
    </row>
    <row r="677" ht="15.75" customHeight="1">
      <c r="A677" s="146"/>
      <c r="B677" s="146"/>
      <c r="C677" s="146"/>
      <c r="D677" s="146"/>
      <c r="E677" s="146"/>
      <c r="F677" s="146"/>
      <c r="G677" s="146"/>
      <c r="H677" s="146"/>
      <c r="I677" s="146"/>
      <c r="J677" s="146"/>
      <c r="K677" s="146"/>
      <c r="L677" s="146"/>
      <c r="M677" s="146"/>
      <c r="N677" s="146"/>
      <c r="O677" s="147"/>
      <c r="P677" s="146"/>
      <c r="Q677" s="146"/>
      <c r="R677" s="146"/>
      <c r="S677" s="146"/>
      <c r="T677" s="146"/>
      <c r="U677" s="146"/>
      <c r="V677" s="146"/>
      <c r="W677" s="148"/>
      <c r="X677" s="146"/>
      <c r="Y677" s="146"/>
      <c r="Z677" s="146"/>
      <c r="AA677" s="146"/>
      <c r="AB677" s="146"/>
      <c r="AC677" s="146"/>
    </row>
    <row r="678" ht="15.75" customHeight="1">
      <c r="A678" s="146"/>
      <c r="B678" s="146"/>
      <c r="C678" s="146"/>
      <c r="D678" s="146"/>
      <c r="E678" s="146"/>
      <c r="F678" s="146"/>
      <c r="G678" s="146"/>
      <c r="H678" s="146"/>
      <c r="I678" s="146"/>
      <c r="J678" s="146"/>
      <c r="K678" s="146"/>
      <c r="L678" s="146"/>
      <c r="M678" s="146"/>
      <c r="N678" s="146"/>
      <c r="O678" s="147"/>
      <c r="P678" s="146"/>
      <c r="Q678" s="146"/>
      <c r="R678" s="146"/>
      <c r="S678" s="146"/>
      <c r="T678" s="146"/>
      <c r="U678" s="146"/>
      <c r="V678" s="146"/>
      <c r="W678" s="148"/>
      <c r="X678" s="146"/>
      <c r="Y678" s="146"/>
      <c r="Z678" s="146"/>
      <c r="AA678" s="146"/>
      <c r="AB678" s="146"/>
      <c r="AC678" s="146"/>
    </row>
    <row r="679" ht="15.75" customHeight="1">
      <c r="A679" s="146"/>
      <c r="B679" s="146"/>
      <c r="C679" s="146"/>
      <c r="D679" s="146"/>
      <c r="E679" s="146"/>
      <c r="F679" s="146"/>
      <c r="G679" s="146"/>
      <c r="H679" s="146"/>
      <c r="I679" s="146"/>
      <c r="J679" s="146"/>
      <c r="K679" s="146"/>
      <c r="L679" s="146"/>
      <c r="M679" s="146"/>
      <c r="N679" s="146"/>
      <c r="O679" s="147"/>
      <c r="P679" s="146"/>
      <c r="Q679" s="146"/>
      <c r="R679" s="146"/>
      <c r="S679" s="146"/>
      <c r="T679" s="146"/>
      <c r="U679" s="146"/>
      <c r="V679" s="146"/>
      <c r="W679" s="148"/>
      <c r="X679" s="146"/>
      <c r="Y679" s="146"/>
      <c r="Z679" s="146"/>
      <c r="AA679" s="146"/>
      <c r="AB679" s="146"/>
      <c r="AC679" s="146"/>
    </row>
    <row r="680" ht="15.75" customHeight="1">
      <c r="A680" s="146"/>
      <c r="B680" s="146"/>
      <c r="C680" s="146"/>
      <c r="D680" s="146"/>
      <c r="E680" s="146"/>
      <c r="F680" s="146"/>
      <c r="G680" s="146"/>
      <c r="H680" s="146"/>
      <c r="I680" s="146"/>
      <c r="J680" s="146"/>
      <c r="K680" s="146"/>
      <c r="L680" s="146"/>
      <c r="M680" s="146"/>
      <c r="N680" s="146"/>
      <c r="O680" s="147"/>
      <c r="P680" s="146"/>
      <c r="Q680" s="146"/>
      <c r="R680" s="146"/>
      <c r="S680" s="146"/>
      <c r="T680" s="146"/>
      <c r="U680" s="146"/>
      <c r="V680" s="146"/>
      <c r="W680" s="148"/>
      <c r="X680" s="146"/>
      <c r="Y680" s="146"/>
      <c r="Z680" s="146"/>
      <c r="AA680" s="146"/>
      <c r="AB680" s="146"/>
      <c r="AC680" s="146"/>
    </row>
    <row r="681" ht="15.75" customHeight="1">
      <c r="A681" s="146"/>
      <c r="B681" s="146"/>
      <c r="C681" s="146"/>
      <c r="D681" s="146"/>
      <c r="E681" s="146"/>
      <c r="F681" s="146"/>
      <c r="G681" s="146"/>
      <c r="H681" s="146"/>
      <c r="I681" s="146"/>
      <c r="J681" s="146"/>
      <c r="K681" s="146"/>
      <c r="L681" s="146"/>
      <c r="M681" s="146"/>
      <c r="N681" s="146"/>
      <c r="O681" s="147"/>
      <c r="P681" s="146"/>
      <c r="Q681" s="146"/>
      <c r="R681" s="146"/>
      <c r="S681" s="146"/>
      <c r="T681" s="146"/>
      <c r="U681" s="146"/>
      <c r="V681" s="146"/>
      <c r="W681" s="148"/>
      <c r="X681" s="146"/>
      <c r="Y681" s="146"/>
      <c r="Z681" s="146"/>
      <c r="AA681" s="146"/>
      <c r="AB681" s="146"/>
      <c r="AC681" s="146"/>
    </row>
    <row r="682" ht="15.75" customHeight="1">
      <c r="A682" s="146"/>
      <c r="B682" s="146"/>
      <c r="C682" s="146"/>
      <c r="D682" s="146"/>
      <c r="E682" s="146"/>
      <c r="F682" s="146"/>
      <c r="G682" s="146"/>
      <c r="H682" s="146"/>
      <c r="I682" s="146"/>
      <c r="J682" s="146"/>
      <c r="K682" s="146"/>
      <c r="L682" s="146"/>
      <c r="M682" s="146"/>
      <c r="N682" s="146"/>
      <c r="O682" s="147"/>
      <c r="P682" s="146"/>
      <c r="Q682" s="146"/>
      <c r="R682" s="146"/>
      <c r="S682" s="146"/>
      <c r="T682" s="146"/>
      <c r="U682" s="146"/>
      <c r="V682" s="146"/>
      <c r="W682" s="148"/>
      <c r="X682" s="146"/>
      <c r="Y682" s="146"/>
      <c r="Z682" s="146"/>
      <c r="AA682" s="146"/>
      <c r="AB682" s="146"/>
      <c r="AC682" s="146"/>
    </row>
    <row r="683" ht="15.75" customHeight="1">
      <c r="A683" s="146"/>
      <c r="B683" s="146"/>
      <c r="C683" s="146"/>
      <c r="D683" s="146"/>
      <c r="E683" s="146"/>
      <c r="F683" s="146"/>
      <c r="G683" s="146"/>
      <c r="H683" s="146"/>
      <c r="I683" s="146"/>
      <c r="J683" s="146"/>
      <c r="K683" s="146"/>
      <c r="L683" s="146"/>
      <c r="M683" s="146"/>
      <c r="N683" s="146"/>
      <c r="O683" s="147"/>
      <c r="P683" s="146"/>
      <c r="Q683" s="146"/>
      <c r="R683" s="146"/>
      <c r="S683" s="146"/>
      <c r="T683" s="146"/>
      <c r="U683" s="146"/>
      <c r="V683" s="146"/>
      <c r="W683" s="148"/>
      <c r="X683" s="146"/>
      <c r="Y683" s="146"/>
      <c r="Z683" s="146"/>
      <c r="AA683" s="146"/>
      <c r="AB683" s="146"/>
      <c r="AC683" s="146"/>
    </row>
    <row r="684" ht="15.75" customHeight="1">
      <c r="A684" s="146"/>
      <c r="B684" s="146"/>
      <c r="C684" s="146"/>
      <c r="D684" s="146"/>
      <c r="E684" s="146"/>
      <c r="F684" s="146"/>
      <c r="G684" s="146"/>
      <c r="H684" s="146"/>
      <c r="I684" s="146"/>
      <c r="J684" s="146"/>
      <c r="K684" s="146"/>
      <c r="L684" s="146"/>
      <c r="M684" s="146"/>
      <c r="N684" s="146"/>
      <c r="O684" s="147"/>
      <c r="P684" s="146"/>
      <c r="Q684" s="146"/>
      <c r="R684" s="146"/>
      <c r="S684" s="146"/>
      <c r="T684" s="146"/>
      <c r="U684" s="146"/>
      <c r="V684" s="146"/>
      <c r="W684" s="148"/>
      <c r="X684" s="146"/>
      <c r="Y684" s="146"/>
      <c r="Z684" s="146"/>
      <c r="AA684" s="146"/>
      <c r="AB684" s="146"/>
      <c r="AC684" s="146"/>
    </row>
    <row r="685" ht="15.75" customHeight="1">
      <c r="A685" s="146"/>
      <c r="B685" s="146"/>
      <c r="C685" s="146"/>
      <c r="D685" s="146"/>
      <c r="E685" s="146"/>
      <c r="F685" s="146"/>
      <c r="G685" s="146"/>
      <c r="H685" s="146"/>
      <c r="I685" s="146"/>
      <c r="J685" s="146"/>
      <c r="K685" s="146"/>
      <c r="L685" s="146"/>
      <c r="M685" s="146"/>
      <c r="N685" s="146"/>
      <c r="O685" s="147"/>
      <c r="P685" s="146"/>
      <c r="Q685" s="146"/>
      <c r="R685" s="146"/>
      <c r="S685" s="146"/>
      <c r="T685" s="146"/>
      <c r="U685" s="146"/>
      <c r="V685" s="146"/>
      <c r="W685" s="148"/>
      <c r="X685" s="146"/>
      <c r="Y685" s="146"/>
      <c r="Z685" s="146"/>
      <c r="AA685" s="146"/>
      <c r="AB685" s="146"/>
      <c r="AC685" s="146"/>
    </row>
    <row r="686" ht="15.75" customHeight="1">
      <c r="A686" s="146"/>
      <c r="B686" s="146"/>
      <c r="C686" s="146"/>
      <c r="D686" s="146"/>
      <c r="E686" s="146"/>
      <c r="F686" s="146"/>
      <c r="G686" s="146"/>
      <c r="H686" s="146"/>
      <c r="I686" s="146"/>
      <c r="J686" s="146"/>
      <c r="K686" s="146"/>
      <c r="L686" s="146"/>
      <c r="M686" s="146"/>
      <c r="N686" s="146"/>
      <c r="O686" s="147"/>
      <c r="P686" s="146"/>
      <c r="Q686" s="146"/>
      <c r="R686" s="146"/>
      <c r="S686" s="146"/>
      <c r="T686" s="146"/>
      <c r="U686" s="146"/>
      <c r="V686" s="146"/>
      <c r="W686" s="148"/>
      <c r="X686" s="146"/>
      <c r="Y686" s="146"/>
      <c r="Z686" s="146"/>
      <c r="AA686" s="146"/>
      <c r="AB686" s="146"/>
      <c r="AC686" s="146"/>
    </row>
    <row r="687" ht="15.75" customHeight="1">
      <c r="A687" s="146"/>
      <c r="B687" s="146"/>
      <c r="C687" s="146"/>
      <c r="D687" s="146"/>
      <c r="E687" s="146"/>
      <c r="F687" s="146"/>
      <c r="G687" s="146"/>
      <c r="H687" s="146"/>
      <c r="I687" s="146"/>
      <c r="J687" s="146"/>
      <c r="K687" s="146"/>
      <c r="L687" s="146"/>
      <c r="M687" s="146"/>
      <c r="N687" s="146"/>
      <c r="O687" s="147"/>
      <c r="P687" s="146"/>
      <c r="Q687" s="146"/>
      <c r="R687" s="146"/>
      <c r="S687" s="146"/>
      <c r="T687" s="146"/>
      <c r="U687" s="146"/>
      <c r="V687" s="146"/>
      <c r="W687" s="148"/>
      <c r="X687" s="146"/>
      <c r="Y687" s="146"/>
      <c r="Z687" s="146"/>
      <c r="AA687" s="146"/>
      <c r="AB687" s="146"/>
      <c r="AC687" s="146"/>
    </row>
    <row r="688" ht="15.75" customHeight="1">
      <c r="A688" s="146"/>
      <c r="B688" s="146"/>
      <c r="C688" s="146"/>
      <c r="D688" s="146"/>
      <c r="E688" s="146"/>
      <c r="F688" s="146"/>
      <c r="G688" s="146"/>
      <c r="H688" s="146"/>
      <c r="I688" s="146"/>
      <c r="J688" s="146"/>
      <c r="K688" s="146"/>
      <c r="L688" s="146"/>
      <c r="M688" s="146"/>
      <c r="N688" s="146"/>
      <c r="O688" s="147"/>
      <c r="P688" s="146"/>
      <c r="Q688" s="146"/>
      <c r="R688" s="146"/>
      <c r="S688" s="146"/>
      <c r="T688" s="146"/>
      <c r="U688" s="146"/>
      <c r="V688" s="146"/>
      <c r="W688" s="148"/>
      <c r="X688" s="146"/>
      <c r="Y688" s="146"/>
      <c r="Z688" s="146"/>
      <c r="AA688" s="146"/>
      <c r="AB688" s="146"/>
      <c r="AC688" s="146"/>
    </row>
    <row r="689" ht="15.75" customHeight="1">
      <c r="A689" s="146"/>
      <c r="B689" s="146"/>
      <c r="C689" s="146"/>
      <c r="D689" s="146"/>
      <c r="E689" s="146"/>
      <c r="F689" s="146"/>
      <c r="G689" s="146"/>
      <c r="H689" s="146"/>
      <c r="I689" s="146"/>
      <c r="J689" s="146"/>
      <c r="K689" s="146"/>
      <c r="L689" s="146"/>
      <c r="M689" s="146"/>
      <c r="N689" s="146"/>
      <c r="O689" s="147"/>
      <c r="P689" s="146"/>
      <c r="Q689" s="146"/>
      <c r="R689" s="146"/>
      <c r="S689" s="146"/>
      <c r="T689" s="146"/>
      <c r="U689" s="146"/>
      <c r="V689" s="146"/>
      <c r="W689" s="148"/>
      <c r="X689" s="146"/>
      <c r="Y689" s="146"/>
      <c r="Z689" s="146"/>
      <c r="AA689" s="146"/>
      <c r="AB689" s="146"/>
      <c r="AC689" s="146"/>
    </row>
    <row r="690" ht="15.75" customHeight="1">
      <c r="A690" s="146"/>
      <c r="B690" s="146"/>
      <c r="C690" s="146"/>
      <c r="D690" s="146"/>
      <c r="E690" s="146"/>
      <c r="F690" s="146"/>
      <c r="G690" s="146"/>
      <c r="H690" s="146"/>
      <c r="I690" s="146"/>
      <c r="J690" s="146"/>
      <c r="K690" s="146"/>
      <c r="L690" s="146"/>
      <c r="M690" s="146"/>
      <c r="N690" s="146"/>
      <c r="O690" s="147"/>
      <c r="P690" s="146"/>
      <c r="Q690" s="146"/>
      <c r="R690" s="146"/>
      <c r="S690" s="146"/>
      <c r="T690" s="146"/>
      <c r="U690" s="146"/>
      <c r="V690" s="146"/>
      <c r="W690" s="148"/>
      <c r="X690" s="146"/>
      <c r="Y690" s="146"/>
      <c r="Z690" s="146"/>
      <c r="AA690" s="146"/>
      <c r="AB690" s="146"/>
      <c r="AC690" s="146"/>
    </row>
    <row r="691" ht="15.75" customHeight="1">
      <c r="A691" s="146"/>
      <c r="B691" s="146"/>
      <c r="C691" s="146"/>
      <c r="D691" s="146"/>
      <c r="E691" s="146"/>
      <c r="F691" s="146"/>
      <c r="G691" s="146"/>
      <c r="H691" s="146"/>
      <c r="I691" s="146"/>
      <c r="J691" s="146"/>
      <c r="K691" s="146"/>
      <c r="L691" s="146"/>
      <c r="M691" s="146"/>
      <c r="N691" s="146"/>
      <c r="O691" s="147"/>
      <c r="P691" s="146"/>
      <c r="Q691" s="146"/>
      <c r="R691" s="146"/>
      <c r="S691" s="146"/>
      <c r="T691" s="146"/>
      <c r="U691" s="146"/>
      <c r="V691" s="146"/>
      <c r="W691" s="148"/>
      <c r="X691" s="146"/>
      <c r="Y691" s="146"/>
      <c r="Z691" s="146"/>
      <c r="AA691" s="146"/>
      <c r="AB691" s="146"/>
      <c r="AC691" s="146"/>
    </row>
    <row r="692" ht="15.75" customHeight="1">
      <c r="A692" s="146"/>
      <c r="B692" s="146"/>
      <c r="C692" s="146"/>
      <c r="D692" s="146"/>
      <c r="E692" s="146"/>
      <c r="F692" s="146"/>
      <c r="G692" s="146"/>
      <c r="H692" s="146"/>
      <c r="I692" s="146"/>
      <c r="J692" s="146"/>
      <c r="K692" s="146"/>
      <c r="L692" s="146"/>
      <c r="M692" s="146"/>
      <c r="N692" s="146"/>
      <c r="O692" s="147"/>
      <c r="P692" s="146"/>
      <c r="Q692" s="146"/>
      <c r="R692" s="146"/>
      <c r="S692" s="146"/>
      <c r="T692" s="146"/>
      <c r="U692" s="146"/>
      <c r="V692" s="146"/>
      <c r="W692" s="148"/>
      <c r="X692" s="146"/>
      <c r="Y692" s="146"/>
      <c r="Z692" s="146"/>
      <c r="AA692" s="146"/>
      <c r="AB692" s="146"/>
      <c r="AC692" s="146"/>
    </row>
    <row r="693" ht="15.75" customHeight="1">
      <c r="A693" s="146"/>
      <c r="B693" s="146"/>
      <c r="C693" s="146"/>
      <c r="D693" s="146"/>
      <c r="E693" s="146"/>
      <c r="F693" s="146"/>
      <c r="G693" s="146"/>
      <c r="H693" s="146"/>
      <c r="I693" s="146"/>
      <c r="J693" s="146"/>
      <c r="K693" s="146"/>
      <c r="L693" s="146"/>
      <c r="M693" s="146"/>
      <c r="N693" s="146"/>
      <c r="O693" s="147"/>
      <c r="P693" s="146"/>
      <c r="Q693" s="146"/>
      <c r="R693" s="146"/>
      <c r="S693" s="146"/>
      <c r="T693" s="146"/>
      <c r="U693" s="146"/>
      <c r="V693" s="146"/>
      <c r="W693" s="148"/>
      <c r="X693" s="146"/>
      <c r="Y693" s="146"/>
      <c r="Z693" s="146"/>
      <c r="AA693" s="146"/>
      <c r="AB693" s="146"/>
      <c r="AC693" s="146"/>
    </row>
    <row r="694" ht="15.75" customHeight="1">
      <c r="A694" s="146"/>
      <c r="B694" s="146"/>
      <c r="C694" s="146"/>
      <c r="D694" s="146"/>
      <c r="E694" s="146"/>
      <c r="F694" s="146"/>
      <c r="G694" s="146"/>
      <c r="H694" s="146"/>
      <c r="I694" s="146"/>
      <c r="J694" s="146"/>
      <c r="K694" s="146"/>
      <c r="L694" s="146"/>
      <c r="M694" s="146"/>
      <c r="N694" s="146"/>
      <c r="O694" s="147"/>
      <c r="P694" s="146"/>
      <c r="Q694" s="146"/>
      <c r="R694" s="146"/>
      <c r="S694" s="146"/>
      <c r="T694" s="146"/>
      <c r="U694" s="146"/>
      <c r="V694" s="146"/>
      <c r="W694" s="148"/>
      <c r="X694" s="146"/>
      <c r="Y694" s="146"/>
      <c r="Z694" s="146"/>
      <c r="AA694" s="146"/>
      <c r="AB694" s="146"/>
      <c r="AC694" s="146"/>
    </row>
    <row r="695" ht="15.75" customHeight="1">
      <c r="A695" s="146"/>
      <c r="B695" s="146"/>
      <c r="C695" s="146"/>
      <c r="D695" s="146"/>
      <c r="E695" s="146"/>
      <c r="F695" s="146"/>
      <c r="G695" s="146"/>
      <c r="H695" s="146"/>
      <c r="I695" s="146"/>
      <c r="J695" s="146"/>
      <c r="K695" s="146"/>
      <c r="L695" s="146"/>
      <c r="M695" s="146"/>
      <c r="N695" s="146"/>
      <c r="O695" s="147"/>
      <c r="P695" s="146"/>
      <c r="Q695" s="146"/>
      <c r="R695" s="146"/>
      <c r="S695" s="146"/>
      <c r="T695" s="146"/>
      <c r="U695" s="146"/>
      <c r="V695" s="146"/>
      <c r="W695" s="148"/>
      <c r="X695" s="146"/>
      <c r="Y695" s="146"/>
      <c r="Z695" s="146"/>
      <c r="AA695" s="146"/>
      <c r="AB695" s="146"/>
      <c r="AC695" s="146"/>
    </row>
    <row r="696" ht="15.75" customHeight="1">
      <c r="A696" s="146"/>
      <c r="B696" s="146"/>
      <c r="C696" s="146"/>
      <c r="D696" s="146"/>
      <c r="E696" s="146"/>
      <c r="F696" s="146"/>
      <c r="G696" s="146"/>
      <c r="H696" s="146"/>
      <c r="I696" s="146"/>
      <c r="J696" s="146"/>
      <c r="K696" s="146"/>
      <c r="L696" s="146"/>
      <c r="M696" s="146"/>
      <c r="N696" s="146"/>
      <c r="O696" s="147"/>
      <c r="P696" s="146"/>
      <c r="Q696" s="146"/>
      <c r="R696" s="146"/>
      <c r="S696" s="146"/>
      <c r="T696" s="146"/>
      <c r="U696" s="146"/>
      <c r="V696" s="146"/>
      <c r="W696" s="148"/>
      <c r="X696" s="146"/>
      <c r="Y696" s="146"/>
      <c r="Z696" s="146"/>
      <c r="AA696" s="146"/>
      <c r="AB696" s="146"/>
      <c r="AC696" s="146"/>
    </row>
    <row r="697" ht="15.75" customHeight="1">
      <c r="A697" s="146"/>
      <c r="B697" s="146"/>
      <c r="C697" s="146"/>
      <c r="D697" s="146"/>
      <c r="E697" s="146"/>
      <c r="F697" s="146"/>
      <c r="G697" s="146"/>
      <c r="H697" s="146"/>
      <c r="I697" s="146"/>
      <c r="J697" s="146"/>
      <c r="K697" s="146"/>
      <c r="L697" s="146"/>
      <c r="M697" s="146"/>
      <c r="N697" s="146"/>
      <c r="O697" s="147"/>
      <c r="P697" s="146"/>
      <c r="Q697" s="146"/>
      <c r="R697" s="146"/>
      <c r="S697" s="146"/>
      <c r="T697" s="146"/>
      <c r="U697" s="146"/>
      <c r="V697" s="146"/>
      <c r="W697" s="148"/>
      <c r="X697" s="146"/>
      <c r="Y697" s="146"/>
      <c r="Z697" s="146"/>
      <c r="AA697" s="146"/>
      <c r="AB697" s="146"/>
      <c r="AC697" s="146"/>
    </row>
    <row r="698" ht="15.75" customHeight="1">
      <c r="A698" s="146"/>
      <c r="B698" s="146"/>
      <c r="C698" s="146"/>
      <c r="D698" s="146"/>
      <c r="E698" s="146"/>
      <c r="F698" s="146"/>
      <c r="G698" s="146"/>
      <c r="H698" s="146"/>
      <c r="I698" s="146"/>
      <c r="J698" s="146"/>
      <c r="K698" s="146"/>
      <c r="L698" s="146"/>
      <c r="M698" s="146"/>
      <c r="N698" s="146"/>
      <c r="O698" s="147"/>
      <c r="P698" s="146"/>
      <c r="Q698" s="146"/>
      <c r="R698" s="146"/>
      <c r="S698" s="146"/>
      <c r="T698" s="146"/>
      <c r="U698" s="146"/>
      <c r="V698" s="146"/>
      <c r="W698" s="148"/>
      <c r="X698" s="146"/>
      <c r="Y698" s="146"/>
      <c r="Z698" s="146"/>
      <c r="AA698" s="146"/>
      <c r="AB698" s="146"/>
      <c r="AC698" s="146"/>
    </row>
    <row r="699" ht="15.75" customHeight="1">
      <c r="A699" s="146"/>
      <c r="B699" s="146"/>
      <c r="C699" s="146"/>
      <c r="D699" s="146"/>
      <c r="E699" s="146"/>
      <c r="F699" s="146"/>
      <c r="G699" s="146"/>
      <c r="H699" s="146"/>
      <c r="I699" s="146"/>
      <c r="J699" s="146"/>
      <c r="K699" s="146"/>
      <c r="L699" s="146"/>
      <c r="M699" s="146"/>
      <c r="N699" s="146"/>
      <c r="O699" s="147"/>
      <c r="P699" s="146"/>
      <c r="Q699" s="146"/>
      <c r="R699" s="146"/>
      <c r="S699" s="146"/>
      <c r="T699" s="146"/>
      <c r="U699" s="146"/>
      <c r="V699" s="146"/>
      <c r="W699" s="148"/>
      <c r="X699" s="146"/>
      <c r="Y699" s="146"/>
      <c r="Z699" s="146"/>
      <c r="AA699" s="146"/>
      <c r="AB699" s="146"/>
      <c r="AC699" s="146"/>
    </row>
    <row r="700" ht="15.75" customHeight="1">
      <c r="A700" s="146"/>
      <c r="B700" s="146"/>
      <c r="C700" s="146"/>
      <c r="D700" s="146"/>
      <c r="E700" s="146"/>
      <c r="F700" s="146"/>
      <c r="G700" s="146"/>
      <c r="H700" s="146"/>
      <c r="I700" s="146"/>
      <c r="J700" s="146"/>
      <c r="K700" s="146"/>
      <c r="L700" s="146"/>
      <c r="M700" s="146"/>
      <c r="N700" s="146"/>
      <c r="O700" s="147"/>
      <c r="P700" s="146"/>
      <c r="Q700" s="146"/>
      <c r="R700" s="146"/>
      <c r="S700" s="146"/>
      <c r="T700" s="146"/>
      <c r="U700" s="146"/>
      <c r="V700" s="146"/>
      <c r="W700" s="148"/>
      <c r="X700" s="146"/>
      <c r="Y700" s="146"/>
      <c r="Z700" s="146"/>
      <c r="AA700" s="146"/>
      <c r="AB700" s="146"/>
      <c r="AC700" s="146"/>
    </row>
    <row r="701" ht="15.75" customHeight="1">
      <c r="A701" s="146"/>
      <c r="B701" s="146"/>
      <c r="C701" s="146"/>
      <c r="D701" s="146"/>
      <c r="E701" s="146"/>
      <c r="F701" s="146"/>
      <c r="G701" s="146"/>
      <c r="H701" s="146"/>
      <c r="I701" s="146"/>
      <c r="J701" s="146"/>
      <c r="K701" s="146"/>
      <c r="L701" s="146"/>
      <c r="M701" s="146"/>
      <c r="N701" s="146"/>
      <c r="O701" s="147"/>
      <c r="P701" s="146"/>
      <c r="Q701" s="146"/>
      <c r="R701" s="146"/>
      <c r="S701" s="146"/>
      <c r="T701" s="146"/>
      <c r="U701" s="146"/>
      <c r="V701" s="146"/>
      <c r="W701" s="148"/>
      <c r="X701" s="146"/>
      <c r="Y701" s="146"/>
      <c r="Z701" s="146"/>
      <c r="AA701" s="146"/>
      <c r="AB701" s="146"/>
      <c r="AC701" s="146"/>
    </row>
    <row r="702" ht="15.75" customHeight="1">
      <c r="A702" s="146"/>
      <c r="B702" s="146"/>
      <c r="C702" s="146"/>
      <c r="D702" s="146"/>
      <c r="E702" s="146"/>
      <c r="F702" s="146"/>
      <c r="G702" s="146"/>
      <c r="H702" s="146"/>
      <c r="I702" s="146"/>
      <c r="J702" s="146"/>
      <c r="K702" s="146"/>
      <c r="L702" s="146"/>
      <c r="M702" s="146"/>
      <c r="N702" s="146"/>
      <c r="O702" s="147"/>
      <c r="P702" s="146"/>
      <c r="Q702" s="146"/>
      <c r="R702" s="146"/>
      <c r="S702" s="146"/>
      <c r="T702" s="146"/>
      <c r="U702" s="146"/>
      <c r="V702" s="146"/>
      <c r="W702" s="148"/>
      <c r="X702" s="146"/>
      <c r="Y702" s="146"/>
      <c r="Z702" s="146"/>
      <c r="AA702" s="146"/>
      <c r="AB702" s="146"/>
      <c r="AC702" s="146"/>
    </row>
    <row r="703" ht="15.75" customHeight="1">
      <c r="A703" s="146"/>
      <c r="B703" s="146"/>
      <c r="C703" s="146"/>
      <c r="D703" s="146"/>
      <c r="E703" s="146"/>
      <c r="F703" s="146"/>
      <c r="G703" s="146"/>
      <c r="H703" s="146"/>
      <c r="I703" s="146"/>
      <c r="J703" s="146"/>
      <c r="K703" s="146"/>
      <c r="L703" s="146"/>
      <c r="M703" s="146"/>
      <c r="N703" s="146"/>
      <c r="O703" s="147"/>
      <c r="P703" s="146"/>
      <c r="Q703" s="146"/>
      <c r="R703" s="146"/>
      <c r="S703" s="146"/>
      <c r="T703" s="146"/>
      <c r="U703" s="146"/>
      <c r="V703" s="146"/>
      <c r="W703" s="148"/>
      <c r="X703" s="146"/>
      <c r="Y703" s="146"/>
      <c r="Z703" s="146"/>
      <c r="AA703" s="146"/>
      <c r="AB703" s="146"/>
      <c r="AC703" s="146"/>
    </row>
    <row r="704" ht="15.75" customHeight="1">
      <c r="A704" s="146"/>
      <c r="B704" s="146"/>
      <c r="C704" s="146"/>
      <c r="D704" s="146"/>
      <c r="E704" s="146"/>
      <c r="F704" s="146"/>
      <c r="G704" s="146"/>
      <c r="H704" s="146"/>
      <c r="I704" s="146"/>
      <c r="J704" s="146"/>
      <c r="K704" s="146"/>
      <c r="L704" s="146"/>
      <c r="M704" s="146"/>
      <c r="N704" s="146"/>
      <c r="O704" s="147"/>
      <c r="P704" s="146"/>
      <c r="Q704" s="146"/>
      <c r="R704" s="146"/>
      <c r="S704" s="146"/>
      <c r="T704" s="146"/>
      <c r="U704" s="146"/>
      <c r="V704" s="146"/>
      <c r="W704" s="148"/>
      <c r="X704" s="146"/>
      <c r="Y704" s="146"/>
      <c r="Z704" s="146"/>
      <c r="AA704" s="146"/>
      <c r="AB704" s="146"/>
      <c r="AC704" s="146"/>
    </row>
    <row r="705" ht="15.75" customHeight="1">
      <c r="A705" s="146"/>
      <c r="B705" s="146"/>
      <c r="C705" s="146"/>
      <c r="D705" s="146"/>
      <c r="E705" s="146"/>
      <c r="F705" s="146"/>
      <c r="G705" s="146"/>
      <c r="H705" s="146"/>
      <c r="I705" s="146"/>
      <c r="J705" s="146"/>
      <c r="K705" s="146"/>
      <c r="L705" s="146"/>
      <c r="M705" s="146"/>
      <c r="N705" s="146"/>
      <c r="O705" s="147"/>
      <c r="P705" s="146"/>
      <c r="Q705" s="146"/>
      <c r="R705" s="146"/>
      <c r="S705" s="146"/>
      <c r="T705" s="146"/>
      <c r="U705" s="146"/>
      <c r="V705" s="146"/>
      <c r="W705" s="148"/>
      <c r="X705" s="146"/>
      <c r="Y705" s="146"/>
      <c r="Z705" s="146"/>
      <c r="AA705" s="146"/>
      <c r="AB705" s="146"/>
      <c r="AC705" s="146"/>
    </row>
    <row r="706" ht="15.75" customHeight="1">
      <c r="A706" s="146"/>
      <c r="B706" s="146"/>
      <c r="C706" s="146"/>
      <c r="D706" s="146"/>
      <c r="E706" s="146"/>
      <c r="F706" s="146"/>
      <c r="G706" s="146"/>
      <c r="H706" s="146"/>
      <c r="I706" s="146"/>
      <c r="J706" s="146"/>
      <c r="K706" s="146"/>
      <c r="L706" s="146"/>
      <c r="M706" s="146"/>
      <c r="N706" s="146"/>
      <c r="O706" s="147"/>
      <c r="P706" s="146"/>
      <c r="Q706" s="146"/>
      <c r="R706" s="146"/>
      <c r="S706" s="146"/>
      <c r="T706" s="146"/>
      <c r="U706" s="146"/>
      <c r="V706" s="146"/>
      <c r="W706" s="148"/>
      <c r="X706" s="146"/>
      <c r="Y706" s="146"/>
      <c r="Z706" s="146"/>
      <c r="AA706" s="146"/>
      <c r="AB706" s="146"/>
      <c r="AC706" s="146"/>
    </row>
    <row r="707" ht="15.75" customHeight="1">
      <c r="A707" s="146"/>
      <c r="B707" s="146"/>
      <c r="C707" s="146"/>
      <c r="D707" s="146"/>
      <c r="E707" s="146"/>
      <c r="F707" s="146"/>
      <c r="G707" s="146"/>
      <c r="H707" s="146"/>
      <c r="I707" s="146"/>
      <c r="J707" s="146"/>
      <c r="K707" s="146"/>
      <c r="L707" s="146"/>
      <c r="M707" s="146"/>
      <c r="N707" s="146"/>
      <c r="O707" s="147"/>
      <c r="P707" s="146"/>
      <c r="Q707" s="146"/>
      <c r="R707" s="146"/>
      <c r="S707" s="146"/>
      <c r="T707" s="146"/>
      <c r="U707" s="146"/>
      <c r="V707" s="146"/>
      <c r="W707" s="148"/>
      <c r="X707" s="146"/>
      <c r="Y707" s="146"/>
      <c r="Z707" s="146"/>
      <c r="AA707" s="146"/>
      <c r="AB707" s="146"/>
      <c r="AC707" s="146"/>
    </row>
    <row r="708" ht="15.75" customHeight="1">
      <c r="A708" s="146"/>
      <c r="B708" s="146"/>
      <c r="C708" s="146"/>
      <c r="D708" s="146"/>
      <c r="E708" s="146"/>
      <c r="F708" s="146"/>
      <c r="G708" s="146"/>
      <c r="H708" s="146"/>
      <c r="I708" s="146"/>
      <c r="J708" s="146"/>
      <c r="K708" s="146"/>
      <c r="L708" s="146"/>
      <c r="M708" s="146"/>
      <c r="N708" s="146"/>
      <c r="O708" s="147"/>
      <c r="P708" s="146"/>
      <c r="Q708" s="146"/>
      <c r="R708" s="146"/>
      <c r="S708" s="146"/>
      <c r="T708" s="146"/>
      <c r="U708" s="146"/>
      <c r="V708" s="146"/>
      <c r="W708" s="148"/>
      <c r="X708" s="146"/>
      <c r="Y708" s="146"/>
      <c r="Z708" s="146"/>
      <c r="AA708" s="146"/>
      <c r="AB708" s="146"/>
      <c r="AC708" s="146"/>
    </row>
    <row r="709" ht="15.75" customHeight="1">
      <c r="A709" s="146"/>
      <c r="B709" s="146"/>
      <c r="C709" s="146"/>
      <c r="D709" s="146"/>
      <c r="E709" s="146"/>
      <c r="F709" s="146"/>
      <c r="G709" s="146"/>
      <c r="H709" s="146"/>
      <c r="I709" s="146"/>
      <c r="J709" s="146"/>
      <c r="K709" s="146"/>
      <c r="L709" s="146"/>
      <c r="M709" s="146"/>
      <c r="N709" s="146"/>
      <c r="O709" s="147"/>
      <c r="P709" s="146"/>
      <c r="Q709" s="146"/>
      <c r="R709" s="146"/>
      <c r="S709" s="146"/>
      <c r="T709" s="146"/>
      <c r="U709" s="146"/>
      <c r="V709" s="146"/>
      <c r="W709" s="148"/>
      <c r="X709" s="146"/>
      <c r="Y709" s="146"/>
      <c r="Z709" s="146"/>
      <c r="AA709" s="146"/>
      <c r="AB709" s="146"/>
      <c r="AC709" s="146"/>
    </row>
    <row r="710" ht="15.75" customHeight="1">
      <c r="A710" s="146"/>
      <c r="B710" s="146"/>
      <c r="C710" s="146"/>
      <c r="D710" s="146"/>
      <c r="E710" s="146"/>
      <c r="F710" s="146"/>
      <c r="G710" s="146"/>
      <c r="H710" s="146"/>
      <c r="I710" s="146"/>
      <c r="J710" s="146"/>
      <c r="K710" s="146"/>
      <c r="L710" s="146"/>
      <c r="M710" s="146"/>
      <c r="N710" s="146"/>
      <c r="O710" s="147"/>
      <c r="P710" s="146"/>
      <c r="Q710" s="146"/>
      <c r="R710" s="146"/>
      <c r="S710" s="146"/>
      <c r="T710" s="146"/>
      <c r="U710" s="146"/>
      <c r="V710" s="146"/>
      <c r="W710" s="148"/>
      <c r="X710" s="146"/>
      <c r="Y710" s="146"/>
      <c r="Z710" s="146"/>
      <c r="AA710" s="146"/>
      <c r="AB710" s="146"/>
      <c r="AC710" s="146"/>
    </row>
    <row r="711" ht="15.75" customHeight="1">
      <c r="A711" s="146"/>
      <c r="B711" s="146"/>
      <c r="C711" s="146"/>
      <c r="D711" s="146"/>
      <c r="E711" s="146"/>
      <c r="F711" s="146"/>
      <c r="G711" s="146"/>
      <c r="H711" s="146"/>
      <c r="I711" s="146"/>
      <c r="J711" s="146"/>
      <c r="K711" s="146"/>
      <c r="L711" s="146"/>
      <c r="M711" s="146"/>
      <c r="N711" s="146"/>
      <c r="O711" s="147"/>
      <c r="P711" s="146"/>
      <c r="Q711" s="146"/>
      <c r="R711" s="146"/>
      <c r="S711" s="146"/>
      <c r="T711" s="146"/>
      <c r="U711" s="146"/>
      <c r="V711" s="146"/>
      <c r="W711" s="148"/>
      <c r="X711" s="146"/>
      <c r="Y711" s="146"/>
      <c r="Z711" s="146"/>
      <c r="AA711" s="146"/>
      <c r="AB711" s="146"/>
      <c r="AC711" s="146"/>
    </row>
    <row r="712" ht="15.75" customHeight="1">
      <c r="A712" s="146"/>
      <c r="B712" s="146"/>
      <c r="C712" s="146"/>
      <c r="D712" s="146"/>
      <c r="E712" s="146"/>
      <c r="F712" s="146"/>
      <c r="G712" s="146"/>
      <c r="H712" s="146"/>
      <c r="I712" s="146"/>
      <c r="J712" s="146"/>
      <c r="K712" s="146"/>
      <c r="L712" s="146"/>
      <c r="M712" s="146"/>
      <c r="N712" s="146"/>
      <c r="O712" s="147"/>
      <c r="P712" s="146"/>
      <c r="Q712" s="146"/>
      <c r="R712" s="146"/>
      <c r="S712" s="146"/>
      <c r="T712" s="146"/>
      <c r="U712" s="146"/>
      <c r="V712" s="146"/>
      <c r="W712" s="148"/>
      <c r="X712" s="146"/>
      <c r="Y712" s="146"/>
      <c r="Z712" s="146"/>
      <c r="AA712" s="146"/>
      <c r="AB712" s="146"/>
      <c r="AC712" s="146"/>
    </row>
    <row r="713" ht="15.75" customHeight="1">
      <c r="A713" s="146"/>
      <c r="B713" s="146"/>
      <c r="C713" s="146"/>
      <c r="D713" s="146"/>
      <c r="E713" s="146"/>
      <c r="F713" s="146"/>
      <c r="G713" s="146"/>
      <c r="H713" s="146"/>
      <c r="I713" s="146"/>
      <c r="J713" s="146"/>
      <c r="K713" s="146"/>
      <c r="L713" s="146"/>
      <c r="M713" s="146"/>
      <c r="N713" s="146"/>
      <c r="O713" s="147"/>
      <c r="P713" s="146"/>
      <c r="Q713" s="146"/>
      <c r="R713" s="146"/>
      <c r="S713" s="146"/>
      <c r="T713" s="146"/>
      <c r="U713" s="146"/>
      <c r="V713" s="146"/>
      <c r="W713" s="148"/>
      <c r="X713" s="146"/>
      <c r="Y713" s="146"/>
      <c r="Z713" s="146"/>
      <c r="AA713" s="146"/>
      <c r="AB713" s="146"/>
      <c r="AC713" s="146"/>
    </row>
    <row r="714" ht="15.75" customHeight="1">
      <c r="A714" s="146"/>
      <c r="B714" s="146"/>
      <c r="C714" s="146"/>
      <c r="D714" s="146"/>
      <c r="E714" s="146"/>
      <c r="F714" s="146"/>
      <c r="G714" s="146"/>
      <c r="H714" s="146"/>
      <c r="I714" s="146"/>
      <c r="J714" s="146"/>
      <c r="K714" s="146"/>
      <c r="L714" s="146"/>
      <c r="M714" s="146"/>
      <c r="N714" s="146"/>
      <c r="O714" s="147"/>
      <c r="P714" s="146"/>
      <c r="Q714" s="146"/>
      <c r="R714" s="146"/>
      <c r="S714" s="146"/>
      <c r="T714" s="146"/>
      <c r="U714" s="146"/>
      <c r="V714" s="146"/>
      <c r="W714" s="148"/>
      <c r="X714" s="146"/>
      <c r="Y714" s="146"/>
      <c r="Z714" s="146"/>
      <c r="AA714" s="146"/>
      <c r="AB714" s="146"/>
      <c r="AC714" s="146"/>
    </row>
    <row r="715" ht="15.75" customHeight="1">
      <c r="A715" s="146"/>
      <c r="B715" s="146"/>
      <c r="C715" s="146"/>
      <c r="D715" s="146"/>
      <c r="E715" s="146"/>
      <c r="F715" s="146"/>
      <c r="G715" s="146"/>
      <c r="H715" s="146"/>
      <c r="I715" s="146"/>
      <c r="J715" s="146"/>
      <c r="K715" s="146"/>
      <c r="L715" s="146"/>
      <c r="M715" s="146"/>
      <c r="N715" s="146"/>
      <c r="O715" s="147"/>
      <c r="P715" s="146"/>
      <c r="Q715" s="146"/>
      <c r="R715" s="146"/>
      <c r="S715" s="146"/>
      <c r="T715" s="146"/>
      <c r="U715" s="146"/>
      <c r="V715" s="146"/>
      <c r="W715" s="148"/>
      <c r="X715" s="146"/>
      <c r="Y715" s="146"/>
      <c r="Z715" s="146"/>
      <c r="AA715" s="146"/>
      <c r="AB715" s="146"/>
      <c r="AC715" s="146"/>
    </row>
    <row r="716" ht="15.75" customHeight="1">
      <c r="A716" s="146"/>
      <c r="B716" s="146"/>
      <c r="C716" s="146"/>
      <c r="D716" s="146"/>
      <c r="E716" s="146"/>
      <c r="F716" s="146"/>
      <c r="G716" s="146"/>
      <c r="H716" s="146"/>
      <c r="I716" s="146"/>
      <c r="J716" s="146"/>
      <c r="K716" s="146"/>
      <c r="L716" s="146"/>
      <c r="M716" s="146"/>
      <c r="N716" s="146"/>
      <c r="O716" s="147"/>
      <c r="P716" s="146"/>
      <c r="Q716" s="146"/>
      <c r="R716" s="146"/>
      <c r="S716" s="146"/>
      <c r="T716" s="146"/>
      <c r="U716" s="146"/>
      <c r="V716" s="146"/>
      <c r="W716" s="148"/>
      <c r="X716" s="146"/>
      <c r="Y716" s="146"/>
      <c r="Z716" s="146"/>
      <c r="AA716" s="146"/>
      <c r="AB716" s="146"/>
      <c r="AC716" s="146"/>
    </row>
    <row r="717" ht="15.75" customHeight="1">
      <c r="A717" s="146"/>
      <c r="B717" s="146"/>
      <c r="C717" s="146"/>
      <c r="D717" s="146"/>
      <c r="E717" s="146"/>
      <c r="F717" s="146"/>
      <c r="G717" s="146"/>
      <c r="H717" s="146"/>
      <c r="I717" s="146"/>
      <c r="J717" s="146"/>
      <c r="K717" s="146"/>
      <c r="L717" s="146"/>
      <c r="M717" s="146"/>
      <c r="N717" s="146"/>
      <c r="O717" s="147"/>
      <c r="P717" s="146"/>
      <c r="Q717" s="146"/>
      <c r="R717" s="146"/>
      <c r="S717" s="146"/>
      <c r="T717" s="146"/>
      <c r="U717" s="146"/>
      <c r="V717" s="146"/>
      <c r="W717" s="148"/>
      <c r="X717" s="146"/>
      <c r="Y717" s="146"/>
      <c r="Z717" s="146"/>
      <c r="AA717" s="146"/>
      <c r="AB717" s="146"/>
      <c r="AC717" s="146"/>
    </row>
    <row r="718" ht="15.75" customHeight="1">
      <c r="A718" s="146"/>
      <c r="B718" s="146"/>
      <c r="C718" s="146"/>
      <c r="D718" s="146"/>
      <c r="E718" s="146"/>
      <c r="F718" s="146"/>
      <c r="G718" s="146"/>
      <c r="H718" s="146"/>
      <c r="I718" s="146"/>
      <c r="J718" s="146"/>
      <c r="K718" s="146"/>
      <c r="L718" s="146"/>
      <c r="M718" s="146"/>
      <c r="N718" s="146"/>
      <c r="O718" s="147"/>
      <c r="P718" s="146"/>
      <c r="Q718" s="146"/>
      <c r="R718" s="146"/>
      <c r="S718" s="146"/>
      <c r="T718" s="146"/>
      <c r="U718" s="146"/>
      <c r="V718" s="146"/>
      <c r="W718" s="148"/>
      <c r="X718" s="146"/>
      <c r="Y718" s="146"/>
      <c r="Z718" s="146"/>
      <c r="AA718" s="146"/>
      <c r="AB718" s="146"/>
      <c r="AC718" s="146"/>
    </row>
    <row r="719" ht="15.75" customHeight="1">
      <c r="A719" s="146"/>
      <c r="B719" s="146"/>
      <c r="C719" s="146"/>
      <c r="D719" s="146"/>
      <c r="E719" s="146"/>
      <c r="F719" s="146"/>
      <c r="G719" s="146"/>
      <c r="H719" s="146"/>
      <c r="I719" s="146"/>
      <c r="J719" s="146"/>
      <c r="K719" s="146"/>
      <c r="L719" s="146"/>
      <c r="M719" s="146"/>
      <c r="N719" s="146"/>
      <c r="O719" s="147"/>
      <c r="P719" s="146"/>
      <c r="Q719" s="146"/>
      <c r="R719" s="146"/>
      <c r="S719" s="146"/>
      <c r="T719" s="146"/>
      <c r="U719" s="146"/>
      <c r="V719" s="146"/>
      <c r="W719" s="148"/>
      <c r="X719" s="146"/>
      <c r="Y719" s="146"/>
      <c r="Z719" s="146"/>
      <c r="AA719" s="146"/>
      <c r="AB719" s="146"/>
      <c r="AC719" s="146"/>
    </row>
    <row r="720" ht="15.75" customHeight="1">
      <c r="A720" s="146"/>
      <c r="B720" s="146"/>
      <c r="C720" s="146"/>
      <c r="D720" s="146"/>
      <c r="E720" s="146"/>
      <c r="F720" s="146"/>
      <c r="G720" s="146"/>
      <c r="H720" s="146"/>
      <c r="I720" s="146"/>
      <c r="J720" s="146"/>
      <c r="K720" s="146"/>
      <c r="L720" s="146"/>
      <c r="M720" s="146"/>
      <c r="N720" s="146"/>
      <c r="O720" s="147"/>
      <c r="P720" s="146"/>
      <c r="Q720" s="146"/>
      <c r="R720" s="146"/>
      <c r="S720" s="146"/>
      <c r="T720" s="146"/>
      <c r="U720" s="146"/>
      <c r="V720" s="146"/>
      <c r="W720" s="148"/>
      <c r="X720" s="146"/>
      <c r="Y720" s="146"/>
      <c r="Z720" s="146"/>
      <c r="AA720" s="146"/>
      <c r="AB720" s="146"/>
      <c r="AC720" s="146"/>
    </row>
    <row r="721" ht="15.75" customHeight="1">
      <c r="A721" s="146"/>
      <c r="B721" s="146"/>
      <c r="C721" s="146"/>
      <c r="D721" s="146"/>
      <c r="E721" s="146"/>
      <c r="F721" s="146"/>
      <c r="G721" s="146"/>
      <c r="H721" s="146"/>
      <c r="I721" s="146"/>
      <c r="J721" s="146"/>
      <c r="K721" s="146"/>
      <c r="L721" s="146"/>
      <c r="M721" s="146"/>
      <c r="N721" s="146"/>
      <c r="O721" s="147"/>
      <c r="P721" s="146"/>
      <c r="Q721" s="146"/>
      <c r="R721" s="146"/>
      <c r="S721" s="146"/>
      <c r="T721" s="146"/>
      <c r="U721" s="146"/>
      <c r="V721" s="146"/>
      <c r="W721" s="148"/>
      <c r="X721" s="146"/>
      <c r="Y721" s="146"/>
      <c r="Z721" s="146"/>
      <c r="AA721" s="146"/>
      <c r="AB721" s="146"/>
      <c r="AC721" s="146"/>
    </row>
    <row r="722" ht="15.75" customHeight="1">
      <c r="A722" s="146"/>
      <c r="B722" s="146"/>
      <c r="C722" s="146"/>
      <c r="D722" s="146"/>
      <c r="E722" s="146"/>
      <c r="F722" s="146"/>
      <c r="G722" s="146"/>
      <c r="H722" s="146"/>
      <c r="I722" s="146"/>
      <c r="J722" s="146"/>
      <c r="K722" s="146"/>
      <c r="L722" s="146"/>
      <c r="M722" s="146"/>
      <c r="N722" s="146"/>
      <c r="O722" s="147"/>
      <c r="P722" s="146"/>
      <c r="Q722" s="146"/>
      <c r="R722" s="146"/>
      <c r="S722" s="146"/>
      <c r="T722" s="146"/>
      <c r="U722" s="146"/>
      <c r="V722" s="146"/>
      <c r="W722" s="148"/>
      <c r="X722" s="146"/>
      <c r="Y722" s="146"/>
      <c r="Z722" s="146"/>
      <c r="AA722" s="146"/>
      <c r="AB722" s="146"/>
      <c r="AC722" s="146"/>
    </row>
    <row r="723" ht="15.75" customHeight="1">
      <c r="A723" s="146"/>
      <c r="B723" s="146"/>
      <c r="C723" s="146"/>
      <c r="D723" s="146"/>
      <c r="E723" s="146"/>
      <c r="F723" s="146"/>
      <c r="G723" s="146"/>
      <c r="H723" s="146"/>
      <c r="I723" s="146"/>
      <c r="J723" s="146"/>
      <c r="K723" s="146"/>
      <c r="L723" s="146"/>
      <c r="M723" s="146"/>
      <c r="N723" s="146"/>
      <c r="O723" s="147"/>
      <c r="P723" s="146"/>
      <c r="Q723" s="146"/>
      <c r="R723" s="146"/>
      <c r="S723" s="146"/>
      <c r="T723" s="146"/>
      <c r="U723" s="146"/>
      <c r="V723" s="146"/>
      <c r="W723" s="148"/>
      <c r="X723" s="146"/>
      <c r="Y723" s="146"/>
      <c r="Z723" s="146"/>
      <c r="AA723" s="146"/>
      <c r="AB723" s="146"/>
      <c r="AC723" s="146"/>
    </row>
    <row r="724" ht="15.75" customHeight="1">
      <c r="A724" s="146"/>
      <c r="B724" s="146"/>
      <c r="C724" s="146"/>
      <c r="D724" s="146"/>
      <c r="E724" s="146"/>
      <c r="F724" s="146"/>
      <c r="G724" s="146"/>
      <c r="H724" s="146"/>
      <c r="I724" s="146"/>
      <c r="J724" s="146"/>
      <c r="K724" s="146"/>
      <c r="L724" s="146"/>
      <c r="M724" s="146"/>
      <c r="N724" s="146"/>
      <c r="O724" s="147"/>
      <c r="P724" s="146"/>
      <c r="Q724" s="146"/>
      <c r="R724" s="146"/>
      <c r="S724" s="146"/>
      <c r="T724" s="146"/>
      <c r="U724" s="146"/>
      <c r="V724" s="146"/>
      <c r="W724" s="148"/>
      <c r="X724" s="146"/>
      <c r="Y724" s="146"/>
      <c r="Z724" s="146"/>
      <c r="AA724" s="146"/>
      <c r="AB724" s="146"/>
      <c r="AC724" s="146"/>
    </row>
    <row r="725" ht="15.75" customHeight="1">
      <c r="A725" s="146"/>
      <c r="B725" s="146"/>
      <c r="C725" s="146"/>
      <c r="D725" s="146"/>
      <c r="E725" s="146"/>
      <c r="F725" s="146"/>
      <c r="G725" s="146"/>
      <c r="H725" s="146"/>
      <c r="I725" s="146"/>
      <c r="J725" s="146"/>
      <c r="K725" s="146"/>
      <c r="L725" s="146"/>
      <c r="M725" s="146"/>
      <c r="N725" s="146"/>
      <c r="O725" s="147"/>
      <c r="P725" s="146"/>
      <c r="Q725" s="146"/>
      <c r="R725" s="146"/>
      <c r="S725" s="146"/>
      <c r="T725" s="146"/>
      <c r="U725" s="146"/>
      <c r="V725" s="146"/>
      <c r="W725" s="148"/>
      <c r="X725" s="146"/>
      <c r="Y725" s="146"/>
      <c r="Z725" s="146"/>
      <c r="AA725" s="146"/>
      <c r="AB725" s="146"/>
      <c r="AC725" s="146"/>
    </row>
    <row r="726" ht="15.75" customHeight="1">
      <c r="A726" s="146"/>
      <c r="B726" s="146"/>
      <c r="C726" s="146"/>
      <c r="D726" s="146"/>
      <c r="E726" s="146"/>
      <c r="F726" s="146"/>
      <c r="G726" s="146"/>
      <c r="H726" s="146"/>
      <c r="I726" s="146"/>
      <c r="J726" s="146"/>
      <c r="K726" s="146"/>
      <c r="L726" s="146"/>
      <c r="M726" s="146"/>
      <c r="N726" s="146"/>
      <c r="O726" s="147"/>
      <c r="P726" s="146"/>
      <c r="Q726" s="146"/>
      <c r="R726" s="146"/>
      <c r="S726" s="146"/>
      <c r="T726" s="146"/>
      <c r="U726" s="146"/>
      <c r="V726" s="146"/>
      <c r="W726" s="148"/>
      <c r="X726" s="146"/>
      <c r="Y726" s="146"/>
      <c r="Z726" s="146"/>
      <c r="AA726" s="146"/>
      <c r="AB726" s="146"/>
      <c r="AC726" s="146"/>
    </row>
    <row r="727" ht="15.75" customHeight="1">
      <c r="A727" s="146"/>
      <c r="B727" s="146"/>
      <c r="C727" s="146"/>
      <c r="D727" s="146"/>
      <c r="E727" s="146"/>
      <c r="F727" s="146"/>
      <c r="G727" s="146"/>
      <c r="H727" s="146"/>
      <c r="I727" s="146"/>
      <c r="J727" s="146"/>
      <c r="K727" s="146"/>
      <c r="L727" s="146"/>
      <c r="M727" s="146"/>
      <c r="N727" s="146"/>
      <c r="O727" s="147"/>
      <c r="P727" s="146"/>
      <c r="Q727" s="146"/>
      <c r="R727" s="146"/>
      <c r="S727" s="146"/>
      <c r="T727" s="146"/>
      <c r="U727" s="146"/>
      <c r="V727" s="146"/>
      <c r="W727" s="148"/>
      <c r="X727" s="146"/>
      <c r="Y727" s="146"/>
      <c r="Z727" s="146"/>
      <c r="AA727" s="146"/>
      <c r="AB727" s="146"/>
      <c r="AC727" s="146"/>
    </row>
    <row r="728" ht="15.75" customHeight="1">
      <c r="A728" s="146"/>
      <c r="B728" s="146"/>
      <c r="C728" s="146"/>
      <c r="D728" s="146"/>
      <c r="E728" s="146"/>
      <c r="F728" s="146"/>
      <c r="G728" s="146"/>
      <c r="H728" s="146"/>
      <c r="I728" s="146"/>
      <c r="J728" s="146"/>
      <c r="K728" s="146"/>
      <c r="L728" s="146"/>
      <c r="M728" s="146"/>
      <c r="N728" s="146"/>
      <c r="O728" s="147"/>
      <c r="P728" s="146"/>
      <c r="Q728" s="146"/>
      <c r="R728" s="146"/>
      <c r="S728" s="146"/>
      <c r="T728" s="146"/>
      <c r="U728" s="146"/>
      <c r="V728" s="146"/>
      <c r="W728" s="148"/>
      <c r="X728" s="146"/>
      <c r="Y728" s="146"/>
      <c r="Z728" s="146"/>
      <c r="AA728" s="146"/>
      <c r="AB728" s="146"/>
      <c r="AC728" s="146"/>
    </row>
    <row r="729" ht="15.75" customHeight="1">
      <c r="A729" s="146"/>
      <c r="B729" s="146"/>
      <c r="C729" s="146"/>
      <c r="D729" s="146"/>
      <c r="E729" s="146"/>
      <c r="F729" s="146"/>
      <c r="G729" s="146"/>
      <c r="H729" s="146"/>
      <c r="I729" s="146"/>
      <c r="J729" s="146"/>
      <c r="K729" s="146"/>
      <c r="L729" s="146"/>
      <c r="M729" s="146"/>
      <c r="N729" s="146"/>
      <c r="O729" s="147"/>
      <c r="P729" s="146"/>
      <c r="Q729" s="146"/>
      <c r="R729" s="146"/>
      <c r="S729" s="146"/>
      <c r="T729" s="146"/>
      <c r="U729" s="146"/>
      <c r="V729" s="146"/>
      <c r="W729" s="148"/>
      <c r="X729" s="146"/>
      <c r="Y729" s="146"/>
      <c r="Z729" s="146"/>
      <c r="AA729" s="146"/>
      <c r="AB729" s="146"/>
      <c r="AC729" s="146"/>
    </row>
    <row r="730" ht="15.75" customHeight="1">
      <c r="A730" s="146"/>
      <c r="B730" s="146"/>
      <c r="C730" s="146"/>
      <c r="D730" s="146"/>
      <c r="E730" s="146"/>
      <c r="F730" s="146"/>
      <c r="G730" s="146"/>
      <c r="H730" s="146"/>
      <c r="I730" s="146"/>
      <c r="J730" s="146"/>
      <c r="K730" s="146"/>
      <c r="L730" s="146"/>
      <c r="M730" s="146"/>
      <c r="N730" s="146"/>
      <c r="O730" s="147"/>
      <c r="P730" s="146"/>
      <c r="Q730" s="146"/>
      <c r="R730" s="146"/>
      <c r="S730" s="146"/>
      <c r="T730" s="146"/>
      <c r="U730" s="146"/>
      <c r="V730" s="146"/>
      <c r="W730" s="148"/>
      <c r="X730" s="146"/>
      <c r="Y730" s="146"/>
      <c r="Z730" s="146"/>
      <c r="AA730" s="146"/>
      <c r="AB730" s="146"/>
      <c r="AC730" s="146"/>
    </row>
    <row r="731" ht="15.75" customHeight="1">
      <c r="A731" s="146"/>
      <c r="B731" s="146"/>
      <c r="C731" s="146"/>
      <c r="D731" s="146"/>
      <c r="E731" s="146"/>
      <c r="F731" s="146"/>
      <c r="G731" s="146"/>
      <c r="H731" s="146"/>
      <c r="I731" s="146"/>
      <c r="J731" s="146"/>
      <c r="K731" s="146"/>
      <c r="L731" s="146"/>
      <c r="M731" s="146"/>
      <c r="N731" s="146"/>
      <c r="O731" s="147"/>
      <c r="P731" s="146"/>
      <c r="Q731" s="146"/>
      <c r="R731" s="146"/>
      <c r="S731" s="146"/>
      <c r="T731" s="146"/>
      <c r="U731" s="146"/>
      <c r="V731" s="146"/>
      <c r="W731" s="148"/>
      <c r="X731" s="146"/>
      <c r="Y731" s="146"/>
      <c r="Z731" s="146"/>
      <c r="AA731" s="146"/>
      <c r="AB731" s="146"/>
      <c r="AC731" s="146"/>
    </row>
    <row r="732" ht="15.75" customHeight="1">
      <c r="A732" s="146"/>
      <c r="B732" s="146"/>
      <c r="C732" s="146"/>
      <c r="D732" s="146"/>
      <c r="E732" s="146"/>
      <c r="F732" s="146"/>
      <c r="G732" s="146"/>
      <c r="H732" s="146"/>
      <c r="I732" s="146"/>
      <c r="J732" s="146"/>
      <c r="K732" s="146"/>
      <c r="L732" s="146"/>
      <c r="M732" s="146"/>
      <c r="N732" s="146"/>
      <c r="O732" s="147"/>
      <c r="P732" s="146"/>
      <c r="Q732" s="146"/>
      <c r="R732" s="146"/>
      <c r="S732" s="146"/>
      <c r="T732" s="146"/>
      <c r="U732" s="146"/>
      <c r="V732" s="146"/>
      <c r="W732" s="148"/>
      <c r="X732" s="146"/>
      <c r="Y732" s="146"/>
      <c r="Z732" s="146"/>
      <c r="AA732" s="146"/>
      <c r="AB732" s="146"/>
      <c r="AC732" s="146"/>
    </row>
    <row r="733" ht="15.75" customHeight="1">
      <c r="A733" s="146"/>
      <c r="B733" s="146"/>
      <c r="C733" s="146"/>
      <c r="D733" s="146"/>
      <c r="E733" s="146"/>
      <c r="F733" s="146"/>
      <c r="G733" s="146"/>
      <c r="H733" s="146"/>
      <c r="I733" s="146"/>
      <c r="J733" s="146"/>
      <c r="K733" s="146"/>
      <c r="L733" s="146"/>
      <c r="M733" s="146"/>
      <c r="N733" s="146"/>
      <c r="O733" s="147"/>
      <c r="P733" s="146"/>
      <c r="Q733" s="146"/>
      <c r="R733" s="146"/>
      <c r="S733" s="146"/>
      <c r="T733" s="146"/>
      <c r="U733" s="146"/>
      <c r="V733" s="146"/>
      <c r="W733" s="148"/>
      <c r="X733" s="146"/>
      <c r="Y733" s="146"/>
      <c r="Z733" s="146"/>
      <c r="AA733" s="146"/>
      <c r="AB733" s="146"/>
      <c r="AC733" s="146"/>
    </row>
    <row r="734" ht="15.75" customHeight="1">
      <c r="A734" s="146"/>
      <c r="B734" s="146"/>
      <c r="C734" s="146"/>
      <c r="D734" s="146"/>
      <c r="E734" s="146"/>
      <c r="F734" s="146"/>
      <c r="G734" s="146"/>
      <c r="H734" s="146"/>
      <c r="I734" s="146"/>
      <c r="J734" s="146"/>
      <c r="K734" s="146"/>
      <c r="L734" s="146"/>
      <c r="M734" s="146"/>
      <c r="N734" s="146"/>
      <c r="O734" s="147"/>
      <c r="P734" s="146"/>
      <c r="Q734" s="146"/>
      <c r="R734" s="146"/>
      <c r="S734" s="146"/>
      <c r="T734" s="146"/>
      <c r="U734" s="146"/>
      <c r="V734" s="146"/>
      <c r="W734" s="148"/>
      <c r="X734" s="146"/>
      <c r="Y734" s="146"/>
      <c r="Z734" s="146"/>
      <c r="AA734" s="146"/>
      <c r="AB734" s="146"/>
      <c r="AC734" s="146"/>
    </row>
    <row r="735" ht="15.75" customHeight="1">
      <c r="A735" s="146"/>
      <c r="B735" s="146"/>
      <c r="C735" s="146"/>
      <c r="D735" s="146"/>
      <c r="E735" s="146"/>
      <c r="F735" s="146"/>
      <c r="G735" s="146"/>
      <c r="H735" s="146"/>
      <c r="I735" s="146"/>
      <c r="J735" s="146"/>
      <c r="K735" s="146"/>
      <c r="L735" s="146"/>
      <c r="M735" s="146"/>
      <c r="N735" s="146"/>
      <c r="O735" s="147"/>
      <c r="P735" s="146"/>
      <c r="Q735" s="146"/>
      <c r="R735" s="146"/>
      <c r="S735" s="146"/>
      <c r="T735" s="146"/>
      <c r="U735" s="146"/>
      <c r="V735" s="146"/>
      <c r="W735" s="148"/>
      <c r="X735" s="146"/>
      <c r="Y735" s="146"/>
      <c r="Z735" s="146"/>
      <c r="AA735" s="146"/>
      <c r="AB735" s="146"/>
      <c r="AC735" s="146"/>
    </row>
    <row r="736" ht="15.75" customHeight="1">
      <c r="A736" s="146"/>
      <c r="B736" s="146"/>
      <c r="C736" s="146"/>
      <c r="D736" s="146"/>
      <c r="E736" s="146"/>
      <c r="F736" s="146"/>
      <c r="G736" s="146"/>
      <c r="H736" s="146"/>
      <c r="I736" s="146"/>
      <c r="J736" s="146"/>
      <c r="K736" s="146"/>
      <c r="L736" s="146"/>
      <c r="M736" s="146"/>
      <c r="N736" s="146"/>
      <c r="O736" s="147"/>
      <c r="P736" s="146"/>
      <c r="Q736" s="146"/>
      <c r="R736" s="146"/>
      <c r="S736" s="146"/>
      <c r="T736" s="146"/>
      <c r="U736" s="146"/>
      <c r="V736" s="146"/>
      <c r="W736" s="148"/>
      <c r="X736" s="146"/>
      <c r="Y736" s="146"/>
      <c r="Z736" s="146"/>
      <c r="AA736" s="146"/>
      <c r="AB736" s="146"/>
      <c r="AC736" s="146"/>
    </row>
    <row r="737" ht="15.75" customHeight="1">
      <c r="A737" s="146"/>
      <c r="B737" s="146"/>
      <c r="C737" s="146"/>
      <c r="D737" s="146"/>
      <c r="E737" s="146"/>
      <c r="F737" s="146"/>
      <c r="G737" s="146"/>
      <c r="H737" s="146"/>
      <c r="I737" s="146"/>
      <c r="J737" s="146"/>
      <c r="K737" s="146"/>
      <c r="L737" s="146"/>
      <c r="M737" s="146"/>
      <c r="N737" s="146"/>
      <c r="O737" s="147"/>
      <c r="P737" s="146"/>
      <c r="Q737" s="146"/>
      <c r="R737" s="146"/>
      <c r="S737" s="146"/>
      <c r="T737" s="146"/>
      <c r="U737" s="146"/>
      <c r="V737" s="146"/>
      <c r="W737" s="148"/>
      <c r="X737" s="146"/>
      <c r="Y737" s="146"/>
      <c r="Z737" s="146"/>
      <c r="AA737" s="146"/>
      <c r="AB737" s="146"/>
      <c r="AC737" s="146"/>
    </row>
    <row r="738" ht="15.75" customHeight="1">
      <c r="A738" s="146"/>
      <c r="B738" s="146"/>
      <c r="C738" s="146"/>
      <c r="D738" s="146"/>
      <c r="E738" s="146"/>
      <c r="F738" s="146"/>
      <c r="G738" s="146"/>
      <c r="H738" s="146"/>
      <c r="I738" s="146"/>
      <c r="J738" s="146"/>
      <c r="K738" s="146"/>
      <c r="L738" s="146"/>
      <c r="M738" s="146"/>
      <c r="N738" s="146"/>
      <c r="O738" s="147"/>
      <c r="P738" s="146"/>
      <c r="Q738" s="146"/>
      <c r="R738" s="146"/>
      <c r="S738" s="146"/>
      <c r="T738" s="146"/>
      <c r="U738" s="146"/>
      <c r="V738" s="146"/>
      <c r="W738" s="148"/>
      <c r="X738" s="146"/>
      <c r="Y738" s="146"/>
      <c r="Z738" s="146"/>
      <c r="AA738" s="146"/>
      <c r="AB738" s="146"/>
      <c r="AC738" s="146"/>
    </row>
    <row r="739" ht="15.75" customHeight="1">
      <c r="A739" s="146"/>
      <c r="B739" s="146"/>
      <c r="C739" s="146"/>
      <c r="D739" s="146"/>
      <c r="E739" s="146"/>
      <c r="F739" s="146"/>
      <c r="G739" s="146"/>
      <c r="H739" s="146"/>
      <c r="I739" s="146"/>
      <c r="J739" s="146"/>
      <c r="K739" s="146"/>
      <c r="L739" s="146"/>
      <c r="M739" s="146"/>
      <c r="N739" s="146"/>
      <c r="O739" s="147"/>
      <c r="P739" s="146"/>
      <c r="Q739" s="146"/>
      <c r="R739" s="146"/>
      <c r="S739" s="146"/>
      <c r="T739" s="146"/>
      <c r="U739" s="146"/>
      <c r="V739" s="146"/>
      <c r="W739" s="148"/>
      <c r="X739" s="146"/>
      <c r="Y739" s="146"/>
      <c r="Z739" s="146"/>
      <c r="AA739" s="146"/>
      <c r="AB739" s="146"/>
      <c r="AC739" s="146"/>
    </row>
    <row r="740" ht="15.75" customHeight="1">
      <c r="A740" s="146"/>
      <c r="B740" s="146"/>
      <c r="C740" s="146"/>
      <c r="D740" s="146"/>
      <c r="E740" s="146"/>
      <c r="F740" s="146"/>
      <c r="G740" s="146"/>
      <c r="H740" s="146"/>
      <c r="I740" s="146"/>
      <c r="J740" s="146"/>
      <c r="K740" s="146"/>
      <c r="L740" s="146"/>
      <c r="M740" s="146"/>
      <c r="N740" s="146"/>
      <c r="O740" s="147"/>
      <c r="P740" s="146"/>
      <c r="Q740" s="146"/>
      <c r="R740" s="146"/>
      <c r="S740" s="146"/>
      <c r="T740" s="146"/>
      <c r="U740" s="146"/>
      <c r="V740" s="146"/>
      <c r="W740" s="148"/>
      <c r="X740" s="146"/>
      <c r="Y740" s="146"/>
      <c r="Z740" s="146"/>
      <c r="AA740" s="146"/>
      <c r="AB740" s="146"/>
      <c r="AC740" s="146"/>
    </row>
    <row r="741" ht="15.75" customHeight="1">
      <c r="A741" s="146"/>
      <c r="B741" s="146"/>
      <c r="C741" s="146"/>
      <c r="D741" s="146"/>
      <c r="E741" s="146"/>
      <c r="F741" s="146"/>
      <c r="G741" s="146"/>
      <c r="H741" s="146"/>
      <c r="I741" s="146"/>
      <c r="J741" s="146"/>
      <c r="K741" s="146"/>
      <c r="L741" s="146"/>
      <c r="M741" s="146"/>
      <c r="N741" s="146"/>
      <c r="O741" s="147"/>
      <c r="P741" s="146"/>
      <c r="Q741" s="146"/>
      <c r="R741" s="146"/>
      <c r="S741" s="146"/>
      <c r="T741" s="146"/>
      <c r="U741" s="146"/>
      <c r="V741" s="146"/>
      <c r="W741" s="148"/>
      <c r="X741" s="146"/>
      <c r="Y741" s="146"/>
      <c r="Z741" s="146"/>
      <c r="AA741" s="146"/>
      <c r="AB741" s="146"/>
      <c r="AC741" s="146"/>
    </row>
    <row r="742" ht="15.75" customHeight="1">
      <c r="A742" s="146"/>
      <c r="B742" s="146"/>
      <c r="C742" s="146"/>
      <c r="D742" s="146"/>
      <c r="E742" s="146"/>
      <c r="F742" s="146"/>
      <c r="G742" s="146"/>
      <c r="H742" s="146"/>
      <c r="I742" s="146"/>
      <c r="J742" s="146"/>
      <c r="K742" s="146"/>
      <c r="L742" s="146"/>
      <c r="M742" s="146"/>
      <c r="N742" s="146"/>
      <c r="O742" s="147"/>
      <c r="P742" s="146"/>
      <c r="Q742" s="146"/>
      <c r="R742" s="146"/>
      <c r="S742" s="146"/>
      <c r="T742" s="146"/>
      <c r="U742" s="146"/>
      <c r="V742" s="146"/>
      <c r="W742" s="148"/>
      <c r="X742" s="146"/>
      <c r="Y742" s="146"/>
      <c r="Z742" s="146"/>
      <c r="AA742" s="146"/>
      <c r="AB742" s="146"/>
      <c r="AC742" s="146"/>
    </row>
    <row r="743" ht="15.75" customHeight="1">
      <c r="A743" s="146"/>
      <c r="B743" s="146"/>
      <c r="C743" s="146"/>
      <c r="D743" s="146"/>
      <c r="E743" s="146"/>
      <c r="F743" s="146"/>
      <c r="G743" s="146"/>
      <c r="H743" s="146"/>
      <c r="I743" s="146"/>
      <c r="J743" s="146"/>
      <c r="K743" s="146"/>
      <c r="L743" s="146"/>
      <c r="M743" s="146"/>
      <c r="N743" s="146"/>
      <c r="O743" s="147"/>
      <c r="P743" s="146"/>
      <c r="Q743" s="146"/>
      <c r="R743" s="146"/>
      <c r="S743" s="146"/>
      <c r="T743" s="146"/>
      <c r="U743" s="146"/>
      <c r="V743" s="146"/>
      <c r="W743" s="148"/>
      <c r="X743" s="146"/>
      <c r="Y743" s="146"/>
      <c r="Z743" s="146"/>
      <c r="AA743" s="146"/>
      <c r="AB743" s="146"/>
      <c r="AC743" s="146"/>
    </row>
    <row r="744" ht="15.75" customHeight="1">
      <c r="A744" s="146"/>
      <c r="B744" s="146"/>
      <c r="C744" s="146"/>
      <c r="D744" s="146"/>
      <c r="E744" s="146"/>
      <c r="F744" s="146"/>
      <c r="G744" s="146"/>
      <c r="H744" s="146"/>
      <c r="I744" s="146"/>
      <c r="J744" s="146"/>
      <c r="K744" s="146"/>
      <c r="L744" s="146"/>
      <c r="M744" s="146"/>
      <c r="N744" s="146"/>
      <c r="O744" s="147"/>
      <c r="P744" s="146"/>
      <c r="Q744" s="146"/>
      <c r="R744" s="146"/>
      <c r="S744" s="146"/>
      <c r="T744" s="146"/>
      <c r="U744" s="146"/>
      <c r="V744" s="146"/>
      <c r="W744" s="148"/>
      <c r="X744" s="146"/>
      <c r="Y744" s="146"/>
      <c r="Z744" s="146"/>
      <c r="AA744" s="146"/>
      <c r="AB744" s="146"/>
      <c r="AC744" s="146"/>
    </row>
    <row r="745" ht="15.75" customHeight="1">
      <c r="A745" s="146"/>
      <c r="B745" s="146"/>
      <c r="C745" s="146"/>
      <c r="D745" s="146"/>
      <c r="E745" s="146"/>
      <c r="F745" s="146"/>
      <c r="G745" s="146"/>
      <c r="H745" s="146"/>
      <c r="I745" s="146"/>
      <c r="J745" s="146"/>
      <c r="K745" s="146"/>
      <c r="L745" s="146"/>
      <c r="M745" s="146"/>
      <c r="N745" s="146"/>
      <c r="O745" s="147"/>
      <c r="P745" s="146"/>
      <c r="Q745" s="146"/>
      <c r="R745" s="146"/>
      <c r="S745" s="146"/>
      <c r="T745" s="146"/>
      <c r="U745" s="146"/>
      <c r="V745" s="146"/>
      <c r="W745" s="148"/>
      <c r="X745" s="146"/>
      <c r="Y745" s="146"/>
      <c r="Z745" s="146"/>
      <c r="AA745" s="146"/>
      <c r="AB745" s="146"/>
      <c r="AC745" s="146"/>
    </row>
    <row r="746" ht="15.75" customHeight="1">
      <c r="A746" s="146"/>
      <c r="B746" s="146"/>
      <c r="C746" s="146"/>
      <c r="D746" s="146"/>
      <c r="E746" s="146"/>
      <c r="F746" s="146"/>
      <c r="G746" s="146"/>
      <c r="H746" s="146"/>
      <c r="I746" s="146"/>
      <c r="J746" s="146"/>
      <c r="K746" s="146"/>
      <c r="L746" s="146"/>
      <c r="M746" s="146"/>
      <c r="N746" s="146"/>
      <c r="O746" s="147"/>
      <c r="P746" s="146"/>
      <c r="Q746" s="146"/>
      <c r="R746" s="146"/>
      <c r="S746" s="146"/>
      <c r="T746" s="146"/>
      <c r="U746" s="146"/>
      <c r="V746" s="146"/>
      <c r="W746" s="148"/>
      <c r="X746" s="146"/>
      <c r="Y746" s="146"/>
      <c r="Z746" s="146"/>
      <c r="AA746" s="146"/>
      <c r="AB746" s="146"/>
      <c r="AC746" s="146"/>
    </row>
    <row r="747" ht="15.75" customHeight="1">
      <c r="A747" s="146"/>
      <c r="B747" s="146"/>
      <c r="C747" s="146"/>
      <c r="D747" s="146"/>
      <c r="E747" s="146"/>
      <c r="F747" s="146"/>
      <c r="G747" s="146"/>
      <c r="H747" s="146"/>
      <c r="I747" s="146"/>
      <c r="J747" s="146"/>
      <c r="K747" s="146"/>
      <c r="L747" s="146"/>
      <c r="M747" s="146"/>
      <c r="N747" s="146"/>
      <c r="O747" s="147"/>
      <c r="P747" s="146"/>
      <c r="Q747" s="146"/>
      <c r="R747" s="146"/>
      <c r="S747" s="146"/>
      <c r="T747" s="146"/>
      <c r="U747" s="146"/>
      <c r="V747" s="146"/>
      <c r="W747" s="148"/>
      <c r="X747" s="146"/>
      <c r="Y747" s="146"/>
      <c r="Z747" s="146"/>
      <c r="AA747" s="146"/>
      <c r="AB747" s="146"/>
      <c r="AC747" s="146"/>
    </row>
    <row r="748" ht="15.75" customHeight="1">
      <c r="A748" s="146"/>
      <c r="B748" s="146"/>
      <c r="C748" s="146"/>
      <c r="D748" s="146"/>
      <c r="E748" s="146"/>
      <c r="F748" s="146"/>
      <c r="G748" s="146"/>
      <c r="H748" s="146"/>
      <c r="I748" s="146"/>
      <c r="J748" s="146"/>
      <c r="K748" s="146"/>
      <c r="L748" s="146"/>
      <c r="M748" s="146"/>
      <c r="N748" s="146"/>
      <c r="O748" s="147"/>
      <c r="P748" s="146"/>
      <c r="Q748" s="146"/>
      <c r="R748" s="146"/>
      <c r="S748" s="146"/>
      <c r="T748" s="146"/>
      <c r="U748" s="146"/>
      <c r="V748" s="146"/>
      <c r="W748" s="148"/>
      <c r="X748" s="146"/>
      <c r="Y748" s="146"/>
      <c r="Z748" s="146"/>
      <c r="AA748" s="146"/>
      <c r="AB748" s="146"/>
      <c r="AC748" s="146"/>
    </row>
    <row r="749" ht="15.75" customHeight="1">
      <c r="A749" s="146"/>
      <c r="B749" s="146"/>
      <c r="C749" s="146"/>
      <c r="D749" s="146"/>
      <c r="E749" s="146"/>
      <c r="F749" s="146"/>
      <c r="G749" s="146"/>
      <c r="H749" s="146"/>
      <c r="I749" s="146"/>
      <c r="J749" s="146"/>
      <c r="K749" s="146"/>
      <c r="L749" s="146"/>
      <c r="M749" s="146"/>
      <c r="N749" s="146"/>
      <c r="O749" s="147"/>
      <c r="P749" s="146"/>
      <c r="Q749" s="146"/>
      <c r="R749" s="146"/>
      <c r="S749" s="146"/>
      <c r="T749" s="146"/>
      <c r="U749" s="146"/>
      <c r="V749" s="146"/>
      <c r="W749" s="148"/>
      <c r="X749" s="146"/>
      <c r="Y749" s="146"/>
      <c r="Z749" s="146"/>
      <c r="AA749" s="146"/>
      <c r="AB749" s="146"/>
      <c r="AC749" s="146"/>
    </row>
    <row r="750" ht="15.75" customHeight="1">
      <c r="A750" s="146"/>
      <c r="B750" s="146"/>
      <c r="C750" s="146"/>
      <c r="D750" s="146"/>
      <c r="E750" s="146"/>
      <c r="F750" s="146"/>
      <c r="G750" s="146"/>
      <c r="H750" s="146"/>
      <c r="I750" s="146"/>
      <c r="J750" s="146"/>
      <c r="K750" s="146"/>
      <c r="L750" s="146"/>
      <c r="M750" s="146"/>
      <c r="N750" s="146"/>
      <c r="O750" s="147"/>
      <c r="P750" s="146"/>
      <c r="Q750" s="146"/>
      <c r="R750" s="146"/>
      <c r="S750" s="146"/>
      <c r="T750" s="146"/>
      <c r="U750" s="146"/>
      <c r="V750" s="146"/>
      <c r="W750" s="148"/>
      <c r="X750" s="146"/>
      <c r="Y750" s="146"/>
      <c r="Z750" s="146"/>
      <c r="AA750" s="146"/>
      <c r="AB750" s="146"/>
      <c r="AC750" s="146"/>
    </row>
    <row r="751" ht="15.75" customHeight="1">
      <c r="A751" s="146"/>
      <c r="B751" s="146"/>
      <c r="C751" s="146"/>
      <c r="D751" s="146"/>
      <c r="E751" s="146"/>
      <c r="F751" s="146"/>
      <c r="G751" s="146"/>
      <c r="H751" s="146"/>
      <c r="I751" s="146"/>
      <c r="J751" s="146"/>
      <c r="K751" s="146"/>
      <c r="L751" s="146"/>
      <c r="M751" s="146"/>
      <c r="N751" s="146"/>
      <c r="O751" s="147"/>
      <c r="P751" s="146"/>
      <c r="Q751" s="146"/>
      <c r="R751" s="146"/>
      <c r="S751" s="146"/>
      <c r="T751" s="146"/>
      <c r="U751" s="146"/>
      <c r="V751" s="146"/>
      <c r="W751" s="148"/>
      <c r="X751" s="146"/>
      <c r="Y751" s="146"/>
      <c r="Z751" s="146"/>
      <c r="AA751" s="146"/>
      <c r="AB751" s="146"/>
      <c r="AC751" s="146"/>
    </row>
    <row r="752" ht="15.75" customHeight="1">
      <c r="A752" s="146"/>
      <c r="B752" s="146"/>
      <c r="C752" s="146"/>
      <c r="D752" s="146"/>
      <c r="E752" s="146"/>
      <c r="F752" s="146"/>
      <c r="G752" s="146"/>
      <c r="H752" s="146"/>
      <c r="I752" s="146"/>
      <c r="J752" s="146"/>
      <c r="K752" s="146"/>
      <c r="L752" s="146"/>
      <c r="M752" s="146"/>
      <c r="N752" s="146"/>
      <c r="O752" s="147"/>
      <c r="P752" s="146"/>
      <c r="Q752" s="146"/>
      <c r="R752" s="146"/>
      <c r="S752" s="146"/>
      <c r="T752" s="146"/>
      <c r="U752" s="146"/>
      <c r="V752" s="146"/>
      <c r="W752" s="148"/>
      <c r="X752" s="146"/>
      <c r="Y752" s="146"/>
      <c r="Z752" s="146"/>
      <c r="AA752" s="146"/>
      <c r="AB752" s="146"/>
      <c r="AC752" s="146"/>
    </row>
    <row r="753" ht="15.75" customHeight="1">
      <c r="A753" s="146"/>
      <c r="B753" s="146"/>
      <c r="C753" s="146"/>
      <c r="D753" s="146"/>
      <c r="E753" s="146"/>
      <c r="F753" s="146"/>
      <c r="G753" s="146"/>
      <c r="H753" s="146"/>
      <c r="I753" s="146"/>
      <c r="J753" s="146"/>
      <c r="K753" s="146"/>
      <c r="L753" s="146"/>
      <c r="M753" s="146"/>
      <c r="N753" s="146"/>
      <c r="O753" s="147"/>
      <c r="P753" s="146"/>
      <c r="Q753" s="146"/>
      <c r="R753" s="146"/>
      <c r="S753" s="146"/>
      <c r="T753" s="146"/>
      <c r="U753" s="146"/>
      <c r="V753" s="146"/>
      <c r="W753" s="148"/>
      <c r="X753" s="146"/>
      <c r="Y753" s="146"/>
      <c r="Z753" s="146"/>
      <c r="AA753" s="146"/>
      <c r="AB753" s="146"/>
      <c r="AC753" s="146"/>
    </row>
    <row r="754" ht="15.75" customHeight="1">
      <c r="A754" s="146"/>
      <c r="B754" s="146"/>
      <c r="C754" s="146"/>
      <c r="D754" s="146"/>
      <c r="E754" s="146"/>
      <c r="F754" s="146"/>
      <c r="G754" s="146"/>
      <c r="H754" s="146"/>
      <c r="I754" s="146"/>
      <c r="J754" s="146"/>
      <c r="K754" s="146"/>
      <c r="L754" s="146"/>
      <c r="M754" s="146"/>
      <c r="N754" s="146"/>
      <c r="O754" s="147"/>
      <c r="P754" s="146"/>
      <c r="Q754" s="146"/>
      <c r="R754" s="146"/>
      <c r="S754" s="146"/>
      <c r="T754" s="146"/>
      <c r="U754" s="146"/>
      <c r="V754" s="146"/>
      <c r="W754" s="148"/>
      <c r="X754" s="146"/>
      <c r="Y754" s="146"/>
      <c r="Z754" s="146"/>
      <c r="AA754" s="146"/>
      <c r="AB754" s="146"/>
      <c r="AC754" s="146"/>
    </row>
    <row r="755" ht="15.75" customHeight="1">
      <c r="A755" s="146"/>
      <c r="B755" s="146"/>
      <c r="C755" s="146"/>
      <c r="D755" s="146"/>
      <c r="E755" s="146"/>
      <c r="F755" s="146"/>
      <c r="G755" s="146"/>
      <c r="H755" s="146"/>
      <c r="I755" s="146"/>
      <c r="J755" s="146"/>
      <c r="K755" s="146"/>
      <c r="L755" s="146"/>
      <c r="M755" s="146"/>
      <c r="N755" s="146"/>
      <c r="O755" s="147"/>
      <c r="P755" s="146"/>
      <c r="Q755" s="146"/>
      <c r="R755" s="146"/>
      <c r="S755" s="146"/>
      <c r="T755" s="146"/>
      <c r="U755" s="146"/>
      <c r="V755" s="146"/>
      <c r="W755" s="148"/>
      <c r="X755" s="146"/>
      <c r="Y755" s="146"/>
      <c r="Z755" s="146"/>
      <c r="AA755" s="146"/>
      <c r="AB755" s="146"/>
      <c r="AC755" s="146"/>
    </row>
    <row r="756" ht="15.75" customHeight="1">
      <c r="A756" s="146"/>
      <c r="B756" s="146"/>
      <c r="C756" s="146"/>
      <c r="D756" s="146"/>
      <c r="E756" s="146"/>
      <c r="F756" s="146"/>
      <c r="G756" s="146"/>
      <c r="H756" s="146"/>
      <c r="I756" s="146"/>
      <c r="J756" s="146"/>
      <c r="K756" s="146"/>
      <c r="L756" s="146"/>
      <c r="M756" s="146"/>
      <c r="N756" s="146"/>
      <c r="O756" s="147"/>
      <c r="P756" s="146"/>
      <c r="Q756" s="146"/>
      <c r="R756" s="146"/>
      <c r="S756" s="146"/>
      <c r="T756" s="146"/>
      <c r="U756" s="146"/>
      <c r="V756" s="146"/>
      <c r="W756" s="148"/>
      <c r="X756" s="146"/>
      <c r="Y756" s="146"/>
      <c r="Z756" s="146"/>
      <c r="AA756" s="146"/>
      <c r="AB756" s="146"/>
      <c r="AC756" s="146"/>
    </row>
    <row r="757" ht="15.75" customHeight="1">
      <c r="A757" s="146"/>
      <c r="B757" s="146"/>
      <c r="C757" s="146"/>
      <c r="D757" s="146"/>
      <c r="E757" s="146"/>
      <c r="F757" s="146"/>
      <c r="G757" s="146"/>
      <c r="H757" s="146"/>
      <c r="I757" s="146"/>
      <c r="J757" s="146"/>
      <c r="K757" s="146"/>
      <c r="L757" s="146"/>
      <c r="M757" s="146"/>
      <c r="N757" s="146"/>
      <c r="O757" s="147"/>
      <c r="P757" s="146"/>
      <c r="Q757" s="146"/>
      <c r="R757" s="146"/>
      <c r="S757" s="146"/>
      <c r="T757" s="146"/>
      <c r="U757" s="146"/>
      <c r="V757" s="146"/>
      <c r="W757" s="148"/>
      <c r="X757" s="146"/>
      <c r="Y757" s="146"/>
      <c r="Z757" s="146"/>
      <c r="AA757" s="146"/>
      <c r="AB757" s="146"/>
      <c r="AC757" s="146"/>
    </row>
    <row r="758" ht="15.75" customHeight="1">
      <c r="A758" s="146"/>
      <c r="B758" s="146"/>
      <c r="C758" s="146"/>
      <c r="D758" s="146"/>
      <c r="E758" s="146"/>
      <c r="F758" s="146"/>
      <c r="G758" s="146"/>
      <c r="H758" s="146"/>
      <c r="I758" s="146"/>
      <c r="J758" s="146"/>
      <c r="K758" s="146"/>
      <c r="L758" s="146"/>
      <c r="M758" s="146"/>
      <c r="N758" s="146"/>
      <c r="O758" s="147"/>
      <c r="P758" s="146"/>
      <c r="Q758" s="146"/>
      <c r="R758" s="146"/>
      <c r="S758" s="146"/>
      <c r="T758" s="146"/>
      <c r="U758" s="146"/>
      <c r="V758" s="146"/>
      <c r="W758" s="148"/>
      <c r="X758" s="146"/>
      <c r="Y758" s="146"/>
      <c r="Z758" s="146"/>
      <c r="AA758" s="146"/>
      <c r="AB758" s="146"/>
      <c r="AC758" s="146"/>
    </row>
    <row r="759" ht="15.75" customHeight="1">
      <c r="A759" s="146"/>
      <c r="B759" s="146"/>
      <c r="C759" s="146"/>
      <c r="D759" s="146"/>
      <c r="E759" s="146"/>
      <c r="F759" s="146"/>
      <c r="G759" s="146"/>
      <c r="H759" s="146"/>
      <c r="I759" s="146"/>
      <c r="J759" s="146"/>
      <c r="K759" s="146"/>
      <c r="L759" s="146"/>
      <c r="M759" s="146"/>
      <c r="N759" s="146"/>
      <c r="O759" s="147"/>
      <c r="P759" s="146"/>
      <c r="Q759" s="146"/>
      <c r="R759" s="146"/>
      <c r="S759" s="146"/>
      <c r="T759" s="146"/>
      <c r="U759" s="146"/>
      <c r="V759" s="146"/>
      <c r="W759" s="148"/>
      <c r="X759" s="146"/>
      <c r="Y759" s="146"/>
      <c r="Z759" s="146"/>
      <c r="AA759" s="146"/>
      <c r="AB759" s="146"/>
      <c r="AC759" s="146"/>
    </row>
    <row r="760" ht="15.75" customHeight="1">
      <c r="A760" s="146"/>
      <c r="B760" s="146"/>
      <c r="C760" s="146"/>
      <c r="D760" s="146"/>
      <c r="E760" s="146"/>
      <c r="F760" s="146"/>
      <c r="G760" s="146"/>
      <c r="H760" s="146"/>
      <c r="I760" s="146"/>
      <c r="J760" s="146"/>
      <c r="K760" s="146"/>
      <c r="L760" s="146"/>
      <c r="M760" s="146"/>
      <c r="N760" s="146"/>
      <c r="O760" s="147"/>
      <c r="P760" s="146"/>
      <c r="Q760" s="146"/>
      <c r="R760" s="146"/>
      <c r="S760" s="146"/>
      <c r="T760" s="146"/>
      <c r="U760" s="146"/>
      <c r="V760" s="146"/>
      <c r="W760" s="148"/>
      <c r="X760" s="146"/>
      <c r="Y760" s="146"/>
      <c r="Z760" s="146"/>
      <c r="AA760" s="146"/>
      <c r="AB760" s="146"/>
      <c r="AC760" s="146"/>
    </row>
    <row r="761" ht="15.75" customHeight="1">
      <c r="A761" s="146"/>
      <c r="B761" s="146"/>
      <c r="C761" s="146"/>
      <c r="D761" s="146"/>
      <c r="E761" s="146"/>
      <c r="F761" s="146"/>
      <c r="G761" s="146"/>
      <c r="H761" s="146"/>
      <c r="I761" s="146"/>
      <c r="J761" s="146"/>
      <c r="K761" s="146"/>
      <c r="L761" s="146"/>
      <c r="M761" s="146"/>
      <c r="N761" s="146"/>
      <c r="O761" s="147"/>
      <c r="P761" s="146"/>
      <c r="Q761" s="146"/>
      <c r="R761" s="146"/>
      <c r="S761" s="146"/>
      <c r="T761" s="146"/>
      <c r="U761" s="146"/>
      <c r="V761" s="146"/>
      <c r="W761" s="148"/>
      <c r="X761" s="146"/>
      <c r="Y761" s="146"/>
      <c r="Z761" s="146"/>
      <c r="AA761" s="146"/>
      <c r="AB761" s="146"/>
      <c r="AC761" s="146"/>
    </row>
    <row r="762" ht="15.75" customHeight="1">
      <c r="A762" s="146"/>
      <c r="B762" s="146"/>
      <c r="C762" s="146"/>
      <c r="D762" s="146"/>
      <c r="E762" s="146"/>
      <c r="F762" s="146"/>
      <c r="G762" s="146"/>
      <c r="H762" s="146"/>
      <c r="I762" s="146"/>
      <c r="J762" s="146"/>
      <c r="K762" s="146"/>
      <c r="L762" s="146"/>
      <c r="M762" s="146"/>
      <c r="N762" s="146"/>
      <c r="O762" s="147"/>
      <c r="P762" s="146"/>
      <c r="Q762" s="146"/>
      <c r="R762" s="146"/>
      <c r="S762" s="146"/>
      <c r="T762" s="146"/>
      <c r="U762" s="146"/>
      <c r="V762" s="146"/>
      <c r="W762" s="148"/>
      <c r="X762" s="146"/>
      <c r="Y762" s="146"/>
      <c r="Z762" s="146"/>
      <c r="AA762" s="146"/>
      <c r="AB762" s="146"/>
      <c r="AC762" s="146"/>
    </row>
    <row r="763" ht="15.75" customHeight="1">
      <c r="A763" s="146"/>
      <c r="B763" s="146"/>
      <c r="C763" s="146"/>
      <c r="D763" s="146"/>
      <c r="E763" s="146"/>
      <c r="F763" s="146"/>
      <c r="G763" s="146"/>
      <c r="H763" s="146"/>
      <c r="I763" s="146"/>
      <c r="J763" s="146"/>
      <c r="K763" s="146"/>
      <c r="L763" s="146"/>
      <c r="M763" s="146"/>
      <c r="N763" s="146"/>
      <c r="O763" s="147"/>
      <c r="P763" s="146"/>
      <c r="Q763" s="146"/>
      <c r="R763" s="146"/>
      <c r="S763" s="146"/>
      <c r="T763" s="146"/>
      <c r="U763" s="146"/>
      <c r="V763" s="146"/>
      <c r="W763" s="148"/>
      <c r="X763" s="146"/>
      <c r="Y763" s="146"/>
      <c r="Z763" s="146"/>
      <c r="AA763" s="146"/>
      <c r="AB763" s="146"/>
      <c r="AC763" s="146"/>
    </row>
    <row r="764" ht="15.75" customHeight="1">
      <c r="A764" s="146"/>
      <c r="B764" s="146"/>
      <c r="C764" s="146"/>
      <c r="D764" s="146"/>
      <c r="E764" s="146"/>
      <c r="F764" s="146"/>
      <c r="G764" s="146"/>
      <c r="H764" s="146"/>
      <c r="I764" s="146"/>
      <c r="J764" s="146"/>
      <c r="K764" s="146"/>
      <c r="L764" s="146"/>
      <c r="M764" s="146"/>
      <c r="N764" s="146"/>
      <c r="O764" s="147"/>
      <c r="P764" s="146"/>
      <c r="Q764" s="146"/>
      <c r="R764" s="146"/>
      <c r="S764" s="146"/>
      <c r="T764" s="146"/>
      <c r="U764" s="146"/>
      <c r="V764" s="146"/>
      <c r="W764" s="148"/>
      <c r="X764" s="146"/>
      <c r="Y764" s="146"/>
      <c r="Z764" s="146"/>
      <c r="AA764" s="146"/>
      <c r="AB764" s="146"/>
      <c r="AC764" s="146"/>
    </row>
    <row r="765" ht="15.75" customHeight="1">
      <c r="A765" s="146"/>
      <c r="B765" s="146"/>
      <c r="C765" s="146"/>
      <c r="D765" s="146"/>
      <c r="E765" s="146"/>
      <c r="F765" s="146"/>
      <c r="G765" s="146"/>
      <c r="H765" s="146"/>
      <c r="I765" s="146"/>
      <c r="J765" s="146"/>
      <c r="K765" s="146"/>
      <c r="L765" s="146"/>
      <c r="M765" s="146"/>
      <c r="N765" s="146"/>
      <c r="O765" s="147"/>
      <c r="P765" s="146"/>
      <c r="Q765" s="146"/>
      <c r="R765" s="146"/>
      <c r="S765" s="146"/>
      <c r="T765" s="146"/>
      <c r="U765" s="146"/>
      <c r="V765" s="146"/>
      <c r="W765" s="148"/>
      <c r="X765" s="146"/>
      <c r="Y765" s="146"/>
      <c r="Z765" s="146"/>
      <c r="AA765" s="146"/>
      <c r="AB765" s="146"/>
      <c r="AC765" s="146"/>
    </row>
    <row r="766" ht="15.75" customHeight="1">
      <c r="A766" s="146"/>
      <c r="B766" s="146"/>
      <c r="C766" s="146"/>
      <c r="D766" s="146"/>
      <c r="E766" s="146"/>
      <c r="F766" s="146"/>
      <c r="G766" s="146"/>
      <c r="H766" s="146"/>
      <c r="I766" s="146"/>
      <c r="J766" s="146"/>
      <c r="K766" s="146"/>
      <c r="L766" s="146"/>
      <c r="M766" s="146"/>
      <c r="N766" s="146"/>
      <c r="O766" s="147"/>
      <c r="P766" s="146"/>
      <c r="Q766" s="146"/>
      <c r="R766" s="146"/>
      <c r="S766" s="146"/>
      <c r="T766" s="146"/>
      <c r="U766" s="146"/>
      <c r="V766" s="146"/>
      <c r="W766" s="148"/>
      <c r="X766" s="146"/>
      <c r="Y766" s="146"/>
      <c r="Z766" s="146"/>
      <c r="AA766" s="146"/>
      <c r="AB766" s="146"/>
      <c r="AC766" s="146"/>
    </row>
    <row r="767" ht="15.75" customHeight="1">
      <c r="A767" s="146"/>
      <c r="B767" s="146"/>
      <c r="C767" s="146"/>
      <c r="D767" s="146"/>
      <c r="E767" s="146"/>
      <c r="F767" s="146"/>
      <c r="G767" s="146"/>
      <c r="H767" s="146"/>
      <c r="I767" s="146"/>
      <c r="J767" s="146"/>
      <c r="K767" s="146"/>
      <c r="L767" s="146"/>
      <c r="M767" s="146"/>
      <c r="N767" s="146"/>
      <c r="O767" s="147"/>
      <c r="P767" s="146"/>
      <c r="Q767" s="146"/>
      <c r="R767" s="146"/>
      <c r="S767" s="146"/>
      <c r="T767" s="146"/>
      <c r="U767" s="146"/>
      <c r="V767" s="146"/>
      <c r="W767" s="148"/>
      <c r="X767" s="146"/>
      <c r="Y767" s="146"/>
      <c r="Z767" s="146"/>
      <c r="AA767" s="146"/>
      <c r="AB767" s="146"/>
      <c r="AC767" s="146"/>
    </row>
    <row r="768" ht="15.75" customHeight="1">
      <c r="A768" s="146"/>
      <c r="B768" s="146"/>
      <c r="C768" s="146"/>
      <c r="D768" s="146"/>
      <c r="E768" s="146"/>
      <c r="F768" s="146"/>
      <c r="G768" s="146"/>
      <c r="H768" s="146"/>
      <c r="I768" s="146"/>
      <c r="J768" s="146"/>
      <c r="K768" s="146"/>
      <c r="L768" s="146"/>
      <c r="M768" s="146"/>
      <c r="N768" s="146"/>
      <c r="O768" s="147"/>
      <c r="P768" s="146"/>
      <c r="Q768" s="146"/>
      <c r="R768" s="146"/>
      <c r="S768" s="146"/>
      <c r="T768" s="146"/>
      <c r="U768" s="146"/>
      <c r="V768" s="146"/>
      <c r="W768" s="148"/>
      <c r="X768" s="146"/>
      <c r="Y768" s="146"/>
      <c r="Z768" s="146"/>
      <c r="AA768" s="146"/>
      <c r="AB768" s="146"/>
      <c r="AC768" s="146"/>
    </row>
    <row r="769" ht="15.75" customHeight="1">
      <c r="A769" s="146"/>
      <c r="B769" s="146"/>
      <c r="C769" s="146"/>
      <c r="D769" s="146"/>
      <c r="E769" s="146"/>
      <c r="F769" s="146"/>
      <c r="G769" s="146"/>
      <c r="H769" s="146"/>
      <c r="I769" s="146"/>
      <c r="J769" s="146"/>
      <c r="K769" s="146"/>
      <c r="L769" s="146"/>
      <c r="M769" s="146"/>
      <c r="N769" s="146"/>
      <c r="O769" s="147"/>
      <c r="P769" s="146"/>
      <c r="Q769" s="146"/>
      <c r="R769" s="146"/>
      <c r="S769" s="146"/>
      <c r="T769" s="146"/>
      <c r="U769" s="146"/>
      <c r="V769" s="146"/>
      <c r="W769" s="148"/>
      <c r="X769" s="146"/>
      <c r="Y769" s="146"/>
      <c r="Z769" s="146"/>
      <c r="AA769" s="146"/>
      <c r="AB769" s="146"/>
      <c r="AC769" s="146"/>
    </row>
    <row r="770" ht="15.75" customHeight="1">
      <c r="A770" s="146"/>
      <c r="B770" s="146"/>
      <c r="C770" s="146"/>
      <c r="D770" s="146"/>
      <c r="E770" s="146"/>
      <c r="F770" s="146"/>
      <c r="G770" s="146"/>
      <c r="H770" s="146"/>
      <c r="I770" s="146"/>
      <c r="J770" s="146"/>
      <c r="K770" s="146"/>
      <c r="L770" s="146"/>
      <c r="M770" s="146"/>
      <c r="N770" s="146"/>
      <c r="O770" s="147"/>
      <c r="P770" s="146"/>
      <c r="Q770" s="146"/>
      <c r="R770" s="146"/>
      <c r="S770" s="146"/>
      <c r="T770" s="146"/>
      <c r="U770" s="146"/>
      <c r="V770" s="146"/>
      <c r="W770" s="148"/>
      <c r="X770" s="146"/>
      <c r="Y770" s="146"/>
      <c r="Z770" s="146"/>
      <c r="AA770" s="146"/>
      <c r="AB770" s="146"/>
      <c r="AC770" s="146"/>
    </row>
    <row r="771" ht="15.75" customHeight="1">
      <c r="A771" s="146"/>
      <c r="B771" s="146"/>
      <c r="C771" s="146"/>
      <c r="D771" s="146"/>
      <c r="E771" s="146"/>
      <c r="F771" s="146"/>
      <c r="G771" s="146"/>
      <c r="H771" s="146"/>
      <c r="I771" s="146"/>
      <c r="J771" s="146"/>
      <c r="K771" s="146"/>
      <c r="L771" s="146"/>
      <c r="M771" s="146"/>
      <c r="N771" s="146"/>
      <c r="O771" s="147"/>
      <c r="P771" s="146"/>
      <c r="Q771" s="146"/>
      <c r="R771" s="146"/>
      <c r="S771" s="146"/>
      <c r="T771" s="146"/>
      <c r="U771" s="146"/>
      <c r="V771" s="146"/>
      <c r="W771" s="148"/>
      <c r="X771" s="146"/>
      <c r="Y771" s="146"/>
      <c r="Z771" s="146"/>
      <c r="AA771" s="146"/>
      <c r="AB771" s="146"/>
      <c r="AC771" s="146"/>
    </row>
    <row r="772" ht="15.75" customHeight="1">
      <c r="A772" s="146"/>
      <c r="B772" s="146"/>
      <c r="C772" s="146"/>
      <c r="D772" s="146"/>
      <c r="E772" s="146"/>
      <c r="F772" s="146"/>
      <c r="G772" s="146"/>
      <c r="H772" s="146"/>
      <c r="I772" s="146"/>
      <c r="J772" s="146"/>
      <c r="K772" s="146"/>
      <c r="L772" s="146"/>
      <c r="M772" s="146"/>
      <c r="N772" s="146"/>
      <c r="O772" s="147"/>
      <c r="P772" s="146"/>
      <c r="Q772" s="146"/>
      <c r="R772" s="146"/>
      <c r="S772" s="146"/>
      <c r="T772" s="146"/>
      <c r="U772" s="146"/>
      <c r="V772" s="146"/>
      <c r="W772" s="148"/>
      <c r="X772" s="146"/>
      <c r="Y772" s="146"/>
      <c r="Z772" s="146"/>
      <c r="AA772" s="146"/>
      <c r="AB772" s="146"/>
      <c r="AC772" s="146"/>
    </row>
    <row r="773" ht="15.75" customHeight="1">
      <c r="A773" s="146"/>
      <c r="B773" s="146"/>
      <c r="C773" s="146"/>
      <c r="D773" s="146"/>
      <c r="E773" s="146"/>
      <c r="F773" s="146"/>
      <c r="G773" s="146"/>
      <c r="H773" s="146"/>
      <c r="I773" s="146"/>
      <c r="J773" s="146"/>
      <c r="K773" s="146"/>
      <c r="L773" s="146"/>
      <c r="M773" s="146"/>
      <c r="N773" s="146"/>
      <c r="O773" s="147"/>
      <c r="P773" s="146"/>
      <c r="Q773" s="146"/>
      <c r="R773" s="146"/>
      <c r="S773" s="146"/>
      <c r="T773" s="146"/>
      <c r="U773" s="146"/>
      <c r="V773" s="146"/>
      <c r="W773" s="148"/>
      <c r="X773" s="146"/>
      <c r="Y773" s="146"/>
      <c r="Z773" s="146"/>
      <c r="AA773" s="146"/>
      <c r="AB773" s="146"/>
      <c r="AC773" s="146"/>
    </row>
    <row r="774" ht="15.75" customHeight="1">
      <c r="A774" s="146"/>
      <c r="B774" s="146"/>
      <c r="C774" s="146"/>
      <c r="D774" s="146"/>
      <c r="E774" s="146"/>
      <c r="F774" s="146"/>
      <c r="G774" s="146"/>
      <c r="H774" s="146"/>
      <c r="I774" s="146"/>
      <c r="J774" s="146"/>
      <c r="K774" s="146"/>
      <c r="L774" s="146"/>
      <c r="M774" s="146"/>
      <c r="N774" s="146"/>
      <c r="O774" s="147"/>
      <c r="P774" s="146"/>
      <c r="Q774" s="146"/>
      <c r="R774" s="146"/>
      <c r="S774" s="146"/>
      <c r="T774" s="146"/>
      <c r="U774" s="146"/>
      <c r="V774" s="146"/>
      <c r="W774" s="148"/>
      <c r="X774" s="146"/>
      <c r="Y774" s="146"/>
      <c r="Z774" s="146"/>
      <c r="AA774" s="146"/>
      <c r="AB774" s="146"/>
      <c r="AC774" s="146"/>
    </row>
    <row r="775" ht="15.75" customHeight="1">
      <c r="A775" s="146"/>
      <c r="B775" s="146"/>
      <c r="C775" s="146"/>
      <c r="D775" s="146"/>
      <c r="E775" s="146"/>
      <c r="F775" s="146"/>
      <c r="G775" s="146"/>
      <c r="H775" s="146"/>
      <c r="I775" s="146"/>
      <c r="J775" s="146"/>
      <c r="K775" s="146"/>
      <c r="L775" s="146"/>
      <c r="M775" s="146"/>
      <c r="N775" s="146"/>
      <c r="O775" s="147"/>
      <c r="P775" s="146"/>
      <c r="Q775" s="146"/>
      <c r="R775" s="146"/>
      <c r="S775" s="146"/>
      <c r="T775" s="146"/>
      <c r="U775" s="146"/>
      <c r="V775" s="146"/>
      <c r="W775" s="148"/>
      <c r="X775" s="146"/>
      <c r="Y775" s="146"/>
      <c r="Z775" s="146"/>
      <c r="AA775" s="146"/>
      <c r="AB775" s="146"/>
      <c r="AC775" s="146"/>
    </row>
    <row r="776" ht="15.75" customHeight="1">
      <c r="A776" s="146"/>
      <c r="B776" s="146"/>
      <c r="C776" s="146"/>
      <c r="D776" s="146"/>
      <c r="E776" s="146"/>
      <c r="F776" s="146"/>
      <c r="G776" s="146"/>
      <c r="H776" s="146"/>
      <c r="I776" s="146"/>
      <c r="J776" s="146"/>
      <c r="K776" s="146"/>
      <c r="L776" s="146"/>
      <c r="M776" s="146"/>
      <c r="N776" s="146"/>
      <c r="O776" s="147"/>
      <c r="P776" s="146"/>
      <c r="Q776" s="146"/>
      <c r="R776" s="146"/>
      <c r="S776" s="146"/>
      <c r="T776" s="146"/>
      <c r="U776" s="146"/>
      <c r="V776" s="146"/>
      <c r="W776" s="148"/>
      <c r="X776" s="146"/>
      <c r="Y776" s="146"/>
      <c r="Z776" s="146"/>
      <c r="AA776" s="146"/>
      <c r="AB776" s="146"/>
      <c r="AC776" s="146"/>
    </row>
    <row r="777" ht="15.75" customHeight="1">
      <c r="A777" s="146"/>
      <c r="B777" s="146"/>
      <c r="C777" s="146"/>
      <c r="D777" s="146"/>
      <c r="E777" s="146"/>
      <c r="F777" s="146"/>
      <c r="G777" s="146"/>
      <c r="H777" s="146"/>
      <c r="I777" s="146"/>
      <c r="J777" s="146"/>
      <c r="K777" s="146"/>
      <c r="L777" s="146"/>
      <c r="M777" s="146"/>
      <c r="N777" s="146"/>
      <c r="O777" s="147"/>
      <c r="P777" s="146"/>
      <c r="Q777" s="146"/>
      <c r="R777" s="146"/>
      <c r="S777" s="146"/>
      <c r="T777" s="146"/>
      <c r="U777" s="146"/>
      <c r="V777" s="146"/>
      <c r="W777" s="148"/>
      <c r="X777" s="146"/>
      <c r="Y777" s="146"/>
      <c r="Z777" s="146"/>
      <c r="AA777" s="146"/>
      <c r="AB777" s="146"/>
      <c r="AC777" s="146"/>
    </row>
    <row r="778" ht="15.75" customHeight="1">
      <c r="A778" s="146"/>
      <c r="B778" s="146"/>
      <c r="C778" s="146"/>
      <c r="D778" s="146"/>
      <c r="E778" s="146"/>
      <c r="F778" s="146"/>
      <c r="G778" s="146"/>
      <c r="H778" s="146"/>
      <c r="I778" s="146"/>
      <c r="J778" s="146"/>
      <c r="K778" s="146"/>
      <c r="L778" s="146"/>
      <c r="M778" s="146"/>
      <c r="N778" s="146"/>
      <c r="O778" s="147"/>
      <c r="P778" s="146"/>
      <c r="Q778" s="146"/>
      <c r="R778" s="146"/>
      <c r="S778" s="146"/>
      <c r="T778" s="146"/>
      <c r="U778" s="146"/>
      <c r="V778" s="146"/>
      <c r="W778" s="148"/>
      <c r="X778" s="146"/>
      <c r="Y778" s="146"/>
      <c r="Z778" s="146"/>
      <c r="AA778" s="146"/>
      <c r="AB778" s="146"/>
      <c r="AC778" s="146"/>
    </row>
    <row r="779" ht="15.75" customHeight="1">
      <c r="A779" s="146"/>
      <c r="B779" s="146"/>
      <c r="C779" s="146"/>
      <c r="D779" s="146"/>
      <c r="E779" s="146"/>
      <c r="F779" s="146"/>
      <c r="G779" s="146"/>
      <c r="H779" s="146"/>
      <c r="I779" s="146"/>
      <c r="J779" s="146"/>
      <c r="K779" s="146"/>
      <c r="L779" s="146"/>
      <c r="M779" s="146"/>
      <c r="N779" s="146"/>
      <c r="O779" s="147"/>
      <c r="P779" s="146"/>
      <c r="Q779" s="146"/>
      <c r="R779" s="146"/>
      <c r="S779" s="146"/>
      <c r="T779" s="146"/>
      <c r="U779" s="146"/>
      <c r="V779" s="146"/>
      <c r="W779" s="148"/>
      <c r="X779" s="146"/>
      <c r="Y779" s="146"/>
      <c r="Z779" s="146"/>
      <c r="AA779" s="146"/>
      <c r="AB779" s="146"/>
      <c r="AC779" s="146"/>
    </row>
    <row r="780" ht="15.75" customHeight="1">
      <c r="A780" s="146"/>
      <c r="B780" s="146"/>
      <c r="C780" s="146"/>
      <c r="D780" s="146"/>
      <c r="E780" s="146"/>
      <c r="F780" s="146"/>
      <c r="G780" s="146"/>
      <c r="H780" s="146"/>
      <c r="I780" s="146"/>
      <c r="J780" s="146"/>
      <c r="K780" s="146"/>
      <c r="L780" s="146"/>
      <c r="M780" s="146"/>
      <c r="N780" s="146"/>
      <c r="O780" s="147"/>
      <c r="P780" s="146"/>
      <c r="Q780" s="146"/>
      <c r="R780" s="146"/>
      <c r="S780" s="146"/>
      <c r="T780" s="146"/>
      <c r="U780" s="146"/>
      <c r="V780" s="146"/>
      <c r="W780" s="148"/>
      <c r="X780" s="146"/>
      <c r="Y780" s="146"/>
      <c r="Z780" s="146"/>
      <c r="AA780" s="146"/>
      <c r="AB780" s="146"/>
      <c r="AC780" s="146"/>
    </row>
    <row r="781" ht="15.75" customHeight="1">
      <c r="A781" s="146"/>
      <c r="B781" s="146"/>
      <c r="C781" s="146"/>
      <c r="D781" s="146"/>
      <c r="E781" s="146"/>
      <c r="F781" s="146"/>
      <c r="G781" s="146"/>
      <c r="H781" s="146"/>
      <c r="I781" s="146"/>
      <c r="J781" s="146"/>
      <c r="K781" s="146"/>
      <c r="L781" s="146"/>
      <c r="M781" s="146"/>
      <c r="N781" s="146"/>
      <c r="O781" s="147"/>
      <c r="P781" s="146"/>
      <c r="Q781" s="146"/>
      <c r="R781" s="146"/>
      <c r="S781" s="146"/>
      <c r="T781" s="146"/>
      <c r="U781" s="146"/>
      <c r="V781" s="146"/>
      <c r="W781" s="148"/>
      <c r="X781" s="146"/>
      <c r="Y781" s="146"/>
      <c r="Z781" s="146"/>
      <c r="AA781" s="146"/>
      <c r="AB781" s="146"/>
      <c r="AC781" s="146"/>
    </row>
    <row r="782" ht="15.75" customHeight="1">
      <c r="A782" s="146"/>
      <c r="B782" s="146"/>
      <c r="C782" s="146"/>
      <c r="D782" s="146"/>
      <c r="E782" s="146"/>
      <c r="F782" s="146"/>
      <c r="G782" s="146"/>
      <c r="H782" s="146"/>
      <c r="I782" s="146"/>
      <c r="J782" s="146"/>
      <c r="K782" s="146"/>
      <c r="L782" s="146"/>
      <c r="M782" s="146"/>
      <c r="N782" s="146"/>
      <c r="O782" s="147"/>
      <c r="P782" s="146"/>
      <c r="Q782" s="146"/>
      <c r="R782" s="146"/>
      <c r="S782" s="146"/>
      <c r="T782" s="146"/>
      <c r="U782" s="146"/>
      <c r="V782" s="146"/>
      <c r="W782" s="148"/>
      <c r="X782" s="146"/>
      <c r="Y782" s="146"/>
      <c r="Z782" s="146"/>
      <c r="AA782" s="146"/>
      <c r="AB782" s="146"/>
      <c r="AC782" s="146"/>
    </row>
    <row r="783" ht="15.75" customHeight="1">
      <c r="A783" s="146"/>
      <c r="B783" s="146"/>
      <c r="C783" s="146"/>
      <c r="D783" s="146"/>
      <c r="E783" s="146"/>
      <c r="F783" s="146"/>
      <c r="G783" s="146"/>
      <c r="H783" s="146"/>
      <c r="I783" s="146"/>
      <c r="J783" s="146"/>
      <c r="K783" s="146"/>
      <c r="L783" s="146"/>
      <c r="M783" s="146"/>
      <c r="N783" s="146"/>
      <c r="O783" s="147"/>
      <c r="P783" s="146"/>
      <c r="Q783" s="146"/>
      <c r="R783" s="146"/>
      <c r="S783" s="146"/>
      <c r="T783" s="146"/>
      <c r="U783" s="146"/>
      <c r="V783" s="146"/>
      <c r="W783" s="148"/>
      <c r="X783" s="146"/>
      <c r="Y783" s="146"/>
      <c r="Z783" s="146"/>
      <c r="AA783" s="146"/>
      <c r="AB783" s="146"/>
      <c r="AC783" s="146"/>
    </row>
    <row r="784" ht="15.75" customHeight="1">
      <c r="A784" s="146"/>
      <c r="B784" s="146"/>
      <c r="C784" s="146"/>
      <c r="D784" s="146"/>
      <c r="E784" s="146"/>
      <c r="F784" s="146"/>
      <c r="G784" s="146"/>
      <c r="H784" s="146"/>
      <c r="I784" s="146"/>
      <c r="J784" s="146"/>
      <c r="K784" s="146"/>
      <c r="L784" s="146"/>
      <c r="M784" s="146"/>
      <c r="N784" s="146"/>
      <c r="O784" s="147"/>
      <c r="P784" s="146"/>
      <c r="Q784" s="146"/>
      <c r="R784" s="146"/>
      <c r="S784" s="146"/>
      <c r="T784" s="146"/>
      <c r="U784" s="146"/>
      <c r="V784" s="146"/>
      <c r="W784" s="148"/>
      <c r="X784" s="146"/>
      <c r="Y784" s="146"/>
      <c r="Z784" s="146"/>
      <c r="AA784" s="146"/>
      <c r="AB784" s="146"/>
      <c r="AC784" s="146"/>
    </row>
    <row r="785" ht="15.75" customHeight="1">
      <c r="A785" s="146"/>
      <c r="B785" s="146"/>
      <c r="C785" s="146"/>
      <c r="D785" s="146"/>
      <c r="E785" s="146"/>
      <c r="F785" s="146"/>
      <c r="G785" s="146"/>
      <c r="H785" s="146"/>
      <c r="I785" s="146"/>
      <c r="J785" s="146"/>
      <c r="K785" s="146"/>
      <c r="L785" s="146"/>
      <c r="M785" s="146"/>
      <c r="N785" s="146"/>
      <c r="O785" s="147"/>
      <c r="P785" s="146"/>
      <c r="Q785" s="146"/>
      <c r="R785" s="146"/>
      <c r="S785" s="146"/>
      <c r="T785" s="146"/>
      <c r="U785" s="146"/>
      <c r="V785" s="146"/>
      <c r="W785" s="148"/>
      <c r="X785" s="146"/>
      <c r="Y785" s="146"/>
      <c r="Z785" s="146"/>
      <c r="AA785" s="146"/>
      <c r="AB785" s="146"/>
      <c r="AC785" s="146"/>
    </row>
    <row r="786" ht="15.75" customHeight="1">
      <c r="A786" s="146"/>
      <c r="B786" s="146"/>
      <c r="C786" s="146"/>
      <c r="D786" s="146"/>
      <c r="E786" s="146"/>
      <c r="F786" s="146"/>
      <c r="G786" s="146"/>
      <c r="H786" s="146"/>
      <c r="I786" s="146"/>
      <c r="J786" s="146"/>
      <c r="K786" s="146"/>
      <c r="L786" s="146"/>
      <c r="M786" s="146"/>
      <c r="N786" s="146"/>
      <c r="O786" s="147"/>
      <c r="P786" s="146"/>
      <c r="Q786" s="146"/>
      <c r="R786" s="146"/>
      <c r="S786" s="146"/>
      <c r="T786" s="146"/>
      <c r="U786" s="146"/>
      <c r="V786" s="146"/>
      <c r="W786" s="148"/>
      <c r="X786" s="146"/>
      <c r="Y786" s="146"/>
      <c r="Z786" s="146"/>
      <c r="AA786" s="146"/>
      <c r="AB786" s="146"/>
      <c r="AC786" s="146"/>
    </row>
    <row r="787" ht="15.75" customHeight="1">
      <c r="A787" s="146"/>
      <c r="B787" s="146"/>
      <c r="C787" s="146"/>
      <c r="D787" s="146"/>
      <c r="E787" s="146"/>
      <c r="F787" s="146"/>
      <c r="G787" s="146"/>
      <c r="H787" s="146"/>
      <c r="I787" s="146"/>
      <c r="J787" s="146"/>
      <c r="K787" s="146"/>
      <c r="L787" s="146"/>
      <c r="M787" s="146"/>
      <c r="N787" s="146"/>
      <c r="O787" s="147"/>
      <c r="P787" s="146"/>
      <c r="Q787" s="146"/>
      <c r="R787" s="146"/>
      <c r="S787" s="146"/>
      <c r="T787" s="146"/>
      <c r="U787" s="146"/>
      <c r="V787" s="146"/>
      <c r="W787" s="148"/>
      <c r="X787" s="146"/>
      <c r="Y787" s="146"/>
      <c r="Z787" s="146"/>
      <c r="AA787" s="146"/>
      <c r="AB787" s="146"/>
      <c r="AC787" s="146"/>
    </row>
    <row r="788" ht="15.75" customHeight="1">
      <c r="A788" s="146"/>
      <c r="B788" s="146"/>
      <c r="C788" s="146"/>
      <c r="D788" s="146"/>
      <c r="E788" s="146"/>
      <c r="F788" s="146"/>
      <c r="G788" s="146"/>
      <c r="H788" s="146"/>
      <c r="I788" s="146"/>
      <c r="J788" s="146"/>
      <c r="K788" s="146"/>
      <c r="L788" s="146"/>
      <c r="M788" s="146"/>
      <c r="N788" s="146"/>
      <c r="O788" s="147"/>
      <c r="P788" s="146"/>
      <c r="Q788" s="146"/>
      <c r="R788" s="146"/>
      <c r="S788" s="146"/>
      <c r="T788" s="146"/>
      <c r="U788" s="146"/>
      <c r="V788" s="146"/>
      <c r="W788" s="148"/>
      <c r="X788" s="146"/>
      <c r="Y788" s="146"/>
      <c r="Z788" s="146"/>
      <c r="AA788" s="146"/>
      <c r="AB788" s="146"/>
      <c r="AC788" s="146"/>
    </row>
    <row r="789" ht="15.75" customHeight="1">
      <c r="A789" s="146"/>
      <c r="B789" s="146"/>
      <c r="C789" s="146"/>
      <c r="D789" s="146"/>
      <c r="E789" s="146"/>
      <c r="F789" s="146"/>
      <c r="G789" s="146"/>
      <c r="H789" s="146"/>
      <c r="I789" s="146"/>
      <c r="J789" s="146"/>
      <c r="K789" s="146"/>
      <c r="L789" s="146"/>
      <c r="M789" s="146"/>
      <c r="N789" s="146"/>
      <c r="O789" s="147"/>
      <c r="P789" s="146"/>
      <c r="Q789" s="146"/>
      <c r="R789" s="146"/>
      <c r="S789" s="146"/>
      <c r="T789" s="146"/>
      <c r="U789" s="146"/>
      <c r="V789" s="146"/>
      <c r="W789" s="148"/>
      <c r="X789" s="146"/>
      <c r="Y789" s="146"/>
      <c r="Z789" s="146"/>
      <c r="AA789" s="146"/>
      <c r="AB789" s="146"/>
      <c r="AC789" s="146"/>
    </row>
    <row r="790" ht="15.75" customHeight="1">
      <c r="A790" s="146"/>
      <c r="B790" s="146"/>
      <c r="C790" s="146"/>
      <c r="D790" s="146"/>
      <c r="E790" s="146"/>
      <c r="F790" s="146"/>
      <c r="G790" s="146"/>
      <c r="H790" s="146"/>
      <c r="I790" s="146"/>
      <c r="J790" s="146"/>
      <c r="K790" s="146"/>
      <c r="L790" s="146"/>
      <c r="M790" s="146"/>
      <c r="N790" s="146"/>
      <c r="O790" s="147"/>
      <c r="P790" s="146"/>
      <c r="Q790" s="146"/>
      <c r="R790" s="146"/>
      <c r="S790" s="146"/>
      <c r="T790" s="146"/>
      <c r="U790" s="146"/>
      <c r="V790" s="146"/>
      <c r="W790" s="148"/>
      <c r="X790" s="146"/>
      <c r="Y790" s="146"/>
      <c r="Z790" s="146"/>
      <c r="AA790" s="146"/>
      <c r="AB790" s="146"/>
      <c r="AC790" s="146"/>
    </row>
    <row r="791" ht="15.75" customHeight="1">
      <c r="A791" s="146"/>
      <c r="B791" s="146"/>
      <c r="C791" s="146"/>
      <c r="D791" s="146"/>
      <c r="E791" s="146"/>
      <c r="F791" s="146"/>
      <c r="G791" s="146"/>
      <c r="H791" s="146"/>
      <c r="I791" s="146"/>
      <c r="J791" s="146"/>
      <c r="K791" s="146"/>
      <c r="L791" s="146"/>
      <c r="M791" s="146"/>
      <c r="N791" s="146"/>
      <c r="O791" s="147"/>
      <c r="P791" s="146"/>
      <c r="Q791" s="146"/>
      <c r="R791" s="146"/>
      <c r="S791" s="146"/>
      <c r="T791" s="146"/>
      <c r="U791" s="146"/>
      <c r="V791" s="146"/>
      <c r="W791" s="148"/>
      <c r="X791" s="146"/>
      <c r="Y791" s="146"/>
      <c r="Z791" s="146"/>
      <c r="AA791" s="146"/>
      <c r="AB791" s="146"/>
      <c r="AC791" s="146"/>
    </row>
    <row r="792" ht="15.75" customHeight="1">
      <c r="A792" s="146"/>
      <c r="B792" s="146"/>
      <c r="C792" s="146"/>
      <c r="D792" s="146"/>
      <c r="E792" s="146"/>
      <c r="F792" s="146"/>
      <c r="G792" s="146"/>
      <c r="H792" s="146"/>
      <c r="I792" s="146"/>
      <c r="J792" s="146"/>
      <c r="K792" s="146"/>
      <c r="L792" s="146"/>
      <c r="M792" s="146"/>
      <c r="N792" s="146"/>
      <c r="O792" s="147"/>
      <c r="P792" s="146"/>
      <c r="Q792" s="146"/>
      <c r="R792" s="146"/>
      <c r="S792" s="146"/>
      <c r="T792" s="146"/>
      <c r="U792" s="146"/>
      <c r="V792" s="146"/>
      <c r="W792" s="148"/>
      <c r="X792" s="146"/>
      <c r="Y792" s="146"/>
      <c r="Z792" s="146"/>
      <c r="AA792" s="146"/>
      <c r="AB792" s="146"/>
      <c r="AC792" s="146"/>
    </row>
    <row r="793" ht="15.75" customHeight="1">
      <c r="A793" s="146"/>
      <c r="B793" s="146"/>
      <c r="C793" s="146"/>
      <c r="D793" s="146"/>
      <c r="E793" s="146"/>
      <c r="F793" s="146"/>
      <c r="G793" s="146"/>
      <c r="H793" s="146"/>
      <c r="I793" s="146"/>
      <c r="J793" s="146"/>
      <c r="K793" s="146"/>
      <c r="L793" s="146"/>
      <c r="M793" s="146"/>
      <c r="N793" s="146"/>
      <c r="O793" s="147"/>
      <c r="P793" s="146"/>
      <c r="Q793" s="146"/>
      <c r="R793" s="146"/>
      <c r="S793" s="146"/>
      <c r="T793" s="146"/>
      <c r="U793" s="146"/>
      <c r="V793" s="146"/>
      <c r="W793" s="148"/>
      <c r="X793" s="146"/>
      <c r="Y793" s="146"/>
      <c r="Z793" s="146"/>
      <c r="AA793" s="146"/>
      <c r="AB793" s="146"/>
      <c r="AC793" s="146"/>
    </row>
    <row r="794" ht="15.75" customHeight="1">
      <c r="A794" s="146"/>
      <c r="B794" s="146"/>
      <c r="C794" s="146"/>
      <c r="D794" s="146"/>
      <c r="E794" s="146"/>
      <c r="F794" s="146"/>
      <c r="G794" s="146"/>
      <c r="H794" s="146"/>
      <c r="I794" s="146"/>
      <c r="J794" s="146"/>
      <c r="K794" s="146"/>
      <c r="L794" s="146"/>
      <c r="M794" s="146"/>
      <c r="N794" s="146"/>
      <c r="O794" s="147"/>
      <c r="P794" s="146"/>
      <c r="Q794" s="146"/>
      <c r="R794" s="146"/>
      <c r="S794" s="146"/>
      <c r="T794" s="146"/>
      <c r="U794" s="146"/>
      <c r="V794" s="146"/>
      <c r="W794" s="148"/>
      <c r="X794" s="146"/>
      <c r="Y794" s="146"/>
      <c r="Z794" s="146"/>
      <c r="AA794" s="146"/>
      <c r="AB794" s="146"/>
      <c r="AC794" s="146"/>
    </row>
    <row r="795" ht="15.75" customHeight="1">
      <c r="A795" s="146"/>
      <c r="B795" s="146"/>
      <c r="C795" s="146"/>
      <c r="D795" s="146"/>
      <c r="E795" s="146"/>
      <c r="F795" s="146"/>
      <c r="G795" s="146"/>
      <c r="H795" s="146"/>
      <c r="I795" s="146"/>
      <c r="J795" s="146"/>
      <c r="K795" s="146"/>
      <c r="L795" s="146"/>
      <c r="M795" s="146"/>
      <c r="N795" s="146"/>
      <c r="O795" s="147"/>
      <c r="P795" s="146"/>
      <c r="Q795" s="146"/>
      <c r="R795" s="146"/>
      <c r="S795" s="146"/>
      <c r="T795" s="146"/>
      <c r="U795" s="146"/>
      <c r="V795" s="146"/>
      <c r="W795" s="148"/>
      <c r="X795" s="146"/>
      <c r="Y795" s="146"/>
      <c r="Z795" s="146"/>
      <c r="AA795" s="146"/>
      <c r="AB795" s="146"/>
      <c r="AC795" s="146"/>
    </row>
    <row r="796" ht="15.75" customHeight="1">
      <c r="A796" s="146"/>
      <c r="B796" s="146"/>
      <c r="C796" s="146"/>
      <c r="D796" s="146"/>
      <c r="E796" s="146"/>
      <c r="F796" s="146"/>
      <c r="G796" s="146"/>
      <c r="H796" s="146"/>
      <c r="I796" s="146"/>
      <c r="J796" s="146"/>
      <c r="K796" s="146"/>
      <c r="L796" s="146"/>
      <c r="M796" s="146"/>
      <c r="N796" s="146"/>
      <c r="O796" s="147"/>
      <c r="P796" s="146"/>
      <c r="Q796" s="146"/>
      <c r="R796" s="146"/>
      <c r="S796" s="146"/>
      <c r="T796" s="146"/>
      <c r="U796" s="146"/>
      <c r="V796" s="146"/>
      <c r="W796" s="148"/>
      <c r="X796" s="146"/>
      <c r="Y796" s="146"/>
      <c r="Z796" s="146"/>
      <c r="AA796" s="146"/>
      <c r="AB796" s="146"/>
      <c r="AC796" s="146"/>
    </row>
    <row r="797" ht="15.75" customHeight="1">
      <c r="A797" s="146"/>
      <c r="B797" s="146"/>
      <c r="C797" s="146"/>
      <c r="D797" s="146"/>
      <c r="E797" s="146"/>
      <c r="F797" s="146"/>
      <c r="G797" s="146"/>
      <c r="H797" s="146"/>
      <c r="I797" s="146"/>
      <c r="J797" s="146"/>
      <c r="K797" s="146"/>
      <c r="L797" s="146"/>
      <c r="M797" s="146"/>
      <c r="N797" s="146"/>
      <c r="O797" s="147"/>
      <c r="P797" s="146"/>
      <c r="Q797" s="146"/>
      <c r="R797" s="146"/>
      <c r="S797" s="146"/>
      <c r="T797" s="146"/>
      <c r="U797" s="146"/>
      <c r="V797" s="146"/>
      <c r="W797" s="148"/>
      <c r="X797" s="146"/>
      <c r="Y797" s="146"/>
      <c r="Z797" s="146"/>
      <c r="AA797" s="146"/>
      <c r="AB797" s="146"/>
      <c r="AC797" s="146"/>
    </row>
    <row r="798" ht="15.75" customHeight="1">
      <c r="A798" s="146"/>
      <c r="B798" s="146"/>
      <c r="C798" s="146"/>
      <c r="D798" s="146"/>
      <c r="E798" s="146"/>
      <c r="F798" s="146"/>
      <c r="G798" s="146"/>
      <c r="H798" s="146"/>
      <c r="I798" s="146"/>
      <c r="J798" s="146"/>
      <c r="K798" s="146"/>
      <c r="L798" s="146"/>
      <c r="M798" s="146"/>
      <c r="N798" s="146"/>
      <c r="O798" s="147"/>
      <c r="P798" s="146"/>
      <c r="Q798" s="146"/>
      <c r="R798" s="146"/>
      <c r="S798" s="146"/>
      <c r="T798" s="146"/>
      <c r="U798" s="146"/>
      <c r="V798" s="146"/>
      <c r="W798" s="148"/>
      <c r="X798" s="146"/>
      <c r="Y798" s="146"/>
      <c r="Z798" s="146"/>
      <c r="AA798" s="146"/>
      <c r="AB798" s="146"/>
      <c r="AC798" s="146"/>
    </row>
    <row r="799" ht="15.75" customHeight="1">
      <c r="A799" s="146"/>
      <c r="B799" s="146"/>
      <c r="C799" s="146"/>
      <c r="D799" s="146"/>
      <c r="E799" s="146"/>
      <c r="F799" s="146"/>
      <c r="G799" s="146"/>
      <c r="H799" s="146"/>
      <c r="I799" s="146"/>
      <c r="J799" s="146"/>
      <c r="K799" s="146"/>
      <c r="L799" s="146"/>
      <c r="M799" s="146"/>
      <c r="N799" s="146"/>
      <c r="O799" s="147"/>
      <c r="P799" s="146"/>
      <c r="Q799" s="146"/>
      <c r="R799" s="146"/>
      <c r="S799" s="146"/>
      <c r="T799" s="146"/>
      <c r="U799" s="146"/>
      <c r="V799" s="146"/>
      <c r="W799" s="148"/>
      <c r="X799" s="146"/>
      <c r="Y799" s="146"/>
      <c r="Z799" s="146"/>
      <c r="AA799" s="146"/>
      <c r="AB799" s="146"/>
      <c r="AC799" s="146"/>
    </row>
    <row r="800" ht="15.75" customHeight="1">
      <c r="A800" s="146"/>
      <c r="B800" s="146"/>
      <c r="C800" s="146"/>
      <c r="D800" s="146"/>
      <c r="E800" s="146"/>
      <c r="F800" s="146"/>
      <c r="G800" s="146"/>
      <c r="H800" s="146"/>
      <c r="I800" s="146"/>
      <c r="J800" s="146"/>
      <c r="K800" s="146"/>
      <c r="L800" s="146"/>
      <c r="M800" s="146"/>
      <c r="N800" s="146"/>
      <c r="O800" s="147"/>
      <c r="P800" s="146"/>
      <c r="Q800" s="146"/>
      <c r="R800" s="146"/>
      <c r="S800" s="146"/>
      <c r="T800" s="146"/>
      <c r="U800" s="146"/>
      <c r="V800" s="146"/>
      <c r="W800" s="148"/>
      <c r="X800" s="146"/>
      <c r="Y800" s="146"/>
      <c r="Z800" s="146"/>
      <c r="AA800" s="146"/>
      <c r="AB800" s="146"/>
      <c r="AC800" s="146"/>
    </row>
    <row r="801" ht="15.75" customHeight="1">
      <c r="A801" s="146"/>
      <c r="B801" s="146"/>
      <c r="C801" s="146"/>
      <c r="D801" s="146"/>
      <c r="E801" s="146"/>
      <c r="F801" s="146"/>
      <c r="G801" s="146"/>
      <c r="H801" s="146"/>
      <c r="I801" s="146"/>
      <c r="J801" s="146"/>
      <c r="K801" s="146"/>
      <c r="L801" s="146"/>
      <c r="M801" s="146"/>
      <c r="N801" s="146"/>
      <c r="O801" s="147"/>
      <c r="P801" s="146"/>
      <c r="Q801" s="146"/>
      <c r="R801" s="146"/>
      <c r="S801" s="146"/>
      <c r="T801" s="146"/>
      <c r="U801" s="146"/>
      <c r="V801" s="146"/>
      <c r="W801" s="148"/>
      <c r="X801" s="146"/>
      <c r="Y801" s="146"/>
      <c r="Z801" s="146"/>
      <c r="AA801" s="146"/>
      <c r="AB801" s="146"/>
      <c r="AC801" s="146"/>
    </row>
    <row r="802" ht="15.75" customHeight="1">
      <c r="A802" s="146"/>
      <c r="B802" s="146"/>
      <c r="C802" s="146"/>
      <c r="D802" s="146"/>
      <c r="E802" s="146"/>
      <c r="F802" s="146"/>
      <c r="G802" s="146"/>
      <c r="H802" s="146"/>
      <c r="I802" s="146"/>
      <c r="J802" s="146"/>
      <c r="K802" s="146"/>
      <c r="L802" s="146"/>
      <c r="M802" s="146"/>
      <c r="N802" s="146"/>
      <c r="O802" s="147"/>
      <c r="P802" s="146"/>
      <c r="Q802" s="146"/>
      <c r="R802" s="146"/>
      <c r="S802" s="146"/>
      <c r="T802" s="146"/>
      <c r="U802" s="146"/>
      <c r="V802" s="146"/>
      <c r="W802" s="148"/>
      <c r="X802" s="146"/>
      <c r="Y802" s="146"/>
      <c r="Z802" s="146"/>
      <c r="AA802" s="146"/>
      <c r="AB802" s="146"/>
      <c r="AC802" s="146"/>
    </row>
    <row r="803" ht="15.75" customHeight="1">
      <c r="A803" s="146"/>
      <c r="B803" s="146"/>
      <c r="C803" s="146"/>
      <c r="D803" s="146"/>
      <c r="E803" s="146"/>
      <c r="F803" s="146"/>
      <c r="G803" s="146"/>
      <c r="H803" s="146"/>
      <c r="I803" s="146"/>
      <c r="J803" s="146"/>
      <c r="K803" s="146"/>
      <c r="L803" s="146"/>
      <c r="M803" s="146"/>
      <c r="N803" s="146"/>
      <c r="O803" s="147"/>
      <c r="P803" s="146"/>
      <c r="Q803" s="146"/>
      <c r="R803" s="146"/>
      <c r="S803" s="146"/>
      <c r="T803" s="146"/>
      <c r="U803" s="146"/>
      <c r="V803" s="146"/>
      <c r="W803" s="148"/>
      <c r="X803" s="146"/>
      <c r="Y803" s="146"/>
      <c r="Z803" s="146"/>
      <c r="AA803" s="146"/>
      <c r="AB803" s="146"/>
      <c r="AC803" s="146"/>
    </row>
    <row r="804" ht="15.75" customHeight="1">
      <c r="A804" s="146"/>
      <c r="B804" s="146"/>
      <c r="C804" s="146"/>
      <c r="D804" s="146"/>
      <c r="E804" s="146"/>
      <c r="F804" s="146"/>
      <c r="G804" s="146"/>
      <c r="H804" s="146"/>
      <c r="I804" s="146"/>
      <c r="J804" s="146"/>
      <c r="K804" s="146"/>
      <c r="L804" s="146"/>
      <c r="M804" s="146"/>
      <c r="N804" s="146"/>
      <c r="O804" s="147"/>
      <c r="P804" s="146"/>
      <c r="Q804" s="146"/>
      <c r="R804" s="146"/>
      <c r="S804" s="146"/>
      <c r="T804" s="146"/>
      <c r="U804" s="146"/>
      <c r="V804" s="146"/>
      <c r="W804" s="148"/>
      <c r="X804" s="146"/>
      <c r="Y804" s="146"/>
      <c r="Z804" s="146"/>
      <c r="AA804" s="146"/>
      <c r="AB804" s="146"/>
      <c r="AC804" s="146"/>
    </row>
    <row r="805" ht="15.75" customHeight="1">
      <c r="A805" s="146"/>
      <c r="B805" s="146"/>
      <c r="C805" s="146"/>
      <c r="D805" s="146"/>
      <c r="E805" s="146"/>
      <c r="F805" s="146"/>
      <c r="G805" s="146"/>
      <c r="H805" s="146"/>
      <c r="I805" s="146"/>
      <c r="J805" s="146"/>
      <c r="K805" s="146"/>
      <c r="L805" s="146"/>
      <c r="M805" s="146"/>
      <c r="N805" s="146"/>
      <c r="O805" s="147"/>
      <c r="P805" s="146"/>
      <c r="Q805" s="146"/>
      <c r="R805" s="146"/>
      <c r="S805" s="146"/>
      <c r="T805" s="146"/>
      <c r="U805" s="146"/>
      <c r="V805" s="146"/>
      <c r="W805" s="148"/>
      <c r="X805" s="146"/>
      <c r="Y805" s="146"/>
      <c r="Z805" s="146"/>
      <c r="AA805" s="146"/>
      <c r="AB805" s="146"/>
      <c r="AC805" s="146"/>
    </row>
    <row r="806" ht="15.75" customHeight="1">
      <c r="A806" s="146"/>
      <c r="B806" s="146"/>
      <c r="C806" s="146"/>
      <c r="D806" s="146"/>
      <c r="E806" s="146"/>
      <c r="F806" s="146"/>
      <c r="G806" s="146"/>
      <c r="H806" s="146"/>
      <c r="I806" s="146"/>
      <c r="J806" s="146"/>
      <c r="K806" s="146"/>
      <c r="L806" s="146"/>
      <c r="M806" s="146"/>
      <c r="N806" s="146"/>
      <c r="O806" s="147"/>
      <c r="P806" s="146"/>
      <c r="Q806" s="146"/>
      <c r="R806" s="146"/>
      <c r="S806" s="146"/>
      <c r="T806" s="146"/>
      <c r="U806" s="146"/>
      <c r="V806" s="146"/>
      <c r="W806" s="148"/>
      <c r="X806" s="146"/>
      <c r="Y806" s="146"/>
      <c r="Z806" s="146"/>
      <c r="AA806" s="146"/>
      <c r="AB806" s="146"/>
      <c r="AC806" s="146"/>
    </row>
    <row r="807" ht="15.75" customHeight="1">
      <c r="A807" s="146"/>
      <c r="B807" s="146"/>
      <c r="C807" s="146"/>
      <c r="D807" s="146"/>
      <c r="E807" s="146"/>
      <c r="F807" s="146"/>
      <c r="G807" s="146"/>
      <c r="H807" s="146"/>
      <c r="I807" s="146"/>
      <c r="J807" s="146"/>
      <c r="K807" s="146"/>
      <c r="L807" s="146"/>
      <c r="M807" s="146"/>
      <c r="N807" s="146"/>
      <c r="O807" s="147"/>
      <c r="P807" s="146"/>
      <c r="Q807" s="146"/>
      <c r="R807" s="146"/>
      <c r="S807" s="146"/>
      <c r="T807" s="146"/>
      <c r="U807" s="146"/>
      <c r="V807" s="146"/>
      <c r="W807" s="148"/>
      <c r="X807" s="146"/>
      <c r="Y807" s="146"/>
      <c r="Z807" s="146"/>
      <c r="AA807" s="146"/>
      <c r="AB807" s="146"/>
      <c r="AC807" s="146"/>
    </row>
    <row r="808" ht="15.75" customHeight="1">
      <c r="A808" s="146"/>
      <c r="B808" s="146"/>
      <c r="C808" s="146"/>
      <c r="D808" s="146"/>
      <c r="E808" s="146"/>
      <c r="F808" s="146"/>
      <c r="G808" s="146"/>
      <c r="H808" s="146"/>
      <c r="I808" s="146"/>
      <c r="J808" s="146"/>
      <c r="K808" s="146"/>
      <c r="L808" s="146"/>
      <c r="M808" s="146"/>
      <c r="N808" s="146"/>
      <c r="O808" s="147"/>
      <c r="P808" s="146"/>
      <c r="Q808" s="146"/>
      <c r="R808" s="146"/>
      <c r="S808" s="146"/>
      <c r="T808" s="146"/>
      <c r="U808" s="146"/>
      <c r="V808" s="146"/>
      <c r="W808" s="148"/>
      <c r="X808" s="146"/>
      <c r="Y808" s="146"/>
      <c r="Z808" s="146"/>
      <c r="AA808" s="146"/>
      <c r="AB808" s="146"/>
      <c r="AC808" s="146"/>
    </row>
    <row r="809" ht="15.75" customHeight="1">
      <c r="A809" s="146"/>
      <c r="B809" s="146"/>
      <c r="C809" s="146"/>
      <c r="D809" s="146"/>
      <c r="E809" s="146"/>
      <c r="F809" s="146"/>
      <c r="G809" s="146"/>
      <c r="H809" s="146"/>
      <c r="I809" s="146"/>
      <c r="J809" s="146"/>
      <c r="K809" s="146"/>
      <c r="L809" s="146"/>
      <c r="M809" s="146"/>
      <c r="N809" s="146"/>
      <c r="O809" s="147"/>
      <c r="P809" s="146"/>
      <c r="Q809" s="146"/>
      <c r="R809" s="146"/>
      <c r="S809" s="146"/>
      <c r="T809" s="146"/>
      <c r="U809" s="146"/>
      <c r="V809" s="146"/>
      <c r="W809" s="148"/>
      <c r="X809" s="146"/>
      <c r="Y809" s="146"/>
      <c r="Z809" s="146"/>
      <c r="AA809" s="146"/>
      <c r="AB809" s="146"/>
      <c r="AC809" s="146"/>
    </row>
    <row r="810" ht="15.75" customHeight="1">
      <c r="A810" s="146"/>
      <c r="B810" s="146"/>
      <c r="C810" s="146"/>
      <c r="D810" s="146"/>
      <c r="E810" s="146"/>
      <c r="F810" s="146"/>
      <c r="G810" s="146"/>
      <c r="H810" s="146"/>
      <c r="I810" s="146"/>
      <c r="J810" s="146"/>
      <c r="K810" s="146"/>
      <c r="L810" s="146"/>
      <c r="M810" s="146"/>
      <c r="N810" s="146"/>
      <c r="O810" s="147"/>
      <c r="P810" s="146"/>
      <c r="Q810" s="146"/>
      <c r="R810" s="146"/>
      <c r="S810" s="146"/>
      <c r="T810" s="146"/>
      <c r="U810" s="146"/>
      <c r="V810" s="146"/>
      <c r="W810" s="148"/>
      <c r="X810" s="146"/>
      <c r="Y810" s="146"/>
      <c r="Z810" s="146"/>
      <c r="AA810" s="146"/>
      <c r="AB810" s="146"/>
      <c r="AC810" s="146"/>
    </row>
    <row r="811" ht="15.75" customHeight="1">
      <c r="A811" s="146"/>
      <c r="B811" s="146"/>
      <c r="C811" s="146"/>
      <c r="D811" s="146"/>
      <c r="E811" s="146"/>
      <c r="F811" s="146"/>
      <c r="G811" s="146"/>
      <c r="H811" s="146"/>
      <c r="I811" s="146"/>
      <c r="J811" s="146"/>
      <c r="K811" s="146"/>
      <c r="L811" s="146"/>
      <c r="M811" s="146"/>
      <c r="N811" s="146"/>
      <c r="O811" s="147"/>
      <c r="P811" s="146"/>
      <c r="Q811" s="146"/>
      <c r="R811" s="146"/>
      <c r="S811" s="146"/>
      <c r="T811" s="146"/>
      <c r="U811" s="146"/>
      <c r="V811" s="146"/>
      <c r="W811" s="148"/>
      <c r="X811" s="146"/>
      <c r="Y811" s="146"/>
      <c r="Z811" s="146"/>
      <c r="AA811" s="146"/>
      <c r="AB811" s="146"/>
      <c r="AC811" s="146"/>
    </row>
    <row r="812" ht="15.75" customHeight="1">
      <c r="A812" s="146"/>
      <c r="B812" s="146"/>
      <c r="C812" s="146"/>
      <c r="D812" s="146"/>
      <c r="E812" s="146"/>
      <c r="F812" s="146"/>
      <c r="G812" s="146"/>
      <c r="H812" s="146"/>
      <c r="I812" s="146"/>
      <c r="J812" s="146"/>
      <c r="K812" s="146"/>
      <c r="L812" s="146"/>
      <c r="M812" s="146"/>
      <c r="N812" s="146"/>
      <c r="O812" s="147"/>
      <c r="P812" s="146"/>
      <c r="Q812" s="146"/>
      <c r="R812" s="146"/>
      <c r="S812" s="146"/>
      <c r="T812" s="146"/>
      <c r="U812" s="146"/>
      <c r="V812" s="146"/>
      <c r="W812" s="148"/>
      <c r="X812" s="146"/>
      <c r="Y812" s="146"/>
      <c r="Z812" s="146"/>
      <c r="AA812" s="146"/>
      <c r="AB812" s="146"/>
      <c r="AC812" s="146"/>
    </row>
    <row r="813" ht="15.75" customHeight="1">
      <c r="A813" s="146"/>
      <c r="B813" s="146"/>
      <c r="C813" s="146"/>
      <c r="D813" s="146"/>
      <c r="E813" s="146"/>
      <c r="F813" s="146"/>
      <c r="G813" s="146"/>
      <c r="H813" s="146"/>
      <c r="I813" s="146"/>
      <c r="J813" s="146"/>
      <c r="K813" s="146"/>
      <c r="L813" s="146"/>
      <c r="M813" s="146"/>
      <c r="N813" s="146"/>
      <c r="O813" s="147"/>
      <c r="P813" s="146"/>
      <c r="Q813" s="146"/>
      <c r="R813" s="146"/>
      <c r="S813" s="146"/>
      <c r="T813" s="146"/>
      <c r="U813" s="146"/>
      <c r="V813" s="146"/>
      <c r="W813" s="148"/>
      <c r="X813" s="146"/>
      <c r="Y813" s="146"/>
      <c r="Z813" s="146"/>
      <c r="AA813" s="146"/>
      <c r="AB813" s="146"/>
      <c r="AC813" s="146"/>
    </row>
    <row r="814" ht="15.75" customHeight="1">
      <c r="A814" s="146"/>
      <c r="B814" s="146"/>
      <c r="C814" s="146"/>
      <c r="D814" s="146"/>
      <c r="E814" s="146"/>
      <c r="F814" s="146"/>
      <c r="G814" s="146"/>
      <c r="H814" s="146"/>
      <c r="I814" s="146"/>
      <c r="J814" s="146"/>
      <c r="K814" s="146"/>
      <c r="L814" s="146"/>
      <c r="M814" s="146"/>
      <c r="N814" s="146"/>
      <c r="O814" s="147"/>
      <c r="P814" s="146"/>
      <c r="Q814" s="146"/>
      <c r="R814" s="146"/>
      <c r="S814" s="146"/>
      <c r="T814" s="146"/>
      <c r="U814" s="146"/>
      <c r="V814" s="146"/>
      <c r="W814" s="148"/>
      <c r="X814" s="146"/>
      <c r="Y814" s="146"/>
      <c r="Z814" s="146"/>
      <c r="AA814" s="146"/>
      <c r="AB814" s="146"/>
      <c r="AC814" s="146"/>
    </row>
    <row r="815" ht="15.75" customHeight="1">
      <c r="A815" s="146"/>
      <c r="B815" s="146"/>
      <c r="C815" s="146"/>
      <c r="D815" s="146"/>
      <c r="E815" s="146"/>
      <c r="F815" s="146"/>
      <c r="G815" s="146"/>
      <c r="H815" s="146"/>
      <c r="I815" s="146"/>
      <c r="J815" s="146"/>
      <c r="K815" s="146"/>
      <c r="L815" s="146"/>
      <c r="M815" s="146"/>
      <c r="N815" s="146"/>
      <c r="O815" s="147"/>
      <c r="P815" s="146"/>
      <c r="Q815" s="146"/>
      <c r="R815" s="146"/>
      <c r="S815" s="146"/>
      <c r="T815" s="146"/>
      <c r="U815" s="146"/>
      <c r="V815" s="146"/>
      <c r="W815" s="148"/>
      <c r="X815" s="146"/>
      <c r="Y815" s="146"/>
      <c r="Z815" s="146"/>
      <c r="AA815" s="146"/>
      <c r="AB815" s="146"/>
      <c r="AC815" s="146"/>
    </row>
    <row r="816" ht="15.75" customHeight="1">
      <c r="A816" s="146"/>
      <c r="B816" s="146"/>
      <c r="C816" s="146"/>
      <c r="D816" s="146"/>
      <c r="E816" s="146"/>
      <c r="F816" s="146"/>
      <c r="G816" s="146"/>
      <c r="H816" s="146"/>
      <c r="I816" s="146"/>
      <c r="J816" s="146"/>
      <c r="K816" s="146"/>
      <c r="L816" s="146"/>
      <c r="M816" s="146"/>
      <c r="N816" s="146"/>
      <c r="O816" s="147"/>
      <c r="P816" s="146"/>
      <c r="Q816" s="146"/>
      <c r="R816" s="146"/>
      <c r="S816" s="146"/>
      <c r="T816" s="146"/>
      <c r="U816" s="146"/>
      <c r="V816" s="146"/>
      <c r="W816" s="148"/>
      <c r="X816" s="146"/>
      <c r="Y816" s="146"/>
      <c r="Z816" s="146"/>
      <c r="AA816" s="146"/>
      <c r="AB816" s="146"/>
      <c r="AC816" s="146"/>
    </row>
    <row r="817" ht="15.75" customHeight="1">
      <c r="A817" s="146"/>
      <c r="B817" s="146"/>
      <c r="C817" s="146"/>
      <c r="D817" s="146"/>
      <c r="E817" s="146"/>
      <c r="F817" s="146"/>
      <c r="G817" s="146"/>
      <c r="H817" s="146"/>
      <c r="I817" s="146"/>
      <c r="J817" s="146"/>
      <c r="K817" s="146"/>
      <c r="L817" s="146"/>
      <c r="M817" s="146"/>
      <c r="N817" s="146"/>
      <c r="O817" s="147"/>
      <c r="P817" s="146"/>
      <c r="Q817" s="146"/>
      <c r="R817" s="146"/>
      <c r="S817" s="146"/>
      <c r="T817" s="146"/>
      <c r="U817" s="146"/>
      <c r="V817" s="146"/>
      <c r="W817" s="148"/>
      <c r="X817" s="146"/>
      <c r="Y817" s="146"/>
      <c r="Z817" s="146"/>
      <c r="AA817" s="146"/>
      <c r="AB817" s="146"/>
      <c r="AC817" s="146"/>
    </row>
    <row r="818" ht="15.75" customHeight="1">
      <c r="A818" s="146"/>
      <c r="B818" s="146"/>
      <c r="C818" s="146"/>
      <c r="D818" s="146"/>
      <c r="E818" s="146"/>
      <c r="F818" s="146"/>
      <c r="G818" s="146"/>
      <c r="H818" s="146"/>
      <c r="I818" s="146"/>
      <c r="J818" s="146"/>
      <c r="K818" s="146"/>
      <c r="L818" s="146"/>
      <c r="M818" s="146"/>
      <c r="N818" s="146"/>
      <c r="O818" s="147"/>
      <c r="P818" s="146"/>
      <c r="Q818" s="146"/>
      <c r="R818" s="146"/>
      <c r="S818" s="146"/>
      <c r="T818" s="146"/>
      <c r="U818" s="146"/>
      <c r="V818" s="146"/>
      <c r="W818" s="148"/>
      <c r="X818" s="146"/>
      <c r="Y818" s="146"/>
      <c r="Z818" s="146"/>
      <c r="AA818" s="146"/>
      <c r="AB818" s="146"/>
      <c r="AC818" s="146"/>
    </row>
    <row r="819" ht="15.75" customHeight="1">
      <c r="A819" s="146"/>
      <c r="B819" s="146"/>
      <c r="C819" s="146"/>
      <c r="D819" s="146"/>
      <c r="E819" s="146"/>
      <c r="F819" s="146"/>
      <c r="G819" s="146"/>
      <c r="H819" s="146"/>
      <c r="I819" s="146"/>
      <c r="J819" s="146"/>
      <c r="K819" s="146"/>
      <c r="L819" s="146"/>
      <c r="M819" s="146"/>
      <c r="N819" s="146"/>
      <c r="O819" s="147"/>
      <c r="P819" s="146"/>
      <c r="Q819" s="146"/>
      <c r="R819" s="146"/>
      <c r="S819" s="146"/>
      <c r="T819" s="146"/>
      <c r="U819" s="146"/>
      <c r="V819" s="146"/>
      <c r="W819" s="148"/>
      <c r="X819" s="146"/>
      <c r="Y819" s="146"/>
      <c r="Z819" s="146"/>
      <c r="AA819" s="146"/>
      <c r="AB819" s="146"/>
      <c r="AC819" s="146"/>
    </row>
    <row r="820" ht="15.75" customHeight="1">
      <c r="A820" s="146"/>
      <c r="B820" s="146"/>
      <c r="C820" s="146"/>
      <c r="D820" s="146"/>
      <c r="E820" s="146"/>
      <c r="F820" s="146"/>
      <c r="G820" s="146"/>
      <c r="H820" s="146"/>
      <c r="I820" s="146"/>
      <c r="J820" s="146"/>
      <c r="K820" s="146"/>
      <c r="L820" s="146"/>
      <c r="M820" s="146"/>
      <c r="N820" s="146"/>
      <c r="O820" s="147"/>
      <c r="P820" s="146"/>
      <c r="Q820" s="146"/>
      <c r="R820" s="146"/>
      <c r="S820" s="146"/>
      <c r="T820" s="146"/>
      <c r="U820" s="146"/>
      <c r="V820" s="146"/>
      <c r="W820" s="148"/>
      <c r="X820" s="146"/>
      <c r="Y820" s="146"/>
      <c r="Z820" s="146"/>
      <c r="AA820" s="146"/>
      <c r="AB820" s="146"/>
      <c r="AC820" s="146"/>
    </row>
    <row r="821" ht="15.75" customHeight="1">
      <c r="A821" s="146"/>
      <c r="B821" s="146"/>
      <c r="C821" s="146"/>
      <c r="D821" s="146"/>
      <c r="E821" s="146"/>
      <c r="F821" s="146"/>
      <c r="G821" s="146"/>
      <c r="H821" s="146"/>
      <c r="I821" s="146"/>
      <c r="J821" s="146"/>
      <c r="K821" s="146"/>
      <c r="L821" s="146"/>
      <c r="M821" s="146"/>
      <c r="N821" s="146"/>
      <c r="O821" s="147"/>
      <c r="P821" s="146"/>
      <c r="Q821" s="146"/>
      <c r="R821" s="146"/>
      <c r="S821" s="146"/>
      <c r="T821" s="146"/>
      <c r="U821" s="146"/>
      <c r="V821" s="146"/>
      <c r="W821" s="148"/>
      <c r="X821" s="146"/>
      <c r="Y821" s="146"/>
      <c r="Z821" s="146"/>
      <c r="AA821" s="146"/>
      <c r="AB821" s="146"/>
      <c r="AC821" s="146"/>
    </row>
    <row r="822" ht="15.75" customHeight="1">
      <c r="A822" s="146"/>
      <c r="B822" s="146"/>
      <c r="C822" s="146"/>
      <c r="D822" s="146"/>
      <c r="E822" s="146"/>
      <c r="F822" s="146"/>
      <c r="G822" s="146"/>
      <c r="H822" s="146"/>
      <c r="I822" s="146"/>
      <c r="J822" s="146"/>
      <c r="K822" s="146"/>
      <c r="L822" s="146"/>
      <c r="M822" s="146"/>
      <c r="N822" s="146"/>
      <c r="O822" s="147"/>
      <c r="P822" s="146"/>
      <c r="Q822" s="146"/>
      <c r="R822" s="146"/>
      <c r="S822" s="146"/>
      <c r="T822" s="146"/>
      <c r="U822" s="146"/>
      <c r="V822" s="146"/>
      <c r="W822" s="148"/>
      <c r="X822" s="146"/>
      <c r="Y822" s="146"/>
      <c r="Z822" s="146"/>
      <c r="AA822" s="146"/>
      <c r="AB822" s="146"/>
      <c r="AC822" s="146"/>
    </row>
    <row r="823" ht="15.75" customHeight="1">
      <c r="A823" s="146"/>
      <c r="B823" s="146"/>
      <c r="C823" s="146"/>
      <c r="D823" s="146"/>
      <c r="E823" s="146"/>
      <c r="F823" s="146"/>
      <c r="G823" s="146"/>
      <c r="H823" s="146"/>
      <c r="I823" s="146"/>
      <c r="J823" s="146"/>
      <c r="K823" s="146"/>
      <c r="L823" s="146"/>
      <c r="M823" s="146"/>
      <c r="N823" s="146"/>
      <c r="O823" s="147"/>
      <c r="P823" s="146"/>
      <c r="Q823" s="146"/>
      <c r="R823" s="146"/>
      <c r="S823" s="146"/>
      <c r="T823" s="146"/>
      <c r="U823" s="146"/>
      <c r="V823" s="146"/>
      <c r="W823" s="148"/>
      <c r="X823" s="146"/>
      <c r="Y823" s="146"/>
      <c r="Z823" s="146"/>
      <c r="AA823" s="146"/>
      <c r="AB823" s="146"/>
      <c r="AC823" s="146"/>
    </row>
    <row r="824" ht="15.75" customHeight="1">
      <c r="A824" s="146"/>
      <c r="B824" s="146"/>
      <c r="C824" s="146"/>
      <c r="D824" s="146"/>
      <c r="E824" s="146"/>
      <c r="F824" s="146"/>
      <c r="G824" s="146"/>
      <c r="H824" s="146"/>
      <c r="I824" s="146"/>
      <c r="J824" s="146"/>
      <c r="K824" s="146"/>
      <c r="L824" s="146"/>
      <c r="M824" s="146"/>
      <c r="N824" s="146"/>
      <c r="O824" s="147"/>
      <c r="P824" s="146"/>
      <c r="Q824" s="146"/>
      <c r="R824" s="146"/>
      <c r="S824" s="146"/>
      <c r="T824" s="146"/>
      <c r="U824" s="146"/>
      <c r="V824" s="146"/>
      <c r="W824" s="148"/>
      <c r="X824" s="146"/>
      <c r="Y824" s="146"/>
      <c r="Z824" s="146"/>
      <c r="AA824" s="146"/>
      <c r="AB824" s="146"/>
      <c r="AC824" s="146"/>
    </row>
    <row r="825" ht="15.75" customHeight="1">
      <c r="A825" s="146"/>
      <c r="B825" s="146"/>
      <c r="C825" s="146"/>
      <c r="D825" s="146"/>
      <c r="E825" s="146"/>
      <c r="F825" s="146"/>
      <c r="G825" s="146"/>
      <c r="H825" s="146"/>
      <c r="I825" s="146"/>
      <c r="J825" s="146"/>
      <c r="K825" s="146"/>
      <c r="L825" s="146"/>
      <c r="M825" s="146"/>
      <c r="N825" s="146"/>
      <c r="O825" s="147"/>
      <c r="P825" s="146"/>
      <c r="Q825" s="146"/>
      <c r="R825" s="146"/>
      <c r="S825" s="146"/>
      <c r="T825" s="146"/>
      <c r="U825" s="146"/>
      <c r="V825" s="146"/>
      <c r="W825" s="148"/>
      <c r="X825" s="146"/>
      <c r="Y825" s="146"/>
      <c r="Z825" s="146"/>
      <c r="AA825" s="146"/>
      <c r="AB825" s="146"/>
      <c r="AC825" s="146"/>
    </row>
    <row r="826" ht="15.75" customHeight="1">
      <c r="A826" s="146"/>
      <c r="B826" s="146"/>
      <c r="C826" s="146"/>
      <c r="D826" s="146"/>
      <c r="E826" s="146"/>
      <c r="F826" s="146"/>
      <c r="G826" s="146"/>
      <c r="H826" s="146"/>
      <c r="I826" s="146"/>
      <c r="J826" s="146"/>
      <c r="K826" s="146"/>
      <c r="L826" s="146"/>
      <c r="M826" s="146"/>
      <c r="N826" s="146"/>
      <c r="O826" s="147"/>
      <c r="P826" s="146"/>
      <c r="Q826" s="146"/>
      <c r="R826" s="146"/>
      <c r="S826" s="146"/>
      <c r="T826" s="146"/>
      <c r="U826" s="146"/>
      <c r="V826" s="146"/>
      <c r="W826" s="148"/>
      <c r="X826" s="146"/>
      <c r="Y826" s="146"/>
      <c r="Z826" s="146"/>
      <c r="AA826" s="146"/>
      <c r="AB826" s="146"/>
      <c r="AC826" s="146"/>
    </row>
    <row r="827" ht="15.75" customHeight="1">
      <c r="A827" s="146"/>
      <c r="B827" s="146"/>
      <c r="C827" s="146"/>
      <c r="D827" s="146"/>
      <c r="E827" s="146"/>
      <c r="F827" s="146"/>
      <c r="G827" s="146"/>
      <c r="H827" s="146"/>
      <c r="I827" s="146"/>
      <c r="J827" s="146"/>
      <c r="K827" s="146"/>
      <c r="L827" s="146"/>
      <c r="M827" s="146"/>
      <c r="N827" s="146"/>
      <c r="O827" s="147"/>
      <c r="P827" s="146"/>
      <c r="Q827" s="146"/>
      <c r="R827" s="146"/>
      <c r="S827" s="146"/>
      <c r="T827" s="146"/>
      <c r="U827" s="146"/>
      <c r="V827" s="146"/>
      <c r="W827" s="148"/>
      <c r="X827" s="146"/>
      <c r="Y827" s="146"/>
      <c r="Z827" s="146"/>
      <c r="AA827" s="146"/>
      <c r="AB827" s="146"/>
      <c r="AC827" s="146"/>
    </row>
    <row r="828" ht="15.75" customHeight="1">
      <c r="A828" s="146"/>
      <c r="B828" s="146"/>
      <c r="C828" s="146"/>
      <c r="D828" s="146"/>
      <c r="E828" s="146"/>
      <c r="F828" s="146"/>
      <c r="G828" s="146"/>
      <c r="H828" s="146"/>
      <c r="I828" s="146"/>
      <c r="J828" s="146"/>
      <c r="K828" s="146"/>
      <c r="L828" s="146"/>
      <c r="M828" s="146"/>
      <c r="N828" s="146"/>
      <c r="O828" s="147"/>
      <c r="P828" s="146"/>
      <c r="Q828" s="146"/>
      <c r="R828" s="146"/>
      <c r="S828" s="146"/>
      <c r="T828" s="146"/>
      <c r="U828" s="146"/>
      <c r="V828" s="146"/>
      <c r="W828" s="148"/>
      <c r="X828" s="146"/>
      <c r="Y828" s="146"/>
      <c r="Z828" s="146"/>
      <c r="AA828" s="146"/>
      <c r="AB828" s="146"/>
      <c r="AC828" s="146"/>
    </row>
    <row r="829" ht="15.75" customHeight="1">
      <c r="A829" s="146"/>
      <c r="B829" s="146"/>
      <c r="C829" s="146"/>
      <c r="D829" s="146"/>
      <c r="E829" s="146"/>
      <c r="F829" s="146"/>
      <c r="G829" s="146"/>
      <c r="H829" s="146"/>
      <c r="I829" s="146"/>
      <c r="J829" s="146"/>
      <c r="K829" s="146"/>
      <c r="L829" s="146"/>
      <c r="M829" s="146"/>
      <c r="N829" s="146"/>
      <c r="O829" s="147"/>
      <c r="P829" s="146"/>
      <c r="Q829" s="146"/>
      <c r="R829" s="146"/>
      <c r="S829" s="146"/>
      <c r="T829" s="146"/>
      <c r="U829" s="146"/>
      <c r="V829" s="146"/>
      <c r="W829" s="148"/>
      <c r="X829" s="146"/>
      <c r="Y829" s="146"/>
      <c r="Z829" s="146"/>
      <c r="AA829" s="146"/>
      <c r="AB829" s="146"/>
      <c r="AC829" s="146"/>
    </row>
    <row r="830" ht="15.75" customHeight="1">
      <c r="A830" s="146"/>
      <c r="B830" s="146"/>
      <c r="C830" s="146"/>
      <c r="D830" s="146"/>
      <c r="E830" s="146"/>
      <c r="F830" s="146"/>
      <c r="G830" s="146"/>
      <c r="H830" s="146"/>
      <c r="I830" s="146"/>
      <c r="J830" s="146"/>
      <c r="K830" s="146"/>
      <c r="L830" s="146"/>
      <c r="M830" s="146"/>
      <c r="N830" s="146"/>
      <c r="O830" s="147"/>
      <c r="P830" s="146"/>
      <c r="Q830" s="146"/>
      <c r="R830" s="146"/>
      <c r="S830" s="146"/>
      <c r="T830" s="146"/>
      <c r="U830" s="146"/>
      <c r="V830" s="146"/>
      <c r="W830" s="148"/>
      <c r="X830" s="146"/>
      <c r="Y830" s="146"/>
      <c r="Z830" s="146"/>
      <c r="AA830" s="146"/>
      <c r="AB830" s="146"/>
      <c r="AC830" s="146"/>
    </row>
    <row r="831" ht="15.75" customHeight="1">
      <c r="A831" s="146"/>
      <c r="B831" s="146"/>
      <c r="C831" s="146"/>
      <c r="D831" s="146"/>
      <c r="E831" s="146"/>
      <c r="F831" s="146"/>
      <c r="G831" s="146"/>
      <c r="H831" s="146"/>
      <c r="I831" s="146"/>
      <c r="J831" s="146"/>
      <c r="K831" s="146"/>
      <c r="L831" s="146"/>
      <c r="M831" s="146"/>
      <c r="N831" s="146"/>
      <c r="O831" s="147"/>
      <c r="P831" s="146"/>
      <c r="Q831" s="146"/>
      <c r="R831" s="146"/>
      <c r="S831" s="146"/>
      <c r="T831" s="146"/>
      <c r="U831" s="146"/>
      <c r="V831" s="146"/>
      <c r="W831" s="148"/>
      <c r="X831" s="146"/>
      <c r="Y831" s="146"/>
      <c r="Z831" s="146"/>
      <c r="AA831" s="146"/>
      <c r="AB831" s="146"/>
      <c r="AC831" s="146"/>
    </row>
    <row r="832" ht="15.75" customHeight="1">
      <c r="A832" s="146"/>
      <c r="B832" s="146"/>
      <c r="C832" s="146"/>
      <c r="D832" s="146"/>
      <c r="E832" s="146"/>
      <c r="F832" s="146"/>
      <c r="G832" s="146"/>
      <c r="H832" s="146"/>
      <c r="I832" s="146"/>
      <c r="J832" s="146"/>
      <c r="K832" s="146"/>
      <c r="L832" s="146"/>
      <c r="M832" s="146"/>
      <c r="N832" s="146"/>
      <c r="O832" s="147"/>
      <c r="P832" s="146"/>
      <c r="Q832" s="146"/>
      <c r="R832" s="146"/>
      <c r="S832" s="146"/>
      <c r="T832" s="146"/>
      <c r="U832" s="146"/>
      <c r="V832" s="146"/>
      <c r="W832" s="148"/>
      <c r="X832" s="146"/>
      <c r="Y832" s="146"/>
      <c r="Z832" s="146"/>
      <c r="AA832" s="146"/>
      <c r="AB832" s="146"/>
      <c r="AC832" s="146"/>
    </row>
    <row r="833" ht="15.75" customHeight="1">
      <c r="A833" s="146"/>
      <c r="B833" s="146"/>
      <c r="C833" s="146"/>
      <c r="D833" s="146"/>
      <c r="E833" s="146"/>
      <c r="F833" s="146"/>
      <c r="G833" s="146"/>
      <c r="H833" s="146"/>
      <c r="I833" s="146"/>
      <c r="J833" s="146"/>
      <c r="K833" s="146"/>
      <c r="L833" s="146"/>
      <c r="M833" s="146"/>
      <c r="N833" s="146"/>
      <c r="O833" s="147"/>
      <c r="P833" s="146"/>
      <c r="Q833" s="146"/>
      <c r="R833" s="146"/>
      <c r="S833" s="146"/>
      <c r="T833" s="146"/>
      <c r="U833" s="146"/>
      <c r="V833" s="146"/>
      <c r="W833" s="148"/>
      <c r="X833" s="146"/>
      <c r="Y833" s="146"/>
      <c r="Z833" s="146"/>
      <c r="AA833" s="146"/>
      <c r="AB833" s="146"/>
      <c r="AC833" s="146"/>
    </row>
    <row r="834" ht="15.75" customHeight="1">
      <c r="A834" s="146"/>
      <c r="B834" s="146"/>
      <c r="C834" s="146"/>
      <c r="D834" s="146"/>
      <c r="E834" s="146"/>
      <c r="F834" s="146"/>
      <c r="G834" s="146"/>
      <c r="H834" s="146"/>
      <c r="I834" s="146"/>
      <c r="J834" s="146"/>
      <c r="K834" s="146"/>
      <c r="L834" s="146"/>
      <c r="M834" s="146"/>
      <c r="N834" s="146"/>
      <c r="O834" s="147"/>
      <c r="P834" s="146"/>
      <c r="Q834" s="146"/>
      <c r="R834" s="146"/>
      <c r="S834" s="146"/>
      <c r="T834" s="146"/>
      <c r="U834" s="146"/>
      <c r="V834" s="146"/>
      <c r="W834" s="148"/>
      <c r="X834" s="146"/>
      <c r="Y834" s="146"/>
      <c r="Z834" s="146"/>
      <c r="AA834" s="146"/>
      <c r="AB834" s="146"/>
      <c r="AC834" s="146"/>
    </row>
    <row r="835" ht="15.75" customHeight="1">
      <c r="A835" s="146"/>
      <c r="B835" s="146"/>
      <c r="C835" s="146"/>
      <c r="D835" s="146"/>
      <c r="E835" s="146"/>
      <c r="F835" s="146"/>
      <c r="G835" s="146"/>
      <c r="H835" s="146"/>
      <c r="I835" s="146"/>
      <c r="J835" s="146"/>
      <c r="K835" s="146"/>
      <c r="L835" s="146"/>
      <c r="M835" s="146"/>
      <c r="N835" s="146"/>
      <c r="O835" s="147"/>
      <c r="P835" s="146"/>
      <c r="Q835" s="146"/>
      <c r="R835" s="146"/>
      <c r="S835" s="146"/>
      <c r="T835" s="146"/>
      <c r="U835" s="146"/>
      <c r="V835" s="146"/>
      <c r="W835" s="148"/>
      <c r="X835" s="146"/>
      <c r="Y835" s="146"/>
      <c r="Z835" s="146"/>
      <c r="AA835" s="146"/>
      <c r="AB835" s="146"/>
      <c r="AC835" s="146"/>
    </row>
    <row r="836" ht="15.75" customHeight="1">
      <c r="A836" s="146"/>
      <c r="B836" s="146"/>
      <c r="C836" s="146"/>
      <c r="D836" s="146"/>
      <c r="E836" s="146"/>
      <c r="F836" s="146"/>
      <c r="G836" s="146"/>
      <c r="H836" s="146"/>
      <c r="I836" s="146"/>
      <c r="J836" s="146"/>
      <c r="K836" s="146"/>
      <c r="L836" s="146"/>
      <c r="M836" s="146"/>
      <c r="N836" s="146"/>
      <c r="O836" s="147"/>
      <c r="P836" s="146"/>
      <c r="Q836" s="146"/>
      <c r="R836" s="146"/>
      <c r="S836" s="146"/>
      <c r="T836" s="146"/>
      <c r="U836" s="146"/>
      <c r="V836" s="146"/>
      <c r="W836" s="148"/>
      <c r="X836" s="146"/>
      <c r="Y836" s="146"/>
      <c r="Z836" s="146"/>
      <c r="AA836" s="146"/>
      <c r="AB836" s="146"/>
      <c r="AC836" s="146"/>
    </row>
    <row r="837" ht="15.75" customHeight="1">
      <c r="A837" s="146"/>
      <c r="B837" s="146"/>
      <c r="C837" s="146"/>
      <c r="D837" s="146"/>
      <c r="E837" s="146"/>
      <c r="F837" s="146"/>
      <c r="G837" s="146"/>
      <c r="H837" s="146"/>
      <c r="I837" s="146"/>
      <c r="J837" s="146"/>
      <c r="K837" s="146"/>
      <c r="L837" s="146"/>
      <c r="M837" s="146"/>
      <c r="N837" s="146"/>
      <c r="O837" s="147"/>
      <c r="P837" s="146"/>
      <c r="Q837" s="146"/>
      <c r="R837" s="146"/>
      <c r="S837" s="146"/>
      <c r="T837" s="146"/>
      <c r="U837" s="146"/>
      <c r="V837" s="146"/>
      <c r="W837" s="148"/>
      <c r="X837" s="146"/>
      <c r="Y837" s="146"/>
      <c r="Z837" s="146"/>
      <c r="AA837" s="146"/>
      <c r="AB837" s="146"/>
      <c r="AC837" s="146"/>
    </row>
    <row r="838" ht="15.75" customHeight="1">
      <c r="A838" s="146"/>
      <c r="B838" s="146"/>
      <c r="C838" s="146"/>
      <c r="D838" s="146"/>
      <c r="E838" s="146"/>
      <c r="F838" s="146"/>
      <c r="G838" s="146"/>
      <c r="H838" s="146"/>
      <c r="I838" s="146"/>
      <c r="J838" s="146"/>
      <c r="K838" s="146"/>
      <c r="L838" s="146"/>
      <c r="M838" s="146"/>
      <c r="N838" s="146"/>
      <c r="O838" s="147"/>
      <c r="P838" s="146"/>
      <c r="Q838" s="146"/>
      <c r="R838" s="146"/>
      <c r="S838" s="146"/>
      <c r="T838" s="146"/>
      <c r="U838" s="146"/>
      <c r="V838" s="146"/>
      <c r="W838" s="148"/>
      <c r="X838" s="146"/>
      <c r="Y838" s="146"/>
      <c r="Z838" s="146"/>
      <c r="AA838" s="146"/>
      <c r="AB838" s="146"/>
      <c r="AC838" s="146"/>
    </row>
    <row r="839" ht="15.75" customHeight="1">
      <c r="A839" s="146"/>
      <c r="B839" s="146"/>
      <c r="C839" s="146"/>
      <c r="D839" s="146"/>
      <c r="E839" s="146"/>
      <c r="F839" s="146"/>
      <c r="G839" s="146"/>
      <c r="H839" s="146"/>
      <c r="I839" s="146"/>
      <c r="J839" s="146"/>
      <c r="K839" s="146"/>
      <c r="L839" s="146"/>
      <c r="M839" s="146"/>
      <c r="N839" s="146"/>
      <c r="O839" s="147"/>
      <c r="P839" s="146"/>
      <c r="Q839" s="146"/>
      <c r="R839" s="146"/>
      <c r="S839" s="146"/>
      <c r="T839" s="146"/>
      <c r="U839" s="146"/>
      <c r="V839" s="146"/>
      <c r="W839" s="148"/>
      <c r="X839" s="146"/>
      <c r="Y839" s="146"/>
      <c r="Z839" s="146"/>
      <c r="AA839" s="146"/>
      <c r="AB839" s="146"/>
      <c r="AC839" s="146"/>
    </row>
    <row r="840" ht="15.75" customHeight="1">
      <c r="A840" s="146"/>
      <c r="B840" s="146"/>
      <c r="C840" s="146"/>
      <c r="D840" s="146"/>
      <c r="E840" s="146"/>
      <c r="F840" s="146"/>
      <c r="G840" s="146"/>
      <c r="H840" s="146"/>
      <c r="I840" s="146"/>
      <c r="J840" s="146"/>
      <c r="K840" s="146"/>
      <c r="L840" s="146"/>
      <c r="M840" s="146"/>
      <c r="N840" s="146"/>
      <c r="O840" s="147"/>
      <c r="P840" s="146"/>
      <c r="Q840" s="146"/>
      <c r="R840" s="146"/>
      <c r="S840" s="146"/>
      <c r="T840" s="146"/>
      <c r="U840" s="146"/>
      <c r="V840" s="146"/>
      <c r="W840" s="148"/>
      <c r="X840" s="146"/>
      <c r="Y840" s="146"/>
      <c r="Z840" s="146"/>
      <c r="AA840" s="146"/>
      <c r="AB840" s="146"/>
      <c r="AC840" s="146"/>
    </row>
    <row r="841" ht="15.75" customHeight="1">
      <c r="A841" s="146"/>
      <c r="B841" s="146"/>
      <c r="C841" s="146"/>
      <c r="D841" s="146"/>
      <c r="E841" s="146"/>
      <c r="F841" s="146"/>
      <c r="G841" s="146"/>
      <c r="H841" s="146"/>
      <c r="I841" s="146"/>
      <c r="J841" s="146"/>
      <c r="K841" s="146"/>
      <c r="L841" s="146"/>
      <c r="M841" s="146"/>
      <c r="N841" s="146"/>
      <c r="O841" s="147"/>
      <c r="P841" s="146"/>
      <c r="Q841" s="146"/>
      <c r="R841" s="146"/>
      <c r="S841" s="146"/>
      <c r="T841" s="146"/>
      <c r="U841" s="146"/>
      <c r="V841" s="146"/>
      <c r="W841" s="148"/>
      <c r="X841" s="146"/>
      <c r="Y841" s="146"/>
      <c r="Z841" s="146"/>
      <c r="AA841" s="146"/>
      <c r="AB841" s="146"/>
      <c r="AC841" s="146"/>
    </row>
    <row r="842" ht="15.75" customHeight="1">
      <c r="A842" s="146"/>
      <c r="B842" s="146"/>
      <c r="C842" s="146"/>
      <c r="D842" s="146"/>
      <c r="E842" s="146"/>
      <c r="F842" s="146"/>
      <c r="G842" s="146"/>
      <c r="H842" s="146"/>
      <c r="I842" s="146"/>
      <c r="J842" s="146"/>
      <c r="K842" s="146"/>
      <c r="L842" s="146"/>
      <c r="M842" s="146"/>
      <c r="N842" s="146"/>
      <c r="O842" s="147"/>
      <c r="P842" s="146"/>
      <c r="Q842" s="146"/>
      <c r="R842" s="146"/>
      <c r="S842" s="146"/>
      <c r="T842" s="146"/>
      <c r="U842" s="146"/>
      <c r="V842" s="146"/>
      <c r="W842" s="148"/>
      <c r="X842" s="146"/>
      <c r="Y842" s="146"/>
      <c r="Z842" s="146"/>
      <c r="AA842" s="146"/>
      <c r="AB842" s="146"/>
      <c r="AC842" s="146"/>
    </row>
    <row r="843" ht="15.75" customHeight="1">
      <c r="A843" s="146"/>
      <c r="B843" s="146"/>
      <c r="C843" s="146"/>
      <c r="D843" s="146"/>
      <c r="E843" s="146"/>
      <c r="F843" s="146"/>
      <c r="G843" s="146"/>
      <c r="H843" s="146"/>
      <c r="I843" s="146"/>
      <c r="J843" s="146"/>
      <c r="K843" s="146"/>
      <c r="L843" s="146"/>
      <c r="M843" s="146"/>
      <c r="N843" s="146"/>
      <c r="O843" s="147"/>
      <c r="P843" s="146"/>
      <c r="Q843" s="146"/>
      <c r="R843" s="146"/>
      <c r="S843" s="146"/>
      <c r="T843" s="146"/>
      <c r="U843" s="146"/>
      <c r="V843" s="146"/>
      <c r="W843" s="148"/>
      <c r="X843" s="146"/>
      <c r="Y843" s="146"/>
      <c r="Z843" s="146"/>
      <c r="AA843" s="146"/>
      <c r="AB843" s="146"/>
      <c r="AC843" s="146"/>
    </row>
    <row r="844" ht="15.75" customHeight="1">
      <c r="A844" s="146"/>
      <c r="B844" s="146"/>
      <c r="C844" s="146"/>
      <c r="D844" s="146"/>
      <c r="E844" s="146"/>
      <c r="F844" s="146"/>
      <c r="G844" s="146"/>
      <c r="H844" s="146"/>
      <c r="I844" s="146"/>
      <c r="J844" s="146"/>
      <c r="K844" s="146"/>
      <c r="L844" s="146"/>
      <c r="M844" s="146"/>
      <c r="N844" s="146"/>
      <c r="O844" s="147"/>
      <c r="P844" s="146"/>
      <c r="Q844" s="146"/>
      <c r="R844" s="146"/>
      <c r="S844" s="146"/>
      <c r="T844" s="146"/>
      <c r="U844" s="146"/>
      <c r="V844" s="146"/>
      <c r="W844" s="148"/>
      <c r="X844" s="146"/>
      <c r="Y844" s="146"/>
      <c r="Z844" s="146"/>
      <c r="AA844" s="146"/>
      <c r="AB844" s="146"/>
      <c r="AC844" s="146"/>
    </row>
    <row r="845" ht="15.75" customHeight="1">
      <c r="A845" s="146"/>
      <c r="B845" s="146"/>
      <c r="C845" s="146"/>
      <c r="D845" s="146"/>
      <c r="E845" s="146"/>
      <c r="F845" s="146"/>
      <c r="G845" s="146"/>
      <c r="H845" s="146"/>
      <c r="I845" s="146"/>
      <c r="J845" s="146"/>
      <c r="K845" s="146"/>
      <c r="L845" s="146"/>
      <c r="M845" s="146"/>
      <c r="N845" s="146"/>
      <c r="O845" s="147"/>
      <c r="P845" s="146"/>
      <c r="Q845" s="146"/>
      <c r="R845" s="146"/>
      <c r="S845" s="146"/>
      <c r="T845" s="146"/>
      <c r="U845" s="146"/>
      <c r="V845" s="146"/>
      <c r="W845" s="148"/>
      <c r="X845" s="146"/>
      <c r="Y845" s="146"/>
      <c r="Z845" s="146"/>
      <c r="AA845" s="146"/>
      <c r="AB845" s="146"/>
      <c r="AC845" s="146"/>
    </row>
    <row r="846" ht="15.75" customHeight="1">
      <c r="A846" s="146"/>
      <c r="B846" s="146"/>
      <c r="C846" s="146"/>
      <c r="D846" s="146"/>
      <c r="E846" s="146"/>
      <c r="F846" s="146"/>
      <c r="G846" s="146"/>
      <c r="H846" s="146"/>
      <c r="I846" s="146"/>
      <c r="J846" s="146"/>
      <c r="K846" s="146"/>
      <c r="L846" s="146"/>
      <c r="M846" s="146"/>
      <c r="N846" s="146"/>
      <c r="O846" s="147"/>
      <c r="P846" s="146"/>
      <c r="Q846" s="146"/>
      <c r="R846" s="146"/>
      <c r="S846" s="146"/>
      <c r="T846" s="146"/>
      <c r="U846" s="146"/>
      <c r="V846" s="146"/>
      <c r="W846" s="148"/>
      <c r="X846" s="146"/>
      <c r="Y846" s="146"/>
      <c r="Z846" s="146"/>
      <c r="AA846" s="146"/>
      <c r="AB846" s="146"/>
      <c r="AC846" s="146"/>
    </row>
    <row r="847" ht="15.75" customHeight="1">
      <c r="A847" s="146"/>
      <c r="B847" s="146"/>
      <c r="C847" s="146"/>
      <c r="D847" s="146"/>
      <c r="E847" s="146"/>
      <c r="F847" s="146"/>
      <c r="G847" s="146"/>
      <c r="H847" s="146"/>
      <c r="I847" s="146"/>
      <c r="J847" s="146"/>
      <c r="K847" s="146"/>
      <c r="L847" s="146"/>
      <c r="M847" s="146"/>
      <c r="N847" s="146"/>
      <c r="O847" s="147"/>
      <c r="P847" s="146"/>
      <c r="Q847" s="146"/>
      <c r="R847" s="146"/>
      <c r="S847" s="146"/>
      <c r="T847" s="146"/>
      <c r="U847" s="146"/>
      <c r="V847" s="146"/>
      <c r="W847" s="148"/>
      <c r="X847" s="146"/>
      <c r="Y847" s="146"/>
      <c r="Z847" s="146"/>
      <c r="AA847" s="146"/>
      <c r="AB847" s="146"/>
      <c r="AC847" s="146"/>
    </row>
    <row r="848" ht="15.75" customHeight="1">
      <c r="A848" s="146"/>
      <c r="B848" s="146"/>
      <c r="C848" s="146"/>
      <c r="D848" s="146"/>
      <c r="E848" s="146"/>
      <c r="F848" s="146"/>
      <c r="G848" s="146"/>
      <c r="H848" s="146"/>
      <c r="I848" s="146"/>
      <c r="J848" s="146"/>
      <c r="K848" s="146"/>
      <c r="L848" s="146"/>
      <c r="M848" s="146"/>
      <c r="N848" s="146"/>
      <c r="O848" s="147"/>
      <c r="P848" s="146"/>
      <c r="Q848" s="146"/>
      <c r="R848" s="146"/>
      <c r="S848" s="146"/>
      <c r="T848" s="146"/>
      <c r="U848" s="146"/>
      <c r="V848" s="146"/>
      <c r="W848" s="148"/>
      <c r="X848" s="146"/>
      <c r="Y848" s="146"/>
      <c r="Z848" s="146"/>
      <c r="AA848" s="146"/>
      <c r="AB848" s="146"/>
      <c r="AC848" s="146"/>
    </row>
    <row r="849" ht="15.75" customHeight="1">
      <c r="A849" s="146"/>
      <c r="B849" s="146"/>
      <c r="C849" s="146"/>
      <c r="D849" s="146"/>
      <c r="E849" s="146"/>
      <c r="F849" s="146"/>
      <c r="G849" s="146"/>
      <c r="H849" s="146"/>
      <c r="I849" s="146"/>
      <c r="J849" s="146"/>
      <c r="K849" s="146"/>
      <c r="L849" s="146"/>
      <c r="M849" s="146"/>
      <c r="N849" s="146"/>
      <c r="O849" s="147"/>
      <c r="P849" s="146"/>
      <c r="Q849" s="146"/>
      <c r="R849" s="146"/>
      <c r="S849" s="146"/>
      <c r="T849" s="146"/>
      <c r="U849" s="146"/>
      <c r="V849" s="146"/>
      <c r="W849" s="148"/>
      <c r="X849" s="146"/>
      <c r="Y849" s="146"/>
      <c r="Z849" s="146"/>
      <c r="AA849" s="146"/>
      <c r="AB849" s="146"/>
      <c r="AC849" s="146"/>
    </row>
    <row r="850" ht="15.75" customHeight="1">
      <c r="A850" s="146"/>
      <c r="B850" s="146"/>
      <c r="C850" s="146"/>
      <c r="D850" s="146"/>
      <c r="E850" s="146"/>
      <c r="F850" s="146"/>
      <c r="G850" s="146"/>
      <c r="H850" s="146"/>
      <c r="I850" s="146"/>
      <c r="J850" s="146"/>
      <c r="K850" s="146"/>
      <c r="L850" s="146"/>
      <c r="M850" s="146"/>
      <c r="N850" s="146"/>
      <c r="O850" s="147"/>
      <c r="P850" s="146"/>
      <c r="Q850" s="146"/>
      <c r="R850" s="146"/>
      <c r="S850" s="146"/>
      <c r="T850" s="146"/>
      <c r="U850" s="146"/>
      <c r="V850" s="146"/>
      <c r="W850" s="148"/>
      <c r="X850" s="146"/>
      <c r="Y850" s="146"/>
      <c r="Z850" s="146"/>
      <c r="AA850" s="146"/>
      <c r="AB850" s="146"/>
      <c r="AC850" s="146"/>
    </row>
    <row r="851" ht="15.75" customHeight="1">
      <c r="A851" s="146"/>
      <c r="B851" s="146"/>
      <c r="C851" s="146"/>
      <c r="D851" s="146"/>
      <c r="E851" s="146"/>
      <c r="F851" s="146"/>
      <c r="G851" s="146"/>
      <c r="H851" s="146"/>
      <c r="I851" s="146"/>
      <c r="J851" s="146"/>
      <c r="K851" s="146"/>
      <c r="L851" s="146"/>
      <c r="M851" s="146"/>
      <c r="N851" s="146"/>
      <c r="O851" s="147"/>
      <c r="P851" s="146"/>
      <c r="Q851" s="146"/>
      <c r="R851" s="146"/>
      <c r="S851" s="146"/>
      <c r="T851" s="146"/>
      <c r="U851" s="146"/>
      <c r="V851" s="146"/>
      <c r="W851" s="148"/>
      <c r="X851" s="146"/>
      <c r="Y851" s="146"/>
      <c r="Z851" s="146"/>
      <c r="AA851" s="146"/>
      <c r="AB851" s="146"/>
      <c r="AC851" s="146"/>
    </row>
    <row r="852" ht="15.75" customHeight="1">
      <c r="A852" s="146"/>
      <c r="B852" s="146"/>
      <c r="C852" s="146"/>
      <c r="D852" s="146"/>
      <c r="E852" s="146"/>
      <c r="F852" s="146"/>
      <c r="G852" s="146"/>
      <c r="H852" s="146"/>
      <c r="I852" s="146"/>
      <c r="J852" s="146"/>
      <c r="K852" s="146"/>
      <c r="L852" s="146"/>
      <c r="M852" s="146"/>
      <c r="N852" s="146"/>
      <c r="O852" s="147"/>
      <c r="P852" s="146"/>
      <c r="Q852" s="146"/>
      <c r="R852" s="146"/>
      <c r="S852" s="146"/>
      <c r="T852" s="146"/>
      <c r="U852" s="146"/>
      <c r="V852" s="146"/>
      <c r="W852" s="148"/>
      <c r="X852" s="146"/>
      <c r="Y852" s="146"/>
      <c r="Z852" s="146"/>
      <c r="AA852" s="146"/>
      <c r="AB852" s="146"/>
      <c r="AC852" s="146"/>
    </row>
    <row r="853" ht="15.75" customHeight="1">
      <c r="A853" s="146"/>
      <c r="B853" s="146"/>
      <c r="C853" s="146"/>
      <c r="D853" s="146"/>
      <c r="E853" s="146"/>
      <c r="F853" s="146"/>
      <c r="G853" s="146"/>
      <c r="H853" s="146"/>
      <c r="I853" s="146"/>
      <c r="J853" s="146"/>
      <c r="K853" s="146"/>
      <c r="L853" s="146"/>
      <c r="M853" s="146"/>
      <c r="N853" s="146"/>
      <c r="O853" s="147"/>
      <c r="P853" s="146"/>
      <c r="Q853" s="146"/>
      <c r="R853" s="146"/>
      <c r="S853" s="146"/>
      <c r="T853" s="146"/>
      <c r="U853" s="146"/>
      <c r="V853" s="146"/>
      <c r="W853" s="148"/>
      <c r="X853" s="146"/>
      <c r="Y853" s="146"/>
      <c r="Z853" s="146"/>
      <c r="AA853" s="146"/>
      <c r="AB853" s="146"/>
      <c r="AC853" s="146"/>
    </row>
    <row r="854" ht="15.75" customHeight="1">
      <c r="A854" s="146"/>
      <c r="B854" s="146"/>
      <c r="C854" s="146"/>
      <c r="D854" s="146"/>
      <c r="E854" s="146"/>
      <c r="F854" s="146"/>
      <c r="G854" s="146"/>
      <c r="H854" s="146"/>
      <c r="I854" s="146"/>
      <c r="J854" s="146"/>
      <c r="K854" s="146"/>
      <c r="L854" s="146"/>
      <c r="M854" s="146"/>
      <c r="N854" s="146"/>
      <c r="O854" s="147"/>
      <c r="P854" s="146"/>
      <c r="Q854" s="146"/>
      <c r="R854" s="146"/>
      <c r="S854" s="146"/>
      <c r="T854" s="146"/>
      <c r="U854" s="146"/>
      <c r="V854" s="146"/>
      <c r="W854" s="148"/>
      <c r="X854" s="146"/>
      <c r="Y854" s="146"/>
      <c r="Z854" s="146"/>
      <c r="AA854" s="146"/>
      <c r="AB854" s="146"/>
      <c r="AC854" s="146"/>
    </row>
    <row r="855" ht="15.75" customHeight="1">
      <c r="A855" s="146"/>
      <c r="B855" s="146"/>
      <c r="C855" s="146"/>
      <c r="D855" s="146"/>
      <c r="E855" s="146"/>
      <c r="F855" s="146"/>
      <c r="G855" s="146"/>
      <c r="H855" s="146"/>
      <c r="I855" s="146"/>
      <c r="J855" s="146"/>
      <c r="K855" s="146"/>
      <c r="L855" s="146"/>
      <c r="M855" s="146"/>
      <c r="N855" s="146"/>
      <c r="O855" s="147"/>
      <c r="P855" s="146"/>
      <c r="Q855" s="146"/>
      <c r="R855" s="146"/>
      <c r="S855" s="146"/>
      <c r="T855" s="146"/>
      <c r="U855" s="146"/>
      <c r="V855" s="146"/>
      <c r="W855" s="148"/>
      <c r="X855" s="146"/>
      <c r="Y855" s="146"/>
      <c r="Z855" s="146"/>
      <c r="AA855" s="146"/>
      <c r="AB855" s="146"/>
      <c r="AC855" s="146"/>
    </row>
    <row r="856" ht="15.75" customHeight="1">
      <c r="A856" s="146"/>
      <c r="B856" s="146"/>
      <c r="C856" s="146"/>
      <c r="D856" s="146"/>
      <c r="E856" s="146"/>
      <c r="F856" s="146"/>
      <c r="G856" s="146"/>
      <c r="H856" s="146"/>
      <c r="I856" s="146"/>
      <c r="J856" s="146"/>
      <c r="K856" s="146"/>
      <c r="L856" s="146"/>
      <c r="M856" s="146"/>
      <c r="N856" s="146"/>
      <c r="O856" s="147"/>
      <c r="P856" s="146"/>
      <c r="Q856" s="146"/>
      <c r="R856" s="146"/>
      <c r="S856" s="146"/>
      <c r="T856" s="146"/>
      <c r="U856" s="146"/>
      <c r="V856" s="146"/>
      <c r="W856" s="148"/>
      <c r="X856" s="146"/>
      <c r="Y856" s="146"/>
      <c r="Z856" s="146"/>
      <c r="AA856" s="146"/>
      <c r="AB856" s="146"/>
      <c r="AC856" s="146"/>
    </row>
    <row r="857" ht="15.75" customHeight="1">
      <c r="A857" s="146"/>
      <c r="B857" s="146"/>
      <c r="C857" s="146"/>
      <c r="D857" s="146"/>
      <c r="E857" s="146"/>
      <c r="F857" s="146"/>
      <c r="G857" s="146"/>
      <c r="H857" s="146"/>
      <c r="I857" s="146"/>
      <c r="J857" s="146"/>
      <c r="K857" s="146"/>
      <c r="L857" s="146"/>
      <c r="M857" s="146"/>
      <c r="N857" s="146"/>
      <c r="O857" s="147"/>
      <c r="P857" s="146"/>
      <c r="Q857" s="146"/>
      <c r="R857" s="146"/>
      <c r="S857" s="146"/>
      <c r="T857" s="146"/>
      <c r="U857" s="146"/>
      <c r="V857" s="146"/>
      <c r="W857" s="148"/>
      <c r="X857" s="146"/>
      <c r="Y857" s="146"/>
      <c r="Z857" s="146"/>
      <c r="AA857" s="146"/>
      <c r="AB857" s="146"/>
      <c r="AC857" s="146"/>
    </row>
    <row r="858" ht="15.75" customHeight="1">
      <c r="A858" s="146"/>
      <c r="B858" s="146"/>
      <c r="C858" s="146"/>
      <c r="D858" s="146"/>
      <c r="E858" s="146"/>
      <c r="F858" s="146"/>
      <c r="G858" s="146"/>
      <c r="H858" s="146"/>
      <c r="I858" s="146"/>
      <c r="J858" s="146"/>
      <c r="K858" s="146"/>
      <c r="L858" s="146"/>
      <c r="M858" s="146"/>
      <c r="N858" s="146"/>
      <c r="O858" s="147"/>
      <c r="P858" s="146"/>
      <c r="Q858" s="146"/>
      <c r="R858" s="146"/>
      <c r="S858" s="146"/>
      <c r="T858" s="146"/>
      <c r="U858" s="146"/>
      <c r="V858" s="146"/>
      <c r="W858" s="148"/>
      <c r="X858" s="146"/>
      <c r="Y858" s="146"/>
      <c r="Z858" s="146"/>
      <c r="AA858" s="146"/>
      <c r="AB858" s="146"/>
      <c r="AC858" s="146"/>
    </row>
    <row r="859" ht="15.75" customHeight="1">
      <c r="A859" s="146"/>
      <c r="B859" s="146"/>
      <c r="C859" s="146"/>
      <c r="D859" s="146"/>
      <c r="E859" s="146"/>
      <c r="F859" s="146"/>
      <c r="G859" s="146"/>
      <c r="H859" s="146"/>
      <c r="I859" s="146"/>
      <c r="J859" s="146"/>
      <c r="K859" s="146"/>
      <c r="L859" s="146"/>
      <c r="M859" s="146"/>
      <c r="N859" s="146"/>
      <c r="O859" s="147"/>
      <c r="P859" s="146"/>
      <c r="Q859" s="146"/>
      <c r="R859" s="146"/>
      <c r="S859" s="146"/>
      <c r="T859" s="146"/>
      <c r="U859" s="146"/>
      <c r="V859" s="146"/>
      <c r="W859" s="148"/>
      <c r="X859" s="146"/>
      <c r="Y859" s="146"/>
      <c r="Z859" s="146"/>
      <c r="AA859" s="146"/>
      <c r="AB859" s="146"/>
      <c r="AC859" s="146"/>
    </row>
    <row r="860" ht="15.75" customHeight="1">
      <c r="A860" s="146"/>
      <c r="B860" s="146"/>
      <c r="C860" s="146"/>
      <c r="D860" s="146"/>
      <c r="E860" s="146"/>
      <c r="F860" s="146"/>
      <c r="G860" s="146"/>
      <c r="H860" s="146"/>
      <c r="I860" s="146"/>
      <c r="J860" s="146"/>
      <c r="K860" s="146"/>
      <c r="L860" s="146"/>
      <c r="M860" s="146"/>
      <c r="N860" s="146"/>
      <c r="O860" s="147"/>
      <c r="P860" s="146"/>
      <c r="Q860" s="146"/>
      <c r="R860" s="146"/>
      <c r="S860" s="146"/>
      <c r="T860" s="146"/>
      <c r="U860" s="146"/>
      <c r="V860" s="146"/>
      <c r="W860" s="148"/>
      <c r="X860" s="146"/>
      <c r="Y860" s="146"/>
      <c r="Z860" s="146"/>
      <c r="AA860" s="146"/>
      <c r="AB860" s="146"/>
      <c r="AC860" s="146"/>
    </row>
    <row r="861" ht="15.75" customHeight="1">
      <c r="A861" s="146"/>
      <c r="B861" s="146"/>
      <c r="C861" s="146"/>
      <c r="D861" s="146"/>
      <c r="E861" s="146"/>
      <c r="F861" s="146"/>
      <c r="G861" s="146"/>
      <c r="H861" s="146"/>
      <c r="I861" s="146"/>
      <c r="J861" s="146"/>
      <c r="K861" s="146"/>
      <c r="L861" s="146"/>
      <c r="M861" s="146"/>
      <c r="N861" s="146"/>
      <c r="O861" s="147"/>
      <c r="P861" s="146"/>
      <c r="Q861" s="146"/>
      <c r="R861" s="146"/>
      <c r="S861" s="146"/>
      <c r="T861" s="146"/>
      <c r="U861" s="146"/>
      <c r="V861" s="146"/>
      <c r="W861" s="148"/>
      <c r="X861" s="146"/>
      <c r="Y861" s="146"/>
      <c r="Z861" s="146"/>
      <c r="AA861" s="146"/>
      <c r="AB861" s="146"/>
      <c r="AC861" s="146"/>
    </row>
    <row r="862" ht="15.75" customHeight="1">
      <c r="A862" s="146"/>
      <c r="B862" s="146"/>
      <c r="C862" s="146"/>
      <c r="D862" s="146"/>
      <c r="E862" s="146"/>
      <c r="F862" s="146"/>
      <c r="G862" s="146"/>
      <c r="H862" s="146"/>
      <c r="I862" s="146"/>
      <c r="J862" s="146"/>
      <c r="K862" s="146"/>
      <c r="L862" s="146"/>
      <c r="M862" s="146"/>
      <c r="N862" s="146"/>
      <c r="O862" s="147"/>
      <c r="P862" s="146"/>
      <c r="Q862" s="146"/>
      <c r="R862" s="146"/>
      <c r="S862" s="146"/>
      <c r="T862" s="146"/>
      <c r="U862" s="146"/>
      <c r="V862" s="146"/>
      <c r="W862" s="148"/>
      <c r="X862" s="146"/>
      <c r="Y862" s="146"/>
      <c r="Z862" s="146"/>
      <c r="AA862" s="146"/>
      <c r="AB862" s="146"/>
      <c r="AC862" s="146"/>
    </row>
    <row r="863" ht="15.75" customHeight="1">
      <c r="A863" s="146"/>
      <c r="B863" s="146"/>
      <c r="C863" s="146"/>
      <c r="D863" s="146"/>
      <c r="E863" s="146"/>
      <c r="F863" s="146"/>
      <c r="G863" s="146"/>
      <c r="H863" s="146"/>
      <c r="I863" s="146"/>
      <c r="J863" s="146"/>
      <c r="K863" s="146"/>
      <c r="L863" s="146"/>
      <c r="M863" s="146"/>
      <c r="N863" s="146"/>
      <c r="O863" s="147"/>
      <c r="P863" s="146"/>
      <c r="Q863" s="146"/>
      <c r="R863" s="146"/>
      <c r="S863" s="146"/>
      <c r="T863" s="146"/>
      <c r="U863" s="146"/>
      <c r="V863" s="146"/>
      <c r="W863" s="148"/>
      <c r="X863" s="146"/>
      <c r="Y863" s="146"/>
      <c r="Z863" s="146"/>
      <c r="AA863" s="146"/>
      <c r="AB863" s="146"/>
      <c r="AC863" s="146"/>
    </row>
    <row r="864" ht="15.75" customHeight="1">
      <c r="A864" s="146"/>
      <c r="B864" s="146"/>
      <c r="C864" s="146"/>
      <c r="D864" s="146"/>
      <c r="E864" s="146"/>
      <c r="F864" s="146"/>
      <c r="G864" s="146"/>
      <c r="H864" s="146"/>
      <c r="I864" s="146"/>
      <c r="J864" s="146"/>
      <c r="K864" s="146"/>
      <c r="L864" s="146"/>
      <c r="M864" s="146"/>
      <c r="N864" s="146"/>
      <c r="O864" s="147"/>
      <c r="P864" s="146"/>
      <c r="Q864" s="146"/>
      <c r="R864" s="146"/>
      <c r="S864" s="146"/>
      <c r="T864" s="146"/>
      <c r="U864" s="146"/>
      <c r="V864" s="146"/>
      <c r="W864" s="148"/>
      <c r="X864" s="146"/>
      <c r="Y864" s="146"/>
      <c r="Z864" s="146"/>
      <c r="AA864" s="146"/>
      <c r="AB864" s="146"/>
      <c r="AC864" s="146"/>
    </row>
    <row r="865" ht="15.75" customHeight="1">
      <c r="A865" s="146"/>
      <c r="B865" s="146"/>
      <c r="C865" s="146"/>
      <c r="D865" s="146"/>
      <c r="E865" s="146"/>
      <c r="F865" s="146"/>
      <c r="G865" s="146"/>
      <c r="H865" s="146"/>
      <c r="I865" s="146"/>
      <c r="J865" s="146"/>
      <c r="K865" s="146"/>
      <c r="L865" s="146"/>
      <c r="M865" s="146"/>
      <c r="N865" s="146"/>
      <c r="O865" s="147"/>
      <c r="P865" s="146"/>
      <c r="Q865" s="146"/>
      <c r="R865" s="146"/>
      <c r="S865" s="146"/>
      <c r="T865" s="146"/>
      <c r="U865" s="146"/>
      <c r="V865" s="146"/>
      <c r="W865" s="148"/>
      <c r="X865" s="146"/>
      <c r="Y865" s="146"/>
      <c r="Z865" s="146"/>
      <c r="AA865" s="146"/>
      <c r="AB865" s="146"/>
      <c r="AC865" s="146"/>
    </row>
    <row r="866" ht="15.75" customHeight="1">
      <c r="A866" s="146"/>
      <c r="B866" s="146"/>
      <c r="C866" s="146"/>
      <c r="D866" s="146"/>
      <c r="E866" s="146"/>
      <c r="F866" s="146"/>
      <c r="G866" s="146"/>
      <c r="H866" s="146"/>
      <c r="I866" s="146"/>
      <c r="J866" s="146"/>
      <c r="K866" s="146"/>
      <c r="L866" s="146"/>
      <c r="M866" s="146"/>
      <c r="N866" s="146"/>
      <c r="O866" s="147"/>
      <c r="P866" s="146"/>
      <c r="Q866" s="146"/>
      <c r="R866" s="146"/>
      <c r="S866" s="146"/>
      <c r="T866" s="146"/>
      <c r="U866" s="146"/>
      <c r="V866" s="146"/>
      <c r="W866" s="148"/>
      <c r="X866" s="146"/>
      <c r="Y866" s="146"/>
      <c r="Z866" s="146"/>
      <c r="AA866" s="146"/>
      <c r="AB866" s="146"/>
      <c r="AC866" s="146"/>
    </row>
    <row r="867" ht="15.75" customHeight="1">
      <c r="A867" s="146"/>
      <c r="B867" s="146"/>
      <c r="C867" s="146"/>
      <c r="D867" s="146"/>
      <c r="E867" s="146"/>
      <c r="F867" s="146"/>
      <c r="G867" s="146"/>
      <c r="H867" s="146"/>
      <c r="I867" s="146"/>
      <c r="J867" s="146"/>
      <c r="K867" s="146"/>
      <c r="L867" s="146"/>
      <c r="M867" s="146"/>
      <c r="N867" s="146"/>
      <c r="O867" s="147"/>
      <c r="P867" s="146"/>
      <c r="Q867" s="146"/>
      <c r="R867" s="146"/>
      <c r="S867" s="146"/>
      <c r="T867" s="146"/>
      <c r="U867" s="146"/>
      <c r="V867" s="146"/>
      <c r="W867" s="148"/>
      <c r="X867" s="146"/>
      <c r="Y867" s="146"/>
      <c r="Z867" s="146"/>
      <c r="AA867" s="146"/>
      <c r="AB867" s="146"/>
      <c r="AC867" s="146"/>
    </row>
    <row r="868" ht="15.75" customHeight="1">
      <c r="A868" s="146"/>
      <c r="B868" s="146"/>
      <c r="C868" s="146"/>
      <c r="D868" s="146"/>
      <c r="E868" s="146"/>
      <c r="F868" s="146"/>
      <c r="G868" s="146"/>
      <c r="H868" s="146"/>
      <c r="I868" s="146"/>
      <c r="J868" s="146"/>
      <c r="K868" s="146"/>
      <c r="L868" s="146"/>
      <c r="M868" s="146"/>
      <c r="N868" s="146"/>
      <c r="O868" s="147"/>
      <c r="P868" s="146"/>
      <c r="Q868" s="146"/>
      <c r="R868" s="146"/>
      <c r="S868" s="146"/>
      <c r="T868" s="146"/>
      <c r="U868" s="146"/>
      <c r="V868" s="146"/>
      <c r="W868" s="148"/>
      <c r="X868" s="146"/>
      <c r="Y868" s="146"/>
      <c r="Z868" s="146"/>
      <c r="AA868" s="146"/>
      <c r="AB868" s="146"/>
      <c r="AC868" s="146"/>
    </row>
    <row r="869" ht="15.75" customHeight="1">
      <c r="A869" s="146"/>
      <c r="B869" s="146"/>
      <c r="C869" s="146"/>
      <c r="D869" s="146"/>
      <c r="E869" s="146"/>
      <c r="F869" s="146"/>
      <c r="G869" s="146"/>
      <c r="H869" s="146"/>
      <c r="I869" s="146"/>
      <c r="J869" s="146"/>
      <c r="K869" s="146"/>
      <c r="L869" s="146"/>
      <c r="M869" s="146"/>
      <c r="N869" s="146"/>
      <c r="O869" s="147"/>
      <c r="P869" s="146"/>
      <c r="Q869" s="146"/>
      <c r="R869" s="146"/>
      <c r="S869" s="146"/>
      <c r="T869" s="146"/>
      <c r="U869" s="146"/>
      <c r="V869" s="146"/>
      <c r="W869" s="148"/>
      <c r="X869" s="146"/>
      <c r="Y869" s="146"/>
      <c r="Z869" s="146"/>
      <c r="AA869" s="146"/>
      <c r="AB869" s="146"/>
      <c r="AC869" s="146"/>
    </row>
    <row r="870" ht="15.75" customHeight="1">
      <c r="A870" s="146"/>
      <c r="B870" s="146"/>
      <c r="C870" s="146"/>
      <c r="D870" s="146"/>
      <c r="E870" s="146"/>
      <c r="F870" s="146"/>
      <c r="G870" s="146"/>
      <c r="H870" s="146"/>
      <c r="I870" s="146"/>
      <c r="J870" s="146"/>
      <c r="K870" s="146"/>
      <c r="L870" s="146"/>
      <c r="M870" s="146"/>
      <c r="N870" s="146"/>
      <c r="O870" s="147"/>
      <c r="P870" s="146"/>
      <c r="Q870" s="146"/>
      <c r="R870" s="146"/>
      <c r="S870" s="146"/>
      <c r="T870" s="146"/>
      <c r="U870" s="146"/>
      <c r="V870" s="146"/>
      <c r="W870" s="148"/>
      <c r="X870" s="146"/>
      <c r="Y870" s="146"/>
      <c r="Z870" s="146"/>
      <c r="AA870" s="146"/>
      <c r="AB870" s="146"/>
      <c r="AC870" s="146"/>
    </row>
    <row r="871" ht="15.75" customHeight="1">
      <c r="A871" s="146"/>
      <c r="B871" s="146"/>
      <c r="C871" s="146"/>
      <c r="D871" s="146"/>
      <c r="E871" s="146"/>
      <c r="F871" s="146"/>
      <c r="G871" s="146"/>
      <c r="H871" s="146"/>
      <c r="I871" s="146"/>
      <c r="J871" s="146"/>
      <c r="K871" s="146"/>
      <c r="L871" s="146"/>
      <c r="M871" s="146"/>
      <c r="N871" s="146"/>
      <c r="O871" s="147"/>
      <c r="P871" s="146"/>
      <c r="Q871" s="146"/>
      <c r="R871" s="146"/>
      <c r="S871" s="146"/>
      <c r="T871" s="146"/>
      <c r="U871" s="146"/>
      <c r="V871" s="146"/>
      <c r="W871" s="148"/>
      <c r="X871" s="146"/>
      <c r="Y871" s="146"/>
      <c r="Z871" s="146"/>
      <c r="AA871" s="146"/>
      <c r="AB871" s="146"/>
      <c r="AC871" s="146"/>
    </row>
    <row r="872" ht="15.75" customHeight="1">
      <c r="A872" s="146"/>
      <c r="B872" s="146"/>
      <c r="C872" s="146"/>
      <c r="D872" s="146"/>
      <c r="E872" s="146"/>
      <c r="F872" s="146"/>
      <c r="G872" s="146"/>
      <c r="H872" s="146"/>
      <c r="I872" s="146"/>
      <c r="J872" s="146"/>
      <c r="K872" s="146"/>
      <c r="L872" s="146"/>
      <c r="M872" s="146"/>
      <c r="N872" s="146"/>
      <c r="O872" s="147"/>
      <c r="P872" s="146"/>
      <c r="Q872" s="146"/>
      <c r="R872" s="146"/>
      <c r="S872" s="146"/>
      <c r="T872" s="146"/>
      <c r="U872" s="146"/>
      <c r="V872" s="146"/>
      <c r="W872" s="148"/>
      <c r="X872" s="146"/>
      <c r="Y872" s="146"/>
      <c r="Z872" s="146"/>
      <c r="AA872" s="146"/>
      <c r="AB872" s="146"/>
      <c r="AC872" s="146"/>
    </row>
    <row r="873" ht="15.75" customHeight="1">
      <c r="A873" s="146"/>
      <c r="B873" s="146"/>
      <c r="C873" s="146"/>
      <c r="D873" s="146"/>
      <c r="E873" s="146"/>
      <c r="F873" s="146"/>
      <c r="G873" s="146"/>
      <c r="H873" s="146"/>
      <c r="I873" s="146"/>
      <c r="J873" s="146"/>
      <c r="K873" s="146"/>
      <c r="L873" s="146"/>
      <c r="M873" s="146"/>
      <c r="N873" s="146"/>
      <c r="O873" s="147"/>
      <c r="P873" s="146"/>
      <c r="Q873" s="146"/>
      <c r="R873" s="146"/>
      <c r="S873" s="146"/>
      <c r="T873" s="146"/>
      <c r="U873" s="146"/>
      <c r="V873" s="146"/>
      <c r="W873" s="148"/>
      <c r="X873" s="146"/>
      <c r="Y873" s="146"/>
      <c r="Z873" s="146"/>
      <c r="AA873" s="146"/>
      <c r="AB873" s="146"/>
      <c r="AC873" s="146"/>
    </row>
    <row r="874" ht="15.75" customHeight="1">
      <c r="A874" s="146"/>
      <c r="B874" s="146"/>
      <c r="C874" s="146"/>
      <c r="D874" s="146"/>
      <c r="E874" s="146"/>
      <c r="F874" s="146"/>
      <c r="G874" s="146"/>
      <c r="H874" s="146"/>
      <c r="I874" s="146"/>
      <c r="J874" s="146"/>
      <c r="K874" s="146"/>
      <c r="L874" s="146"/>
      <c r="M874" s="146"/>
      <c r="N874" s="146"/>
      <c r="O874" s="147"/>
      <c r="P874" s="146"/>
      <c r="Q874" s="146"/>
      <c r="R874" s="146"/>
      <c r="S874" s="146"/>
      <c r="T874" s="146"/>
      <c r="U874" s="146"/>
      <c r="V874" s="146"/>
      <c r="W874" s="148"/>
      <c r="X874" s="146"/>
      <c r="Y874" s="146"/>
      <c r="Z874" s="146"/>
      <c r="AA874" s="146"/>
      <c r="AB874" s="146"/>
      <c r="AC874" s="146"/>
    </row>
    <row r="875" ht="15.75" customHeight="1">
      <c r="A875" s="146"/>
      <c r="B875" s="146"/>
      <c r="C875" s="146"/>
      <c r="D875" s="146"/>
      <c r="E875" s="146"/>
      <c r="F875" s="146"/>
      <c r="G875" s="146"/>
      <c r="H875" s="146"/>
      <c r="I875" s="146"/>
      <c r="J875" s="146"/>
      <c r="K875" s="146"/>
      <c r="L875" s="146"/>
      <c r="M875" s="146"/>
      <c r="N875" s="146"/>
      <c r="O875" s="147"/>
      <c r="P875" s="146"/>
      <c r="Q875" s="146"/>
      <c r="R875" s="146"/>
      <c r="S875" s="146"/>
      <c r="T875" s="146"/>
      <c r="U875" s="146"/>
      <c r="V875" s="146"/>
      <c r="W875" s="148"/>
      <c r="X875" s="146"/>
      <c r="Y875" s="146"/>
      <c r="Z875" s="146"/>
      <c r="AA875" s="146"/>
      <c r="AB875" s="146"/>
      <c r="AC875" s="146"/>
    </row>
    <row r="876" ht="15.75" customHeight="1">
      <c r="A876" s="146"/>
      <c r="B876" s="146"/>
      <c r="C876" s="146"/>
      <c r="D876" s="146"/>
      <c r="E876" s="146"/>
      <c r="F876" s="146"/>
      <c r="G876" s="146"/>
      <c r="H876" s="146"/>
      <c r="I876" s="146"/>
      <c r="J876" s="146"/>
      <c r="K876" s="146"/>
      <c r="L876" s="146"/>
      <c r="M876" s="146"/>
      <c r="N876" s="146"/>
      <c r="O876" s="147"/>
      <c r="P876" s="146"/>
      <c r="Q876" s="146"/>
      <c r="R876" s="146"/>
      <c r="S876" s="146"/>
      <c r="T876" s="146"/>
      <c r="U876" s="146"/>
      <c r="V876" s="146"/>
      <c r="W876" s="148"/>
      <c r="X876" s="146"/>
      <c r="Y876" s="146"/>
      <c r="Z876" s="146"/>
      <c r="AA876" s="146"/>
      <c r="AB876" s="146"/>
      <c r="AC876" s="146"/>
    </row>
    <row r="877" ht="15.75" customHeight="1">
      <c r="A877" s="146"/>
      <c r="B877" s="146"/>
      <c r="C877" s="146"/>
      <c r="D877" s="146"/>
      <c r="E877" s="146"/>
      <c r="F877" s="146"/>
      <c r="G877" s="146"/>
      <c r="H877" s="146"/>
      <c r="I877" s="146"/>
      <c r="J877" s="146"/>
      <c r="K877" s="146"/>
      <c r="L877" s="146"/>
      <c r="M877" s="146"/>
      <c r="N877" s="146"/>
      <c r="O877" s="147"/>
      <c r="P877" s="146"/>
      <c r="Q877" s="146"/>
      <c r="R877" s="146"/>
      <c r="S877" s="146"/>
      <c r="T877" s="146"/>
      <c r="U877" s="146"/>
      <c r="V877" s="146"/>
      <c r="W877" s="148"/>
      <c r="X877" s="146"/>
      <c r="Y877" s="146"/>
      <c r="Z877" s="146"/>
      <c r="AA877" s="146"/>
      <c r="AB877" s="146"/>
      <c r="AC877" s="146"/>
    </row>
    <row r="878" ht="15.75" customHeight="1">
      <c r="A878" s="146"/>
      <c r="B878" s="146"/>
      <c r="C878" s="146"/>
      <c r="D878" s="146"/>
      <c r="E878" s="146"/>
      <c r="F878" s="146"/>
      <c r="G878" s="146"/>
      <c r="H878" s="146"/>
      <c r="I878" s="146"/>
      <c r="J878" s="146"/>
      <c r="K878" s="146"/>
      <c r="L878" s="146"/>
      <c r="M878" s="146"/>
      <c r="N878" s="146"/>
      <c r="O878" s="147"/>
      <c r="P878" s="146"/>
      <c r="Q878" s="146"/>
      <c r="R878" s="146"/>
      <c r="S878" s="146"/>
      <c r="T878" s="146"/>
      <c r="U878" s="146"/>
      <c r="V878" s="146"/>
      <c r="W878" s="148"/>
      <c r="X878" s="146"/>
      <c r="Y878" s="146"/>
      <c r="Z878" s="146"/>
      <c r="AA878" s="146"/>
      <c r="AB878" s="146"/>
      <c r="AC878" s="146"/>
    </row>
    <row r="879" ht="15.75" customHeight="1">
      <c r="A879" s="146"/>
      <c r="B879" s="146"/>
      <c r="C879" s="146"/>
      <c r="D879" s="146"/>
      <c r="E879" s="146"/>
      <c r="F879" s="146"/>
      <c r="G879" s="146"/>
      <c r="H879" s="146"/>
      <c r="I879" s="146"/>
      <c r="J879" s="146"/>
      <c r="K879" s="146"/>
      <c r="L879" s="146"/>
      <c r="M879" s="146"/>
      <c r="N879" s="146"/>
      <c r="O879" s="147"/>
      <c r="P879" s="146"/>
      <c r="Q879" s="146"/>
      <c r="R879" s="146"/>
      <c r="S879" s="146"/>
      <c r="T879" s="146"/>
      <c r="U879" s="146"/>
      <c r="V879" s="146"/>
      <c r="W879" s="148"/>
      <c r="X879" s="146"/>
      <c r="Y879" s="146"/>
      <c r="Z879" s="146"/>
      <c r="AA879" s="146"/>
      <c r="AB879" s="146"/>
      <c r="AC879" s="146"/>
    </row>
    <row r="880" ht="15.75" customHeight="1">
      <c r="A880" s="146"/>
      <c r="B880" s="146"/>
      <c r="C880" s="146"/>
      <c r="D880" s="146"/>
      <c r="E880" s="146"/>
      <c r="F880" s="146"/>
      <c r="G880" s="146"/>
      <c r="H880" s="146"/>
      <c r="I880" s="146"/>
      <c r="J880" s="146"/>
      <c r="K880" s="146"/>
      <c r="L880" s="146"/>
      <c r="M880" s="146"/>
      <c r="N880" s="146"/>
      <c r="O880" s="147"/>
      <c r="P880" s="146"/>
      <c r="Q880" s="146"/>
      <c r="R880" s="146"/>
      <c r="S880" s="146"/>
      <c r="T880" s="146"/>
      <c r="U880" s="146"/>
      <c r="V880" s="146"/>
      <c r="W880" s="148"/>
      <c r="X880" s="146"/>
      <c r="Y880" s="146"/>
      <c r="Z880" s="146"/>
      <c r="AA880" s="146"/>
      <c r="AB880" s="146"/>
      <c r="AC880" s="146"/>
    </row>
    <row r="881" ht="15.75" customHeight="1">
      <c r="A881" s="146"/>
      <c r="B881" s="146"/>
      <c r="C881" s="146"/>
      <c r="D881" s="146"/>
      <c r="E881" s="146"/>
      <c r="F881" s="146"/>
      <c r="G881" s="146"/>
      <c r="H881" s="146"/>
      <c r="I881" s="146"/>
      <c r="J881" s="146"/>
      <c r="K881" s="146"/>
      <c r="L881" s="146"/>
      <c r="M881" s="146"/>
      <c r="N881" s="146"/>
      <c r="O881" s="147"/>
      <c r="P881" s="146"/>
      <c r="Q881" s="146"/>
      <c r="R881" s="146"/>
      <c r="S881" s="146"/>
      <c r="T881" s="146"/>
      <c r="U881" s="146"/>
      <c r="V881" s="146"/>
      <c r="W881" s="148"/>
      <c r="X881" s="146"/>
      <c r="Y881" s="146"/>
      <c r="Z881" s="146"/>
      <c r="AA881" s="146"/>
      <c r="AB881" s="146"/>
      <c r="AC881" s="146"/>
    </row>
    <row r="882" ht="15.75" customHeight="1">
      <c r="A882" s="146"/>
      <c r="B882" s="146"/>
      <c r="C882" s="146"/>
      <c r="D882" s="146"/>
      <c r="E882" s="146"/>
      <c r="F882" s="146"/>
      <c r="G882" s="146"/>
      <c r="H882" s="146"/>
      <c r="I882" s="146"/>
      <c r="J882" s="146"/>
      <c r="K882" s="146"/>
      <c r="L882" s="146"/>
      <c r="M882" s="146"/>
      <c r="N882" s="146"/>
      <c r="O882" s="147"/>
      <c r="P882" s="146"/>
      <c r="Q882" s="146"/>
      <c r="R882" s="146"/>
      <c r="S882" s="146"/>
      <c r="T882" s="146"/>
      <c r="U882" s="146"/>
      <c r="V882" s="146"/>
      <c r="W882" s="148"/>
      <c r="X882" s="146"/>
      <c r="Y882" s="146"/>
      <c r="Z882" s="146"/>
      <c r="AA882" s="146"/>
      <c r="AB882" s="146"/>
      <c r="AC882" s="146"/>
    </row>
    <row r="883" ht="15.75" customHeight="1">
      <c r="A883" s="146"/>
      <c r="B883" s="146"/>
      <c r="C883" s="146"/>
      <c r="D883" s="146"/>
      <c r="E883" s="146"/>
      <c r="F883" s="146"/>
      <c r="G883" s="146"/>
      <c r="H883" s="146"/>
      <c r="I883" s="146"/>
      <c r="J883" s="146"/>
      <c r="K883" s="146"/>
      <c r="L883" s="146"/>
      <c r="M883" s="146"/>
      <c r="N883" s="146"/>
      <c r="O883" s="147"/>
      <c r="P883" s="146"/>
      <c r="Q883" s="146"/>
      <c r="R883" s="146"/>
      <c r="S883" s="146"/>
      <c r="T883" s="146"/>
      <c r="U883" s="146"/>
      <c r="V883" s="146"/>
      <c r="W883" s="148"/>
      <c r="X883" s="146"/>
      <c r="Y883" s="146"/>
      <c r="Z883" s="146"/>
      <c r="AA883" s="146"/>
      <c r="AB883" s="146"/>
      <c r="AC883" s="146"/>
    </row>
    <row r="884" ht="15.75" customHeight="1">
      <c r="A884" s="146"/>
      <c r="B884" s="146"/>
      <c r="C884" s="146"/>
      <c r="D884" s="146"/>
      <c r="E884" s="146"/>
      <c r="F884" s="146"/>
      <c r="G884" s="146"/>
      <c r="H884" s="146"/>
      <c r="I884" s="146"/>
      <c r="J884" s="146"/>
      <c r="K884" s="146"/>
      <c r="L884" s="146"/>
      <c r="M884" s="146"/>
      <c r="N884" s="146"/>
      <c r="O884" s="147"/>
      <c r="P884" s="146"/>
      <c r="Q884" s="146"/>
      <c r="R884" s="146"/>
      <c r="S884" s="146"/>
      <c r="T884" s="146"/>
      <c r="U884" s="146"/>
      <c r="V884" s="146"/>
      <c r="W884" s="148"/>
      <c r="X884" s="146"/>
      <c r="Y884" s="146"/>
      <c r="Z884" s="146"/>
      <c r="AA884" s="146"/>
      <c r="AB884" s="146"/>
      <c r="AC884" s="146"/>
    </row>
    <row r="885" ht="15.75" customHeight="1">
      <c r="A885" s="146"/>
      <c r="B885" s="146"/>
      <c r="C885" s="146"/>
      <c r="D885" s="146"/>
      <c r="E885" s="146"/>
      <c r="F885" s="146"/>
      <c r="G885" s="146"/>
      <c r="H885" s="146"/>
      <c r="I885" s="146"/>
      <c r="J885" s="146"/>
      <c r="K885" s="146"/>
      <c r="L885" s="146"/>
      <c r="M885" s="146"/>
      <c r="N885" s="146"/>
      <c r="O885" s="147"/>
      <c r="P885" s="146"/>
      <c r="Q885" s="146"/>
      <c r="R885" s="146"/>
      <c r="S885" s="146"/>
      <c r="T885" s="146"/>
      <c r="U885" s="146"/>
      <c r="V885" s="146"/>
      <c r="W885" s="148"/>
      <c r="X885" s="146"/>
      <c r="Y885" s="146"/>
      <c r="Z885" s="146"/>
      <c r="AA885" s="146"/>
      <c r="AB885" s="146"/>
      <c r="AC885" s="146"/>
    </row>
    <row r="886" ht="15.75" customHeight="1">
      <c r="A886" s="146"/>
      <c r="B886" s="146"/>
      <c r="C886" s="146"/>
      <c r="D886" s="146"/>
      <c r="E886" s="146"/>
      <c r="F886" s="146"/>
      <c r="G886" s="146"/>
      <c r="H886" s="146"/>
      <c r="I886" s="146"/>
      <c r="J886" s="146"/>
      <c r="K886" s="146"/>
      <c r="L886" s="146"/>
      <c r="M886" s="146"/>
      <c r="N886" s="146"/>
      <c r="O886" s="147"/>
      <c r="P886" s="146"/>
      <c r="Q886" s="146"/>
      <c r="R886" s="146"/>
      <c r="S886" s="146"/>
      <c r="T886" s="146"/>
      <c r="U886" s="146"/>
      <c r="V886" s="146"/>
      <c r="W886" s="148"/>
      <c r="X886" s="146"/>
      <c r="Y886" s="146"/>
      <c r="Z886" s="146"/>
      <c r="AA886" s="146"/>
      <c r="AB886" s="146"/>
      <c r="AC886" s="146"/>
    </row>
    <row r="887" ht="15.75" customHeight="1">
      <c r="A887" s="146"/>
      <c r="B887" s="146"/>
      <c r="C887" s="146"/>
      <c r="D887" s="146"/>
      <c r="E887" s="146"/>
      <c r="F887" s="146"/>
      <c r="G887" s="146"/>
      <c r="H887" s="146"/>
      <c r="I887" s="146"/>
      <c r="J887" s="146"/>
      <c r="K887" s="146"/>
      <c r="L887" s="146"/>
      <c r="M887" s="146"/>
      <c r="N887" s="146"/>
      <c r="O887" s="147"/>
      <c r="P887" s="146"/>
      <c r="Q887" s="146"/>
      <c r="R887" s="146"/>
      <c r="S887" s="146"/>
      <c r="T887" s="146"/>
      <c r="U887" s="146"/>
      <c r="V887" s="146"/>
      <c r="W887" s="148"/>
      <c r="X887" s="146"/>
      <c r="Y887" s="146"/>
      <c r="Z887" s="146"/>
      <c r="AA887" s="146"/>
      <c r="AB887" s="146"/>
      <c r="AC887" s="146"/>
    </row>
    <row r="888" ht="15.75" customHeight="1">
      <c r="A888" s="146"/>
      <c r="B888" s="146"/>
      <c r="C888" s="146"/>
      <c r="D888" s="146"/>
      <c r="E888" s="146"/>
      <c r="F888" s="146"/>
      <c r="G888" s="146"/>
      <c r="H888" s="146"/>
      <c r="I888" s="146"/>
      <c r="J888" s="146"/>
      <c r="K888" s="146"/>
      <c r="L888" s="146"/>
      <c r="M888" s="146"/>
      <c r="N888" s="146"/>
      <c r="O888" s="147"/>
      <c r="P888" s="146"/>
      <c r="Q888" s="146"/>
      <c r="R888" s="146"/>
      <c r="S888" s="146"/>
      <c r="T888" s="146"/>
      <c r="U888" s="146"/>
      <c r="V888" s="146"/>
      <c r="W888" s="148"/>
      <c r="X888" s="146"/>
      <c r="Y888" s="146"/>
      <c r="Z888" s="146"/>
      <c r="AA888" s="146"/>
      <c r="AB888" s="146"/>
      <c r="AC888" s="146"/>
    </row>
    <row r="889" ht="15.75" customHeight="1">
      <c r="A889" s="146"/>
      <c r="B889" s="146"/>
      <c r="C889" s="146"/>
      <c r="D889" s="146"/>
      <c r="E889" s="146"/>
      <c r="F889" s="146"/>
      <c r="G889" s="146"/>
      <c r="H889" s="146"/>
      <c r="I889" s="146"/>
      <c r="J889" s="146"/>
      <c r="K889" s="146"/>
      <c r="L889" s="146"/>
      <c r="M889" s="146"/>
      <c r="N889" s="146"/>
      <c r="O889" s="147"/>
      <c r="P889" s="146"/>
      <c r="Q889" s="146"/>
      <c r="R889" s="146"/>
      <c r="S889" s="146"/>
      <c r="T889" s="146"/>
      <c r="U889" s="146"/>
      <c r="V889" s="146"/>
      <c r="W889" s="148"/>
      <c r="X889" s="146"/>
      <c r="Y889" s="146"/>
      <c r="Z889" s="146"/>
      <c r="AA889" s="146"/>
      <c r="AB889" s="146"/>
      <c r="AC889" s="146"/>
    </row>
    <row r="890" ht="15.75" customHeight="1">
      <c r="A890" s="146"/>
      <c r="B890" s="146"/>
      <c r="C890" s="146"/>
      <c r="D890" s="146"/>
      <c r="E890" s="146"/>
      <c r="F890" s="146"/>
      <c r="G890" s="146"/>
      <c r="H890" s="146"/>
      <c r="I890" s="146"/>
      <c r="J890" s="146"/>
      <c r="K890" s="146"/>
      <c r="L890" s="146"/>
      <c r="M890" s="146"/>
      <c r="N890" s="146"/>
      <c r="O890" s="147"/>
      <c r="P890" s="146"/>
      <c r="Q890" s="146"/>
      <c r="R890" s="146"/>
      <c r="S890" s="146"/>
      <c r="T890" s="146"/>
      <c r="U890" s="146"/>
      <c r="V890" s="146"/>
      <c r="W890" s="148"/>
      <c r="X890" s="146"/>
      <c r="Y890" s="146"/>
      <c r="Z890" s="146"/>
      <c r="AA890" s="146"/>
      <c r="AB890" s="146"/>
      <c r="AC890" s="146"/>
    </row>
    <row r="891" ht="15.75" customHeight="1">
      <c r="A891" s="146"/>
      <c r="B891" s="146"/>
      <c r="C891" s="146"/>
      <c r="D891" s="146"/>
      <c r="E891" s="146"/>
      <c r="F891" s="146"/>
      <c r="G891" s="146"/>
      <c r="H891" s="146"/>
      <c r="I891" s="146"/>
      <c r="J891" s="146"/>
      <c r="K891" s="146"/>
      <c r="L891" s="146"/>
      <c r="M891" s="146"/>
      <c r="N891" s="146"/>
      <c r="O891" s="147"/>
      <c r="P891" s="146"/>
      <c r="Q891" s="146"/>
      <c r="R891" s="146"/>
      <c r="S891" s="146"/>
      <c r="T891" s="146"/>
      <c r="U891" s="146"/>
      <c r="V891" s="146"/>
      <c r="W891" s="148"/>
      <c r="X891" s="146"/>
      <c r="Y891" s="146"/>
      <c r="Z891" s="146"/>
      <c r="AA891" s="146"/>
      <c r="AB891" s="146"/>
      <c r="AC891" s="146"/>
    </row>
    <row r="892" ht="15.75" customHeight="1">
      <c r="A892" s="146"/>
      <c r="B892" s="146"/>
      <c r="C892" s="146"/>
      <c r="D892" s="146"/>
      <c r="E892" s="146"/>
      <c r="F892" s="146"/>
      <c r="G892" s="146"/>
      <c r="H892" s="146"/>
      <c r="I892" s="146"/>
      <c r="J892" s="146"/>
      <c r="K892" s="146"/>
      <c r="L892" s="146"/>
      <c r="M892" s="146"/>
      <c r="N892" s="146"/>
      <c r="O892" s="147"/>
      <c r="P892" s="146"/>
      <c r="Q892" s="146"/>
      <c r="R892" s="146"/>
      <c r="S892" s="146"/>
      <c r="T892" s="146"/>
      <c r="U892" s="146"/>
      <c r="V892" s="146"/>
      <c r="W892" s="148"/>
      <c r="X892" s="146"/>
      <c r="Y892" s="146"/>
      <c r="Z892" s="146"/>
      <c r="AA892" s="146"/>
      <c r="AB892" s="146"/>
      <c r="AC892" s="146"/>
    </row>
    <row r="893" ht="15.75" customHeight="1">
      <c r="A893" s="146"/>
      <c r="B893" s="146"/>
      <c r="C893" s="146"/>
      <c r="D893" s="146"/>
      <c r="E893" s="146"/>
      <c r="F893" s="146"/>
      <c r="G893" s="146"/>
      <c r="H893" s="146"/>
      <c r="I893" s="146"/>
      <c r="J893" s="146"/>
      <c r="K893" s="146"/>
      <c r="L893" s="146"/>
      <c r="M893" s="146"/>
      <c r="N893" s="146"/>
      <c r="O893" s="147"/>
      <c r="P893" s="146"/>
      <c r="Q893" s="146"/>
      <c r="R893" s="146"/>
      <c r="S893" s="146"/>
      <c r="T893" s="146"/>
      <c r="U893" s="146"/>
      <c r="V893" s="146"/>
      <c r="W893" s="148"/>
      <c r="X893" s="146"/>
      <c r="Y893" s="146"/>
      <c r="Z893" s="146"/>
      <c r="AA893" s="146"/>
      <c r="AB893" s="146"/>
      <c r="AC893" s="146"/>
    </row>
    <row r="894" ht="15.75" customHeight="1">
      <c r="A894" s="146"/>
      <c r="B894" s="146"/>
      <c r="C894" s="146"/>
      <c r="D894" s="146"/>
      <c r="E894" s="146"/>
      <c r="F894" s="146"/>
      <c r="G894" s="146"/>
      <c r="H894" s="146"/>
      <c r="I894" s="146"/>
      <c r="J894" s="146"/>
      <c r="K894" s="146"/>
      <c r="L894" s="146"/>
      <c r="M894" s="146"/>
      <c r="N894" s="146"/>
      <c r="O894" s="147"/>
      <c r="P894" s="146"/>
      <c r="Q894" s="146"/>
      <c r="R894" s="146"/>
      <c r="S894" s="146"/>
      <c r="T894" s="146"/>
      <c r="U894" s="146"/>
      <c r="V894" s="146"/>
      <c r="W894" s="148"/>
      <c r="X894" s="146"/>
      <c r="Y894" s="146"/>
      <c r="Z894" s="146"/>
      <c r="AA894" s="146"/>
      <c r="AB894" s="146"/>
      <c r="AC894" s="146"/>
    </row>
    <row r="895" ht="15.75" customHeight="1">
      <c r="A895" s="146"/>
      <c r="B895" s="146"/>
      <c r="C895" s="146"/>
      <c r="D895" s="146"/>
      <c r="E895" s="146"/>
      <c r="F895" s="146"/>
      <c r="G895" s="146"/>
      <c r="H895" s="146"/>
      <c r="I895" s="146"/>
      <c r="J895" s="146"/>
      <c r="K895" s="146"/>
      <c r="L895" s="146"/>
      <c r="M895" s="146"/>
      <c r="N895" s="146"/>
      <c r="O895" s="147"/>
      <c r="P895" s="146"/>
      <c r="Q895" s="146"/>
      <c r="R895" s="146"/>
      <c r="S895" s="146"/>
      <c r="T895" s="146"/>
      <c r="U895" s="146"/>
      <c r="V895" s="146"/>
      <c r="W895" s="148"/>
      <c r="X895" s="146"/>
      <c r="Y895" s="146"/>
      <c r="Z895" s="146"/>
      <c r="AA895" s="146"/>
      <c r="AB895" s="146"/>
      <c r="AC895" s="146"/>
    </row>
    <row r="896" ht="15.75" customHeight="1">
      <c r="A896" s="146"/>
      <c r="B896" s="146"/>
      <c r="C896" s="146"/>
      <c r="D896" s="146"/>
      <c r="E896" s="146"/>
      <c r="F896" s="146"/>
      <c r="G896" s="146"/>
      <c r="H896" s="146"/>
      <c r="I896" s="146"/>
      <c r="J896" s="146"/>
      <c r="K896" s="146"/>
      <c r="L896" s="146"/>
      <c r="M896" s="146"/>
      <c r="N896" s="146"/>
      <c r="O896" s="147"/>
      <c r="P896" s="146"/>
      <c r="Q896" s="146"/>
      <c r="R896" s="146"/>
      <c r="S896" s="146"/>
      <c r="T896" s="146"/>
      <c r="U896" s="146"/>
      <c r="V896" s="146"/>
      <c r="W896" s="148"/>
      <c r="X896" s="146"/>
      <c r="Y896" s="146"/>
      <c r="Z896" s="146"/>
      <c r="AA896" s="146"/>
      <c r="AB896" s="146"/>
      <c r="AC896" s="146"/>
    </row>
    <row r="897" ht="15.75" customHeight="1">
      <c r="A897" s="146"/>
      <c r="B897" s="146"/>
      <c r="C897" s="146"/>
      <c r="D897" s="146"/>
      <c r="E897" s="146"/>
      <c r="F897" s="146"/>
      <c r="G897" s="146"/>
      <c r="H897" s="146"/>
      <c r="I897" s="146"/>
      <c r="J897" s="146"/>
      <c r="K897" s="146"/>
      <c r="L897" s="146"/>
      <c r="M897" s="146"/>
      <c r="N897" s="146"/>
      <c r="O897" s="147"/>
      <c r="P897" s="146"/>
      <c r="Q897" s="146"/>
      <c r="R897" s="146"/>
      <c r="S897" s="146"/>
      <c r="T897" s="146"/>
      <c r="U897" s="146"/>
      <c r="V897" s="146"/>
      <c r="W897" s="148"/>
      <c r="X897" s="146"/>
      <c r="Y897" s="146"/>
      <c r="Z897" s="146"/>
      <c r="AA897" s="146"/>
      <c r="AB897" s="146"/>
      <c r="AC897" s="146"/>
    </row>
    <row r="898" ht="15.75" customHeight="1">
      <c r="A898" s="146"/>
      <c r="B898" s="146"/>
      <c r="C898" s="146"/>
      <c r="D898" s="146"/>
      <c r="E898" s="146"/>
      <c r="F898" s="146"/>
      <c r="G898" s="146"/>
      <c r="H898" s="146"/>
      <c r="I898" s="146"/>
      <c r="J898" s="146"/>
      <c r="K898" s="146"/>
      <c r="L898" s="146"/>
      <c r="M898" s="146"/>
      <c r="N898" s="146"/>
      <c r="O898" s="147"/>
      <c r="P898" s="146"/>
      <c r="Q898" s="146"/>
      <c r="R898" s="146"/>
      <c r="S898" s="146"/>
      <c r="T898" s="146"/>
      <c r="U898" s="146"/>
      <c r="V898" s="146"/>
      <c r="W898" s="148"/>
      <c r="X898" s="146"/>
      <c r="Y898" s="146"/>
      <c r="Z898" s="146"/>
      <c r="AA898" s="146"/>
      <c r="AB898" s="146"/>
      <c r="AC898" s="146"/>
    </row>
    <row r="899" ht="15.75" customHeight="1">
      <c r="A899" s="146"/>
      <c r="B899" s="146"/>
      <c r="C899" s="146"/>
      <c r="D899" s="146"/>
      <c r="E899" s="146"/>
      <c r="F899" s="146"/>
      <c r="G899" s="146"/>
      <c r="H899" s="146"/>
      <c r="I899" s="146"/>
      <c r="J899" s="146"/>
      <c r="K899" s="146"/>
      <c r="L899" s="146"/>
      <c r="M899" s="146"/>
      <c r="N899" s="146"/>
      <c r="O899" s="147"/>
      <c r="P899" s="146"/>
      <c r="Q899" s="146"/>
      <c r="R899" s="146"/>
      <c r="S899" s="146"/>
      <c r="T899" s="146"/>
      <c r="U899" s="146"/>
      <c r="V899" s="146"/>
      <c r="W899" s="148"/>
      <c r="X899" s="146"/>
      <c r="Y899" s="146"/>
      <c r="Z899" s="146"/>
      <c r="AA899" s="146"/>
      <c r="AB899" s="146"/>
      <c r="AC899" s="146"/>
    </row>
    <row r="900" ht="15.75" customHeight="1">
      <c r="A900" s="146"/>
      <c r="B900" s="146"/>
      <c r="C900" s="146"/>
      <c r="D900" s="146"/>
      <c r="E900" s="146"/>
      <c r="F900" s="146"/>
      <c r="G900" s="146"/>
      <c r="H900" s="146"/>
      <c r="I900" s="146"/>
      <c r="J900" s="146"/>
      <c r="K900" s="146"/>
      <c r="L900" s="146"/>
      <c r="M900" s="146"/>
      <c r="N900" s="146"/>
      <c r="O900" s="147"/>
      <c r="P900" s="146"/>
      <c r="Q900" s="146"/>
      <c r="R900" s="146"/>
      <c r="S900" s="146"/>
      <c r="T900" s="146"/>
      <c r="U900" s="146"/>
      <c r="V900" s="146"/>
      <c r="W900" s="148"/>
      <c r="X900" s="146"/>
      <c r="Y900" s="146"/>
      <c r="Z900" s="146"/>
      <c r="AA900" s="146"/>
      <c r="AB900" s="146"/>
      <c r="AC900" s="146"/>
    </row>
    <row r="901" ht="15.75" customHeight="1">
      <c r="A901" s="146"/>
      <c r="B901" s="146"/>
      <c r="C901" s="146"/>
      <c r="D901" s="146"/>
      <c r="E901" s="146"/>
      <c r="F901" s="146"/>
      <c r="G901" s="146"/>
      <c r="H901" s="146"/>
      <c r="I901" s="146"/>
      <c r="J901" s="146"/>
      <c r="K901" s="146"/>
      <c r="L901" s="146"/>
      <c r="M901" s="146"/>
      <c r="N901" s="146"/>
      <c r="O901" s="147"/>
      <c r="P901" s="146"/>
      <c r="Q901" s="146"/>
      <c r="R901" s="146"/>
      <c r="S901" s="146"/>
      <c r="T901" s="146"/>
      <c r="U901" s="146"/>
      <c r="V901" s="146"/>
      <c r="W901" s="148"/>
      <c r="X901" s="146"/>
      <c r="Y901" s="146"/>
      <c r="Z901" s="146"/>
      <c r="AA901" s="146"/>
      <c r="AB901" s="146"/>
      <c r="AC901" s="146"/>
    </row>
    <row r="902" ht="15.75" customHeight="1">
      <c r="A902" s="146"/>
      <c r="B902" s="146"/>
      <c r="C902" s="146"/>
      <c r="D902" s="146"/>
      <c r="E902" s="146"/>
      <c r="F902" s="146"/>
      <c r="G902" s="146"/>
      <c r="H902" s="146"/>
      <c r="I902" s="146"/>
      <c r="J902" s="146"/>
      <c r="K902" s="146"/>
      <c r="L902" s="146"/>
      <c r="M902" s="146"/>
      <c r="N902" s="146"/>
      <c r="O902" s="147"/>
      <c r="P902" s="146"/>
      <c r="Q902" s="146"/>
      <c r="R902" s="146"/>
      <c r="S902" s="146"/>
      <c r="T902" s="146"/>
      <c r="U902" s="146"/>
      <c r="V902" s="146"/>
      <c r="W902" s="148"/>
      <c r="X902" s="146"/>
      <c r="Y902" s="146"/>
      <c r="Z902" s="146"/>
      <c r="AA902" s="146"/>
      <c r="AB902" s="146"/>
      <c r="AC902" s="146"/>
    </row>
    <row r="903" ht="15.75" customHeight="1">
      <c r="A903" s="146"/>
      <c r="B903" s="146"/>
      <c r="C903" s="146"/>
      <c r="D903" s="146"/>
      <c r="E903" s="146"/>
      <c r="F903" s="146"/>
      <c r="G903" s="146"/>
      <c r="H903" s="146"/>
      <c r="I903" s="146"/>
      <c r="J903" s="146"/>
      <c r="K903" s="146"/>
      <c r="L903" s="146"/>
      <c r="M903" s="146"/>
      <c r="N903" s="146"/>
      <c r="O903" s="147"/>
      <c r="P903" s="146"/>
      <c r="Q903" s="146"/>
      <c r="R903" s="146"/>
      <c r="S903" s="146"/>
      <c r="T903" s="146"/>
      <c r="U903" s="146"/>
      <c r="V903" s="146"/>
      <c r="W903" s="148"/>
      <c r="X903" s="146"/>
      <c r="Y903" s="146"/>
      <c r="Z903" s="146"/>
      <c r="AA903" s="146"/>
      <c r="AB903" s="146"/>
      <c r="AC903" s="146"/>
    </row>
    <row r="904" ht="15.75" customHeight="1">
      <c r="A904" s="146"/>
      <c r="B904" s="146"/>
      <c r="C904" s="146"/>
      <c r="D904" s="146"/>
      <c r="E904" s="146"/>
      <c r="F904" s="146"/>
      <c r="G904" s="146"/>
      <c r="H904" s="146"/>
      <c r="I904" s="146"/>
      <c r="J904" s="146"/>
      <c r="K904" s="146"/>
      <c r="L904" s="146"/>
      <c r="M904" s="146"/>
      <c r="N904" s="146"/>
      <c r="O904" s="147"/>
      <c r="P904" s="146"/>
      <c r="Q904" s="146"/>
      <c r="R904" s="146"/>
      <c r="S904" s="146"/>
      <c r="T904" s="146"/>
      <c r="U904" s="146"/>
      <c r="V904" s="146"/>
      <c r="W904" s="148"/>
      <c r="X904" s="146"/>
      <c r="Y904" s="146"/>
      <c r="Z904" s="146"/>
      <c r="AA904" s="146"/>
      <c r="AB904" s="146"/>
      <c r="AC904" s="146"/>
    </row>
    <row r="905" ht="15.75" customHeight="1">
      <c r="A905" s="146"/>
      <c r="B905" s="146"/>
      <c r="C905" s="146"/>
      <c r="D905" s="146"/>
      <c r="E905" s="146"/>
      <c r="F905" s="146"/>
      <c r="G905" s="146"/>
      <c r="H905" s="146"/>
      <c r="I905" s="146"/>
      <c r="J905" s="146"/>
      <c r="K905" s="146"/>
      <c r="L905" s="146"/>
      <c r="M905" s="146"/>
      <c r="N905" s="146"/>
      <c r="O905" s="147"/>
      <c r="P905" s="146"/>
      <c r="Q905" s="146"/>
      <c r="R905" s="146"/>
      <c r="S905" s="146"/>
      <c r="T905" s="146"/>
      <c r="U905" s="146"/>
      <c r="V905" s="146"/>
      <c r="W905" s="148"/>
      <c r="X905" s="146"/>
      <c r="Y905" s="146"/>
      <c r="Z905" s="146"/>
      <c r="AA905" s="146"/>
      <c r="AB905" s="146"/>
      <c r="AC905" s="146"/>
    </row>
    <row r="906" ht="15.75" customHeight="1">
      <c r="A906" s="146"/>
      <c r="B906" s="146"/>
      <c r="C906" s="146"/>
      <c r="D906" s="146"/>
      <c r="E906" s="146"/>
      <c r="F906" s="146"/>
      <c r="G906" s="146"/>
      <c r="H906" s="146"/>
      <c r="I906" s="146"/>
      <c r="J906" s="146"/>
      <c r="K906" s="146"/>
      <c r="L906" s="146"/>
      <c r="M906" s="146"/>
      <c r="N906" s="146"/>
      <c r="O906" s="147"/>
      <c r="P906" s="146"/>
      <c r="Q906" s="146"/>
      <c r="R906" s="146"/>
      <c r="S906" s="146"/>
      <c r="T906" s="146"/>
      <c r="U906" s="146"/>
      <c r="V906" s="146"/>
      <c r="W906" s="148"/>
      <c r="X906" s="146"/>
      <c r="Y906" s="146"/>
      <c r="Z906" s="146"/>
      <c r="AA906" s="146"/>
      <c r="AB906" s="146"/>
      <c r="AC906" s="146"/>
    </row>
    <row r="907" ht="15.75" customHeight="1">
      <c r="A907" s="146"/>
      <c r="B907" s="146"/>
      <c r="C907" s="146"/>
      <c r="D907" s="146"/>
      <c r="E907" s="146"/>
      <c r="F907" s="146"/>
      <c r="G907" s="146"/>
      <c r="H907" s="146"/>
      <c r="I907" s="146"/>
      <c r="J907" s="146"/>
      <c r="K907" s="146"/>
      <c r="L907" s="146"/>
      <c r="M907" s="146"/>
      <c r="N907" s="146"/>
      <c r="O907" s="147"/>
      <c r="P907" s="146"/>
      <c r="Q907" s="146"/>
      <c r="R907" s="146"/>
      <c r="S907" s="146"/>
      <c r="T907" s="146"/>
      <c r="U907" s="146"/>
      <c r="V907" s="146"/>
      <c r="W907" s="148"/>
      <c r="X907" s="146"/>
      <c r="Y907" s="146"/>
      <c r="Z907" s="146"/>
      <c r="AA907" s="146"/>
      <c r="AB907" s="146"/>
      <c r="AC907" s="146"/>
    </row>
    <row r="908" ht="15.75" customHeight="1">
      <c r="A908" s="146"/>
      <c r="B908" s="146"/>
      <c r="C908" s="146"/>
      <c r="D908" s="146"/>
      <c r="E908" s="146"/>
      <c r="F908" s="146"/>
      <c r="G908" s="146"/>
      <c r="H908" s="146"/>
      <c r="I908" s="146"/>
      <c r="J908" s="146"/>
      <c r="K908" s="146"/>
      <c r="L908" s="146"/>
      <c r="M908" s="146"/>
      <c r="N908" s="146"/>
      <c r="O908" s="147"/>
      <c r="P908" s="146"/>
      <c r="Q908" s="146"/>
      <c r="R908" s="146"/>
      <c r="S908" s="146"/>
      <c r="T908" s="146"/>
      <c r="U908" s="146"/>
      <c r="V908" s="146"/>
      <c r="W908" s="148"/>
      <c r="X908" s="146"/>
      <c r="Y908" s="146"/>
      <c r="Z908" s="146"/>
      <c r="AA908" s="146"/>
      <c r="AB908" s="146"/>
      <c r="AC908" s="146"/>
    </row>
    <row r="909" ht="15.75" customHeight="1">
      <c r="A909" s="146"/>
      <c r="B909" s="146"/>
      <c r="C909" s="146"/>
      <c r="D909" s="146"/>
      <c r="E909" s="146"/>
      <c r="F909" s="146"/>
      <c r="G909" s="146"/>
      <c r="H909" s="146"/>
      <c r="I909" s="146"/>
      <c r="J909" s="146"/>
      <c r="K909" s="146"/>
      <c r="L909" s="146"/>
      <c r="M909" s="146"/>
      <c r="N909" s="146"/>
      <c r="O909" s="147"/>
      <c r="P909" s="146"/>
      <c r="Q909" s="146"/>
      <c r="R909" s="146"/>
      <c r="S909" s="146"/>
      <c r="T909" s="146"/>
      <c r="U909" s="146"/>
      <c r="V909" s="146"/>
      <c r="W909" s="148"/>
      <c r="X909" s="146"/>
      <c r="Y909" s="146"/>
      <c r="Z909" s="146"/>
      <c r="AA909" s="146"/>
      <c r="AB909" s="146"/>
      <c r="AC909" s="146"/>
    </row>
    <row r="910" ht="15.75" customHeight="1">
      <c r="A910" s="146"/>
      <c r="B910" s="146"/>
      <c r="C910" s="146"/>
      <c r="D910" s="146"/>
      <c r="E910" s="146"/>
      <c r="F910" s="146"/>
      <c r="G910" s="146"/>
      <c r="H910" s="146"/>
      <c r="I910" s="146"/>
      <c r="J910" s="146"/>
      <c r="K910" s="146"/>
      <c r="L910" s="146"/>
      <c r="M910" s="146"/>
      <c r="N910" s="146"/>
      <c r="O910" s="147"/>
      <c r="P910" s="146"/>
      <c r="Q910" s="146"/>
      <c r="R910" s="146"/>
      <c r="S910" s="146"/>
      <c r="T910" s="146"/>
      <c r="U910" s="146"/>
      <c r="V910" s="146"/>
      <c r="W910" s="148"/>
      <c r="X910" s="146"/>
      <c r="Y910" s="146"/>
      <c r="Z910" s="146"/>
      <c r="AA910" s="146"/>
      <c r="AB910" s="146"/>
      <c r="AC910" s="146"/>
    </row>
    <row r="911" ht="15.75" customHeight="1">
      <c r="A911" s="146"/>
      <c r="B911" s="146"/>
      <c r="C911" s="146"/>
      <c r="D911" s="146"/>
      <c r="E911" s="146"/>
      <c r="F911" s="146"/>
      <c r="G911" s="146"/>
      <c r="H911" s="146"/>
      <c r="I911" s="146"/>
      <c r="J911" s="146"/>
      <c r="K911" s="146"/>
      <c r="L911" s="146"/>
      <c r="M911" s="146"/>
      <c r="N911" s="146"/>
      <c r="O911" s="147"/>
      <c r="P911" s="146"/>
      <c r="Q911" s="146"/>
      <c r="R911" s="146"/>
      <c r="S911" s="146"/>
      <c r="T911" s="146"/>
      <c r="U911" s="146"/>
      <c r="V911" s="146"/>
      <c r="W911" s="148"/>
      <c r="X911" s="146"/>
      <c r="Y911" s="146"/>
      <c r="Z911" s="146"/>
      <c r="AA911" s="146"/>
      <c r="AB911" s="146"/>
      <c r="AC911" s="146"/>
    </row>
    <row r="912" ht="15.75" customHeight="1">
      <c r="A912" s="146"/>
      <c r="B912" s="146"/>
      <c r="C912" s="146"/>
      <c r="D912" s="146"/>
      <c r="E912" s="146"/>
      <c r="F912" s="146"/>
      <c r="G912" s="146"/>
      <c r="H912" s="146"/>
      <c r="I912" s="146"/>
      <c r="J912" s="146"/>
      <c r="K912" s="146"/>
      <c r="L912" s="146"/>
      <c r="M912" s="146"/>
      <c r="N912" s="146"/>
      <c r="O912" s="147"/>
      <c r="P912" s="146"/>
      <c r="Q912" s="146"/>
      <c r="R912" s="146"/>
      <c r="S912" s="146"/>
      <c r="T912" s="146"/>
      <c r="U912" s="146"/>
      <c r="V912" s="146"/>
      <c r="W912" s="148"/>
      <c r="X912" s="146"/>
      <c r="Y912" s="146"/>
      <c r="Z912" s="146"/>
      <c r="AA912" s="146"/>
      <c r="AB912" s="146"/>
      <c r="AC912" s="146"/>
    </row>
    <row r="913" ht="15.75" customHeight="1">
      <c r="A913" s="146"/>
      <c r="B913" s="146"/>
      <c r="C913" s="146"/>
      <c r="D913" s="146"/>
      <c r="E913" s="146"/>
      <c r="F913" s="146"/>
      <c r="G913" s="146"/>
      <c r="H913" s="146"/>
      <c r="I913" s="146"/>
      <c r="J913" s="146"/>
      <c r="K913" s="146"/>
      <c r="L913" s="146"/>
      <c r="M913" s="146"/>
      <c r="N913" s="146"/>
      <c r="O913" s="147"/>
      <c r="P913" s="146"/>
      <c r="Q913" s="146"/>
      <c r="R913" s="146"/>
      <c r="S913" s="146"/>
      <c r="T913" s="146"/>
      <c r="U913" s="146"/>
      <c r="V913" s="146"/>
      <c r="W913" s="148"/>
      <c r="X913" s="146"/>
      <c r="Y913" s="146"/>
      <c r="Z913" s="146"/>
      <c r="AA913" s="146"/>
      <c r="AB913" s="146"/>
      <c r="AC913" s="146"/>
    </row>
    <row r="914" ht="15.75" customHeight="1">
      <c r="A914" s="146"/>
      <c r="B914" s="146"/>
      <c r="C914" s="146"/>
      <c r="D914" s="146"/>
      <c r="E914" s="146"/>
      <c r="F914" s="146"/>
      <c r="G914" s="146"/>
      <c r="H914" s="146"/>
      <c r="I914" s="146"/>
      <c r="J914" s="146"/>
      <c r="K914" s="146"/>
      <c r="L914" s="146"/>
      <c r="M914" s="146"/>
      <c r="N914" s="146"/>
      <c r="O914" s="147"/>
      <c r="P914" s="146"/>
      <c r="Q914" s="146"/>
      <c r="R914" s="146"/>
      <c r="S914" s="146"/>
      <c r="T914" s="146"/>
      <c r="U914" s="146"/>
      <c r="V914" s="146"/>
      <c r="W914" s="148"/>
      <c r="X914" s="146"/>
      <c r="Y914" s="146"/>
      <c r="Z914" s="146"/>
      <c r="AA914" s="146"/>
      <c r="AB914" s="146"/>
      <c r="AC914" s="146"/>
    </row>
    <row r="915" ht="15.75" customHeight="1">
      <c r="A915" s="146"/>
      <c r="B915" s="146"/>
      <c r="C915" s="146"/>
      <c r="D915" s="146"/>
      <c r="E915" s="146"/>
      <c r="F915" s="146"/>
      <c r="G915" s="146"/>
      <c r="H915" s="146"/>
      <c r="I915" s="146"/>
      <c r="J915" s="146"/>
      <c r="K915" s="146"/>
      <c r="L915" s="146"/>
      <c r="M915" s="146"/>
      <c r="N915" s="146"/>
      <c r="O915" s="147"/>
      <c r="P915" s="146"/>
      <c r="Q915" s="146"/>
      <c r="R915" s="146"/>
      <c r="S915" s="146"/>
      <c r="T915" s="146"/>
      <c r="U915" s="146"/>
      <c r="V915" s="146"/>
      <c r="W915" s="148"/>
      <c r="X915" s="146"/>
      <c r="Y915" s="146"/>
      <c r="Z915" s="146"/>
      <c r="AA915" s="146"/>
      <c r="AB915" s="146"/>
      <c r="AC915" s="146"/>
    </row>
    <row r="916" ht="15.75" customHeight="1">
      <c r="A916" s="146"/>
      <c r="B916" s="146"/>
      <c r="C916" s="146"/>
      <c r="D916" s="146"/>
      <c r="E916" s="146"/>
      <c r="F916" s="146"/>
      <c r="G916" s="146"/>
      <c r="H916" s="146"/>
      <c r="I916" s="146"/>
      <c r="J916" s="146"/>
      <c r="K916" s="146"/>
      <c r="L916" s="146"/>
      <c r="M916" s="146"/>
      <c r="N916" s="146"/>
      <c r="O916" s="147"/>
      <c r="P916" s="146"/>
      <c r="Q916" s="146"/>
      <c r="R916" s="146"/>
      <c r="S916" s="146"/>
      <c r="T916" s="146"/>
      <c r="U916" s="146"/>
      <c r="V916" s="146"/>
      <c r="W916" s="148"/>
      <c r="X916" s="146"/>
      <c r="Y916" s="146"/>
      <c r="Z916" s="146"/>
      <c r="AA916" s="146"/>
      <c r="AB916" s="146"/>
      <c r="AC916" s="146"/>
    </row>
    <row r="917" ht="15.75" customHeight="1">
      <c r="A917" s="146"/>
      <c r="B917" s="146"/>
      <c r="C917" s="146"/>
      <c r="D917" s="146"/>
      <c r="E917" s="146"/>
      <c r="F917" s="146"/>
      <c r="G917" s="146"/>
      <c r="H917" s="146"/>
      <c r="I917" s="146"/>
      <c r="J917" s="146"/>
      <c r="K917" s="146"/>
      <c r="L917" s="146"/>
      <c r="M917" s="146"/>
      <c r="N917" s="146"/>
      <c r="O917" s="147"/>
      <c r="P917" s="146"/>
      <c r="Q917" s="146"/>
      <c r="R917" s="146"/>
      <c r="S917" s="146"/>
      <c r="T917" s="146"/>
      <c r="U917" s="146"/>
      <c r="V917" s="146"/>
      <c r="W917" s="148"/>
      <c r="X917" s="146"/>
      <c r="Y917" s="146"/>
      <c r="Z917" s="146"/>
      <c r="AA917" s="146"/>
      <c r="AB917" s="146"/>
      <c r="AC917" s="146"/>
    </row>
    <row r="918" ht="15.75" customHeight="1">
      <c r="A918" s="146"/>
      <c r="B918" s="146"/>
      <c r="C918" s="146"/>
      <c r="D918" s="146"/>
      <c r="E918" s="146"/>
      <c r="F918" s="146"/>
      <c r="G918" s="146"/>
      <c r="H918" s="146"/>
      <c r="I918" s="146"/>
      <c r="J918" s="146"/>
      <c r="K918" s="146"/>
      <c r="L918" s="146"/>
      <c r="M918" s="146"/>
      <c r="N918" s="146"/>
      <c r="O918" s="147"/>
      <c r="P918" s="146"/>
      <c r="Q918" s="146"/>
      <c r="R918" s="146"/>
      <c r="S918" s="146"/>
      <c r="T918" s="146"/>
      <c r="U918" s="146"/>
      <c r="V918" s="146"/>
      <c r="W918" s="148"/>
      <c r="X918" s="146"/>
      <c r="Y918" s="146"/>
      <c r="Z918" s="146"/>
      <c r="AA918" s="146"/>
      <c r="AB918" s="146"/>
      <c r="AC918" s="146"/>
    </row>
    <row r="919" ht="15.75" customHeight="1">
      <c r="A919" s="146"/>
      <c r="B919" s="146"/>
      <c r="C919" s="146"/>
      <c r="D919" s="146"/>
      <c r="E919" s="146"/>
      <c r="F919" s="146"/>
      <c r="G919" s="146"/>
      <c r="H919" s="146"/>
      <c r="I919" s="146"/>
      <c r="J919" s="146"/>
      <c r="K919" s="146"/>
      <c r="L919" s="146"/>
      <c r="M919" s="146"/>
      <c r="N919" s="146"/>
      <c r="O919" s="147"/>
      <c r="P919" s="146"/>
      <c r="Q919" s="146"/>
      <c r="R919" s="146"/>
      <c r="S919" s="146"/>
      <c r="T919" s="146"/>
      <c r="U919" s="146"/>
      <c r="V919" s="146"/>
      <c r="W919" s="148"/>
      <c r="X919" s="146"/>
      <c r="Y919" s="146"/>
      <c r="Z919" s="146"/>
      <c r="AA919" s="146"/>
      <c r="AB919" s="146"/>
      <c r="AC919" s="146"/>
    </row>
    <row r="920" ht="15.75" customHeight="1">
      <c r="A920" s="146"/>
      <c r="B920" s="146"/>
      <c r="C920" s="146"/>
      <c r="D920" s="146"/>
      <c r="E920" s="146"/>
      <c r="F920" s="146"/>
      <c r="G920" s="146"/>
      <c r="H920" s="146"/>
      <c r="I920" s="146"/>
      <c r="J920" s="146"/>
      <c r="K920" s="146"/>
      <c r="L920" s="146"/>
      <c r="M920" s="146"/>
      <c r="N920" s="146"/>
      <c r="O920" s="147"/>
      <c r="P920" s="146"/>
      <c r="Q920" s="146"/>
      <c r="R920" s="146"/>
      <c r="S920" s="146"/>
      <c r="T920" s="146"/>
      <c r="U920" s="146"/>
      <c r="V920" s="146"/>
      <c r="W920" s="148"/>
      <c r="X920" s="146"/>
      <c r="Y920" s="146"/>
      <c r="Z920" s="146"/>
      <c r="AA920" s="146"/>
      <c r="AB920" s="146"/>
      <c r="AC920" s="146"/>
    </row>
    <row r="921" ht="15.75" customHeight="1">
      <c r="A921" s="146"/>
      <c r="B921" s="146"/>
      <c r="C921" s="146"/>
      <c r="D921" s="146"/>
      <c r="E921" s="146"/>
      <c r="F921" s="146"/>
      <c r="G921" s="146"/>
      <c r="H921" s="146"/>
      <c r="I921" s="146"/>
      <c r="J921" s="146"/>
      <c r="K921" s="146"/>
      <c r="L921" s="146"/>
      <c r="M921" s="146"/>
      <c r="N921" s="146"/>
      <c r="O921" s="147"/>
      <c r="P921" s="146"/>
      <c r="Q921" s="146"/>
      <c r="R921" s="146"/>
      <c r="S921" s="146"/>
      <c r="T921" s="146"/>
      <c r="U921" s="146"/>
      <c r="V921" s="146"/>
      <c r="W921" s="148"/>
      <c r="X921" s="146"/>
      <c r="Y921" s="146"/>
      <c r="Z921" s="146"/>
      <c r="AA921" s="146"/>
      <c r="AB921" s="146"/>
      <c r="AC921" s="146"/>
    </row>
    <row r="922" ht="15.75" customHeight="1">
      <c r="A922" s="146"/>
      <c r="B922" s="146"/>
      <c r="C922" s="146"/>
      <c r="D922" s="146"/>
      <c r="E922" s="146"/>
      <c r="F922" s="146"/>
      <c r="G922" s="146"/>
      <c r="H922" s="146"/>
      <c r="I922" s="146"/>
      <c r="J922" s="146"/>
      <c r="K922" s="146"/>
      <c r="L922" s="146"/>
      <c r="M922" s="146"/>
      <c r="N922" s="146"/>
      <c r="O922" s="147"/>
      <c r="P922" s="146"/>
      <c r="Q922" s="146"/>
      <c r="R922" s="146"/>
      <c r="S922" s="146"/>
      <c r="T922" s="146"/>
      <c r="U922" s="146"/>
      <c r="V922" s="146"/>
      <c r="W922" s="148"/>
      <c r="X922" s="146"/>
      <c r="Y922" s="146"/>
      <c r="Z922" s="146"/>
      <c r="AA922" s="146"/>
      <c r="AB922" s="146"/>
      <c r="AC922" s="146"/>
    </row>
    <row r="923" ht="15.75" customHeight="1">
      <c r="A923" s="146"/>
      <c r="B923" s="146"/>
      <c r="C923" s="146"/>
      <c r="D923" s="146"/>
      <c r="E923" s="146"/>
      <c r="F923" s="146"/>
      <c r="G923" s="146"/>
      <c r="H923" s="146"/>
      <c r="I923" s="146"/>
      <c r="J923" s="146"/>
      <c r="K923" s="146"/>
      <c r="L923" s="146"/>
      <c r="M923" s="146"/>
      <c r="N923" s="146"/>
      <c r="O923" s="147"/>
      <c r="P923" s="146"/>
      <c r="Q923" s="146"/>
      <c r="R923" s="146"/>
      <c r="S923" s="146"/>
      <c r="T923" s="146"/>
      <c r="U923" s="146"/>
      <c r="V923" s="146"/>
      <c r="W923" s="148"/>
      <c r="X923" s="146"/>
      <c r="Y923" s="146"/>
      <c r="Z923" s="146"/>
      <c r="AA923" s="146"/>
      <c r="AB923" s="146"/>
      <c r="AC923" s="146"/>
    </row>
    <row r="924" ht="15.75" customHeight="1">
      <c r="A924" s="146"/>
      <c r="B924" s="146"/>
      <c r="C924" s="146"/>
      <c r="D924" s="146"/>
      <c r="E924" s="146"/>
      <c r="F924" s="146"/>
      <c r="G924" s="146"/>
      <c r="H924" s="146"/>
      <c r="I924" s="146"/>
      <c r="J924" s="146"/>
      <c r="K924" s="146"/>
      <c r="L924" s="146"/>
      <c r="M924" s="146"/>
      <c r="N924" s="146"/>
      <c r="O924" s="147"/>
      <c r="P924" s="146"/>
      <c r="Q924" s="146"/>
      <c r="R924" s="146"/>
      <c r="S924" s="146"/>
      <c r="T924" s="146"/>
      <c r="U924" s="146"/>
      <c r="V924" s="146"/>
      <c r="W924" s="148"/>
      <c r="X924" s="146"/>
      <c r="Y924" s="146"/>
      <c r="Z924" s="146"/>
      <c r="AA924" s="146"/>
      <c r="AB924" s="146"/>
      <c r="AC924" s="146"/>
    </row>
    <row r="925" ht="15.75" customHeight="1">
      <c r="A925" s="146"/>
      <c r="B925" s="146"/>
      <c r="C925" s="146"/>
      <c r="D925" s="146"/>
      <c r="E925" s="146"/>
      <c r="F925" s="146"/>
      <c r="G925" s="146"/>
      <c r="H925" s="146"/>
      <c r="I925" s="146"/>
      <c r="J925" s="146"/>
      <c r="K925" s="146"/>
      <c r="L925" s="146"/>
      <c r="M925" s="146"/>
      <c r="N925" s="146"/>
      <c r="O925" s="147"/>
      <c r="P925" s="146"/>
      <c r="Q925" s="146"/>
      <c r="R925" s="146"/>
      <c r="S925" s="146"/>
      <c r="T925" s="146"/>
      <c r="U925" s="146"/>
      <c r="V925" s="146"/>
      <c r="W925" s="148"/>
      <c r="X925" s="146"/>
      <c r="Y925" s="146"/>
      <c r="Z925" s="146"/>
      <c r="AA925" s="146"/>
      <c r="AB925" s="146"/>
      <c r="AC925" s="146"/>
    </row>
    <row r="926" ht="15.75" customHeight="1">
      <c r="A926" s="146"/>
      <c r="B926" s="146"/>
      <c r="C926" s="146"/>
      <c r="D926" s="146"/>
      <c r="E926" s="146"/>
      <c r="F926" s="146"/>
      <c r="G926" s="146"/>
      <c r="H926" s="146"/>
      <c r="I926" s="146"/>
      <c r="J926" s="146"/>
      <c r="K926" s="146"/>
      <c r="L926" s="146"/>
      <c r="M926" s="146"/>
      <c r="N926" s="146"/>
      <c r="O926" s="147"/>
      <c r="P926" s="146"/>
      <c r="Q926" s="146"/>
      <c r="R926" s="146"/>
      <c r="S926" s="146"/>
      <c r="T926" s="146"/>
      <c r="U926" s="146"/>
      <c r="V926" s="146"/>
      <c r="W926" s="148"/>
      <c r="X926" s="146"/>
      <c r="Y926" s="146"/>
      <c r="Z926" s="146"/>
      <c r="AA926" s="146"/>
      <c r="AB926" s="146"/>
      <c r="AC926" s="146"/>
    </row>
    <row r="927" ht="15.75" customHeight="1">
      <c r="A927" s="146"/>
      <c r="B927" s="146"/>
      <c r="C927" s="146"/>
      <c r="D927" s="146"/>
      <c r="E927" s="146"/>
      <c r="F927" s="146"/>
      <c r="G927" s="146"/>
      <c r="H927" s="146"/>
      <c r="I927" s="146"/>
      <c r="J927" s="146"/>
      <c r="K927" s="146"/>
      <c r="L927" s="146"/>
      <c r="M927" s="146"/>
      <c r="N927" s="146"/>
      <c r="O927" s="147"/>
      <c r="P927" s="146"/>
      <c r="Q927" s="146"/>
      <c r="R927" s="146"/>
      <c r="S927" s="146"/>
      <c r="T927" s="146"/>
      <c r="U927" s="146"/>
      <c r="V927" s="146"/>
      <c r="W927" s="148"/>
      <c r="X927" s="146"/>
      <c r="Y927" s="146"/>
      <c r="Z927" s="146"/>
      <c r="AA927" s="146"/>
      <c r="AB927" s="146"/>
      <c r="AC927" s="146"/>
    </row>
    <row r="928" ht="15.75" customHeight="1">
      <c r="A928" s="146"/>
      <c r="B928" s="146"/>
      <c r="C928" s="146"/>
      <c r="D928" s="146"/>
      <c r="E928" s="146"/>
      <c r="F928" s="146"/>
      <c r="G928" s="146"/>
      <c r="H928" s="146"/>
      <c r="I928" s="146"/>
      <c r="J928" s="146"/>
      <c r="K928" s="146"/>
      <c r="L928" s="146"/>
      <c r="M928" s="146"/>
      <c r="N928" s="146"/>
      <c r="O928" s="147"/>
      <c r="P928" s="146"/>
      <c r="Q928" s="146"/>
      <c r="R928" s="146"/>
      <c r="S928" s="146"/>
      <c r="T928" s="146"/>
      <c r="U928" s="146"/>
      <c r="V928" s="146"/>
      <c r="W928" s="148"/>
      <c r="X928" s="146"/>
      <c r="Y928" s="146"/>
      <c r="Z928" s="146"/>
      <c r="AA928" s="146"/>
      <c r="AB928" s="146"/>
      <c r="AC928" s="146"/>
    </row>
    <row r="929" ht="15.75" customHeight="1">
      <c r="A929" s="146"/>
      <c r="B929" s="146"/>
      <c r="C929" s="146"/>
      <c r="D929" s="146"/>
      <c r="E929" s="146"/>
      <c r="F929" s="146"/>
      <c r="G929" s="146"/>
      <c r="H929" s="146"/>
      <c r="I929" s="146"/>
      <c r="J929" s="146"/>
      <c r="K929" s="146"/>
      <c r="L929" s="146"/>
      <c r="M929" s="146"/>
      <c r="N929" s="146"/>
      <c r="O929" s="147"/>
      <c r="P929" s="146"/>
      <c r="Q929" s="146"/>
      <c r="R929" s="146"/>
      <c r="S929" s="146"/>
      <c r="T929" s="146"/>
      <c r="U929" s="146"/>
      <c r="V929" s="146"/>
      <c r="W929" s="148"/>
      <c r="X929" s="146"/>
      <c r="Y929" s="146"/>
      <c r="Z929" s="146"/>
      <c r="AA929" s="146"/>
      <c r="AB929" s="146"/>
      <c r="AC929" s="146"/>
    </row>
    <row r="930" ht="15.75" customHeight="1">
      <c r="A930" s="146"/>
      <c r="B930" s="146"/>
      <c r="C930" s="146"/>
      <c r="D930" s="146"/>
      <c r="E930" s="146"/>
      <c r="F930" s="146"/>
      <c r="G930" s="146"/>
      <c r="H930" s="146"/>
      <c r="I930" s="146"/>
      <c r="J930" s="146"/>
      <c r="K930" s="146"/>
      <c r="L930" s="146"/>
      <c r="M930" s="146"/>
      <c r="N930" s="146"/>
      <c r="O930" s="147"/>
      <c r="P930" s="146"/>
      <c r="Q930" s="146"/>
      <c r="R930" s="146"/>
      <c r="S930" s="146"/>
      <c r="T930" s="146"/>
      <c r="U930" s="146"/>
      <c r="V930" s="146"/>
      <c r="W930" s="148"/>
      <c r="X930" s="146"/>
      <c r="Y930" s="146"/>
      <c r="Z930" s="146"/>
      <c r="AA930" s="146"/>
      <c r="AB930" s="146"/>
      <c r="AC930" s="146"/>
    </row>
    <row r="931" ht="15.75" customHeight="1">
      <c r="A931" s="146"/>
      <c r="B931" s="146"/>
      <c r="C931" s="146"/>
      <c r="D931" s="146"/>
      <c r="E931" s="146"/>
      <c r="F931" s="146"/>
      <c r="G931" s="146"/>
      <c r="H931" s="146"/>
      <c r="I931" s="146"/>
      <c r="J931" s="146"/>
      <c r="K931" s="146"/>
      <c r="L931" s="146"/>
      <c r="M931" s="146"/>
      <c r="N931" s="146"/>
      <c r="O931" s="147"/>
      <c r="P931" s="146"/>
      <c r="Q931" s="146"/>
      <c r="R931" s="146"/>
      <c r="S931" s="146"/>
      <c r="T931" s="146"/>
      <c r="U931" s="146"/>
      <c r="V931" s="146"/>
      <c r="W931" s="148"/>
      <c r="X931" s="146"/>
      <c r="Y931" s="146"/>
      <c r="Z931" s="146"/>
      <c r="AA931" s="146"/>
      <c r="AB931" s="146"/>
      <c r="AC931" s="146"/>
    </row>
    <row r="932" ht="15.75" customHeight="1">
      <c r="A932" s="146"/>
      <c r="B932" s="146"/>
      <c r="C932" s="146"/>
      <c r="D932" s="146"/>
      <c r="E932" s="146"/>
      <c r="F932" s="146"/>
      <c r="G932" s="146"/>
      <c r="H932" s="146"/>
      <c r="I932" s="146"/>
      <c r="J932" s="146"/>
      <c r="K932" s="146"/>
      <c r="L932" s="146"/>
      <c r="M932" s="146"/>
      <c r="N932" s="146"/>
      <c r="O932" s="147"/>
      <c r="P932" s="146"/>
      <c r="Q932" s="146"/>
      <c r="R932" s="146"/>
      <c r="S932" s="146"/>
      <c r="T932" s="146"/>
      <c r="U932" s="146"/>
      <c r="V932" s="146"/>
      <c r="W932" s="148"/>
      <c r="X932" s="146"/>
      <c r="Y932" s="146"/>
      <c r="Z932" s="146"/>
      <c r="AA932" s="146"/>
      <c r="AB932" s="146"/>
      <c r="AC932" s="146"/>
    </row>
    <row r="933" ht="15.75" customHeight="1">
      <c r="A933" s="146"/>
      <c r="B933" s="146"/>
      <c r="C933" s="146"/>
      <c r="D933" s="146"/>
      <c r="E933" s="146"/>
      <c r="F933" s="146"/>
      <c r="G933" s="146"/>
      <c r="H933" s="146"/>
      <c r="I933" s="146"/>
      <c r="J933" s="146"/>
      <c r="K933" s="146"/>
      <c r="L933" s="146"/>
      <c r="M933" s="146"/>
      <c r="N933" s="146"/>
      <c r="O933" s="147"/>
      <c r="P933" s="146"/>
      <c r="Q933" s="146"/>
      <c r="R933" s="146"/>
      <c r="S933" s="146"/>
      <c r="T933" s="146"/>
      <c r="U933" s="146"/>
      <c r="V933" s="146"/>
      <c r="W933" s="148"/>
      <c r="X933" s="146"/>
      <c r="Y933" s="146"/>
      <c r="Z933" s="146"/>
      <c r="AA933" s="146"/>
      <c r="AB933" s="146"/>
      <c r="AC933" s="146"/>
    </row>
    <row r="934" ht="15.75" customHeight="1">
      <c r="A934" s="146"/>
      <c r="B934" s="146"/>
      <c r="C934" s="146"/>
      <c r="D934" s="146"/>
      <c r="E934" s="146"/>
      <c r="F934" s="146"/>
      <c r="G934" s="146"/>
      <c r="H934" s="146"/>
      <c r="I934" s="146"/>
      <c r="J934" s="146"/>
      <c r="K934" s="146"/>
      <c r="L934" s="146"/>
      <c r="M934" s="146"/>
      <c r="N934" s="146"/>
      <c r="O934" s="147"/>
      <c r="P934" s="146"/>
      <c r="Q934" s="146"/>
      <c r="R934" s="146"/>
      <c r="S934" s="146"/>
      <c r="T934" s="146"/>
      <c r="U934" s="146"/>
      <c r="V934" s="146"/>
      <c r="W934" s="148"/>
      <c r="X934" s="146"/>
      <c r="Y934" s="146"/>
      <c r="Z934" s="146"/>
      <c r="AA934" s="146"/>
      <c r="AB934" s="146"/>
      <c r="AC934" s="146"/>
    </row>
    <row r="935" ht="15.75" customHeight="1">
      <c r="A935" s="146"/>
      <c r="B935" s="146"/>
      <c r="C935" s="146"/>
      <c r="D935" s="146"/>
      <c r="E935" s="146"/>
      <c r="F935" s="146"/>
      <c r="G935" s="146"/>
      <c r="H935" s="146"/>
      <c r="I935" s="146"/>
      <c r="J935" s="146"/>
      <c r="K935" s="146"/>
      <c r="L935" s="146"/>
      <c r="M935" s="146"/>
      <c r="N935" s="146"/>
      <c r="O935" s="147"/>
      <c r="P935" s="146"/>
      <c r="Q935" s="146"/>
      <c r="R935" s="146"/>
      <c r="S935" s="146"/>
      <c r="T935" s="146"/>
      <c r="U935" s="146"/>
      <c r="V935" s="146"/>
      <c r="W935" s="148"/>
      <c r="X935" s="146"/>
      <c r="Y935" s="146"/>
      <c r="Z935" s="146"/>
      <c r="AA935" s="146"/>
      <c r="AB935" s="146"/>
      <c r="AC935" s="146"/>
    </row>
    <row r="936" ht="15.75" customHeight="1">
      <c r="A936" s="146"/>
      <c r="B936" s="146"/>
      <c r="C936" s="146"/>
      <c r="D936" s="146"/>
      <c r="E936" s="146"/>
      <c r="F936" s="146"/>
      <c r="G936" s="146"/>
      <c r="H936" s="146"/>
      <c r="I936" s="146"/>
      <c r="J936" s="146"/>
      <c r="K936" s="146"/>
      <c r="L936" s="146"/>
      <c r="M936" s="146"/>
      <c r="N936" s="146"/>
      <c r="O936" s="147"/>
      <c r="P936" s="146"/>
      <c r="Q936" s="146"/>
      <c r="R936" s="146"/>
      <c r="S936" s="146"/>
      <c r="T936" s="146"/>
      <c r="U936" s="146"/>
      <c r="V936" s="146"/>
      <c r="W936" s="148"/>
      <c r="X936" s="146"/>
      <c r="Y936" s="146"/>
      <c r="Z936" s="146"/>
      <c r="AA936" s="146"/>
      <c r="AB936" s="146"/>
      <c r="AC936" s="146"/>
    </row>
    <row r="937" ht="15.75" customHeight="1">
      <c r="A937" s="146"/>
      <c r="B937" s="146"/>
      <c r="C937" s="146"/>
      <c r="D937" s="146"/>
      <c r="E937" s="146"/>
      <c r="F937" s="146"/>
      <c r="G937" s="146"/>
      <c r="H937" s="146"/>
      <c r="I937" s="146"/>
      <c r="J937" s="146"/>
      <c r="K937" s="146"/>
      <c r="L937" s="146"/>
      <c r="M937" s="146"/>
      <c r="N937" s="146"/>
      <c r="O937" s="147"/>
      <c r="P937" s="146"/>
      <c r="Q937" s="146"/>
      <c r="R937" s="146"/>
      <c r="S937" s="146"/>
      <c r="T937" s="146"/>
      <c r="U937" s="146"/>
      <c r="V937" s="146"/>
      <c r="W937" s="148"/>
      <c r="X937" s="146"/>
      <c r="Y937" s="146"/>
      <c r="Z937" s="146"/>
      <c r="AA937" s="146"/>
      <c r="AB937" s="146"/>
      <c r="AC937" s="146"/>
    </row>
    <row r="938" ht="15.75" customHeight="1">
      <c r="A938" s="146"/>
      <c r="B938" s="146"/>
      <c r="C938" s="146"/>
      <c r="D938" s="146"/>
      <c r="E938" s="146"/>
      <c r="F938" s="146"/>
      <c r="G938" s="146"/>
      <c r="H938" s="146"/>
      <c r="I938" s="146"/>
      <c r="J938" s="146"/>
      <c r="K938" s="146"/>
      <c r="L938" s="146"/>
      <c r="M938" s="146"/>
      <c r="N938" s="146"/>
      <c r="O938" s="147"/>
      <c r="P938" s="146"/>
      <c r="Q938" s="146"/>
      <c r="R938" s="146"/>
      <c r="S938" s="146"/>
      <c r="T938" s="146"/>
      <c r="U938" s="146"/>
      <c r="V938" s="146"/>
      <c r="W938" s="148"/>
      <c r="X938" s="146"/>
      <c r="Y938" s="146"/>
      <c r="Z938" s="146"/>
      <c r="AA938" s="146"/>
      <c r="AB938" s="146"/>
      <c r="AC938" s="146"/>
    </row>
    <row r="939" ht="15.75" customHeight="1">
      <c r="A939" s="146"/>
      <c r="B939" s="146"/>
      <c r="C939" s="146"/>
      <c r="D939" s="146"/>
      <c r="E939" s="146"/>
      <c r="F939" s="146"/>
      <c r="G939" s="146"/>
      <c r="H939" s="146"/>
      <c r="I939" s="146"/>
      <c r="J939" s="146"/>
      <c r="K939" s="146"/>
      <c r="L939" s="146"/>
      <c r="M939" s="146"/>
      <c r="N939" s="146"/>
      <c r="O939" s="147"/>
      <c r="P939" s="146"/>
      <c r="Q939" s="146"/>
      <c r="R939" s="146"/>
      <c r="S939" s="146"/>
      <c r="T939" s="146"/>
      <c r="U939" s="146"/>
      <c r="V939" s="146"/>
      <c r="W939" s="148"/>
      <c r="X939" s="146"/>
      <c r="Y939" s="146"/>
      <c r="Z939" s="146"/>
      <c r="AA939" s="146"/>
      <c r="AB939" s="146"/>
      <c r="AC939" s="146"/>
    </row>
    <row r="940" ht="15.75" customHeight="1">
      <c r="A940" s="146"/>
      <c r="B940" s="146"/>
      <c r="C940" s="146"/>
      <c r="D940" s="146"/>
      <c r="E940" s="146"/>
      <c r="F940" s="146"/>
      <c r="G940" s="146"/>
      <c r="H940" s="146"/>
      <c r="I940" s="146"/>
      <c r="J940" s="146"/>
      <c r="K940" s="146"/>
      <c r="L940" s="146"/>
      <c r="M940" s="146"/>
      <c r="N940" s="146"/>
      <c r="O940" s="147"/>
      <c r="P940" s="146"/>
      <c r="Q940" s="146"/>
      <c r="R940" s="146"/>
      <c r="S940" s="146"/>
      <c r="T940" s="146"/>
      <c r="U940" s="146"/>
      <c r="V940" s="146"/>
      <c r="W940" s="148"/>
      <c r="X940" s="146"/>
      <c r="Y940" s="146"/>
      <c r="Z940" s="146"/>
      <c r="AA940" s="146"/>
      <c r="AB940" s="146"/>
      <c r="AC940" s="146"/>
    </row>
    <row r="941" ht="15.75" customHeight="1">
      <c r="A941" s="146"/>
      <c r="B941" s="146"/>
      <c r="C941" s="146"/>
      <c r="D941" s="146"/>
      <c r="E941" s="146"/>
      <c r="F941" s="146"/>
      <c r="G941" s="146"/>
      <c r="H941" s="146"/>
      <c r="I941" s="146"/>
      <c r="J941" s="146"/>
      <c r="K941" s="146"/>
      <c r="L941" s="146"/>
      <c r="M941" s="146"/>
      <c r="N941" s="146"/>
      <c r="O941" s="147"/>
      <c r="P941" s="146"/>
      <c r="Q941" s="146"/>
      <c r="R941" s="146"/>
      <c r="S941" s="146"/>
      <c r="T941" s="146"/>
      <c r="U941" s="146"/>
      <c r="V941" s="146"/>
      <c r="W941" s="148"/>
      <c r="X941" s="146"/>
      <c r="Y941" s="146"/>
      <c r="Z941" s="146"/>
      <c r="AA941" s="146"/>
      <c r="AB941" s="146"/>
      <c r="AC941" s="146"/>
    </row>
    <row r="942" ht="15.75" customHeight="1">
      <c r="A942" s="146"/>
      <c r="B942" s="146"/>
      <c r="C942" s="146"/>
      <c r="D942" s="146"/>
      <c r="E942" s="146"/>
      <c r="F942" s="146"/>
      <c r="G942" s="146"/>
      <c r="H942" s="146"/>
      <c r="I942" s="146"/>
      <c r="J942" s="146"/>
      <c r="K942" s="146"/>
      <c r="L942" s="146"/>
      <c r="M942" s="146"/>
      <c r="N942" s="146"/>
      <c r="O942" s="147"/>
      <c r="P942" s="146"/>
      <c r="Q942" s="146"/>
      <c r="R942" s="146"/>
      <c r="S942" s="146"/>
      <c r="T942" s="146"/>
      <c r="U942" s="146"/>
      <c r="V942" s="146"/>
      <c r="W942" s="148"/>
      <c r="X942" s="146"/>
      <c r="Y942" s="146"/>
      <c r="Z942" s="146"/>
      <c r="AA942" s="146"/>
      <c r="AB942" s="146"/>
      <c r="AC942" s="146"/>
    </row>
    <row r="943" ht="15.75" customHeight="1">
      <c r="A943" s="146"/>
      <c r="B943" s="146"/>
      <c r="C943" s="146"/>
      <c r="D943" s="146"/>
      <c r="E943" s="146"/>
      <c r="F943" s="146"/>
      <c r="G943" s="146"/>
      <c r="H943" s="146"/>
      <c r="I943" s="146"/>
      <c r="J943" s="146"/>
      <c r="K943" s="146"/>
      <c r="L943" s="146"/>
      <c r="M943" s="146"/>
      <c r="N943" s="146"/>
      <c r="O943" s="147"/>
      <c r="P943" s="146"/>
      <c r="Q943" s="146"/>
      <c r="R943" s="146"/>
      <c r="S943" s="146"/>
      <c r="T943" s="146"/>
      <c r="U943" s="146"/>
      <c r="V943" s="146"/>
      <c r="W943" s="148"/>
      <c r="X943" s="146"/>
      <c r="Y943" s="146"/>
      <c r="Z943" s="146"/>
      <c r="AA943" s="146"/>
      <c r="AB943" s="146"/>
      <c r="AC943" s="146"/>
    </row>
    <row r="944" ht="15.75" customHeight="1">
      <c r="A944" s="146"/>
      <c r="B944" s="146"/>
      <c r="C944" s="146"/>
      <c r="D944" s="146"/>
      <c r="E944" s="146"/>
      <c r="F944" s="146"/>
      <c r="G944" s="146"/>
      <c r="H944" s="146"/>
      <c r="I944" s="146"/>
      <c r="J944" s="146"/>
      <c r="K944" s="146"/>
      <c r="L944" s="146"/>
      <c r="M944" s="146"/>
      <c r="N944" s="146"/>
      <c r="O944" s="147"/>
      <c r="P944" s="146"/>
      <c r="Q944" s="146"/>
      <c r="R944" s="146"/>
      <c r="S944" s="146"/>
      <c r="T944" s="146"/>
      <c r="U944" s="146"/>
      <c r="V944" s="146"/>
      <c r="W944" s="148"/>
      <c r="X944" s="146"/>
      <c r="Y944" s="146"/>
      <c r="Z944" s="146"/>
      <c r="AA944" s="146"/>
      <c r="AB944" s="146"/>
      <c r="AC944" s="146"/>
    </row>
    <row r="945" ht="15.75" customHeight="1">
      <c r="A945" s="146"/>
      <c r="B945" s="146"/>
      <c r="C945" s="146"/>
      <c r="D945" s="146"/>
      <c r="E945" s="146"/>
      <c r="F945" s="146"/>
      <c r="G945" s="146"/>
      <c r="H945" s="146"/>
      <c r="I945" s="146"/>
      <c r="J945" s="146"/>
      <c r="K945" s="146"/>
      <c r="L945" s="146"/>
      <c r="M945" s="146"/>
      <c r="N945" s="146"/>
      <c r="O945" s="147"/>
      <c r="P945" s="146"/>
      <c r="Q945" s="146"/>
      <c r="R945" s="146"/>
      <c r="S945" s="146"/>
      <c r="T945" s="146"/>
      <c r="U945" s="146"/>
      <c r="V945" s="146"/>
      <c r="W945" s="148"/>
      <c r="X945" s="146"/>
      <c r="Y945" s="146"/>
      <c r="Z945" s="146"/>
      <c r="AA945" s="146"/>
      <c r="AB945" s="146"/>
      <c r="AC945" s="146"/>
    </row>
    <row r="946" ht="15.75" customHeight="1">
      <c r="A946" s="146"/>
      <c r="B946" s="146"/>
      <c r="C946" s="146"/>
      <c r="D946" s="146"/>
      <c r="E946" s="146"/>
      <c r="F946" s="146"/>
      <c r="G946" s="146"/>
      <c r="H946" s="146"/>
      <c r="I946" s="146"/>
      <c r="J946" s="146"/>
      <c r="K946" s="146"/>
      <c r="L946" s="146"/>
      <c r="M946" s="146"/>
      <c r="N946" s="146"/>
      <c r="O946" s="147"/>
      <c r="P946" s="146"/>
      <c r="Q946" s="146"/>
      <c r="R946" s="146"/>
      <c r="S946" s="146"/>
      <c r="T946" s="146"/>
      <c r="U946" s="146"/>
      <c r="V946" s="146"/>
      <c r="W946" s="148"/>
      <c r="X946" s="146"/>
      <c r="Y946" s="146"/>
      <c r="Z946" s="146"/>
      <c r="AA946" s="146"/>
      <c r="AB946" s="146"/>
      <c r="AC946" s="146"/>
    </row>
    <row r="947" ht="15.75" customHeight="1">
      <c r="A947" s="146"/>
      <c r="B947" s="146"/>
      <c r="C947" s="146"/>
      <c r="D947" s="146"/>
      <c r="E947" s="146"/>
      <c r="F947" s="146"/>
      <c r="G947" s="146"/>
      <c r="H947" s="146"/>
      <c r="I947" s="146"/>
      <c r="J947" s="146"/>
      <c r="K947" s="146"/>
      <c r="L947" s="146"/>
      <c r="M947" s="146"/>
      <c r="N947" s="146"/>
      <c r="O947" s="147"/>
      <c r="P947" s="146"/>
      <c r="Q947" s="146"/>
      <c r="R947" s="146"/>
      <c r="S947" s="146"/>
      <c r="T947" s="146"/>
      <c r="U947" s="146"/>
      <c r="V947" s="146"/>
      <c r="W947" s="148"/>
      <c r="X947" s="146"/>
      <c r="Y947" s="146"/>
      <c r="Z947" s="146"/>
      <c r="AA947" s="146"/>
      <c r="AB947" s="146"/>
      <c r="AC947" s="146"/>
    </row>
    <row r="948" ht="15.75" customHeight="1">
      <c r="A948" s="146"/>
      <c r="B948" s="146"/>
      <c r="C948" s="146"/>
      <c r="D948" s="146"/>
      <c r="E948" s="146"/>
      <c r="F948" s="146"/>
      <c r="G948" s="146"/>
      <c r="H948" s="146"/>
      <c r="I948" s="146"/>
      <c r="J948" s="146"/>
      <c r="K948" s="146"/>
      <c r="L948" s="146"/>
      <c r="M948" s="146"/>
      <c r="N948" s="146"/>
      <c r="O948" s="147"/>
      <c r="P948" s="146"/>
      <c r="Q948" s="146"/>
      <c r="R948" s="146"/>
      <c r="S948" s="146"/>
      <c r="T948" s="146"/>
      <c r="U948" s="146"/>
      <c r="V948" s="146"/>
      <c r="W948" s="148"/>
      <c r="X948" s="146"/>
      <c r="Y948" s="146"/>
      <c r="Z948" s="146"/>
      <c r="AA948" s="146"/>
      <c r="AB948" s="146"/>
      <c r="AC948" s="146"/>
    </row>
    <row r="949" ht="15.75" customHeight="1">
      <c r="A949" s="146"/>
      <c r="B949" s="146"/>
      <c r="C949" s="146"/>
      <c r="D949" s="146"/>
      <c r="E949" s="146"/>
      <c r="F949" s="146"/>
      <c r="G949" s="146"/>
      <c r="H949" s="146"/>
      <c r="I949" s="146"/>
      <c r="J949" s="146"/>
      <c r="K949" s="146"/>
      <c r="L949" s="146"/>
      <c r="M949" s="146"/>
      <c r="N949" s="146"/>
      <c r="O949" s="147"/>
      <c r="P949" s="146"/>
      <c r="Q949" s="146"/>
      <c r="R949" s="146"/>
      <c r="S949" s="146"/>
      <c r="T949" s="146"/>
      <c r="U949" s="146"/>
      <c r="V949" s="146"/>
      <c r="W949" s="148"/>
      <c r="X949" s="146"/>
      <c r="Y949" s="146"/>
      <c r="Z949" s="146"/>
      <c r="AA949" s="146"/>
      <c r="AB949" s="146"/>
      <c r="AC949" s="146"/>
    </row>
    <row r="950" ht="15.75" customHeight="1">
      <c r="A950" s="146"/>
      <c r="B950" s="146"/>
      <c r="C950" s="146"/>
      <c r="D950" s="146"/>
      <c r="E950" s="146"/>
      <c r="F950" s="146"/>
      <c r="G950" s="146"/>
      <c r="H950" s="146"/>
      <c r="I950" s="146"/>
      <c r="J950" s="146"/>
      <c r="K950" s="146"/>
      <c r="L950" s="146"/>
      <c r="M950" s="146"/>
      <c r="N950" s="146"/>
      <c r="O950" s="147"/>
      <c r="P950" s="146"/>
      <c r="Q950" s="146"/>
      <c r="R950" s="146"/>
      <c r="S950" s="146"/>
      <c r="T950" s="146"/>
      <c r="U950" s="146"/>
      <c r="V950" s="146"/>
      <c r="W950" s="148"/>
      <c r="X950" s="146"/>
      <c r="Y950" s="146"/>
      <c r="Z950" s="146"/>
      <c r="AA950" s="146"/>
      <c r="AB950" s="146"/>
      <c r="AC950" s="146"/>
    </row>
    <row r="951" ht="15.75" customHeight="1">
      <c r="A951" s="146"/>
      <c r="B951" s="146"/>
      <c r="C951" s="146"/>
      <c r="D951" s="146"/>
      <c r="E951" s="146"/>
      <c r="F951" s="146"/>
      <c r="G951" s="146"/>
      <c r="H951" s="146"/>
      <c r="I951" s="146"/>
      <c r="J951" s="146"/>
      <c r="K951" s="146"/>
      <c r="L951" s="146"/>
      <c r="M951" s="146"/>
      <c r="N951" s="146"/>
      <c r="O951" s="147"/>
      <c r="P951" s="146"/>
      <c r="Q951" s="146"/>
      <c r="R951" s="146"/>
      <c r="S951" s="146"/>
      <c r="T951" s="146"/>
      <c r="U951" s="146"/>
      <c r="V951" s="146"/>
      <c r="W951" s="148"/>
      <c r="X951" s="146"/>
      <c r="Y951" s="146"/>
      <c r="Z951" s="146"/>
      <c r="AA951" s="146"/>
      <c r="AB951" s="146"/>
      <c r="AC951" s="146"/>
    </row>
    <row r="952" ht="15.75" customHeight="1">
      <c r="A952" s="146"/>
      <c r="B952" s="146"/>
      <c r="C952" s="146"/>
      <c r="D952" s="146"/>
      <c r="E952" s="146"/>
      <c r="F952" s="146"/>
      <c r="G952" s="146"/>
      <c r="H952" s="146"/>
      <c r="I952" s="146"/>
      <c r="J952" s="146"/>
      <c r="K952" s="146"/>
      <c r="L952" s="146"/>
      <c r="M952" s="146"/>
      <c r="N952" s="146"/>
      <c r="O952" s="147"/>
      <c r="P952" s="146"/>
      <c r="Q952" s="146"/>
      <c r="R952" s="146"/>
      <c r="S952" s="146"/>
      <c r="T952" s="146"/>
      <c r="U952" s="146"/>
      <c r="V952" s="146"/>
      <c r="W952" s="148"/>
      <c r="X952" s="146"/>
      <c r="Y952" s="146"/>
      <c r="Z952" s="146"/>
      <c r="AA952" s="146"/>
      <c r="AB952" s="146"/>
      <c r="AC952" s="146"/>
    </row>
    <row r="953" ht="15.75" customHeight="1">
      <c r="A953" s="146"/>
      <c r="B953" s="146"/>
      <c r="C953" s="146"/>
      <c r="D953" s="146"/>
      <c r="E953" s="146"/>
      <c r="F953" s="146"/>
      <c r="G953" s="146"/>
      <c r="H953" s="146"/>
      <c r="I953" s="146"/>
      <c r="J953" s="146"/>
      <c r="K953" s="146"/>
      <c r="L953" s="146"/>
      <c r="M953" s="146"/>
      <c r="N953" s="146"/>
      <c r="O953" s="147"/>
      <c r="P953" s="146"/>
      <c r="Q953" s="146"/>
      <c r="R953" s="146"/>
      <c r="S953" s="146"/>
      <c r="T953" s="146"/>
      <c r="U953" s="146"/>
      <c r="V953" s="146"/>
      <c r="W953" s="148"/>
      <c r="X953" s="146"/>
      <c r="Y953" s="146"/>
      <c r="Z953" s="146"/>
      <c r="AA953" s="146"/>
      <c r="AB953" s="146"/>
      <c r="AC953" s="146"/>
    </row>
    <row r="954" ht="15.75" customHeight="1">
      <c r="A954" s="146"/>
      <c r="B954" s="146"/>
      <c r="C954" s="146"/>
      <c r="D954" s="146"/>
      <c r="E954" s="146"/>
      <c r="F954" s="146"/>
      <c r="G954" s="146"/>
      <c r="H954" s="146"/>
      <c r="I954" s="146"/>
      <c r="J954" s="146"/>
      <c r="K954" s="146"/>
      <c r="L954" s="146"/>
      <c r="M954" s="146"/>
      <c r="N954" s="146"/>
      <c r="O954" s="147"/>
      <c r="P954" s="146"/>
      <c r="Q954" s="146"/>
      <c r="R954" s="146"/>
      <c r="S954" s="146"/>
      <c r="T954" s="146"/>
      <c r="U954" s="146"/>
      <c r="V954" s="146"/>
      <c r="W954" s="148"/>
      <c r="X954" s="146"/>
      <c r="Y954" s="146"/>
      <c r="Z954" s="146"/>
      <c r="AA954" s="146"/>
      <c r="AB954" s="146"/>
      <c r="AC954" s="146"/>
    </row>
    <row r="955" ht="15.75" customHeight="1">
      <c r="A955" s="146"/>
      <c r="B955" s="146"/>
      <c r="C955" s="146"/>
      <c r="D955" s="146"/>
      <c r="E955" s="146"/>
      <c r="F955" s="146"/>
      <c r="G955" s="146"/>
      <c r="H955" s="146"/>
      <c r="I955" s="146"/>
      <c r="J955" s="146"/>
      <c r="K955" s="146"/>
      <c r="L955" s="146"/>
      <c r="M955" s="146"/>
      <c r="N955" s="146"/>
      <c r="O955" s="147"/>
      <c r="P955" s="146"/>
      <c r="Q955" s="146"/>
      <c r="R955" s="146"/>
      <c r="S955" s="146"/>
      <c r="T955" s="146"/>
      <c r="U955" s="146"/>
      <c r="V955" s="146"/>
      <c r="W955" s="148"/>
      <c r="X955" s="146"/>
      <c r="Y955" s="146"/>
      <c r="Z955" s="146"/>
      <c r="AA955" s="146"/>
      <c r="AB955" s="146"/>
      <c r="AC955" s="146"/>
    </row>
    <row r="956" ht="15.75" customHeight="1">
      <c r="A956" s="146"/>
      <c r="B956" s="146"/>
      <c r="C956" s="146"/>
      <c r="D956" s="146"/>
      <c r="E956" s="146"/>
      <c r="F956" s="146"/>
      <c r="G956" s="146"/>
      <c r="H956" s="146"/>
      <c r="I956" s="146"/>
      <c r="J956" s="146"/>
      <c r="K956" s="146"/>
      <c r="L956" s="146"/>
      <c r="M956" s="146"/>
      <c r="N956" s="146"/>
      <c r="O956" s="147"/>
      <c r="P956" s="146"/>
      <c r="Q956" s="146"/>
      <c r="R956" s="146"/>
      <c r="S956" s="146"/>
      <c r="T956" s="146"/>
      <c r="U956" s="146"/>
      <c r="V956" s="146"/>
      <c r="W956" s="148"/>
      <c r="X956" s="146"/>
      <c r="Y956" s="146"/>
      <c r="Z956" s="146"/>
      <c r="AA956" s="146"/>
      <c r="AB956" s="146"/>
      <c r="AC956" s="146"/>
    </row>
    <row r="957" ht="15.75" customHeight="1">
      <c r="A957" s="146"/>
      <c r="B957" s="146"/>
      <c r="C957" s="146"/>
      <c r="D957" s="146"/>
      <c r="E957" s="146"/>
      <c r="F957" s="146"/>
      <c r="G957" s="146"/>
      <c r="H957" s="146"/>
      <c r="I957" s="146"/>
      <c r="J957" s="146"/>
      <c r="K957" s="146"/>
      <c r="L957" s="146"/>
      <c r="M957" s="146"/>
      <c r="N957" s="146"/>
      <c r="O957" s="147"/>
      <c r="P957" s="146"/>
      <c r="Q957" s="146"/>
      <c r="R957" s="146"/>
      <c r="S957" s="146"/>
      <c r="T957" s="146"/>
      <c r="U957" s="146"/>
      <c r="V957" s="146"/>
      <c r="W957" s="148"/>
      <c r="X957" s="146"/>
      <c r="Y957" s="146"/>
      <c r="Z957" s="146"/>
      <c r="AA957" s="146"/>
      <c r="AB957" s="146"/>
      <c r="AC957" s="146"/>
    </row>
    <row r="958" ht="15.75" customHeight="1">
      <c r="A958" s="146"/>
      <c r="B958" s="146"/>
      <c r="C958" s="146"/>
      <c r="D958" s="146"/>
      <c r="E958" s="146"/>
      <c r="F958" s="146"/>
      <c r="G958" s="146"/>
      <c r="H958" s="146"/>
      <c r="I958" s="146"/>
      <c r="J958" s="146"/>
      <c r="K958" s="146"/>
      <c r="L958" s="146"/>
      <c r="M958" s="146"/>
      <c r="N958" s="146"/>
      <c r="O958" s="147"/>
      <c r="P958" s="146"/>
      <c r="Q958" s="146"/>
      <c r="R958" s="146"/>
      <c r="S958" s="146"/>
      <c r="T958" s="146"/>
      <c r="U958" s="146"/>
      <c r="V958" s="146"/>
      <c r="W958" s="148"/>
      <c r="X958" s="146"/>
      <c r="Y958" s="146"/>
      <c r="Z958" s="146"/>
      <c r="AA958" s="146"/>
      <c r="AB958" s="146"/>
      <c r="AC958" s="146"/>
    </row>
    <row r="959" ht="15.75" customHeight="1">
      <c r="A959" s="146"/>
      <c r="B959" s="146"/>
      <c r="C959" s="146"/>
      <c r="D959" s="146"/>
      <c r="E959" s="146"/>
      <c r="F959" s="146"/>
      <c r="G959" s="146"/>
      <c r="H959" s="146"/>
      <c r="I959" s="146"/>
      <c r="J959" s="146"/>
      <c r="K959" s="146"/>
      <c r="L959" s="146"/>
      <c r="M959" s="146"/>
      <c r="N959" s="146"/>
      <c r="O959" s="147"/>
      <c r="P959" s="146"/>
      <c r="Q959" s="146"/>
      <c r="R959" s="146"/>
      <c r="S959" s="146"/>
      <c r="T959" s="146"/>
      <c r="U959" s="146"/>
      <c r="V959" s="146"/>
      <c r="W959" s="148"/>
      <c r="X959" s="146"/>
      <c r="Y959" s="146"/>
      <c r="Z959" s="146"/>
      <c r="AA959" s="146"/>
      <c r="AB959" s="146"/>
      <c r="AC959" s="146"/>
    </row>
    <row r="960" ht="15.75" customHeight="1">
      <c r="A960" s="146"/>
      <c r="B960" s="146"/>
      <c r="C960" s="146"/>
      <c r="D960" s="146"/>
      <c r="E960" s="146"/>
      <c r="F960" s="146"/>
      <c r="G960" s="146"/>
      <c r="H960" s="146"/>
      <c r="I960" s="146"/>
      <c r="J960" s="146"/>
      <c r="K960" s="146"/>
      <c r="L960" s="146"/>
      <c r="M960" s="146"/>
      <c r="N960" s="146"/>
      <c r="O960" s="147"/>
      <c r="P960" s="146"/>
      <c r="Q960" s="146"/>
      <c r="R960" s="146"/>
      <c r="S960" s="146"/>
      <c r="T960" s="146"/>
      <c r="U960" s="146"/>
      <c r="V960" s="146"/>
      <c r="W960" s="148"/>
      <c r="X960" s="146"/>
      <c r="Y960" s="146"/>
      <c r="Z960" s="146"/>
      <c r="AA960" s="146"/>
      <c r="AB960" s="146"/>
      <c r="AC960" s="146"/>
    </row>
    <row r="961" ht="15.75" customHeight="1">
      <c r="A961" s="146"/>
      <c r="B961" s="146"/>
      <c r="C961" s="146"/>
      <c r="D961" s="146"/>
      <c r="E961" s="146"/>
      <c r="F961" s="146"/>
      <c r="G961" s="146"/>
      <c r="H961" s="146"/>
      <c r="I961" s="146"/>
      <c r="J961" s="146"/>
      <c r="K961" s="146"/>
      <c r="L961" s="146"/>
      <c r="M961" s="146"/>
      <c r="N961" s="146"/>
      <c r="O961" s="147"/>
      <c r="P961" s="146"/>
      <c r="Q961" s="146"/>
      <c r="R961" s="146"/>
      <c r="S961" s="146"/>
      <c r="T961" s="146"/>
      <c r="U961" s="146"/>
      <c r="V961" s="146"/>
      <c r="W961" s="148"/>
      <c r="X961" s="146"/>
      <c r="Y961" s="146"/>
      <c r="Z961" s="146"/>
      <c r="AA961" s="146"/>
      <c r="AB961" s="146"/>
      <c r="AC961" s="146"/>
    </row>
    <row r="962" ht="15.75" customHeight="1">
      <c r="A962" s="146"/>
      <c r="B962" s="146"/>
      <c r="C962" s="146"/>
      <c r="D962" s="146"/>
      <c r="E962" s="146"/>
      <c r="F962" s="146"/>
      <c r="G962" s="146"/>
      <c r="H962" s="146"/>
      <c r="I962" s="146"/>
      <c r="J962" s="146"/>
      <c r="K962" s="146"/>
      <c r="L962" s="146"/>
      <c r="M962" s="146"/>
      <c r="N962" s="146"/>
      <c r="O962" s="147"/>
      <c r="P962" s="146"/>
      <c r="Q962" s="146"/>
      <c r="R962" s="146"/>
      <c r="S962" s="146"/>
      <c r="T962" s="146"/>
      <c r="U962" s="146"/>
      <c r="V962" s="146"/>
      <c r="W962" s="148"/>
      <c r="X962" s="146"/>
      <c r="Y962" s="146"/>
      <c r="Z962" s="146"/>
      <c r="AA962" s="146"/>
      <c r="AB962" s="146"/>
      <c r="AC962" s="146"/>
    </row>
    <row r="963" ht="15.75" customHeight="1">
      <c r="A963" s="146"/>
      <c r="B963" s="146"/>
      <c r="C963" s="146"/>
      <c r="D963" s="146"/>
      <c r="E963" s="146"/>
      <c r="F963" s="146"/>
      <c r="G963" s="146"/>
      <c r="H963" s="146"/>
      <c r="I963" s="146"/>
      <c r="J963" s="146"/>
      <c r="K963" s="146"/>
      <c r="L963" s="146"/>
      <c r="M963" s="146"/>
      <c r="N963" s="146"/>
      <c r="O963" s="147"/>
      <c r="P963" s="146"/>
      <c r="Q963" s="146"/>
      <c r="R963" s="146"/>
      <c r="S963" s="146"/>
      <c r="T963" s="146"/>
      <c r="U963" s="146"/>
      <c r="V963" s="146"/>
      <c r="W963" s="148"/>
      <c r="X963" s="146"/>
      <c r="Y963" s="146"/>
      <c r="Z963" s="146"/>
      <c r="AA963" s="146"/>
      <c r="AB963" s="146"/>
      <c r="AC963" s="146"/>
    </row>
    <row r="964" ht="15.75" customHeight="1">
      <c r="A964" s="146"/>
      <c r="B964" s="146"/>
      <c r="C964" s="146"/>
      <c r="D964" s="146"/>
      <c r="E964" s="146"/>
      <c r="F964" s="146"/>
      <c r="G964" s="146"/>
      <c r="H964" s="146"/>
      <c r="I964" s="146"/>
      <c r="J964" s="146"/>
      <c r="K964" s="146"/>
      <c r="L964" s="146"/>
      <c r="M964" s="146"/>
      <c r="N964" s="146"/>
      <c r="O964" s="147"/>
      <c r="P964" s="146"/>
      <c r="Q964" s="146"/>
      <c r="R964" s="146"/>
      <c r="S964" s="146"/>
      <c r="T964" s="146"/>
      <c r="U964" s="146"/>
      <c r="V964" s="146"/>
      <c r="W964" s="148"/>
      <c r="X964" s="146"/>
      <c r="Y964" s="146"/>
      <c r="Z964" s="146"/>
      <c r="AA964" s="146"/>
      <c r="AB964" s="146"/>
      <c r="AC964" s="146"/>
    </row>
    <row r="965" ht="15.75" customHeight="1">
      <c r="A965" s="146"/>
      <c r="B965" s="146"/>
      <c r="C965" s="146"/>
      <c r="D965" s="146"/>
      <c r="E965" s="146"/>
      <c r="F965" s="146"/>
      <c r="G965" s="146"/>
      <c r="H965" s="146"/>
      <c r="I965" s="146"/>
      <c r="J965" s="146"/>
      <c r="K965" s="146"/>
      <c r="L965" s="146"/>
      <c r="M965" s="146"/>
      <c r="N965" s="146"/>
      <c r="O965" s="147"/>
      <c r="P965" s="146"/>
      <c r="Q965" s="146"/>
      <c r="R965" s="146"/>
      <c r="S965" s="146"/>
      <c r="T965" s="146"/>
      <c r="U965" s="146"/>
      <c r="V965" s="146"/>
      <c r="W965" s="148"/>
      <c r="X965" s="146"/>
      <c r="Y965" s="146"/>
      <c r="Z965" s="146"/>
      <c r="AA965" s="146"/>
      <c r="AB965" s="146"/>
      <c r="AC965" s="146"/>
    </row>
    <row r="966" ht="15.75" customHeight="1">
      <c r="A966" s="146"/>
      <c r="B966" s="146"/>
      <c r="C966" s="146"/>
      <c r="D966" s="146"/>
      <c r="E966" s="146"/>
      <c r="F966" s="146"/>
      <c r="G966" s="146"/>
      <c r="H966" s="146"/>
      <c r="I966" s="146"/>
      <c r="J966" s="146"/>
      <c r="K966" s="146"/>
      <c r="L966" s="146"/>
      <c r="M966" s="146"/>
      <c r="N966" s="146"/>
      <c r="O966" s="147"/>
      <c r="P966" s="146"/>
      <c r="Q966" s="146"/>
      <c r="R966" s="146"/>
      <c r="S966" s="146"/>
      <c r="T966" s="146"/>
      <c r="U966" s="146"/>
      <c r="V966" s="146"/>
      <c r="W966" s="148"/>
      <c r="X966" s="146"/>
      <c r="Y966" s="146"/>
      <c r="Z966" s="146"/>
      <c r="AA966" s="146"/>
      <c r="AB966" s="146"/>
      <c r="AC966" s="146"/>
    </row>
    <row r="967" ht="15.75" customHeight="1">
      <c r="A967" s="146"/>
      <c r="B967" s="146"/>
      <c r="C967" s="146"/>
      <c r="D967" s="146"/>
      <c r="E967" s="146"/>
      <c r="F967" s="146"/>
      <c r="G967" s="146"/>
      <c r="H967" s="146"/>
      <c r="I967" s="146"/>
      <c r="J967" s="146"/>
      <c r="K967" s="146"/>
      <c r="L967" s="146"/>
      <c r="M967" s="146"/>
      <c r="N967" s="146"/>
      <c r="O967" s="147"/>
      <c r="P967" s="146"/>
      <c r="Q967" s="146"/>
      <c r="R967" s="146"/>
      <c r="S967" s="146"/>
      <c r="T967" s="146"/>
      <c r="U967" s="146"/>
      <c r="V967" s="146"/>
      <c r="W967" s="148"/>
      <c r="X967" s="146"/>
      <c r="Y967" s="146"/>
      <c r="Z967" s="146"/>
      <c r="AA967" s="146"/>
      <c r="AB967" s="146"/>
      <c r="AC967" s="146"/>
    </row>
    <row r="968" ht="15.75" customHeight="1">
      <c r="A968" s="146"/>
      <c r="B968" s="146"/>
      <c r="C968" s="146"/>
      <c r="D968" s="146"/>
      <c r="E968" s="146"/>
      <c r="F968" s="146"/>
      <c r="G968" s="146"/>
      <c r="H968" s="146"/>
      <c r="I968" s="146"/>
      <c r="J968" s="146"/>
      <c r="K968" s="146"/>
      <c r="L968" s="146"/>
      <c r="M968" s="146"/>
      <c r="N968" s="146"/>
      <c r="O968" s="147"/>
      <c r="P968" s="146"/>
      <c r="Q968" s="146"/>
      <c r="R968" s="146"/>
      <c r="S968" s="146"/>
      <c r="T968" s="146"/>
      <c r="U968" s="146"/>
      <c r="V968" s="146"/>
      <c r="W968" s="148"/>
      <c r="X968" s="146"/>
      <c r="Y968" s="146"/>
      <c r="Z968" s="146"/>
      <c r="AA968" s="146"/>
      <c r="AB968" s="146"/>
      <c r="AC968" s="146"/>
    </row>
    <row r="969" ht="15.75" customHeight="1">
      <c r="A969" s="146"/>
      <c r="B969" s="146"/>
      <c r="C969" s="146"/>
      <c r="D969" s="146"/>
      <c r="E969" s="146"/>
      <c r="F969" s="146"/>
      <c r="G969" s="146"/>
      <c r="H969" s="146"/>
      <c r="I969" s="146"/>
      <c r="J969" s="146"/>
      <c r="K969" s="146"/>
      <c r="L969" s="146"/>
      <c r="M969" s="146"/>
      <c r="N969" s="146"/>
      <c r="O969" s="147"/>
      <c r="P969" s="146"/>
      <c r="Q969" s="146"/>
      <c r="R969" s="146"/>
      <c r="S969" s="146"/>
      <c r="T969" s="146"/>
      <c r="U969" s="146"/>
      <c r="V969" s="146"/>
      <c r="W969" s="148"/>
      <c r="X969" s="146"/>
      <c r="Y969" s="146"/>
      <c r="Z969" s="146"/>
      <c r="AA969" s="146"/>
      <c r="AB969" s="146"/>
      <c r="AC969" s="146"/>
    </row>
    <row r="970" ht="15.75" customHeight="1">
      <c r="A970" s="146"/>
      <c r="B970" s="146"/>
      <c r="C970" s="146"/>
      <c r="D970" s="146"/>
      <c r="E970" s="146"/>
      <c r="F970" s="146"/>
      <c r="G970" s="146"/>
      <c r="H970" s="146"/>
      <c r="I970" s="146"/>
      <c r="J970" s="146"/>
      <c r="K970" s="146"/>
      <c r="L970" s="146"/>
      <c r="M970" s="146"/>
      <c r="N970" s="146"/>
      <c r="O970" s="147"/>
      <c r="P970" s="146"/>
      <c r="Q970" s="146"/>
      <c r="R970" s="146"/>
      <c r="S970" s="146"/>
      <c r="T970" s="146"/>
      <c r="U970" s="146"/>
      <c r="V970" s="146"/>
      <c r="W970" s="148"/>
      <c r="X970" s="146"/>
      <c r="Y970" s="146"/>
      <c r="Z970" s="146"/>
      <c r="AA970" s="146"/>
      <c r="AB970" s="146"/>
      <c r="AC970" s="146"/>
    </row>
    <row r="971" ht="15.75" customHeight="1">
      <c r="A971" s="146"/>
      <c r="B971" s="146"/>
      <c r="C971" s="146"/>
      <c r="D971" s="146"/>
      <c r="E971" s="146"/>
      <c r="F971" s="146"/>
      <c r="G971" s="146"/>
      <c r="H971" s="146"/>
      <c r="I971" s="146"/>
      <c r="J971" s="146"/>
      <c r="K971" s="146"/>
      <c r="L971" s="146"/>
      <c r="M971" s="146"/>
      <c r="N971" s="146"/>
      <c r="O971" s="147"/>
      <c r="P971" s="146"/>
      <c r="Q971" s="146"/>
      <c r="R971" s="146"/>
      <c r="S971" s="146"/>
      <c r="T971" s="146"/>
      <c r="U971" s="146"/>
      <c r="V971" s="146"/>
      <c r="W971" s="148"/>
      <c r="X971" s="146"/>
      <c r="Y971" s="146"/>
      <c r="Z971" s="146"/>
      <c r="AA971" s="146"/>
      <c r="AB971" s="146"/>
      <c r="AC971" s="146"/>
    </row>
    <row r="972" ht="15.75" customHeight="1">
      <c r="A972" s="146"/>
      <c r="B972" s="146"/>
      <c r="C972" s="146"/>
      <c r="D972" s="146"/>
      <c r="E972" s="146"/>
      <c r="F972" s="146"/>
      <c r="G972" s="146"/>
      <c r="H972" s="146"/>
      <c r="I972" s="146"/>
      <c r="J972" s="146"/>
      <c r="K972" s="146"/>
      <c r="L972" s="146"/>
      <c r="M972" s="146"/>
      <c r="N972" s="146"/>
      <c r="O972" s="147"/>
      <c r="P972" s="146"/>
      <c r="Q972" s="146"/>
      <c r="R972" s="146"/>
      <c r="S972" s="146"/>
      <c r="T972" s="146"/>
      <c r="U972" s="146"/>
      <c r="V972" s="146"/>
      <c r="W972" s="148"/>
      <c r="X972" s="146"/>
      <c r="Y972" s="146"/>
      <c r="Z972" s="146"/>
      <c r="AA972" s="146"/>
      <c r="AB972" s="146"/>
      <c r="AC972" s="146"/>
    </row>
    <row r="973" ht="15.75" customHeight="1">
      <c r="A973" s="146"/>
      <c r="B973" s="146"/>
      <c r="C973" s="146"/>
      <c r="D973" s="146"/>
      <c r="E973" s="146"/>
      <c r="F973" s="146"/>
      <c r="G973" s="146"/>
      <c r="H973" s="146"/>
      <c r="I973" s="146"/>
      <c r="J973" s="146"/>
      <c r="K973" s="146"/>
      <c r="L973" s="146"/>
      <c r="M973" s="146"/>
      <c r="N973" s="146"/>
      <c r="O973" s="147"/>
      <c r="P973" s="146"/>
      <c r="Q973" s="146"/>
      <c r="R973" s="146"/>
      <c r="S973" s="146"/>
      <c r="T973" s="146"/>
      <c r="U973" s="146"/>
      <c r="V973" s="146"/>
      <c r="W973" s="148"/>
      <c r="X973" s="146"/>
      <c r="Y973" s="146"/>
      <c r="Z973" s="146"/>
      <c r="AA973" s="146"/>
      <c r="AB973" s="146"/>
      <c r="AC973" s="146"/>
    </row>
    <row r="974" ht="15.75" customHeight="1">
      <c r="A974" s="146"/>
      <c r="B974" s="146"/>
      <c r="C974" s="146"/>
      <c r="D974" s="146"/>
      <c r="E974" s="146"/>
      <c r="F974" s="146"/>
      <c r="G974" s="146"/>
      <c r="H974" s="146"/>
      <c r="I974" s="146"/>
      <c r="J974" s="146"/>
      <c r="K974" s="146"/>
      <c r="L974" s="146"/>
      <c r="M974" s="146"/>
      <c r="N974" s="146"/>
      <c r="O974" s="147"/>
      <c r="P974" s="146"/>
      <c r="Q974" s="146"/>
      <c r="R974" s="146"/>
      <c r="S974" s="146"/>
      <c r="T974" s="146"/>
      <c r="U974" s="146"/>
      <c r="V974" s="146"/>
      <c r="W974" s="148"/>
      <c r="X974" s="146"/>
      <c r="Y974" s="146"/>
      <c r="Z974" s="146"/>
      <c r="AA974" s="146"/>
      <c r="AB974" s="146"/>
      <c r="AC974" s="146"/>
    </row>
    <row r="975" ht="15.75" customHeight="1">
      <c r="A975" s="146"/>
      <c r="B975" s="146"/>
      <c r="C975" s="146"/>
      <c r="D975" s="146"/>
      <c r="E975" s="146"/>
      <c r="F975" s="146"/>
      <c r="G975" s="146"/>
      <c r="H975" s="146"/>
      <c r="I975" s="146"/>
      <c r="J975" s="146"/>
      <c r="K975" s="146"/>
      <c r="L975" s="146"/>
      <c r="M975" s="146"/>
      <c r="N975" s="146"/>
      <c r="O975" s="147"/>
      <c r="P975" s="146"/>
      <c r="Q975" s="146"/>
      <c r="R975" s="146"/>
      <c r="S975" s="146"/>
      <c r="T975" s="146"/>
      <c r="U975" s="146"/>
      <c r="V975" s="146"/>
      <c r="W975" s="148"/>
      <c r="X975" s="146"/>
      <c r="Y975" s="146"/>
      <c r="Z975" s="146"/>
      <c r="AA975" s="146"/>
      <c r="AB975" s="146"/>
      <c r="AC975" s="146"/>
    </row>
    <row r="976" ht="15.75" customHeight="1">
      <c r="A976" s="146"/>
      <c r="B976" s="146"/>
      <c r="C976" s="146"/>
      <c r="D976" s="146"/>
      <c r="E976" s="146"/>
      <c r="F976" s="146"/>
      <c r="G976" s="146"/>
      <c r="H976" s="146"/>
      <c r="I976" s="146"/>
      <c r="J976" s="146"/>
      <c r="K976" s="146"/>
      <c r="L976" s="146"/>
      <c r="M976" s="146"/>
      <c r="N976" s="146"/>
      <c r="O976" s="147"/>
      <c r="P976" s="146"/>
      <c r="Q976" s="146"/>
      <c r="R976" s="146"/>
      <c r="S976" s="146"/>
      <c r="T976" s="146"/>
      <c r="U976" s="146"/>
      <c r="V976" s="146"/>
      <c r="W976" s="148"/>
      <c r="X976" s="146"/>
      <c r="Y976" s="146"/>
      <c r="Z976" s="146"/>
      <c r="AA976" s="146"/>
      <c r="AB976" s="146"/>
      <c r="AC976" s="146"/>
    </row>
    <row r="977" ht="15.75" customHeight="1">
      <c r="A977" s="146"/>
      <c r="B977" s="146"/>
      <c r="C977" s="146"/>
      <c r="D977" s="146"/>
      <c r="E977" s="146"/>
      <c r="F977" s="146"/>
      <c r="G977" s="146"/>
      <c r="H977" s="146"/>
      <c r="I977" s="146"/>
      <c r="J977" s="146"/>
      <c r="K977" s="146"/>
      <c r="L977" s="146"/>
      <c r="M977" s="146"/>
      <c r="N977" s="146"/>
      <c r="O977" s="147"/>
      <c r="P977" s="146"/>
      <c r="Q977" s="146"/>
      <c r="R977" s="146"/>
      <c r="S977" s="146"/>
      <c r="T977" s="146"/>
      <c r="U977" s="146"/>
      <c r="V977" s="146"/>
      <c r="W977" s="148"/>
      <c r="X977" s="146"/>
      <c r="Y977" s="146"/>
      <c r="Z977" s="146"/>
      <c r="AA977" s="146"/>
      <c r="AB977" s="146"/>
      <c r="AC977" s="146"/>
    </row>
    <row r="978" ht="15.75" customHeight="1">
      <c r="A978" s="146"/>
      <c r="B978" s="146"/>
      <c r="C978" s="146"/>
      <c r="D978" s="146"/>
      <c r="E978" s="146"/>
      <c r="F978" s="146"/>
      <c r="G978" s="146"/>
      <c r="H978" s="146"/>
      <c r="I978" s="146"/>
      <c r="J978" s="146"/>
      <c r="K978" s="146"/>
      <c r="L978" s="146"/>
      <c r="M978" s="146"/>
      <c r="N978" s="146"/>
      <c r="O978" s="147"/>
      <c r="P978" s="146"/>
      <c r="Q978" s="146"/>
      <c r="R978" s="146"/>
      <c r="S978" s="146"/>
      <c r="T978" s="146"/>
      <c r="U978" s="146"/>
      <c r="V978" s="146"/>
      <c r="W978" s="148"/>
      <c r="X978" s="146"/>
      <c r="Y978" s="146"/>
      <c r="Z978" s="146"/>
      <c r="AA978" s="146"/>
      <c r="AB978" s="146"/>
      <c r="AC978" s="146"/>
    </row>
    <row r="979" ht="15.75" customHeight="1">
      <c r="A979" s="146"/>
      <c r="B979" s="146"/>
      <c r="C979" s="146"/>
      <c r="D979" s="146"/>
      <c r="E979" s="146"/>
      <c r="F979" s="146"/>
      <c r="G979" s="146"/>
      <c r="H979" s="146"/>
      <c r="I979" s="146"/>
      <c r="J979" s="146"/>
      <c r="K979" s="146"/>
      <c r="L979" s="146"/>
      <c r="M979" s="146"/>
      <c r="N979" s="146"/>
      <c r="O979" s="147"/>
      <c r="P979" s="146"/>
      <c r="Q979" s="146"/>
      <c r="R979" s="146"/>
      <c r="S979" s="146"/>
      <c r="T979" s="146"/>
      <c r="U979" s="146"/>
      <c r="V979" s="146"/>
      <c r="W979" s="148"/>
      <c r="X979" s="146"/>
      <c r="Y979" s="146"/>
      <c r="Z979" s="146"/>
      <c r="AA979" s="146"/>
      <c r="AB979" s="146"/>
      <c r="AC979" s="146"/>
    </row>
    <row r="980" ht="15.75" customHeight="1">
      <c r="A980" s="146"/>
      <c r="B980" s="146"/>
      <c r="C980" s="146"/>
      <c r="D980" s="146"/>
      <c r="E980" s="146"/>
      <c r="F980" s="146"/>
      <c r="G980" s="146"/>
      <c r="H980" s="146"/>
      <c r="I980" s="146"/>
      <c r="J980" s="146"/>
      <c r="K980" s="146"/>
      <c r="L980" s="146"/>
      <c r="M980" s="146"/>
      <c r="N980" s="146"/>
      <c r="O980" s="147"/>
      <c r="P980" s="146"/>
      <c r="Q980" s="146"/>
      <c r="R980" s="146"/>
      <c r="S980" s="146"/>
      <c r="T980" s="146"/>
      <c r="U980" s="146"/>
      <c r="V980" s="146"/>
      <c r="W980" s="148"/>
      <c r="X980" s="146"/>
      <c r="Y980" s="146"/>
      <c r="Z980" s="146"/>
      <c r="AA980" s="146"/>
      <c r="AB980" s="146"/>
      <c r="AC980" s="146"/>
    </row>
    <row r="981" ht="15.75" customHeight="1">
      <c r="A981" s="146"/>
      <c r="B981" s="146"/>
      <c r="C981" s="146"/>
      <c r="D981" s="146"/>
      <c r="E981" s="146"/>
      <c r="F981" s="146"/>
      <c r="G981" s="146"/>
      <c r="H981" s="146"/>
      <c r="I981" s="146"/>
      <c r="J981" s="146"/>
      <c r="K981" s="146"/>
      <c r="L981" s="146"/>
      <c r="M981" s="146"/>
      <c r="N981" s="146"/>
      <c r="O981" s="147"/>
      <c r="P981" s="146"/>
      <c r="Q981" s="146"/>
      <c r="R981" s="146"/>
      <c r="S981" s="146"/>
      <c r="T981" s="146"/>
      <c r="U981" s="146"/>
      <c r="V981" s="146"/>
      <c r="W981" s="148"/>
      <c r="X981" s="146"/>
      <c r="Y981" s="146"/>
      <c r="Z981" s="146"/>
      <c r="AA981" s="146"/>
      <c r="AB981" s="146"/>
      <c r="AC981" s="146"/>
    </row>
    <row r="982" ht="15.75" customHeight="1">
      <c r="A982" s="146"/>
      <c r="B982" s="146"/>
      <c r="C982" s="146"/>
      <c r="D982" s="146"/>
      <c r="E982" s="146"/>
      <c r="F982" s="146"/>
      <c r="G982" s="146"/>
      <c r="H982" s="146"/>
      <c r="I982" s="146"/>
      <c r="J982" s="146"/>
      <c r="K982" s="146"/>
      <c r="L982" s="146"/>
      <c r="M982" s="146"/>
      <c r="N982" s="146"/>
      <c r="O982" s="147"/>
      <c r="P982" s="146"/>
      <c r="Q982" s="146"/>
      <c r="R982" s="146"/>
      <c r="S982" s="146"/>
      <c r="T982" s="146"/>
      <c r="U982" s="146"/>
      <c r="V982" s="146"/>
      <c r="W982" s="148"/>
      <c r="X982" s="146"/>
      <c r="Y982" s="146"/>
      <c r="Z982" s="146"/>
      <c r="AA982" s="146"/>
      <c r="AB982" s="146"/>
      <c r="AC982" s="146"/>
    </row>
    <row r="983" ht="15.75" customHeight="1">
      <c r="A983" s="146"/>
      <c r="B983" s="146"/>
      <c r="C983" s="146"/>
      <c r="D983" s="146"/>
      <c r="E983" s="146"/>
      <c r="F983" s="146"/>
      <c r="G983" s="146"/>
      <c r="H983" s="146"/>
      <c r="I983" s="146"/>
      <c r="J983" s="146"/>
      <c r="K983" s="146"/>
      <c r="L983" s="146"/>
      <c r="M983" s="146"/>
      <c r="N983" s="146"/>
      <c r="O983" s="147"/>
      <c r="P983" s="146"/>
      <c r="Q983" s="146"/>
      <c r="R983" s="146"/>
      <c r="S983" s="146"/>
      <c r="T983" s="146"/>
      <c r="U983" s="146"/>
      <c r="V983" s="146"/>
      <c r="W983" s="148"/>
      <c r="X983" s="146"/>
      <c r="Y983" s="146"/>
      <c r="Z983" s="146"/>
      <c r="AA983" s="146"/>
      <c r="AB983" s="146"/>
      <c r="AC983" s="146"/>
    </row>
    <row r="984" ht="15.75" customHeight="1">
      <c r="A984" s="146"/>
      <c r="B984" s="146"/>
      <c r="C984" s="146"/>
      <c r="D984" s="146"/>
      <c r="E984" s="146"/>
      <c r="F984" s="146"/>
      <c r="G984" s="146"/>
      <c r="H984" s="146"/>
      <c r="I984" s="146"/>
      <c r="J984" s="146"/>
      <c r="K984" s="146"/>
      <c r="L984" s="146"/>
      <c r="M984" s="146"/>
      <c r="N984" s="146"/>
      <c r="O984" s="147"/>
      <c r="P984" s="146"/>
      <c r="Q984" s="146"/>
      <c r="R984" s="146"/>
      <c r="S984" s="146"/>
      <c r="T984" s="146"/>
      <c r="U984" s="146"/>
      <c r="V984" s="146"/>
      <c r="W984" s="148"/>
      <c r="X984" s="146"/>
      <c r="Y984" s="146"/>
      <c r="Z984" s="146"/>
      <c r="AA984" s="146"/>
      <c r="AB984" s="146"/>
      <c r="AC984" s="146"/>
    </row>
    <row r="985" ht="15.75" customHeight="1">
      <c r="A985" s="146"/>
      <c r="B985" s="146"/>
      <c r="C985" s="146"/>
      <c r="D985" s="146"/>
      <c r="E985" s="146"/>
      <c r="F985" s="146"/>
      <c r="G985" s="146"/>
      <c r="H985" s="146"/>
      <c r="I985" s="146"/>
      <c r="J985" s="146"/>
      <c r="K985" s="146"/>
      <c r="L985" s="146"/>
      <c r="M985" s="146"/>
      <c r="N985" s="146"/>
      <c r="O985" s="147"/>
      <c r="P985" s="146"/>
      <c r="Q985" s="146"/>
      <c r="R985" s="146"/>
      <c r="S985" s="146"/>
      <c r="T985" s="146"/>
      <c r="U985" s="146"/>
      <c r="V985" s="146"/>
      <c r="W985" s="148"/>
      <c r="X985" s="146"/>
      <c r="Y985" s="146"/>
      <c r="Z985" s="146"/>
      <c r="AA985" s="146"/>
      <c r="AB985" s="146"/>
      <c r="AC985" s="146"/>
    </row>
    <row r="986" ht="15.75" customHeight="1">
      <c r="A986" s="146"/>
      <c r="B986" s="146"/>
      <c r="C986" s="146"/>
      <c r="D986" s="146"/>
      <c r="E986" s="146"/>
      <c r="F986" s="146"/>
      <c r="G986" s="146"/>
      <c r="H986" s="146"/>
      <c r="I986" s="146"/>
      <c r="J986" s="146"/>
      <c r="K986" s="146"/>
      <c r="L986" s="146"/>
      <c r="M986" s="146"/>
      <c r="N986" s="146"/>
      <c r="O986" s="147"/>
      <c r="P986" s="146"/>
      <c r="Q986" s="146"/>
      <c r="R986" s="146"/>
      <c r="S986" s="146"/>
      <c r="T986" s="146"/>
      <c r="U986" s="146"/>
      <c r="V986" s="146"/>
      <c r="W986" s="148"/>
      <c r="X986" s="146"/>
      <c r="Y986" s="146"/>
      <c r="Z986" s="146"/>
      <c r="AA986" s="146"/>
      <c r="AB986" s="146"/>
      <c r="AC986" s="146"/>
    </row>
    <row r="987" ht="15.75" customHeight="1">
      <c r="A987" s="146"/>
      <c r="B987" s="146"/>
      <c r="C987" s="146"/>
      <c r="D987" s="146"/>
      <c r="E987" s="146"/>
      <c r="F987" s="146"/>
      <c r="G987" s="146"/>
      <c r="H987" s="146"/>
      <c r="I987" s="146"/>
      <c r="J987" s="146"/>
      <c r="K987" s="146"/>
      <c r="L987" s="146"/>
      <c r="M987" s="146"/>
      <c r="N987" s="146"/>
      <c r="O987" s="147"/>
      <c r="P987" s="146"/>
      <c r="Q987" s="146"/>
      <c r="R987" s="146"/>
      <c r="S987" s="146"/>
      <c r="T987" s="146"/>
      <c r="U987" s="146"/>
      <c r="V987" s="146"/>
      <c r="W987" s="148"/>
      <c r="X987" s="146"/>
      <c r="Y987" s="146"/>
      <c r="Z987" s="146"/>
      <c r="AA987" s="146"/>
      <c r="AB987" s="146"/>
      <c r="AC987" s="146"/>
    </row>
    <row r="988" ht="15.75" customHeight="1">
      <c r="A988" s="146"/>
      <c r="B988" s="146"/>
      <c r="C988" s="146"/>
      <c r="D988" s="146"/>
      <c r="E988" s="146"/>
      <c r="F988" s="146"/>
      <c r="G988" s="146"/>
      <c r="H988" s="146"/>
      <c r="I988" s="146"/>
      <c r="J988" s="146"/>
      <c r="K988" s="146"/>
      <c r="L988" s="146"/>
      <c r="M988" s="146"/>
      <c r="N988" s="146"/>
      <c r="O988" s="147"/>
      <c r="P988" s="146"/>
      <c r="Q988" s="146"/>
      <c r="R988" s="146"/>
      <c r="S988" s="146"/>
      <c r="T988" s="146"/>
      <c r="U988" s="146"/>
      <c r="V988" s="146"/>
      <c r="W988" s="148"/>
      <c r="X988" s="146"/>
      <c r="Y988" s="146"/>
      <c r="Z988" s="146"/>
      <c r="AA988" s="146"/>
      <c r="AB988" s="146"/>
      <c r="AC988" s="146"/>
    </row>
    <row r="989" ht="15.75" customHeight="1">
      <c r="A989" s="146"/>
      <c r="B989" s="146"/>
      <c r="C989" s="146"/>
      <c r="D989" s="146"/>
      <c r="E989" s="146"/>
      <c r="F989" s="146"/>
      <c r="G989" s="146"/>
      <c r="H989" s="146"/>
      <c r="I989" s="146"/>
      <c r="J989" s="146"/>
      <c r="K989" s="146"/>
      <c r="L989" s="146"/>
      <c r="M989" s="146"/>
      <c r="N989" s="146"/>
      <c r="O989" s="147"/>
      <c r="P989" s="146"/>
      <c r="Q989" s="146"/>
      <c r="R989" s="146"/>
      <c r="S989" s="146"/>
      <c r="T989" s="146"/>
      <c r="U989" s="146"/>
      <c r="V989" s="146"/>
      <c r="W989" s="148"/>
      <c r="X989" s="146"/>
      <c r="Y989" s="146"/>
      <c r="Z989" s="146"/>
      <c r="AA989" s="146"/>
      <c r="AB989" s="146"/>
      <c r="AC989" s="146"/>
    </row>
    <row r="990" ht="15.75" customHeight="1">
      <c r="A990" s="146"/>
      <c r="B990" s="146"/>
      <c r="C990" s="146"/>
      <c r="D990" s="146"/>
      <c r="E990" s="146"/>
      <c r="F990" s="146"/>
      <c r="G990" s="146"/>
      <c r="H990" s="146"/>
      <c r="I990" s="146"/>
      <c r="J990" s="146"/>
      <c r="K990" s="146"/>
      <c r="L990" s="146"/>
      <c r="M990" s="146"/>
      <c r="N990" s="146"/>
      <c r="O990" s="147"/>
      <c r="P990" s="146"/>
      <c r="Q990" s="146"/>
      <c r="R990" s="146"/>
      <c r="S990" s="146"/>
      <c r="T990" s="146"/>
      <c r="U990" s="146"/>
      <c r="V990" s="146"/>
      <c r="W990" s="148"/>
      <c r="X990" s="146"/>
      <c r="Y990" s="146"/>
      <c r="Z990" s="146"/>
      <c r="AA990" s="146"/>
      <c r="AB990" s="146"/>
      <c r="AC990" s="146"/>
    </row>
    <row r="991" ht="15.75" customHeight="1">
      <c r="A991" s="146"/>
      <c r="B991" s="146"/>
      <c r="C991" s="146"/>
      <c r="D991" s="146"/>
      <c r="E991" s="146"/>
      <c r="F991" s="146"/>
      <c r="G991" s="146"/>
      <c r="H991" s="146"/>
      <c r="I991" s="146"/>
      <c r="J991" s="146"/>
      <c r="K991" s="146"/>
      <c r="L991" s="146"/>
      <c r="M991" s="146"/>
      <c r="N991" s="146"/>
      <c r="O991" s="147"/>
      <c r="P991" s="146"/>
      <c r="Q991" s="146"/>
      <c r="R991" s="146"/>
      <c r="S991" s="146"/>
      <c r="T991" s="146"/>
      <c r="U991" s="146"/>
      <c r="V991" s="146"/>
      <c r="W991" s="148"/>
      <c r="X991" s="146"/>
      <c r="Y991" s="146"/>
      <c r="Z991" s="146"/>
      <c r="AA991" s="146"/>
      <c r="AB991" s="146"/>
      <c r="AC991" s="146"/>
    </row>
    <row r="992" ht="15.75" customHeight="1">
      <c r="A992" s="146"/>
      <c r="B992" s="146"/>
      <c r="C992" s="146"/>
      <c r="D992" s="146"/>
      <c r="E992" s="146"/>
      <c r="F992" s="146"/>
      <c r="G992" s="146"/>
      <c r="H992" s="146"/>
      <c r="I992" s="146"/>
      <c r="J992" s="146"/>
      <c r="K992" s="146"/>
      <c r="L992" s="146"/>
      <c r="M992" s="146"/>
      <c r="N992" s="146"/>
      <c r="O992" s="147"/>
      <c r="P992" s="146"/>
      <c r="Q992" s="146"/>
      <c r="R992" s="146"/>
      <c r="S992" s="146"/>
      <c r="T992" s="146"/>
      <c r="U992" s="146"/>
      <c r="V992" s="146"/>
      <c r="W992" s="148"/>
      <c r="X992" s="146"/>
      <c r="Y992" s="146"/>
      <c r="Z992" s="146"/>
      <c r="AA992" s="146"/>
      <c r="AB992" s="146"/>
      <c r="AC992" s="146"/>
    </row>
    <row r="993" ht="15.75" customHeight="1">
      <c r="A993" s="146"/>
      <c r="B993" s="146"/>
      <c r="C993" s="146"/>
      <c r="D993" s="146"/>
      <c r="E993" s="146"/>
      <c r="F993" s="146"/>
      <c r="G993" s="146"/>
      <c r="H993" s="146"/>
      <c r="I993" s="146"/>
      <c r="J993" s="146"/>
      <c r="K993" s="146"/>
      <c r="L993" s="146"/>
      <c r="M993" s="146"/>
      <c r="N993" s="146"/>
      <c r="O993" s="147"/>
      <c r="P993" s="146"/>
      <c r="Q993" s="146"/>
      <c r="R993" s="146"/>
      <c r="S993" s="146"/>
      <c r="T993" s="146"/>
      <c r="U993" s="146"/>
      <c r="V993" s="146"/>
      <c r="W993" s="148"/>
      <c r="X993" s="146"/>
      <c r="Y993" s="146"/>
      <c r="Z993" s="146"/>
      <c r="AA993" s="146"/>
      <c r="AB993" s="146"/>
      <c r="AC993" s="146"/>
    </row>
    <row r="994" ht="15.75" customHeight="1">
      <c r="A994" s="146"/>
      <c r="B994" s="146"/>
      <c r="C994" s="146"/>
      <c r="D994" s="146"/>
      <c r="E994" s="146"/>
      <c r="F994" s="146"/>
      <c r="G994" s="146"/>
      <c r="H994" s="146"/>
      <c r="I994" s="146"/>
      <c r="J994" s="146"/>
      <c r="K994" s="146"/>
      <c r="L994" s="146"/>
      <c r="M994" s="146"/>
      <c r="N994" s="146"/>
      <c r="O994" s="147"/>
      <c r="P994" s="146"/>
      <c r="Q994" s="146"/>
      <c r="R994" s="146"/>
      <c r="S994" s="146"/>
      <c r="T994" s="146"/>
      <c r="U994" s="146"/>
      <c r="V994" s="146"/>
      <c r="W994" s="148"/>
      <c r="X994" s="146"/>
      <c r="Y994" s="146"/>
      <c r="Z994" s="146"/>
      <c r="AA994" s="146"/>
      <c r="AB994" s="146"/>
      <c r="AC994" s="146"/>
    </row>
    <row r="995" ht="15.75" customHeight="1">
      <c r="A995" s="146"/>
      <c r="B995" s="146"/>
      <c r="C995" s="146"/>
      <c r="D995" s="146"/>
      <c r="E995" s="146"/>
      <c r="F995" s="146"/>
      <c r="G995" s="146"/>
      <c r="H995" s="146"/>
      <c r="I995" s="146"/>
      <c r="J995" s="146"/>
      <c r="K995" s="146"/>
      <c r="L995" s="146"/>
      <c r="M995" s="146"/>
      <c r="N995" s="146"/>
      <c r="O995" s="147"/>
      <c r="P995" s="146"/>
      <c r="Q995" s="146"/>
      <c r="R995" s="146"/>
      <c r="S995" s="146"/>
      <c r="T995" s="146"/>
      <c r="U995" s="146"/>
      <c r="V995" s="146"/>
      <c r="W995" s="148"/>
      <c r="X995" s="146"/>
      <c r="Y995" s="146"/>
      <c r="Z995" s="146"/>
      <c r="AA995" s="146"/>
      <c r="AB995" s="146"/>
      <c r="AC995" s="146"/>
    </row>
    <row r="996" ht="15.75" customHeight="1">
      <c r="A996" s="146"/>
      <c r="B996" s="146"/>
      <c r="C996" s="146"/>
      <c r="D996" s="146"/>
      <c r="E996" s="146"/>
      <c r="F996" s="146"/>
      <c r="G996" s="146"/>
      <c r="H996" s="146"/>
      <c r="I996" s="146"/>
      <c r="J996" s="146"/>
      <c r="K996" s="146"/>
      <c r="L996" s="146"/>
      <c r="M996" s="146"/>
      <c r="N996" s="146"/>
      <c r="O996" s="147"/>
      <c r="P996" s="146"/>
      <c r="Q996" s="146"/>
      <c r="R996" s="146"/>
      <c r="S996" s="146"/>
      <c r="T996" s="146"/>
      <c r="U996" s="146"/>
      <c r="V996" s="146"/>
      <c r="W996" s="148"/>
      <c r="X996" s="146"/>
      <c r="Y996" s="146"/>
      <c r="Z996" s="146"/>
      <c r="AA996" s="146"/>
      <c r="AB996" s="146"/>
      <c r="AC996" s="146"/>
    </row>
    <row r="997" ht="15.75" customHeight="1">
      <c r="A997" s="146"/>
      <c r="B997" s="146"/>
      <c r="C997" s="146"/>
      <c r="D997" s="146"/>
      <c r="E997" s="146"/>
      <c r="F997" s="146"/>
      <c r="G997" s="146"/>
      <c r="H997" s="146"/>
      <c r="I997" s="146"/>
      <c r="J997" s="146"/>
      <c r="K997" s="146"/>
      <c r="L997" s="146"/>
      <c r="M997" s="146"/>
      <c r="N997" s="146"/>
      <c r="O997" s="147"/>
      <c r="P997" s="146"/>
      <c r="Q997" s="146"/>
      <c r="R997" s="146"/>
      <c r="S997" s="146"/>
      <c r="T997" s="146"/>
      <c r="U997" s="146"/>
      <c r="V997" s="146"/>
      <c r="W997" s="148"/>
      <c r="X997" s="146"/>
      <c r="Y997" s="146"/>
      <c r="Z997" s="146"/>
      <c r="AA997" s="146"/>
      <c r="AB997" s="146"/>
      <c r="AC997" s="146"/>
    </row>
    <row r="998" ht="15.75" customHeight="1">
      <c r="A998" s="146"/>
      <c r="B998" s="146"/>
      <c r="C998" s="146"/>
      <c r="D998" s="146"/>
      <c r="E998" s="146"/>
      <c r="F998" s="146"/>
      <c r="G998" s="146"/>
      <c r="H998" s="146"/>
      <c r="I998" s="146"/>
      <c r="J998" s="146"/>
      <c r="K998" s="146"/>
      <c r="L998" s="146"/>
      <c r="M998" s="146"/>
      <c r="N998" s="146"/>
      <c r="O998" s="147"/>
      <c r="P998" s="146"/>
      <c r="Q998" s="146"/>
      <c r="R998" s="146"/>
      <c r="S998" s="146"/>
      <c r="T998" s="146"/>
      <c r="U998" s="146"/>
      <c r="V998" s="146"/>
      <c r="W998" s="148"/>
      <c r="X998" s="146"/>
      <c r="Y998" s="146"/>
      <c r="Z998" s="146"/>
      <c r="AA998" s="146"/>
      <c r="AB998" s="146"/>
      <c r="AC998" s="146"/>
    </row>
  </sheetData>
  <mergeCells count="242">
    <mergeCell ref="X8:X10"/>
    <mergeCell ref="Y8:Y10"/>
    <mergeCell ref="Q8:Q10"/>
    <mergeCell ref="R8:R10"/>
    <mergeCell ref="S8:S10"/>
    <mergeCell ref="T8:T10"/>
    <mergeCell ref="U8:U10"/>
    <mergeCell ref="V8:V10"/>
    <mergeCell ref="W8:W10"/>
    <mergeCell ref="F8:J10"/>
    <mergeCell ref="I11:J11"/>
    <mergeCell ref="A8:A10"/>
    <mergeCell ref="B8:B10"/>
    <mergeCell ref="D8:D10"/>
    <mergeCell ref="L8:L10"/>
    <mergeCell ref="N8:N10"/>
    <mergeCell ref="P8:P10"/>
    <mergeCell ref="E9:E10"/>
    <mergeCell ref="U11:U20"/>
    <mergeCell ref="V11:V20"/>
    <mergeCell ref="N11:N20"/>
    <mergeCell ref="P11:P20"/>
    <mergeCell ref="Q11:Q20"/>
    <mergeCell ref="R11:R20"/>
    <mergeCell ref="S11:S20"/>
    <mergeCell ref="T11:T20"/>
    <mergeCell ref="O11:O20"/>
    <mergeCell ref="H13:H19"/>
    <mergeCell ref="I13:I19"/>
    <mergeCell ref="A11:A20"/>
    <mergeCell ref="B11:B20"/>
    <mergeCell ref="D11:D20"/>
    <mergeCell ref="E11:E20"/>
    <mergeCell ref="F11:G19"/>
    <mergeCell ref="L11:L20"/>
    <mergeCell ref="M11:M20"/>
    <mergeCell ref="J13:J19"/>
    <mergeCell ref="J21:J22"/>
    <mergeCell ref="L21:L22"/>
    <mergeCell ref="A21:A22"/>
    <mergeCell ref="B21:B22"/>
    <mergeCell ref="D21:D22"/>
    <mergeCell ref="E21:E22"/>
    <mergeCell ref="F21:G22"/>
    <mergeCell ref="H21:H22"/>
    <mergeCell ref="I21:I22"/>
    <mergeCell ref="T21:T22"/>
    <mergeCell ref="U21:U22"/>
    <mergeCell ref="M21:M22"/>
    <mergeCell ref="N21:N22"/>
    <mergeCell ref="O21:O22"/>
    <mergeCell ref="P21:P22"/>
    <mergeCell ref="Q21:Q22"/>
    <mergeCell ref="R21:R22"/>
    <mergeCell ref="S21:S22"/>
    <mergeCell ref="L23:L27"/>
    <mergeCell ref="N23:N27"/>
    <mergeCell ref="Z21:Z22"/>
    <mergeCell ref="AA21:AA22"/>
    <mergeCell ref="A23:A27"/>
    <mergeCell ref="B23:B27"/>
    <mergeCell ref="D23:D27"/>
    <mergeCell ref="E23:E27"/>
    <mergeCell ref="F23:G27"/>
    <mergeCell ref="O28:O38"/>
    <mergeCell ref="P28:P38"/>
    <mergeCell ref="D35:D36"/>
    <mergeCell ref="D37:D38"/>
    <mergeCell ref="A28:A38"/>
    <mergeCell ref="B28:B38"/>
    <mergeCell ref="D28:D34"/>
    <mergeCell ref="E28:J38"/>
    <mergeCell ref="L28:L38"/>
    <mergeCell ref="M28:M38"/>
    <mergeCell ref="N28:N38"/>
    <mergeCell ref="P39:P53"/>
    <mergeCell ref="O40:O53"/>
    <mergeCell ref="C41:C42"/>
    <mergeCell ref="C44:C45"/>
    <mergeCell ref="A39:A53"/>
    <mergeCell ref="B39:B53"/>
    <mergeCell ref="D39:D53"/>
    <mergeCell ref="E39:J53"/>
    <mergeCell ref="L39:L53"/>
    <mergeCell ref="N39:N53"/>
    <mergeCell ref="M40:M53"/>
    <mergeCell ref="H54:J56"/>
    <mergeCell ref="K54:K56"/>
    <mergeCell ref="L54:L56"/>
    <mergeCell ref="N54:N56"/>
    <mergeCell ref="P54:P56"/>
    <mergeCell ref="C46:C47"/>
    <mergeCell ref="C49:C50"/>
    <mergeCell ref="A54:A56"/>
    <mergeCell ref="B54:B56"/>
    <mergeCell ref="D54:D56"/>
    <mergeCell ref="E54:E56"/>
    <mergeCell ref="F54:G56"/>
    <mergeCell ref="M57:M60"/>
    <mergeCell ref="N57:N60"/>
    <mergeCell ref="O57:O60"/>
    <mergeCell ref="P57:P60"/>
    <mergeCell ref="L61:L63"/>
    <mergeCell ref="M61:M63"/>
    <mergeCell ref="N61:N63"/>
    <mergeCell ref="A57:A60"/>
    <mergeCell ref="B57:B60"/>
    <mergeCell ref="D57:D60"/>
    <mergeCell ref="E57:G60"/>
    <mergeCell ref="H57:J60"/>
    <mergeCell ref="K57:K60"/>
    <mergeCell ref="L57:L60"/>
    <mergeCell ref="H23:I27"/>
    <mergeCell ref="J23:J27"/>
    <mergeCell ref="P23:P27"/>
    <mergeCell ref="Q23:Q27"/>
    <mergeCell ref="R23:R27"/>
    <mergeCell ref="S23:S27"/>
    <mergeCell ref="T23:T27"/>
    <mergeCell ref="U23:U27"/>
    <mergeCell ref="V23:V27"/>
    <mergeCell ref="W23:W27"/>
    <mergeCell ref="X23:X27"/>
    <mergeCell ref="Y23:Y27"/>
    <mergeCell ref="Z23:Z27"/>
    <mergeCell ref="AA23:AA27"/>
    <mergeCell ref="X28:X38"/>
    <mergeCell ref="Y28:Y38"/>
    <mergeCell ref="Q28:Q38"/>
    <mergeCell ref="R28:R38"/>
    <mergeCell ref="S28:S38"/>
    <mergeCell ref="T28:T38"/>
    <mergeCell ref="U28:U38"/>
    <mergeCell ref="V28:V38"/>
    <mergeCell ref="W28:W38"/>
    <mergeCell ref="B1:B3"/>
    <mergeCell ref="C1:C3"/>
    <mergeCell ref="D1:D3"/>
    <mergeCell ref="E1:J1"/>
    <mergeCell ref="K1:N2"/>
    <mergeCell ref="Q1:Q3"/>
    <mergeCell ref="E2:J2"/>
    <mergeCell ref="A1:A3"/>
    <mergeCell ref="A4:A7"/>
    <mergeCell ref="B4:B7"/>
    <mergeCell ref="D4:D7"/>
    <mergeCell ref="E4:E7"/>
    <mergeCell ref="F4:G7"/>
    <mergeCell ref="H4:J7"/>
    <mergeCell ref="X39:X53"/>
    <mergeCell ref="Y39:Y53"/>
    <mergeCell ref="Q39:Q53"/>
    <mergeCell ref="R39:R53"/>
    <mergeCell ref="S39:S53"/>
    <mergeCell ref="T39:T53"/>
    <mergeCell ref="U39:U53"/>
    <mergeCell ref="V39:V53"/>
    <mergeCell ref="W39:W53"/>
    <mergeCell ref="X54:X56"/>
    <mergeCell ref="Y54:Y56"/>
    <mergeCell ref="Z54:Z56"/>
    <mergeCell ref="AA54:AA56"/>
    <mergeCell ref="Z39:Z53"/>
    <mergeCell ref="AA39:AA53"/>
    <mergeCell ref="Q54:Q56"/>
    <mergeCell ref="R54:R56"/>
    <mergeCell ref="S54:S56"/>
    <mergeCell ref="T54:T56"/>
    <mergeCell ref="U54:U56"/>
    <mergeCell ref="O1:P2"/>
    <mergeCell ref="R1:V2"/>
    <mergeCell ref="W1:W2"/>
    <mergeCell ref="X1:AC2"/>
    <mergeCell ref="S4:S7"/>
    <mergeCell ref="T4:T7"/>
    <mergeCell ref="U4:U7"/>
    <mergeCell ref="V4:V7"/>
    <mergeCell ref="W4:W7"/>
    <mergeCell ref="X4:X7"/>
    <mergeCell ref="Y4:Y7"/>
    <mergeCell ref="L4:L7"/>
    <mergeCell ref="M4:M7"/>
    <mergeCell ref="N4:N7"/>
    <mergeCell ref="O4:O7"/>
    <mergeCell ref="P4:P7"/>
    <mergeCell ref="Q4:Q7"/>
    <mergeCell ref="R4:R7"/>
    <mergeCell ref="W11:W20"/>
    <mergeCell ref="X11:X20"/>
    <mergeCell ref="Y11:Y20"/>
    <mergeCell ref="V21:V22"/>
    <mergeCell ref="W21:W22"/>
    <mergeCell ref="X21:X22"/>
    <mergeCell ref="Y21:Y22"/>
    <mergeCell ref="Z28:Z38"/>
    <mergeCell ref="AA28:AA38"/>
    <mergeCell ref="V54:V56"/>
    <mergeCell ref="W54:W56"/>
    <mergeCell ref="Q57:Q60"/>
    <mergeCell ref="R57:V60"/>
    <mergeCell ref="W57:W60"/>
    <mergeCell ref="X57:X60"/>
    <mergeCell ref="Y57:Y60"/>
    <mergeCell ref="Z57:Z60"/>
    <mergeCell ref="AA57:AA60"/>
    <mergeCell ref="W61:W63"/>
    <mergeCell ref="AA61:AA63"/>
    <mergeCell ref="Z4:Z7"/>
    <mergeCell ref="AA4:AA7"/>
    <mergeCell ref="AB4:AC60"/>
    <mergeCell ref="Z8:Z10"/>
    <mergeCell ref="AA8:AA10"/>
    <mergeCell ref="Z11:Z20"/>
    <mergeCell ref="AA11:AA20"/>
    <mergeCell ref="A61:A63"/>
    <mergeCell ref="B61:B63"/>
    <mergeCell ref="D61:D63"/>
    <mergeCell ref="A64:A69"/>
    <mergeCell ref="B64:B69"/>
    <mergeCell ref="D64:D69"/>
    <mergeCell ref="E64:E69"/>
    <mergeCell ref="F64:G69"/>
    <mergeCell ref="H64:H69"/>
    <mergeCell ref="I64:I69"/>
    <mergeCell ref="J64:J69"/>
    <mergeCell ref="K64:K69"/>
    <mergeCell ref="L64:L69"/>
    <mergeCell ref="M64:M69"/>
    <mergeCell ref="V64:V69"/>
    <mergeCell ref="W64:W69"/>
    <mergeCell ref="X64:X69"/>
    <mergeCell ref="Y64:Y69"/>
    <mergeCell ref="Z64:Z69"/>
    <mergeCell ref="AA64:AA69"/>
    <mergeCell ref="AB64:AB69"/>
    <mergeCell ref="N64:N69"/>
    <mergeCell ref="O64:O69"/>
    <mergeCell ref="Q64:Q69"/>
    <mergeCell ref="R64:R69"/>
    <mergeCell ref="S64:S69"/>
    <mergeCell ref="T64:T69"/>
    <mergeCell ref="U64:U69"/>
  </mergeCells>
  <hyperlinks>
    <hyperlink r:id="rId1" ref="W4"/>
    <hyperlink r:id="rId2" ref="X4"/>
    <hyperlink r:id="rId3" ref="Y4"/>
    <hyperlink r:id="rId4" ref="Z4"/>
    <hyperlink r:id="rId5" ref="AA4"/>
    <hyperlink r:id="rId6" ref="AB4"/>
    <hyperlink r:id="rId7" ref="W8"/>
    <hyperlink r:id="rId8" ref="X8"/>
    <hyperlink r:id="rId9" ref="Y8"/>
    <hyperlink r:id="rId10" ref="AA8"/>
    <hyperlink r:id="rId11" ref="W11"/>
    <hyperlink r:id="rId12" ref="X11"/>
    <hyperlink r:id="rId13" ref="Y11"/>
    <hyperlink r:id="rId14" ref="AA11"/>
    <hyperlink r:id="rId15" ref="W21"/>
    <hyperlink r:id="rId16" ref="X21"/>
    <hyperlink r:id="rId17" ref="Y21"/>
    <hyperlink r:id="rId18" ref="AA21"/>
    <hyperlink r:id="rId19" ref="W23"/>
    <hyperlink r:id="rId20" ref="X23"/>
    <hyperlink r:id="rId21" ref="Y23"/>
    <hyperlink r:id="rId22" ref="AA23"/>
    <hyperlink r:id="rId23" ref="O28"/>
    <hyperlink r:id="rId24" ref="W28"/>
    <hyperlink r:id="rId25" ref="X28"/>
    <hyperlink r:id="rId26" ref="Y28"/>
    <hyperlink r:id="rId27" ref="AA28"/>
    <hyperlink r:id="rId28" ref="W39"/>
    <hyperlink r:id="rId29" ref="X39"/>
    <hyperlink r:id="rId30" ref="Y39"/>
    <hyperlink r:id="rId31" ref="AA39"/>
    <hyperlink r:id="rId32" ref="W54"/>
    <hyperlink r:id="rId33" ref="X54"/>
    <hyperlink r:id="rId34" ref="Y54"/>
    <hyperlink r:id="rId35" ref="AA54"/>
    <hyperlink r:id="rId36" ref="W57"/>
    <hyperlink r:id="rId37" ref="X57"/>
    <hyperlink r:id="rId38" ref="Y57"/>
    <hyperlink r:id="rId39" ref="AA57"/>
    <hyperlink r:id="rId40" ref="W61"/>
    <hyperlink r:id="rId41" ref="AA61"/>
    <hyperlink r:id="rId42" ref="W64"/>
    <hyperlink r:id="rId43" ref="X64"/>
    <hyperlink r:id="rId44" ref="Y64"/>
    <hyperlink r:id="rId45" ref="AA64"/>
    <hyperlink r:id="rId46" ref="AB64"/>
  </hyperlinks>
  <printOptions/>
  <pageMargins bottom="0.75" footer="0.0" header="0.0" left="0.7" right="0.7" top="0.75"/>
  <pageSetup orientation="landscape"/>
  <drawing r:id="rId4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9.0"/>
    <col customWidth="1" min="2" max="2" width="45.38"/>
    <col customWidth="1" min="3" max="4" width="24.63"/>
    <col customWidth="1" min="5" max="5" width="26.88"/>
    <col customWidth="1" min="6" max="6" width="31.38"/>
    <col customWidth="1" min="7" max="13" width="24.63"/>
  </cols>
  <sheetData>
    <row r="1" ht="45.75" customHeight="1">
      <c r="A1" s="149" t="s">
        <v>272</v>
      </c>
      <c r="B1" s="150" t="s">
        <v>1</v>
      </c>
      <c r="C1" s="151" t="s">
        <v>273</v>
      </c>
      <c r="D1" s="6"/>
      <c r="E1" s="151" t="s">
        <v>274</v>
      </c>
      <c r="F1" s="6"/>
      <c r="G1" s="151" t="s">
        <v>275</v>
      </c>
      <c r="H1" s="6"/>
      <c r="I1" s="152" t="s">
        <v>276</v>
      </c>
      <c r="J1" s="6"/>
      <c r="K1" s="151" t="s">
        <v>277</v>
      </c>
      <c r="L1" s="6"/>
      <c r="M1" s="150" t="s">
        <v>278</v>
      </c>
      <c r="N1" s="153"/>
      <c r="O1" s="153"/>
    </row>
    <row r="2" ht="42.75" customHeight="1">
      <c r="B2" s="16"/>
      <c r="C2" s="154" t="s">
        <v>279</v>
      </c>
      <c r="D2" s="154" t="s">
        <v>280</v>
      </c>
      <c r="E2" s="154" t="s">
        <v>279</v>
      </c>
      <c r="F2" s="154" t="s">
        <v>280</v>
      </c>
      <c r="G2" s="154" t="s">
        <v>279</v>
      </c>
      <c r="H2" s="154" t="s">
        <v>280</v>
      </c>
      <c r="I2" s="154" t="s">
        <v>279</v>
      </c>
      <c r="J2" s="154" t="s">
        <v>280</v>
      </c>
      <c r="K2" s="154" t="s">
        <v>279</v>
      </c>
      <c r="L2" s="154" t="s">
        <v>280</v>
      </c>
      <c r="M2" s="16"/>
      <c r="N2" s="153"/>
      <c r="O2" s="153"/>
    </row>
    <row r="3" ht="66.0" customHeight="1">
      <c r="A3" s="155">
        <v>1.0</v>
      </c>
      <c r="B3" s="156" t="s">
        <v>281</v>
      </c>
      <c r="C3" s="157"/>
      <c r="D3" s="157"/>
      <c r="E3" s="158">
        <v>46237.0</v>
      </c>
      <c r="F3" s="158">
        <v>46278.0</v>
      </c>
      <c r="G3" s="158">
        <v>46244.0</v>
      </c>
      <c r="H3" s="159">
        <v>46292.0</v>
      </c>
      <c r="I3" s="158">
        <v>46244.0</v>
      </c>
      <c r="J3" s="160">
        <v>46298.0</v>
      </c>
      <c r="K3" s="157"/>
      <c r="L3" s="157"/>
      <c r="M3" s="161" t="s">
        <v>282</v>
      </c>
      <c r="N3" s="153"/>
      <c r="O3" s="153"/>
    </row>
    <row r="4" ht="66.0" customHeight="1">
      <c r="A4" s="155">
        <v>2.0</v>
      </c>
      <c r="B4" s="156" t="s">
        <v>283</v>
      </c>
      <c r="C4" s="157"/>
      <c r="D4" s="162"/>
      <c r="E4" s="163" t="s">
        <v>284</v>
      </c>
      <c r="F4" s="164" t="s">
        <v>285</v>
      </c>
      <c r="G4" s="165"/>
      <c r="H4" s="166"/>
      <c r="I4" s="162"/>
      <c r="J4" s="162"/>
      <c r="K4" s="162"/>
      <c r="L4" s="157"/>
      <c r="M4" s="11"/>
      <c r="N4" s="153"/>
      <c r="O4" s="153"/>
    </row>
    <row r="5" ht="94.5" customHeight="1">
      <c r="A5" s="155">
        <f t="shared" ref="A5:A10" si="1">A4+1</f>
        <v>3</v>
      </c>
      <c r="B5" s="156" t="s">
        <v>286</v>
      </c>
      <c r="C5" s="157"/>
      <c r="D5" s="162"/>
      <c r="E5" s="167">
        <v>46223.0</v>
      </c>
      <c r="F5" s="168" t="s">
        <v>287</v>
      </c>
      <c r="G5" s="169">
        <v>46225.0</v>
      </c>
      <c r="H5" s="168" t="s">
        <v>285</v>
      </c>
      <c r="I5" s="170"/>
      <c r="J5" s="162"/>
      <c r="K5" s="157"/>
      <c r="L5" s="157"/>
      <c r="M5" s="11"/>
      <c r="N5" s="153"/>
      <c r="O5" s="153"/>
    </row>
    <row r="6" ht="66.0" customHeight="1">
      <c r="A6" s="155">
        <f t="shared" si="1"/>
        <v>4</v>
      </c>
      <c r="B6" s="155" t="s">
        <v>288</v>
      </c>
      <c r="C6" s="171"/>
      <c r="D6" s="172"/>
      <c r="E6" s="173" t="s">
        <v>289</v>
      </c>
      <c r="F6" s="174"/>
      <c r="G6" s="174"/>
      <c r="H6" s="174"/>
      <c r="I6" s="170"/>
      <c r="J6" s="166"/>
      <c r="K6" s="175"/>
      <c r="L6" s="175"/>
      <c r="M6" s="11"/>
      <c r="N6" s="153"/>
      <c r="O6" s="153"/>
    </row>
    <row r="7" ht="66.0" customHeight="1">
      <c r="A7" s="155">
        <f t="shared" si="1"/>
        <v>5</v>
      </c>
      <c r="B7" s="156" t="s">
        <v>290</v>
      </c>
      <c r="C7" s="157"/>
      <c r="D7" s="176"/>
      <c r="E7" s="177" t="s">
        <v>291</v>
      </c>
      <c r="F7" s="178" t="s">
        <v>292</v>
      </c>
      <c r="G7" s="177" t="s">
        <v>291</v>
      </c>
      <c r="H7" s="178" t="s">
        <v>292</v>
      </c>
      <c r="I7" s="170"/>
      <c r="J7" s="162"/>
      <c r="K7" s="157"/>
      <c r="L7" s="157"/>
      <c r="M7" s="11"/>
      <c r="N7" s="153"/>
      <c r="O7" s="153"/>
    </row>
    <row r="8" ht="74.25" customHeight="1">
      <c r="A8" s="155">
        <f t="shared" si="1"/>
        <v>6</v>
      </c>
      <c r="B8" s="156" t="s">
        <v>293</v>
      </c>
      <c r="C8" s="167" t="s">
        <v>294</v>
      </c>
      <c r="D8" s="179" t="s">
        <v>295</v>
      </c>
      <c r="E8" s="167" t="s">
        <v>296</v>
      </c>
      <c r="F8" s="179" t="s">
        <v>297</v>
      </c>
      <c r="G8" s="180" t="s">
        <v>294</v>
      </c>
      <c r="H8" s="179" t="s">
        <v>298</v>
      </c>
      <c r="I8" s="181"/>
      <c r="J8" s="165"/>
      <c r="K8" s="167" t="s">
        <v>296</v>
      </c>
      <c r="L8" s="179" t="s">
        <v>299</v>
      </c>
      <c r="M8" s="11"/>
      <c r="N8" s="153"/>
      <c r="O8" s="153"/>
    </row>
    <row r="9" ht="66.0" customHeight="1">
      <c r="A9" s="155">
        <f t="shared" si="1"/>
        <v>7</v>
      </c>
      <c r="B9" s="156" t="s">
        <v>300</v>
      </c>
      <c r="C9" s="171"/>
      <c r="D9" s="162"/>
      <c r="E9" s="169" t="s">
        <v>301</v>
      </c>
      <c r="F9" s="182" t="s">
        <v>302</v>
      </c>
      <c r="G9" s="169" t="s">
        <v>301</v>
      </c>
      <c r="H9" s="182" t="s">
        <v>302</v>
      </c>
      <c r="I9" s="167" t="s">
        <v>301</v>
      </c>
      <c r="J9" s="183" t="s">
        <v>302</v>
      </c>
      <c r="K9" s="169" t="s">
        <v>301</v>
      </c>
      <c r="L9" s="182" t="s">
        <v>302</v>
      </c>
      <c r="M9" s="11"/>
      <c r="N9" s="153"/>
      <c r="O9" s="153"/>
    </row>
    <row r="10" ht="66.0" customHeight="1">
      <c r="A10" s="155">
        <f t="shared" si="1"/>
        <v>8</v>
      </c>
      <c r="B10" s="156" t="s">
        <v>303</v>
      </c>
      <c r="C10" s="157"/>
      <c r="D10" s="162"/>
      <c r="E10" s="173" t="s">
        <v>304</v>
      </c>
      <c r="F10" s="164" t="s">
        <v>305</v>
      </c>
      <c r="G10" s="167" t="s">
        <v>304</v>
      </c>
      <c r="H10" s="164" t="s">
        <v>305</v>
      </c>
      <c r="I10" s="166"/>
      <c r="J10" s="166"/>
      <c r="K10" s="166"/>
      <c r="L10" s="157"/>
      <c r="M10" s="11"/>
      <c r="N10" s="153"/>
      <c r="O10" s="153"/>
    </row>
    <row r="11" ht="66.0" customHeight="1">
      <c r="A11" s="155">
        <v>9.0</v>
      </c>
      <c r="B11" s="155" t="s">
        <v>306</v>
      </c>
      <c r="C11" s="171"/>
      <c r="D11" s="172"/>
      <c r="E11" s="173" t="s">
        <v>307</v>
      </c>
      <c r="F11" s="167" t="s">
        <v>308</v>
      </c>
      <c r="G11" s="169" t="s">
        <v>307</v>
      </c>
      <c r="H11" s="167" t="s">
        <v>308</v>
      </c>
      <c r="I11" s="172"/>
      <c r="J11" s="172"/>
      <c r="K11" s="172"/>
      <c r="L11" s="171"/>
      <c r="M11" s="11"/>
      <c r="N11" s="153"/>
      <c r="O11" s="153"/>
    </row>
    <row r="12" ht="66.0" customHeight="1">
      <c r="A12" s="155">
        <f>A11+1</f>
        <v>10</v>
      </c>
      <c r="B12" s="155" t="s">
        <v>309</v>
      </c>
      <c r="C12" s="171"/>
      <c r="D12" s="172"/>
      <c r="E12" s="173" t="s">
        <v>289</v>
      </c>
      <c r="F12" s="174"/>
      <c r="G12" s="184"/>
      <c r="H12" s="174"/>
      <c r="I12" s="172"/>
      <c r="J12" s="172"/>
      <c r="K12" s="172"/>
      <c r="L12" s="171"/>
      <c r="M12" s="16"/>
      <c r="N12" s="153"/>
      <c r="O12" s="153"/>
    </row>
    <row r="13" ht="60.75" customHeight="1">
      <c r="A13" s="185" t="s">
        <v>310</v>
      </c>
      <c r="B13" s="186"/>
      <c r="C13" s="186"/>
      <c r="D13" s="186"/>
      <c r="E13" s="186"/>
      <c r="F13" s="186"/>
      <c r="G13" s="186"/>
      <c r="H13" s="186"/>
      <c r="I13" s="186"/>
      <c r="J13" s="186"/>
      <c r="K13" s="186"/>
      <c r="L13" s="186"/>
      <c r="M13" s="186"/>
      <c r="N13" s="153"/>
      <c r="O13" s="153"/>
    </row>
    <row r="14">
      <c r="A14" s="153"/>
      <c r="B14" s="187"/>
      <c r="C14" s="153"/>
      <c r="D14" s="153"/>
      <c r="E14" s="153"/>
      <c r="F14" s="153"/>
      <c r="G14" s="153"/>
      <c r="H14" s="153"/>
      <c r="I14" s="153"/>
      <c r="J14" s="153"/>
      <c r="K14" s="153"/>
      <c r="L14" s="153"/>
      <c r="M14" s="153"/>
      <c r="N14" s="153"/>
      <c r="O14" s="153"/>
    </row>
    <row r="15">
      <c r="A15" s="153"/>
      <c r="B15" s="153"/>
      <c r="C15" s="153"/>
      <c r="D15" s="153"/>
      <c r="E15" s="153"/>
      <c r="F15" s="153"/>
      <c r="G15" s="153"/>
      <c r="H15" s="153"/>
      <c r="I15" s="153"/>
      <c r="J15" s="153"/>
      <c r="K15" s="153"/>
      <c r="L15" s="153"/>
      <c r="M15" s="153"/>
      <c r="N15" s="153"/>
      <c r="O15" s="153"/>
    </row>
    <row r="16">
      <c r="A16" s="153"/>
      <c r="B16" s="153"/>
      <c r="C16" s="153"/>
      <c r="D16" s="153"/>
      <c r="E16" s="153"/>
      <c r="F16" s="188"/>
      <c r="G16" s="189"/>
      <c r="H16" s="189"/>
      <c r="I16" s="153"/>
      <c r="J16" s="153"/>
      <c r="K16" s="153"/>
      <c r="L16" s="188"/>
      <c r="M16" s="153"/>
      <c r="N16" s="153"/>
      <c r="O16" s="153"/>
    </row>
    <row r="17">
      <c r="A17" s="153"/>
      <c r="B17" s="153"/>
      <c r="C17" s="153"/>
      <c r="D17" s="153"/>
      <c r="E17" s="153"/>
      <c r="F17" s="189"/>
      <c r="G17" s="189"/>
      <c r="H17" s="190"/>
      <c r="I17" s="153"/>
      <c r="J17" s="153"/>
      <c r="K17" s="153"/>
      <c r="M17" s="153"/>
      <c r="N17" s="153"/>
      <c r="O17" s="153"/>
    </row>
    <row r="18">
      <c r="A18" s="153"/>
      <c r="B18" s="153"/>
      <c r="C18" s="153"/>
      <c r="D18" s="153"/>
      <c r="E18" s="153"/>
      <c r="F18" s="189"/>
      <c r="G18" s="190"/>
      <c r="H18" s="190"/>
      <c r="I18" s="153"/>
      <c r="J18" s="153"/>
      <c r="K18" s="153"/>
      <c r="M18" s="153"/>
      <c r="N18" s="153"/>
      <c r="O18" s="153"/>
    </row>
    <row r="19">
      <c r="A19" s="153"/>
      <c r="B19" s="153"/>
      <c r="C19" s="153"/>
      <c r="D19" s="153"/>
      <c r="E19" s="153"/>
      <c r="F19" s="189"/>
      <c r="G19" s="189"/>
      <c r="H19" s="189"/>
      <c r="I19" s="153"/>
      <c r="J19" s="153"/>
      <c r="K19" s="153"/>
      <c r="L19" s="188"/>
      <c r="M19" s="153"/>
      <c r="N19" s="153"/>
      <c r="O19" s="153"/>
    </row>
    <row r="20">
      <c r="A20" s="153"/>
      <c r="B20" s="153"/>
      <c r="C20" s="153"/>
      <c r="D20" s="153"/>
      <c r="E20" s="153"/>
      <c r="F20" s="189"/>
      <c r="G20" s="189"/>
      <c r="H20" s="190"/>
      <c r="I20" s="153"/>
      <c r="J20" s="153"/>
      <c r="K20" s="153"/>
      <c r="M20" s="153"/>
      <c r="N20" s="153"/>
      <c r="O20" s="153"/>
    </row>
    <row r="21">
      <c r="A21" s="153"/>
      <c r="B21" s="153"/>
      <c r="C21" s="153"/>
      <c r="D21" s="153"/>
      <c r="E21" s="153"/>
      <c r="F21" s="189"/>
      <c r="G21" s="190"/>
      <c r="H21" s="190"/>
      <c r="I21" s="153"/>
      <c r="J21" s="153"/>
      <c r="K21" s="153"/>
      <c r="M21" s="153"/>
      <c r="N21" s="153"/>
      <c r="O21" s="153"/>
    </row>
    <row r="22">
      <c r="A22" s="153"/>
      <c r="B22" s="153"/>
      <c r="C22" s="153"/>
      <c r="D22" s="153"/>
      <c r="E22" s="153"/>
      <c r="F22" s="153"/>
      <c r="G22" s="153"/>
      <c r="H22" s="153"/>
      <c r="I22" s="153"/>
      <c r="J22" s="153"/>
      <c r="K22" s="153"/>
      <c r="L22" s="153"/>
      <c r="M22" s="153"/>
      <c r="N22" s="153"/>
      <c r="O22" s="153"/>
    </row>
    <row r="23">
      <c r="A23" s="153"/>
      <c r="B23" s="153"/>
      <c r="C23" s="153"/>
      <c r="D23" s="153"/>
      <c r="E23" s="153"/>
      <c r="F23" s="153"/>
      <c r="G23" s="153"/>
      <c r="H23" s="153"/>
      <c r="I23" s="153"/>
      <c r="J23" s="153"/>
      <c r="K23" s="153"/>
      <c r="L23" s="153"/>
      <c r="M23" s="153"/>
      <c r="N23" s="153"/>
      <c r="O23" s="153"/>
    </row>
    <row r="24">
      <c r="A24" s="153"/>
      <c r="B24" s="153"/>
      <c r="C24" s="153"/>
      <c r="D24" s="153"/>
      <c r="E24" s="153"/>
      <c r="F24" s="153"/>
      <c r="G24" s="153"/>
      <c r="H24" s="153"/>
      <c r="I24" s="153"/>
      <c r="J24" s="153"/>
      <c r="K24" s="153"/>
      <c r="L24" s="153"/>
      <c r="M24" s="153"/>
      <c r="N24" s="153"/>
      <c r="O24" s="153"/>
    </row>
    <row r="25">
      <c r="A25" s="153"/>
      <c r="B25" s="153"/>
      <c r="C25" s="153"/>
      <c r="D25" s="153"/>
      <c r="E25" s="153"/>
      <c r="F25" s="153"/>
      <c r="G25" s="153"/>
      <c r="H25" s="153"/>
      <c r="I25" s="153"/>
      <c r="J25" s="153"/>
      <c r="K25" s="153"/>
      <c r="L25" s="153"/>
      <c r="M25" s="153"/>
      <c r="N25" s="153"/>
      <c r="O25" s="153"/>
    </row>
    <row r="26">
      <c r="A26" s="153"/>
      <c r="B26" s="153"/>
      <c r="C26" s="153"/>
      <c r="D26" s="153"/>
      <c r="E26" s="153"/>
      <c r="F26" s="153"/>
      <c r="G26" s="153"/>
      <c r="H26" s="153"/>
      <c r="I26" s="153"/>
      <c r="J26" s="153"/>
      <c r="K26" s="153"/>
      <c r="L26" s="153"/>
      <c r="M26" s="153"/>
      <c r="N26" s="153"/>
      <c r="O26" s="153"/>
    </row>
    <row r="27">
      <c r="A27" s="153"/>
      <c r="B27" s="153"/>
      <c r="C27" s="153"/>
      <c r="D27" s="153"/>
      <c r="E27" s="153"/>
      <c r="F27" s="153"/>
      <c r="G27" s="153"/>
      <c r="H27" s="153"/>
      <c r="I27" s="153"/>
      <c r="J27" s="153"/>
      <c r="K27" s="153"/>
      <c r="L27" s="153"/>
      <c r="M27" s="153"/>
      <c r="N27" s="153"/>
      <c r="O27" s="153"/>
    </row>
    <row r="28">
      <c r="A28" s="153"/>
      <c r="B28" s="153"/>
      <c r="C28" s="153"/>
      <c r="D28" s="153"/>
      <c r="E28" s="153"/>
      <c r="F28" s="153"/>
      <c r="G28" s="153"/>
      <c r="H28" s="153"/>
      <c r="I28" s="153"/>
      <c r="J28" s="153"/>
      <c r="K28" s="153"/>
      <c r="L28" s="153"/>
      <c r="M28" s="153"/>
      <c r="N28" s="153"/>
      <c r="O28" s="153"/>
    </row>
    <row r="29">
      <c r="A29" s="153"/>
      <c r="B29" s="153"/>
      <c r="C29" s="153"/>
      <c r="D29" s="153"/>
      <c r="E29" s="153"/>
      <c r="F29" s="153"/>
      <c r="G29" s="153"/>
      <c r="H29" s="153"/>
      <c r="I29" s="153"/>
      <c r="J29" s="153"/>
      <c r="K29" s="153"/>
      <c r="L29" s="153"/>
      <c r="M29" s="153"/>
      <c r="N29" s="153"/>
      <c r="O29" s="153"/>
    </row>
    <row r="30">
      <c r="A30" s="153"/>
      <c r="B30" s="153"/>
      <c r="C30" s="153"/>
      <c r="D30" s="153"/>
      <c r="E30" s="153"/>
      <c r="F30" s="153"/>
      <c r="G30" s="153"/>
      <c r="H30" s="153"/>
      <c r="I30" s="153"/>
      <c r="J30" s="153"/>
      <c r="K30" s="153"/>
      <c r="L30" s="153"/>
      <c r="M30" s="153"/>
      <c r="N30" s="153"/>
      <c r="O30" s="153"/>
    </row>
    <row r="31">
      <c r="A31" s="153"/>
      <c r="B31" s="153"/>
      <c r="C31" s="153"/>
      <c r="D31" s="153"/>
      <c r="E31" s="153"/>
      <c r="F31" s="153"/>
      <c r="G31" s="153"/>
      <c r="H31" s="153"/>
      <c r="I31" s="153"/>
      <c r="J31" s="153"/>
      <c r="K31" s="153"/>
      <c r="L31" s="153"/>
      <c r="M31" s="153"/>
      <c r="N31" s="153"/>
      <c r="O31" s="153"/>
    </row>
    <row r="32">
      <c r="A32" s="153"/>
      <c r="B32" s="153"/>
      <c r="C32" s="153"/>
      <c r="D32" s="153"/>
      <c r="E32" s="153"/>
      <c r="F32" s="153"/>
      <c r="G32" s="153"/>
      <c r="H32" s="153"/>
      <c r="I32" s="153"/>
      <c r="J32" s="153"/>
      <c r="K32" s="153"/>
      <c r="L32" s="153"/>
      <c r="M32" s="153"/>
      <c r="N32" s="153"/>
      <c r="O32" s="153"/>
    </row>
    <row r="33">
      <c r="A33" s="153"/>
      <c r="B33" s="153"/>
      <c r="C33" s="153"/>
      <c r="D33" s="153"/>
      <c r="E33" s="153"/>
      <c r="F33" s="153"/>
      <c r="G33" s="153"/>
      <c r="H33" s="153"/>
      <c r="I33" s="153"/>
      <c r="J33" s="153"/>
      <c r="K33" s="153"/>
      <c r="L33" s="153"/>
      <c r="M33" s="153"/>
      <c r="N33" s="153"/>
      <c r="O33" s="153"/>
    </row>
    <row r="34">
      <c r="A34" s="153"/>
      <c r="B34" s="153"/>
      <c r="C34" s="153"/>
      <c r="D34" s="153"/>
      <c r="E34" s="153"/>
      <c r="F34" s="153"/>
      <c r="G34" s="153"/>
      <c r="H34" s="153"/>
      <c r="I34" s="153"/>
      <c r="J34" s="153"/>
      <c r="K34" s="153"/>
      <c r="L34" s="153"/>
      <c r="M34" s="153"/>
      <c r="N34" s="153"/>
      <c r="O34" s="153"/>
    </row>
    <row r="35">
      <c r="A35" s="153"/>
      <c r="B35" s="153"/>
      <c r="C35" s="153"/>
      <c r="D35" s="153"/>
      <c r="E35" s="153"/>
      <c r="F35" s="153"/>
      <c r="G35" s="153"/>
      <c r="H35" s="153"/>
      <c r="I35" s="153"/>
      <c r="J35" s="153"/>
      <c r="K35" s="153"/>
      <c r="L35" s="153"/>
      <c r="M35" s="153"/>
      <c r="N35" s="153"/>
      <c r="O35" s="153"/>
    </row>
    <row r="36">
      <c r="A36" s="153"/>
      <c r="B36" s="153"/>
      <c r="C36" s="153"/>
      <c r="D36" s="153"/>
      <c r="E36" s="153"/>
      <c r="F36" s="153"/>
      <c r="G36" s="153"/>
      <c r="H36" s="153"/>
      <c r="I36" s="153"/>
      <c r="J36" s="153"/>
      <c r="K36" s="153"/>
      <c r="L36" s="153"/>
      <c r="M36" s="153"/>
      <c r="N36" s="153"/>
      <c r="O36" s="153"/>
    </row>
    <row r="37">
      <c r="A37" s="153"/>
      <c r="B37" s="153"/>
      <c r="C37" s="153"/>
      <c r="D37" s="153"/>
      <c r="E37" s="153"/>
      <c r="F37" s="153"/>
      <c r="G37" s="153"/>
      <c r="H37" s="153"/>
      <c r="I37" s="153"/>
      <c r="J37" s="153"/>
      <c r="K37" s="153"/>
      <c r="L37" s="153"/>
      <c r="M37" s="153"/>
      <c r="N37" s="153"/>
      <c r="O37" s="153"/>
    </row>
    <row r="38">
      <c r="A38" s="153"/>
      <c r="B38" s="153"/>
      <c r="C38" s="153"/>
      <c r="D38" s="153"/>
      <c r="E38" s="153"/>
      <c r="F38" s="153"/>
      <c r="G38" s="153"/>
      <c r="H38" s="153"/>
      <c r="I38" s="153"/>
      <c r="J38" s="153"/>
      <c r="K38" s="153"/>
      <c r="L38" s="153"/>
      <c r="M38" s="153"/>
      <c r="N38" s="153"/>
      <c r="O38" s="153"/>
    </row>
    <row r="39">
      <c r="A39" s="153"/>
      <c r="B39" s="153"/>
      <c r="C39" s="153"/>
      <c r="D39" s="153"/>
      <c r="E39" s="153"/>
      <c r="F39" s="153"/>
      <c r="G39" s="153"/>
      <c r="H39" s="153"/>
      <c r="I39" s="153"/>
      <c r="J39" s="153"/>
      <c r="K39" s="153"/>
      <c r="L39" s="153"/>
      <c r="M39" s="153"/>
      <c r="N39" s="153"/>
      <c r="O39" s="153"/>
    </row>
    <row r="40">
      <c r="A40" s="153"/>
      <c r="B40" s="153"/>
      <c r="C40" s="153"/>
      <c r="D40" s="153"/>
      <c r="E40" s="153"/>
      <c r="F40" s="153"/>
      <c r="G40" s="153"/>
      <c r="H40" s="153"/>
      <c r="I40" s="153"/>
      <c r="J40" s="153"/>
      <c r="K40" s="153"/>
      <c r="L40" s="153"/>
      <c r="M40" s="153"/>
      <c r="N40" s="153"/>
      <c r="O40" s="153"/>
    </row>
    <row r="41">
      <c r="A41" s="153"/>
      <c r="B41" s="153"/>
      <c r="C41" s="153"/>
      <c r="D41" s="153"/>
      <c r="E41" s="153"/>
      <c r="F41" s="153"/>
      <c r="G41" s="153"/>
      <c r="H41" s="153"/>
      <c r="I41" s="153"/>
      <c r="J41" s="153"/>
      <c r="K41" s="153"/>
      <c r="L41" s="153"/>
      <c r="M41" s="153"/>
      <c r="N41" s="153"/>
      <c r="O41" s="153"/>
    </row>
    <row r="42">
      <c r="A42" s="153"/>
      <c r="B42" s="153"/>
      <c r="C42" s="153"/>
      <c r="D42" s="153"/>
      <c r="E42" s="153"/>
      <c r="F42" s="153"/>
      <c r="G42" s="153"/>
      <c r="H42" s="153"/>
      <c r="I42" s="153"/>
      <c r="J42" s="153"/>
      <c r="K42" s="153"/>
      <c r="L42" s="153"/>
      <c r="M42" s="153"/>
      <c r="N42" s="153"/>
      <c r="O42" s="153"/>
    </row>
    <row r="43">
      <c r="A43" s="153"/>
      <c r="B43" s="153"/>
      <c r="C43" s="153"/>
      <c r="D43" s="153"/>
      <c r="E43" s="153"/>
      <c r="F43" s="153"/>
      <c r="G43" s="153"/>
      <c r="H43" s="153"/>
      <c r="I43" s="153"/>
      <c r="J43" s="153"/>
      <c r="K43" s="153"/>
      <c r="L43" s="153"/>
      <c r="M43" s="153"/>
      <c r="N43" s="153"/>
      <c r="O43" s="153"/>
    </row>
    <row r="44">
      <c r="A44" s="153"/>
      <c r="B44" s="153"/>
      <c r="C44" s="153"/>
      <c r="D44" s="153"/>
      <c r="E44" s="153"/>
      <c r="F44" s="153"/>
      <c r="G44" s="153"/>
      <c r="H44" s="153"/>
      <c r="I44" s="153"/>
      <c r="J44" s="153"/>
      <c r="K44" s="153"/>
      <c r="L44" s="153"/>
      <c r="M44" s="153"/>
      <c r="N44" s="153"/>
      <c r="O44" s="153"/>
    </row>
    <row r="45">
      <c r="A45" s="153"/>
      <c r="B45" s="153"/>
      <c r="C45" s="153"/>
      <c r="D45" s="153"/>
      <c r="E45" s="153"/>
      <c r="F45" s="153"/>
      <c r="G45" s="153"/>
      <c r="H45" s="153"/>
      <c r="I45" s="153"/>
      <c r="J45" s="153"/>
      <c r="K45" s="153"/>
      <c r="L45" s="153"/>
      <c r="M45" s="153"/>
      <c r="N45" s="153"/>
      <c r="O45" s="153"/>
    </row>
    <row r="46">
      <c r="A46" s="153"/>
      <c r="B46" s="153"/>
      <c r="C46" s="153"/>
      <c r="D46" s="153"/>
      <c r="E46" s="153"/>
      <c r="F46" s="153"/>
      <c r="G46" s="153"/>
      <c r="H46" s="153"/>
      <c r="I46" s="153"/>
      <c r="J46" s="153"/>
      <c r="K46" s="153"/>
      <c r="L46" s="153"/>
      <c r="M46" s="153"/>
      <c r="N46" s="153"/>
      <c r="O46" s="153"/>
    </row>
    <row r="47">
      <c r="A47" s="153"/>
      <c r="B47" s="153"/>
      <c r="C47" s="153"/>
      <c r="D47" s="153"/>
      <c r="E47" s="153"/>
      <c r="F47" s="153"/>
      <c r="G47" s="153"/>
      <c r="H47" s="153"/>
      <c r="I47" s="153"/>
      <c r="J47" s="153"/>
      <c r="K47" s="153"/>
      <c r="L47" s="153"/>
      <c r="M47" s="153"/>
      <c r="N47" s="153"/>
      <c r="O47" s="153"/>
    </row>
    <row r="48">
      <c r="A48" s="153"/>
      <c r="B48" s="153"/>
      <c r="C48" s="153"/>
      <c r="D48" s="153"/>
      <c r="E48" s="153"/>
      <c r="F48" s="153"/>
      <c r="G48" s="153"/>
      <c r="H48" s="153"/>
      <c r="I48" s="153"/>
      <c r="J48" s="153"/>
      <c r="K48" s="153"/>
      <c r="L48" s="153"/>
      <c r="M48" s="153"/>
      <c r="N48" s="153"/>
      <c r="O48" s="153"/>
    </row>
    <row r="49">
      <c r="A49" s="153"/>
      <c r="B49" s="153"/>
      <c r="C49" s="153"/>
      <c r="D49" s="153"/>
      <c r="E49" s="153"/>
      <c r="F49" s="153"/>
      <c r="G49" s="153"/>
      <c r="H49" s="153"/>
      <c r="I49" s="153"/>
      <c r="J49" s="153"/>
      <c r="K49" s="153"/>
      <c r="L49" s="153"/>
      <c r="M49" s="153"/>
      <c r="N49" s="153"/>
      <c r="O49" s="153"/>
    </row>
    <row r="50">
      <c r="A50" s="153"/>
      <c r="B50" s="153"/>
      <c r="C50" s="153"/>
      <c r="D50" s="153"/>
      <c r="E50" s="153"/>
      <c r="F50" s="153"/>
      <c r="G50" s="153"/>
      <c r="H50" s="153"/>
      <c r="I50" s="153"/>
      <c r="J50" s="153"/>
      <c r="K50" s="153"/>
      <c r="L50" s="153"/>
      <c r="M50" s="153"/>
      <c r="N50" s="153"/>
      <c r="O50" s="153"/>
    </row>
    <row r="51">
      <c r="A51" s="153"/>
      <c r="B51" s="153"/>
      <c r="C51" s="153"/>
      <c r="D51" s="153"/>
      <c r="E51" s="153"/>
      <c r="F51" s="153"/>
      <c r="G51" s="153"/>
      <c r="H51" s="153"/>
      <c r="I51" s="153"/>
      <c r="J51" s="153"/>
      <c r="K51" s="153"/>
      <c r="L51" s="153"/>
      <c r="M51" s="153"/>
      <c r="N51" s="153"/>
      <c r="O51" s="153"/>
    </row>
    <row r="52">
      <c r="A52" s="153"/>
      <c r="B52" s="153"/>
      <c r="C52" s="153"/>
      <c r="D52" s="153"/>
      <c r="E52" s="153"/>
      <c r="F52" s="153"/>
      <c r="G52" s="153"/>
      <c r="H52" s="153"/>
      <c r="I52" s="153"/>
      <c r="J52" s="153"/>
      <c r="K52" s="153"/>
      <c r="L52" s="153"/>
      <c r="M52" s="153"/>
      <c r="N52" s="153"/>
      <c r="O52" s="153"/>
    </row>
    <row r="53">
      <c r="A53" s="153"/>
      <c r="B53" s="153"/>
      <c r="C53" s="153"/>
      <c r="D53" s="153"/>
      <c r="E53" s="153"/>
      <c r="F53" s="153"/>
      <c r="G53" s="153"/>
      <c r="H53" s="153"/>
      <c r="I53" s="153"/>
      <c r="J53" s="153"/>
      <c r="K53" s="153"/>
      <c r="L53" s="153"/>
      <c r="M53" s="153"/>
      <c r="N53" s="153"/>
      <c r="O53" s="153"/>
    </row>
    <row r="54">
      <c r="A54" s="153"/>
      <c r="B54" s="153"/>
      <c r="C54" s="153"/>
      <c r="D54" s="153"/>
      <c r="E54" s="153"/>
      <c r="F54" s="153"/>
      <c r="G54" s="153"/>
      <c r="H54" s="153"/>
      <c r="I54" s="153"/>
      <c r="J54" s="153"/>
      <c r="K54" s="153"/>
      <c r="L54" s="153"/>
      <c r="M54" s="153"/>
      <c r="N54" s="153"/>
      <c r="O54" s="153"/>
    </row>
    <row r="55">
      <c r="A55" s="153"/>
      <c r="B55" s="153"/>
      <c r="C55" s="153"/>
      <c r="D55" s="153"/>
      <c r="E55" s="153"/>
      <c r="F55" s="153"/>
      <c r="G55" s="153"/>
      <c r="H55" s="153"/>
      <c r="I55" s="153"/>
      <c r="J55" s="153"/>
      <c r="K55" s="153"/>
      <c r="L55" s="153"/>
      <c r="M55" s="153"/>
      <c r="N55" s="153"/>
      <c r="O55" s="153"/>
    </row>
    <row r="56">
      <c r="A56" s="153"/>
      <c r="B56" s="153"/>
      <c r="C56" s="153"/>
      <c r="D56" s="153"/>
      <c r="E56" s="153"/>
      <c r="F56" s="153"/>
      <c r="G56" s="153"/>
      <c r="H56" s="153"/>
      <c r="I56" s="153"/>
      <c r="J56" s="153"/>
      <c r="K56" s="153"/>
      <c r="L56" s="153"/>
      <c r="M56" s="153"/>
      <c r="N56" s="153"/>
      <c r="O56" s="153"/>
    </row>
    <row r="57">
      <c r="A57" s="153"/>
      <c r="B57" s="153"/>
      <c r="C57" s="153"/>
      <c r="D57" s="153"/>
      <c r="E57" s="153"/>
      <c r="F57" s="153"/>
      <c r="G57" s="153"/>
      <c r="H57" s="153"/>
      <c r="I57" s="153"/>
      <c r="J57" s="153"/>
      <c r="K57" s="153"/>
      <c r="L57" s="153"/>
      <c r="M57" s="153"/>
      <c r="N57" s="153"/>
      <c r="O57" s="153"/>
    </row>
    <row r="58">
      <c r="A58" s="153"/>
      <c r="B58" s="153"/>
      <c r="C58" s="153"/>
      <c r="D58" s="153"/>
      <c r="E58" s="153"/>
      <c r="F58" s="153"/>
      <c r="G58" s="153"/>
      <c r="H58" s="153"/>
      <c r="I58" s="153"/>
      <c r="J58" s="153"/>
      <c r="K58" s="153"/>
      <c r="L58" s="153"/>
      <c r="M58" s="153"/>
      <c r="N58" s="153"/>
      <c r="O58" s="153"/>
    </row>
    <row r="59">
      <c r="A59" s="153"/>
      <c r="B59" s="153"/>
      <c r="C59" s="153"/>
      <c r="D59" s="153"/>
      <c r="E59" s="153"/>
      <c r="F59" s="153"/>
      <c r="G59" s="153"/>
      <c r="H59" s="153"/>
      <c r="I59" s="153"/>
      <c r="J59" s="153"/>
      <c r="K59" s="153"/>
      <c r="L59" s="153"/>
      <c r="M59" s="153"/>
      <c r="N59" s="153"/>
      <c r="O59" s="153"/>
    </row>
    <row r="60">
      <c r="A60" s="153"/>
      <c r="B60" s="153"/>
      <c r="C60" s="153"/>
      <c r="D60" s="153"/>
      <c r="E60" s="153"/>
      <c r="F60" s="153"/>
      <c r="G60" s="153"/>
      <c r="H60" s="153"/>
      <c r="I60" s="153"/>
      <c r="J60" s="153"/>
      <c r="K60" s="153"/>
      <c r="L60" s="153"/>
      <c r="M60" s="153"/>
      <c r="N60" s="153"/>
      <c r="O60" s="153"/>
    </row>
    <row r="61">
      <c r="A61" s="153"/>
      <c r="B61" s="153"/>
      <c r="C61" s="153"/>
      <c r="D61" s="153"/>
      <c r="E61" s="153"/>
      <c r="F61" s="153"/>
      <c r="G61" s="153"/>
      <c r="H61" s="153"/>
      <c r="I61" s="153"/>
      <c r="J61" s="153"/>
      <c r="K61" s="153"/>
      <c r="L61" s="153"/>
      <c r="M61" s="153"/>
      <c r="N61" s="153"/>
      <c r="O61" s="153"/>
    </row>
    <row r="62">
      <c r="A62" s="153"/>
      <c r="B62" s="153"/>
      <c r="C62" s="153"/>
      <c r="D62" s="153"/>
      <c r="E62" s="153"/>
      <c r="F62" s="153"/>
      <c r="G62" s="153"/>
      <c r="H62" s="153"/>
      <c r="I62" s="153"/>
      <c r="J62" s="153"/>
      <c r="K62" s="153"/>
      <c r="L62" s="153"/>
      <c r="M62" s="153"/>
      <c r="N62" s="153"/>
      <c r="O62" s="153"/>
    </row>
    <row r="63">
      <c r="A63" s="153"/>
      <c r="B63" s="153"/>
      <c r="C63" s="153"/>
      <c r="D63" s="153"/>
      <c r="E63" s="153"/>
      <c r="F63" s="153"/>
      <c r="G63" s="153"/>
      <c r="H63" s="153"/>
      <c r="I63" s="153"/>
      <c r="J63" s="153"/>
      <c r="K63" s="153"/>
      <c r="L63" s="153"/>
      <c r="M63" s="153"/>
      <c r="N63" s="153"/>
      <c r="O63" s="153"/>
    </row>
    <row r="64">
      <c r="A64" s="153"/>
      <c r="B64" s="153"/>
      <c r="C64" s="153"/>
      <c r="D64" s="153"/>
      <c r="E64" s="153"/>
      <c r="F64" s="153"/>
      <c r="G64" s="153"/>
      <c r="H64" s="153"/>
      <c r="I64" s="153"/>
      <c r="J64" s="153"/>
      <c r="K64" s="153"/>
      <c r="L64" s="153"/>
      <c r="M64" s="153"/>
      <c r="N64" s="153"/>
      <c r="O64" s="153"/>
    </row>
    <row r="65">
      <c r="A65" s="153"/>
      <c r="B65" s="153"/>
      <c r="C65" s="153"/>
      <c r="D65" s="153"/>
      <c r="E65" s="153"/>
      <c r="F65" s="153"/>
      <c r="G65" s="153"/>
      <c r="H65" s="153"/>
      <c r="I65" s="153"/>
      <c r="J65" s="153"/>
      <c r="K65" s="153"/>
      <c r="L65" s="153"/>
      <c r="M65" s="153"/>
      <c r="N65" s="153"/>
      <c r="O65" s="153"/>
    </row>
    <row r="66">
      <c r="A66" s="153"/>
      <c r="B66" s="153"/>
      <c r="C66" s="153"/>
      <c r="D66" s="153"/>
      <c r="E66" s="153"/>
      <c r="F66" s="153"/>
      <c r="G66" s="153"/>
      <c r="H66" s="153"/>
      <c r="I66" s="153"/>
      <c r="J66" s="153"/>
      <c r="K66" s="153"/>
      <c r="L66" s="153"/>
      <c r="M66" s="153"/>
      <c r="N66" s="153"/>
      <c r="O66" s="153"/>
    </row>
    <row r="67">
      <c r="A67" s="153"/>
      <c r="B67" s="153"/>
      <c r="C67" s="153"/>
      <c r="D67" s="153"/>
      <c r="E67" s="153"/>
      <c r="F67" s="153"/>
      <c r="G67" s="153"/>
      <c r="H67" s="153"/>
      <c r="I67" s="153"/>
      <c r="J67" s="153"/>
      <c r="K67" s="153"/>
      <c r="L67" s="153"/>
      <c r="M67" s="153"/>
      <c r="N67" s="153"/>
      <c r="O67" s="153"/>
    </row>
    <row r="68">
      <c r="A68" s="153"/>
      <c r="B68" s="153"/>
      <c r="C68" s="153"/>
      <c r="D68" s="153"/>
      <c r="E68" s="153"/>
      <c r="F68" s="153"/>
      <c r="G68" s="153"/>
      <c r="H68" s="153"/>
      <c r="I68" s="153"/>
      <c r="J68" s="153"/>
      <c r="K68" s="153"/>
      <c r="L68" s="153"/>
      <c r="M68" s="153"/>
      <c r="N68" s="153"/>
      <c r="O68" s="153"/>
    </row>
    <row r="69">
      <c r="A69" s="153"/>
      <c r="B69" s="153"/>
      <c r="C69" s="153"/>
      <c r="D69" s="153"/>
      <c r="E69" s="153"/>
      <c r="F69" s="153"/>
      <c r="G69" s="153"/>
      <c r="H69" s="153"/>
      <c r="I69" s="153"/>
      <c r="J69" s="153"/>
      <c r="K69" s="153"/>
      <c r="L69" s="153"/>
      <c r="M69" s="153"/>
      <c r="N69" s="153"/>
      <c r="O69" s="153"/>
    </row>
    <row r="70">
      <c r="A70" s="153"/>
      <c r="B70" s="153"/>
      <c r="C70" s="153"/>
      <c r="D70" s="153"/>
      <c r="E70" s="153"/>
      <c r="F70" s="153"/>
      <c r="G70" s="153"/>
      <c r="H70" s="153"/>
      <c r="I70" s="153"/>
      <c r="J70" s="153"/>
      <c r="K70" s="153"/>
      <c r="L70" s="153"/>
      <c r="M70" s="153"/>
      <c r="N70" s="153"/>
      <c r="O70" s="153"/>
    </row>
    <row r="71">
      <c r="A71" s="153"/>
      <c r="B71" s="153"/>
      <c r="C71" s="153"/>
      <c r="D71" s="153"/>
      <c r="E71" s="153"/>
      <c r="F71" s="153"/>
      <c r="G71" s="153"/>
      <c r="H71" s="153"/>
      <c r="I71" s="153"/>
      <c r="J71" s="153"/>
      <c r="K71" s="153"/>
      <c r="L71" s="153"/>
      <c r="M71" s="153"/>
      <c r="N71" s="153"/>
      <c r="O71" s="153"/>
    </row>
    <row r="72">
      <c r="A72" s="153"/>
      <c r="B72" s="153"/>
      <c r="C72" s="153"/>
      <c r="D72" s="153"/>
      <c r="E72" s="153"/>
      <c r="F72" s="153"/>
      <c r="G72" s="153"/>
      <c r="H72" s="153"/>
      <c r="I72" s="153"/>
      <c r="J72" s="153"/>
      <c r="K72" s="153"/>
      <c r="L72" s="153"/>
      <c r="M72" s="153"/>
      <c r="N72" s="153"/>
      <c r="O72" s="153"/>
    </row>
    <row r="73">
      <c r="A73" s="153"/>
      <c r="B73" s="153"/>
      <c r="C73" s="153"/>
      <c r="D73" s="153"/>
      <c r="E73" s="153"/>
      <c r="F73" s="153"/>
      <c r="G73" s="153"/>
      <c r="H73" s="153"/>
      <c r="I73" s="153"/>
      <c r="J73" s="153"/>
      <c r="K73" s="153"/>
      <c r="L73" s="153"/>
      <c r="M73" s="153"/>
      <c r="N73" s="153"/>
      <c r="O73" s="153"/>
    </row>
    <row r="74">
      <c r="A74" s="153"/>
      <c r="B74" s="153"/>
      <c r="C74" s="153"/>
      <c r="D74" s="153"/>
      <c r="E74" s="153"/>
      <c r="F74" s="153"/>
      <c r="G74" s="153"/>
      <c r="H74" s="153"/>
      <c r="I74" s="153"/>
      <c r="J74" s="153"/>
      <c r="K74" s="153"/>
      <c r="L74" s="153"/>
      <c r="M74" s="153"/>
      <c r="N74" s="153"/>
      <c r="O74" s="153"/>
    </row>
    <row r="75">
      <c r="A75" s="153"/>
      <c r="B75" s="153"/>
      <c r="C75" s="153"/>
      <c r="D75" s="153"/>
      <c r="E75" s="153"/>
      <c r="F75" s="153"/>
      <c r="G75" s="153"/>
      <c r="H75" s="153"/>
      <c r="I75" s="153"/>
      <c r="J75" s="153"/>
      <c r="K75" s="153"/>
      <c r="L75" s="153"/>
      <c r="M75" s="153"/>
      <c r="N75" s="153"/>
      <c r="O75" s="153"/>
    </row>
    <row r="76">
      <c r="A76" s="153"/>
      <c r="B76" s="153"/>
      <c r="C76" s="153"/>
      <c r="D76" s="153"/>
      <c r="E76" s="153"/>
      <c r="F76" s="153"/>
      <c r="G76" s="153"/>
      <c r="H76" s="153"/>
      <c r="I76" s="153"/>
      <c r="J76" s="153"/>
      <c r="K76" s="153"/>
      <c r="L76" s="153"/>
      <c r="M76" s="153"/>
      <c r="N76" s="153"/>
      <c r="O76" s="153"/>
    </row>
    <row r="77">
      <c r="A77" s="153"/>
      <c r="B77" s="153"/>
      <c r="C77" s="153"/>
      <c r="D77" s="153"/>
      <c r="E77" s="153"/>
      <c r="F77" s="153"/>
      <c r="G77" s="153"/>
      <c r="H77" s="153"/>
      <c r="I77" s="153"/>
      <c r="J77" s="153"/>
      <c r="K77" s="153"/>
      <c r="L77" s="153"/>
      <c r="M77" s="153"/>
      <c r="N77" s="153"/>
      <c r="O77" s="153"/>
    </row>
    <row r="78">
      <c r="A78" s="153"/>
      <c r="B78" s="153"/>
      <c r="C78" s="153"/>
      <c r="D78" s="153"/>
      <c r="E78" s="153"/>
      <c r="F78" s="153"/>
      <c r="G78" s="153"/>
      <c r="H78" s="153"/>
      <c r="I78" s="153"/>
      <c r="J78" s="153"/>
      <c r="K78" s="153"/>
      <c r="L78" s="153"/>
      <c r="M78" s="153"/>
      <c r="N78" s="153"/>
      <c r="O78" s="153"/>
    </row>
    <row r="79">
      <c r="A79" s="153"/>
      <c r="B79" s="153"/>
      <c r="C79" s="153"/>
      <c r="D79" s="153"/>
      <c r="E79" s="153"/>
      <c r="F79" s="153"/>
      <c r="G79" s="153"/>
      <c r="H79" s="153"/>
      <c r="I79" s="153"/>
      <c r="J79" s="153"/>
      <c r="K79" s="153"/>
      <c r="L79" s="153"/>
      <c r="M79" s="153"/>
      <c r="N79" s="153"/>
      <c r="O79" s="153"/>
    </row>
    <row r="80">
      <c r="A80" s="153"/>
      <c r="B80" s="153"/>
      <c r="C80" s="153"/>
      <c r="D80" s="153"/>
      <c r="E80" s="153"/>
      <c r="F80" s="153"/>
      <c r="G80" s="153"/>
      <c r="H80" s="153"/>
      <c r="I80" s="153"/>
      <c r="J80" s="153"/>
      <c r="K80" s="153"/>
      <c r="L80" s="153"/>
      <c r="M80" s="153"/>
      <c r="N80" s="153"/>
      <c r="O80" s="153"/>
    </row>
    <row r="81">
      <c r="A81" s="153"/>
      <c r="B81" s="153"/>
      <c r="C81" s="153"/>
      <c r="D81" s="153"/>
      <c r="E81" s="153"/>
      <c r="F81" s="153"/>
      <c r="G81" s="153"/>
      <c r="H81" s="153"/>
      <c r="I81" s="153"/>
      <c r="J81" s="153"/>
      <c r="K81" s="153"/>
      <c r="L81" s="153"/>
      <c r="M81" s="153"/>
      <c r="N81" s="153"/>
      <c r="O81" s="153"/>
    </row>
    <row r="82">
      <c r="A82" s="153"/>
      <c r="B82" s="153"/>
      <c r="C82" s="153"/>
      <c r="D82" s="153"/>
      <c r="E82" s="153"/>
      <c r="F82" s="153"/>
      <c r="G82" s="153"/>
      <c r="H82" s="153"/>
      <c r="I82" s="153"/>
      <c r="J82" s="153"/>
      <c r="K82" s="153"/>
      <c r="L82" s="153"/>
      <c r="M82" s="153"/>
      <c r="N82" s="153"/>
      <c r="O82" s="153"/>
    </row>
    <row r="83">
      <c r="A83" s="153"/>
      <c r="B83" s="153"/>
      <c r="C83" s="153"/>
      <c r="D83" s="153"/>
      <c r="E83" s="153"/>
      <c r="F83" s="153"/>
      <c r="G83" s="153"/>
      <c r="H83" s="153"/>
      <c r="I83" s="153"/>
      <c r="J83" s="153"/>
      <c r="K83" s="153"/>
      <c r="L83" s="153"/>
      <c r="M83" s="153"/>
      <c r="N83" s="153"/>
      <c r="O83" s="153"/>
    </row>
    <row r="84">
      <c r="A84" s="153"/>
      <c r="B84" s="153"/>
      <c r="C84" s="153"/>
      <c r="D84" s="153"/>
      <c r="E84" s="153"/>
      <c r="F84" s="153"/>
      <c r="G84" s="153"/>
      <c r="H84" s="153"/>
      <c r="I84" s="153"/>
      <c r="J84" s="153"/>
      <c r="K84" s="153"/>
      <c r="L84" s="153"/>
      <c r="M84" s="153"/>
      <c r="N84" s="153"/>
      <c r="O84" s="153"/>
    </row>
    <row r="85">
      <c r="A85" s="153"/>
      <c r="B85" s="153"/>
      <c r="C85" s="153"/>
      <c r="D85" s="153"/>
      <c r="E85" s="153"/>
      <c r="F85" s="153"/>
      <c r="G85" s="153"/>
      <c r="H85" s="153"/>
      <c r="I85" s="153"/>
      <c r="J85" s="153"/>
      <c r="K85" s="153"/>
      <c r="L85" s="153"/>
      <c r="M85" s="153"/>
      <c r="N85" s="153"/>
      <c r="O85" s="153"/>
    </row>
    <row r="86">
      <c r="A86" s="153"/>
      <c r="B86" s="153"/>
      <c r="C86" s="153"/>
      <c r="D86" s="153"/>
      <c r="E86" s="153"/>
      <c r="F86" s="153"/>
      <c r="G86" s="153"/>
      <c r="H86" s="153"/>
      <c r="I86" s="153"/>
      <c r="J86" s="153"/>
      <c r="K86" s="153"/>
      <c r="L86" s="153"/>
      <c r="M86" s="153"/>
      <c r="N86" s="153"/>
      <c r="O86" s="153"/>
    </row>
    <row r="87">
      <c r="A87" s="153"/>
      <c r="B87" s="153"/>
      <c r="C87" s="153"/>
      <c r="D87" s="153"/>
      <c r="E87" s="153"/>
      <c r="F87" s="153"/>
      <c r="G87" s="153"/>
      <c r="H87" s="153"/>
      <c r="I87" s="153"/>
      <c r="J87" s="153"/>
      <c r="K87" s="153"/>
      <c r="L87" s="153"/>
      <c r="M87" s="153"/>
      <c r="N87" s="153"/>
      <c r="O87" s="153"/>
    </row>
    <row r="88">
      <c r="A88" s="153"/>
      <c r="B88" s="153"/>
      <c r="C88" s="153"/>
      <c r="D88" s="153"/>
      <c r="E88" s="153"/>
      <c r="F88" s="153"/>
      <c r="G88" s="153"/>
      <c r="H88" s="153"/>
      <c r="I88" s="153"/>
      <c r="J88" s="153"/>
      <c r="K88" s="153"/>
      <c r="L88" s="153"/>
      <c r="M88" s="153"/>
      <c r="N88" s="153"/>
      <c r="O88" s="153"/>
    </row>
    <row r="89">
      <c r="A89" s="153"/>
      <c r="B89" s="153"/>
      <c r="C89" s="153"/>
      <c r="D89" s="153"/>
      <c r="E89" s="153"/>
      <c r="F89" s="153"/>
      <c r="G89" s="153"/>
      <c r="H89" s="153"/>
      <c r="I89" s="153"/>
      <c r="J89" s="153"/>
      <c r="K89" s="153"/>
      <c r="L89" s="153"/>
      <c r="M89" s="153"/>
      <c r="N89" s="153"/>
      <c r="O89" s="153"/>
    </row>
    <row r="90">
      <c r="A90" s="153"/>
      <c r="B90" s="153"/>
      <c r="C90" s="153"/>
      <c r="D90" s="153"/>
      <c r="E90" s="153"/>
      <c r="F90" s="153"/>
      <c r="G90" s="153"/>
      <c r="H90" s="153"/>
      <c r="I90" s="153"/>
      <c r="J90" s="153"/>
      <c r="K90" s="153"/>
      <c r="L90" s="153"/>
      <c r="M90" s="153"/>
      <c r="N90" s="153"/>
      <c r="O90" s="153"/>
    </row>
    <row r="91">
      <c r="A91" s="153"/>
      <c r="B91" s="153"/>
      <c r="C91" s="153"/>
      <c r="D91" s="153"/>
      <c r="E91" s="153"/>
      <c r="F91" s="153"/>
      <c r="G91" s="153"/>
      <c r="H91" s="153"/>
      <c r="I91" s="153"/>
      <c r="J91" s="153"/>
      <c r="K91" s="153"/>
      <c r="L91" s="153"/>
      <c r="M91" s="153"/>
      <c r="N91" s="153"/>
      <c r="O91" s="153"/>
    </row>
    <row r="92">
      <c r="A92" s="153"/>
      <c r="B92" s="153"/>
      <c r="C92" s="153"/>
      <c r="D92" s="153"/>
      <c r="E92" s="153"/>
      <c r="F92" s="153"/>
      <c r="G92" s="153"/>
      <c r="H92" s="153"/>
      <c r="I92" s="153"/>
      <c r="J92" s="153"/>
      <c r="K92" s="153"/>
      <c r="L92" s="153"/>
      <c r="M92" s="153"/>
      <c r="N92" s="153"/>
      <c r="O92" s="153"/>
    </row>
    <row r="93">
      <c r="A93" s="153"/>
      <c r="B93" s="153"/>
      <c r="C93" s="153"/>
      <c r="D93" s="153"/>
      <c r="E93" s="153"/>
      <c r="F93" s="153"/>
      <c r="G93" s="153"/>
      <c r="H93" s="153"/>
      <c r="I93" s="153"/>
      <c r="J93" s="153"/>
      <c r="K93" s="153"/>
      <c r="L93" s="153"/>
      <c r="M93" s="153"/>
      <c r="N93" s="153"/>
      <c r="O93" s="153"/>
    </row>
    <row r="94">
      <c r="A94" s="153"/>
      <c r="B94" s="153"/>
      <c r="C94" s="153"/>
      <c r="D94" s="153"/>
      <c r="E94" s="153"/>
      <c r="F94" s="153"/>
      <c r="G94" s="153"/>
      <c r="H94" s="153"/>
      <c r="I94" s="153"/>
      <c r="J94" s="153"/>
      <c r="K94" s="153"/>
      <c r="L94" s="153"/>
      <c r="M94" s="153"/>
      <c r="N94" s="153"/>
      <c r="O94" s="153"/>
    </row>
    <row r="95">
      <c r="A95" s="153"/>
      <c r="B95" s="153"/>
      <c r="C95" s="153"/>
      <c r="D95" s="153"/>
      <c r="E95" s="153"/>
      <c r="F95" s="153"/>
      <c r="G95" s="153"/>
      <c r="H95" s="153"/>
      <c r="I95" s="153"/>
      <c r="J95" s="153"/>
      <c r="K95" s="153"/>
      <c r="L95" s="153"/>
      <c r="M95" s="153"/>
      <c r="N95" s="153"/>
      <c r="O95" s="153"/>
    </row>
    <row r="96">
      <c r="A96" s="153"/>
      <c r="B96" s="153"/>
      <c r="C96" s="153"/>
      <c r="D96" s="153"/>
      <c r="E96" s="153"/>
      <c r="F96" s="153"/>
      <c r="G96" s="153"/>
      <c r="H96" s="153"/>
      <c r="I96" s="153"/>
      <c r="J96" s="153"/>
      <c r="K96" s="153"/>
      <c r="L96" s="153"/>
      <c r="M96" s="153"/>
      <c r="N96" s="153"/>
      <c r="O96" s="153"/>
    </row>
    <row r="97">
      <c r="A97" s="153"/>
      <c r="B97" s="153"/>
      <c r="C97" s="153"/>
      <c r="D97" s="153"/>
      <c r="E97" s="153"/>
      <c r="F97" s="153"/>
      <c r="G97" s="153"/>
      <c r="H97" s="153"/>
      <c r="I97" s="153"/>
      <c r="J97" s="153"/>
      <c r="K97" s="153"/>
      <c r="L97" s="153"/>
      <c r="M97" s="153"/>
      <c r="N97" s="153"/>
      <c r="O97" s="153"/>
    </row>
    <row r="98">
      <c r="A98" s="153"/>
      <c r="B98" s="153"/>
      <c r="C98" s="153"/>
      <c r="D98" s="153"/>
      <c r="E98" s="153"/>
      <c r="F98" s="153"/>
      <c r="G98" s="153"/>
      <c r="H98" s="153"/>
      <c r="I98" s="153"/>
      <c r="J98" s="153"/>
      <c r="K98" s="153"/>
      <c r="L98" s="153"/>
      <c r="M98" s="153"/>
      <c r="N98" s="153"/>
      <c r="O98" s="153"/>
    </row>
    <row r="99">
      <c r="A99" s="153"/>
      <c r="B99" s="153"/>
      <c r="C99" s="153"/>
      <c r="D99" s="153"/>
      <c r="E99" s="153"/>
      <c r="F99" s="153"/>
      <c r="G99" s="153"/>
      <c r="H99" s="153"/>
      <c r="I99" s="153"/>
      <c r="J99" s="153"/>
      <c r="K99" s="153"/>
      <c r="L99" s="153"/>
      <c r="M99" s="153"/>
      <c r="N99" s="153"/>
      <c r="O99" s="153"/>
    </row>
    <row r="100">
      <c r="A100" s="153"/>
      <c r="B100" s="153"/>
      <c r="C100" s="153"/>
      <c r="D100" s="153"/>
      <c r="E100" s="153"/>
      <c r="F100" s="153"/>
      <c r="G100" s="153"/>
      <c r="H100" s="153"/>
      <c r="I100" s="153"/>
      <c r="J100" s="153"/>
      <c r="K100" s="153"/>
      <c r="L100" s="153"/>
      <c r="M100" s="153"/>
      <c r="N100" s="153"/>
      <c r="O100" s="153"/>
    </row>
    <row r="101">
      <c r="A101" s="153"/>
      <c r="B101" s="153"/>
      <c r="C101" s="153"/>
      <c r="D101" s="153"/>
      <c r="E101" s="153"/>
      <c r="F101" s="153"/>
      <c r="G101" s="153"/>
      <c r="H101" s="153"/>
      <c r="I101" s="153"/>
      <c r="J101" s="153"/>
      <c r="K101" s="153"/>
      <c r="L101" s="153"/>
      <c r="M101" s="153"/>
      <c r="N101" s="153"/>
      <c r="O101" s="153"/>
    </row>
    <row r="102">
      <c r="A102" s="153"/>
      <c r="B102" s="153"/>
      <c r="C102" s="153"/>
      <c r="D102" s="153"/>
      <c r="E102" s="153"/>
      <c r="F102" s="153"/>
      <c r="G102" s="153"/>
      <c r="H102" s="153"/>
      <c r="I102" s="153"/>
      <c r="J102" s="153"/>
      <c r="K102" s="153"/>
      <c r="L102" s="153"/>
      <c r="M102" s="153"/>
      <c r="N102" s="153"/>
      <c r="O102" s="153"/>
    </row>
    <row r="103">
      <c r="A103" s="153"/>
      <c r="B103" s="153"/>
      <c r="C103" s="153"/>
      <c r="D103" s="153"/>
      <c r="E103" s="153"/>
      <c r="F103" s="153"/>
      <c r="G103" s="153"/>
      <c r="H103" s="153"/>
      <c r="I103" s="153"/>
      <c r="J103" s="153"/>
      <c r="K103" s="153"/>
      <c r="L103" s="153"/>
      <c r="M103" s="153"/>
      <c r="N103" s="153"/>
      <c r="O103" s="153"/>
    </row>
    <row r="104">
      <c r="A104" s="153"/>
      <c r="B104" s="153"/>
      <c r="C104" s="153"/>
      <c r="D104" s="153"/>
      <c r="E104" s="153"/>
      <c r="F104" s="153"/>
      <c r="G104" s="153"/>
      <c r="H104" s="153"/>
      <c r="I104" s="153"/>
      <c r="J104" s="153"/>
      <c r="K104" s="153"/>
      <c r="L104" s="153"/>
      <c r="M104" s="153"/>
      <c r="N104" s="153"/>
      <c r="O104" s="153"/>
    </row>
    <row r="105">
      <c r="A105" s="153"/>
      <c r="B105" s="153"/>
      <c r="C105" s="153"/>
      <c r="D105" s="153"/>
      <c r="E105" s="153"/>
      <c r="F105" s="153"/>
      <c r="G105" s="153"/>
      <c r="H105" s="153"/>
      <c r="I105" s="153"/>
      <c r="J105" s="153"/>
      <c r="K105" s="153"/>
      <c r="L105" s="153"/>
      <c r="M105" s="153"/>
      <c r="N105" s="153"/>
      <c r="O105" s="153"/>
    </row>
    <row r="106">
      <c r="A106" s="153"/>
      <c r="B106" s="153"/>
      <c r="C106" s="153"/>
      <c r="D106" s="153"/>
      <c r="E106" s="153"/>
      <c r="F106" s="153"/>
      <c r="G106" s="153"/>
      <c r="H106" s="153"/>
      <c r="I106" s="153"/>
      <c r="J106" s="153"/>
      <c r="K106" s="153"/>
      <c r="L106" s="153"/>
      <c r="M106" s="153"/>
      <c r="N106" s="153"/>
      <c r="O106" s="153"/>
    </row>
    <row r="107">
      <c r="A107" s="153"/>
      <c r="B107" s="153"/>
      <c r="C107" s="153"/>
      <c r="D107" s="153"/>
      <c r="E107" s="153"/>
      <c r="F107" s="153"/>
      <c r="G107" s="153"/>
      <c r="H107" s="153"/>
      <c r="I107" s="153"/>
      <c r="J107" s="153"/>
      <c r="K107" s="153"/>
      <c r="L107" s="153"/>
      <c r="M107" s="153"/>
      <c r="N107" s="153"/>
      <c r="O107" s="153"/>
    </row>
    <row r="108">
      <c r="A108" s="153"/>
      <c r="B108" s="153"/>
      <c r="C108" s="153"/>
      <c r="D108" s="153"/>
      <c r="E108" s="153"/>
      <c r="F108" s="153"/>
      <c r="G108" s="153"/>
      <c r="H108" s="153"/>
      <c r="I108" s="153"/>
      <c r="J108" s="153"/>
      <c r="K108" s="153"/>
      <c r="L108" s="153"/>
      <c r="M108" s="153"/>
      <c r="N108" s="153"/>
      <c r="O108" s="153"/>
    </row>
    <row r="109">
      <c r="A109" s="153"/>
      <c r="B109" s="153"/>
      <c r="C109" s="153"/>
      <c r="D109" s="153"/>
      <c r="E109" s="153"/>
      <c r="F109" s="153"/>
      <c r="G109" s="153"/>
      <c r="H109" s="153"/>
      <c r="I109" s="153"/>
      <c r="J109" s="153"/>
      <c r="K109" s="153"/>
      <c r="L109" s="153"/>
      <c r="M109" s="153"/>
      <c r="N109" s="153"/>
      <c r="O109" s="153"/>
    </row>
    <row r="110">
      <c r="A110" s="153"/>
      <c r="B110" s="153"/>
      <c r="C110" s="153"/>
      <c r="D110" s="153"/>
      <c r="E110" s="153"/>
      <c r="F110" s="153"/>
      <c r="G110" s="153"/>
      <c r="H110" s="153"/>
      <c r="I110" s="153"/>
      <c r="J110" s="153"/>
      <c r="K110" s="153"/>
      <c r="L110" s="153"/>
      <c r="M110" s="153"/>
      <c r="N110" s="153"/>
      <c r="O110" s="153"/>
    </row>
    <row r="111">
      <c r="A111" s="153"/>
      <c r="B111" s="153"/>
      <c r="C111" s="153"/>
      <c r="D111" s="153"/>
      <c r="E111" s="153"/>
      <c r="F111" s="153"/>
      <c r="G111" s="153"/>
      <c r="H111" s="153"/>
      <c r="I111" s="153"/>
      <c r="J111" s="153"/>
      <c r="K111" s="153"/>
      <c r="L111" s="153"/>
      <c r="M111" s="153"/>
      <c r="N111" s="153"/>
      <c r="O111" s="153"/>
    </row>
    <row r="112">
      <c r="A112" s="153"/>
      <c r="B112" s="153"/>
      <c r="C112" s="153"/>
      <c r="D112" s="153"/>
      <c r="E112" s="153"/>
      <c r="F112" s="153"/>
      <c r="G112" s="153"/>
      <c r="H112" s="153"/>
      <c r="I112" s="153"/>
      <c r="J112" s="153"/>
      <c r="K112" s="153"/>
      <c r="L112" s="153"/>
      <c r="M112" s="153"/>
      <c r="N112" s="153"/>
      <c r="O112" s="153"/>
    </row>
    <row r="113">
      <c r="A113" s="153"/>
      <c r="B113" s="153"/>
      <c r="C113" s="153"/>
      <c r="D113" s="153"/>
      <c r="E113" s="153"/>
      <c r="F113" s="153"/>
      <c r="G113" s="153"/>
      <c r="H113" s="153"/>
      <c r="I113" s="153"/>
      <c r="J113" s="153"/>
      <c r="K113" s="153"/>
      <c r="L113" s="153"/>
      <c r="M113" s="153"/>
      <c r="N113" s="153"/>
      <c r="O113" s="153"/>
    </row>
    <row r="114">
      <c r="A114" s="153"/>
      <c r="B114" s="153"/>
      <c r="C114" s="153"/>
      <c r="D114" s="153"/>
      <c r="E114" s="153"/>
      <c r="F114" s="153"/>
      <c r="G114" s="153"/>
      <c r="H114" s="153"/>
      <c r="I114" s="153"/>
      <c r="J114" s="153"/>
      <c r="K114" s="153"/>
      <c r="L114" s="153"/>
      <c r="M114" s="153"/>
      <c r="N114" s="153"/>
      <c r="O114" s="153"/>
    </row>
    <row r="115">
      <c r="A115" s="153"/>
      <c r="B115" s="153"/>
      <c r="C115" s="153"/>
      <c r="D115" s="153"/>
      <c r="E115" s="153"/>
      <c r="F115" s="153"/>
      <c r="G115" s="153"/>
      <c r="H115" s="153"/>
      <c r="I115" s="153"/>
      <c r="J115" s="153"/>
      <c r="K115" s="153"/>
      <c r="L115" s="153"/>
      <c r="M115" s="153"/>
      <c r="N115" s="153"/>
      <c r="O115" s="153"/>
    </row>
    <row r="116">
      <c r="A116" s="153"/>
      <c r="B116" s="153"/>
      <c r="C116" s="153"/>
      <c r="D116" s="153"/>
      <c r="E116" s="153"/>
      <c r="F116" s="153"/>
      <c r="G116" s="153"/>
      <c r="H116" s="153"/>
      <c r="I116" s="153"/>
      <c r="J116" s="153"/>
      <c r="K116" s="153"/>
      <c r="L116" s="153"/>
      <c r="M116" s="153"/>
      <c r="N116" s="153"/>
      <c r="O116" s="153"/>
    </row>
    <row r="117">
      <c r="A117" s="153"/>
      <c r="B117" s="153"/>
      <c r="C117" s="153"/>
      <c r="D117" s="153"/>
      <c r="E117" s="153"/>
      <c r="F117" s="153"/>
      <c r="G117" s="153"/>
      <c r="H117" s="153"/>
      <c r="I117" s="153"/>
      <c r="J117" s="153"/>
      <c r="K117" s="153"/>
      <c r="L117" s="153"/>
      <c r="M117" s="153"/>
      <c r="N117" s="153"/>
      <c r="O117" s="153"/>
    </row>
    <row r="118">
      <c r="A118" s="153"/>
      <c r="B118" s="153"/>
      <c r="C118" s="153"/>
      <c r="D118" s="153"/>
      <c r="E118" s="153"/>
      <c r="F118" s="153"/>
      <c r="G118" s="153"/>
      <c r="H118" s="153"/>
      <c r="I118" s="153"/>
      <c r="J118" s="153"/>
      <c r="K118" s="153"/>
      <c r="L118" s="153"/>
      <c r="M118" s="153"/>
      <c r="N118" s="153"/>
      <c r="O118" s="153"/>
    </row>
    <row r="119">
      <c r="A119" s="153"/>
      <c r="B119" s="153"/>
      <c r="C119" s="153"/>
      <c r="D119" s="153"/>
      <c r="E119" s="153"/>
      <c r="F119" s="153"/>
      <c r="G119" s="153"/>
      <c r="H119" s="153"/>
      <c r="I119" s="153"/>
      <c r="J119" s="153"/>
      <c r="K119" s="153"/>
      <c r="L119" s="153"/>
      <c r="M119" s="153"/>
      <c r="N119" s="153"/>
      <c r="O119" s="153"/>
    </row>
    <row r="120">
      <c r="A120" s="153"/>
      <c r="B120" s="153"/>
      <c r="C120" s="153"/>
      <c r="D120" s="153"/>
      <c r="E120" s="153"/>
      <c r="F120" s="153"/>
      <c r="G120" s="153"/>
      <c r="H120" s="153"/>
      <c r="I120" s="153"/>
      <c r="J120" s="153"/>
      <c r="K120" s="153"/>
      <c r="L120" s="153"/>
      <c r="M120" s="153"/>
      <c r="N120" s="153"/>
      <c r="O120" s="153"/>
    </row>
    <row r="121">
      <c r="A121" s="153"/>
      <c r="B121" s="153"/>
      <c r="C121" s="153"/>
      <c r="D121" s="153"/>
      <c r="E121" s="153"/>
      <c r="F121" s="153"/>
      <c r="G121" s="153"/>
      <c r="H121" s="153"/>
      <c r="I121" s="153"/>
      <c r="J121" s="153"/>
      <c r="K121" s="153"/>
      <c r="L121" s="153"/>
      <c r="M121" s="153"/>
      <c r="N121" s="153"/>
      <c r="O121" s="153"/>
    </row>
    <row r="122">
      <c r="A122" s="153"/>
      <c r="B122" s="153"/>
      <c r="C122" s="153"/>
      <c r="D122" s="153"/>
      <c r="E122" s="153"/>
      <c r="F122" s="153"/>
      <c r="G122" s="153"/>
      <c r="H122" s="153"/>
      <c r="I122" s="153"/>
      <c r="J122" s="153"/>
      <c r="K122" s="153"/>
      <c r="L122" s="153"/>
      <c r="M122" s="153"/>
      <c r="N122" s="153"/>
      <c r="O122" s="153"/>
    </row>
    <row r="123">
      <c r="A123" s="153"/>
      <c r="B123" s="153"/>
      <c r="C123" s="153"/>
      <c r="D123" s="153"/>
      <c r="E123" s="153"/>
      <c r="F123" s="153"/>
      <c r="G123" s="153"/>
      <c r="H123" s="153"/>
      <c r="I123" s="153"/>
      <c r="J123" s="153"/>
      <c r="K123" s="153"/>
      <c r="L123" s="153"/>
      <c r="M123" s="153"/>
      <c r="N123" s="153"/>
      <c r="O123" s="153"/>
    </row>
    <row r="124">
      <c r="A124" s="153"/>
      <c r="B124" s="153"/>
      <c r="C124" s="153"/>
      <c r="D124" s="153"/>
      <c r="E124" s="153"/>
      <c r="F124" s="153"/>
      <c r="G124" s="153"/>
      <c r="H124" s="153"/>
      <c r="I124" s="153"/>
      <c r="J124" s="153"/>
      <c r="K124" s="153"/>
      <c r="L124" s="153"/>
      <c r="M124" s="153"/>
      <c r="N124" s="153"/>
      <c r="O124" s="153"/>
    </row>
    <row r="125">
      <c r="A125" s="153"/>
      <c r="B125" s="153"/>
      <c r="C125" s="153"/>
      <c r="D125" s="153"/>
      <c r="E125" s="153"/>
      <c r="F125" s="153"/>
      <c r="G125" s="153"/>
      <c r="H125" s="153"/>
      <c r="I125" s="153"/>
      <c r="J125" s="153"/>
      <c r="K125" s="153"/>
      <c r="L125" s="153"/>
      <c r="M125" s="153"/>
      <c r="N125" s="153"/>
      <c r="O125" s="153"/>
    </row>
    <row r="126">
      <c r="A126" s="153"/>
      <c r="B126" s="153"/>
      <c r="C126" s="153"/>
      <c r="D126" s="153"/>
      <c r="E126" s="153"/>
      <c r="F126" s="153"/>
      <c r="G126" s="153"/>
      <c r="H126" s="153"/>
      <c r="I126" s="153"/>
      <c r="J126" s="153"/>
      <c r="K126" s="153"/>
      <c r="L126" s="153"/>
      <c r="M126" s="153"/>
      <c r="N126" s="153"/>
      <c r="O126" s="153"/>
    </row>
    <row r="127">
      <c r="A127" s="153"/>
      <c r="B127" s="153"/>
      <c r="C127" s="153"/>
      <c r="D127" s="153"/>
      <c r="E127" s="153"/>
      <c r="F127" s="153"/>
      <c r="G127" s="153"/>
      <c r="H127" s="153"/>
      <c r="I127" s="153"/>
      <c r="J127" s="153"/>
      <c r="K127" s="153"/>
      <c r="L127" s="153"/>
      <c r="M127" s="153"/>
      <c r="N127" s="153"/>
      <c r="O127" s="153"/>
    </row>
    <row r="128">
      <c r="A128" s="153"/>
      <c r="B128" s="153"/>
      <c r="C128" s="153"/>
      <c r="D128" s="153"/>
      <c r="E128" s="153"/>
      <c r="F128" s="153"/>
      <c r="G128" s="153"/>
      <c r="H128" s="153"/>
      <c r="I128" s="153"/>
      <c r="J128" s="153"/>
      <c r="K128" s="153"/>
      <c r="L128" s="153"/>
      <c r="M128" s="153"/>
      <c r="N128" s="153"/>
      <c r="O128" s="153"/>
    </row>
    <row r="129">
      <c r="A129" s="153"/>
      <c r="B129" s="153"/>
      <c r="C129" s="153"/>
      <c r="D129" s="153"/>
      <c r="E129" s="153"/>
      <c r="F129" s="153"/>
      <c r="G129" s="153"/>
      <c r="H129" s="153"/>
      <c r="I129" s="153"/>
      <c r="J129" s="153"/>
      <c r="K129" s="153"/>
      <c r="L129" s="153"/>
      <c r="M129" s="153"/>
      <c r="N129" s="153"/>
      <c r="O129" s="153"/>
    </row>
    <row r="130">
      <c r="A130" s="153"/>
      <c r="B130" s="153"/>
      <c r="C130" s="153"/>
      <c r="D130" s="153"/>
      <c r="E130" s="153"/>
      <c r="F130" s="153"/>
      <c r="G130" s="153"/>
      <c r="H130" s="153"/>
      <c r="I130" s="153"/>
      <c r="J130" s="153"/>
      <c r="K130" s="153"/>
      <c r="L130" s="153"/>
      <c r="M130" s="153"/>
      <c r="N130" s="153"/>
      <c r="O130" s="153"/>
    </row>
    <row r="131">
      <c r="A131" s="153"/>
      <c r="B131" s="153"/>
      <c r="C131" s="153"/>
      <c r="D131" s="153"/>
      <c r="E131" s="153"/>
      <c r="F131" s="153"/>
      <c r="G131" s="153"/>
      <c r="H131" s="153"/>
      <c r="I131" s="153"/>
      <c r="J131" s="153"/>
      <c r="K131" s="153"/>
      <c r="L131" s="153"/>
      <c r="M131" s="153"/>
      <c r="N131" s="153"/>
      <c r="O131" s="153"/>
    </row>
    <row r="132">
      <c r="A132" s="153"/>
      <c r="B132" s="153"/>
      <c r="C132" s="153"/>
      <c r="D132" s="153"/>
      <c r="E132" s="153"/>
      <c r="F132" s="153"/>
      <c r="G132" s="153"/>
      <c r="H132" s="153"/>
      <c r="I132" s="153"/>
      <c r="J132" s="153"/>
      <c r="K132" s="153"/>
      <c r="L132" s="153"/>
      <c r="M132" s="153"/>
      <c r="N132" s="153"/>
      <c r="O132" s="153"/>
    </row>
    <row r="133">
      <c r="A133" s="153"/>
      <c r="B133" s="153"/>
      <c r="C133" s="153"/>
      <c r="D133" s="153"/>
      <c r="E133" s="153"/>
      <c r="F133" s="153"/>
      <c r="G133" s="153"/>
      <c r="H133" s="153"/>
      <c r="I133" s="153"/>
      <c r="J133" s="153"/>
      <c r="K133" s="153"/>
      <c r="L133" s="153"/>
      <c r="M133" s="153"/>
      <c r="N133" s="153"/>
      <c r="O133" s="153"/>
    </row>
    <row r="134">
      <c r="A134" s="153"/>
      <c r="B134" s="153"/>
      <c r="C134" s="153"/>
      <c r="D134" s="153"/>
      <c r="E134" s="153"/>
      <c r="F134" s="153"/>
      <c r="G134" s="153"/>
      <c r="H134" s="153"/>
      <c r="I134" s="153"/>
      <c r="J134" s="153"/>
      <c r="K134" s="153"/>
      <c r="L134" s="153"/>
      <c r="M134" s="153"/>
      <c r="N134" s="153"/>
      <c r="O134" s="153"/>
    </row>
    <row r="135">
      <c r="A135" s="153"/>
      <c r="B135" s="153"/>
      <c r="C135" s="153"/>
      <c r="D135" s="153"/>
      <c r="E135" s="153"/>
      <c r="F135" s="153"/>
      <c r="G135" s="153"/>
      <c r="H135" s="153"/>
      <c r="I135" s="153"/>
      <c r="J135" s="153"/>
      <c r="K135" s="153"/>
      <c r="L135" s="153"/>
      <c r="M135" s="153"/>
      <c r="N135" s="153"/>
      <c r="O135" s="153"/>
    </row>
    <row r="136">
      <c r="A136" s="153"/>
      <c r="B136" s="153"/>
      <c r="C136" s="153"/>
      <c r="D136" s="153"/>
      <c r="E136" s="153"/>
      <c r="F136" s="153"/>
      <c r="G136" s="153"/>
      <c r="H136" s="153"/>
      <c r="I136" s="153"/>
      <c r="J136" s="153"/>
      <c r="K136" s="153"/>
      <c r="L136" s="153"/>
      <c r="M136" s="153"/>
      <c r="N136" s="153"/>
      <c r="O136" s="153"/>
    </row>
    <row r="137">
      <c r="A137" s="153"/>
      <c r="B137" s="153"/>
      <c r="C137" s="153"/>
      <c r="D137" s="153"/>
      <c r="E137" s="153"/>
      <c r="F137" s="153"/>
      <c r="G137" s="153"/>
      <c r="H137" s="153"/>
      <c r="I137" s="153"/>
      <c r="J137" s="153"/>
      <c r="K137" s="153"/>
      <c r="L137" s="153"/>
      <c r="M137" s="153"/>
      <c r="N137" s="153"/>
      <c r="O137" s="153"/>
    </row>
    <row r="138">
      <c r="A138" s="153"/>
      <c r="B138" s="153"/>
      <c r="C138" s="153"/>
      <c r="D138" s="153"/>
      <c r="E138" s="153"/>
      <c r="F138" s="153"/>
      <c r="G138" s="153"/>
      <c r="H138" s="153"/>
      <c r="I138" s="153"/>
      <c r="J138" s="153"/>
      <c r="K138" s="153"/>
      <c r="L138" s="153"/>
      <c r="M138" s="153"/>
      <c r="N138" s="153"/>
      <c r="O138" s="153"/>
    </row>
    <row r="139">
      <c r="A139" s="153"/>
      <c r="B139" s="153"/>
      <c r="C139" s="153"/>
      <c r="D139" s="153"/>
      <c r="E139" s="153"/>
      <c r="F139" s="153"/>
      <c r="G139" s="153"/>
      <c r="H139" s="153"/>
      <c r="I139" s="153"/>
      <c r="J139" s="153"/>
      <c r="K139" s="153"/>
      <c r="L139" s="153"/>
      <c r="M139" s="153"/>
      <c r="N139" s="153"/>
      <c r="O139" s="153"/>
    </row>
    <row r="140">
      <c r="A140" s="153"/>
      <c r="B140" s="153"/>
      <c r="C140" s="153"/>
      <c r="D140" s="153"/>
      <c r="E140" s="153"/>
      <c r="F140" s="153"/>
      <c r="G140" s="153"/>
      <c r="H140" s="153"/>
      <c r="I140" s="153"/>
      <c r="J140" s="153"/>
      <c r="K140" s="153"/>
      <c r="L140" s="153"/>
      <c r="M140" s="153"/>
      <c r="N140" s="153"/>
      <c r="O140" s="153"/>
    </row>
    <row r="141">
      <c r="A141" s="153"/>
      <c r="B141" s="153"/>
      <c r="C141" s="153"/>
      <c r="D141" s="153"/>
      <c r="E141" s="153"/>
      <c r="F141" s="153"/>
      <c r="G141" s="153"/>
      <c r="H141" s="153"/>
      <c r="I141" s="153"/>
      <c r="J141" s="153"/>
      <c r="K141" s="153"/>
      <c r="L141" s="153"/>
      <c r="M141" s="153"/>
      <c r="N141" s="153"/>
      <c r="O141" s="153"/>
    </row>
    <row r="142">
      <c r="A142" s="153"/>
      <c r="B142" s="153"/>
      <c r="C142" s="153"/>
      <c r="D142" s="153"/>
      <c r="E142" s="153"/>
      <c r="F142" s="153"/>
      <c r="G142" s="153"/>
      <c r="H142" s="153"/>
      <c r="I142" s="153"/>
      <c r="J142" s="153"/>
      <c r="K142" s="153"/>
      <c r="L142" s="153"/>
      <c r="M142" s="153"/>
      <c r="N142" s="153"/>
      <c r="O142" s="153"/>
    </row>
    <row r="143">
      <c r="A143" s="153"/>
      <c r="B143" s="153"/>
      <c r="C143" s="153"/>
      <c r="D143" s="153"/>
      <c r="E143" s="153"/>
      <c r="F143" s="153"/>
      <c r="G143" s="153"/>
      <c r="H143" s="153"/>
      <c r="I143" s="153"/>
      <c r="J143" s="153"/>
      <c r="K143" s="153"/>
      <c r="L143" s="153"/>
      <c r="M143" s="153"/>
      <c r="N143" s="153"/>
      <c r="O143" s="153"/>
    </row>
    <row r="144">
      <c r="A144" s="153"/>
      <c r="B144" s="153"/>
      <c r="C144" s="153"/>
      <c r="D144" s="153"/>
      <c r="E144" s="153"/>
      <c r="F144" s="153"/>
      <c r="G144" s="153"/>
      <c r="H144" s="153"/>
      <c r="I144" s="153"/>
      <c r="J144" s="153"/>
      <c r="K144" s="153"/>
      <c r="L144" s="153"/>
      <c r="M144" s="153"/>
      <c r="N144" s="153"/>
      <c r="O144" s="153"/>
    </row>
    <row r="145">
      <c r="A145" s="153"/>
      <c r="B145" s="153"/>
      <c r="C145" s="153"/>
      <c r="D145" s="153"/>
      <c r="E145" s="153"/>
      <c r="F145" s="153"/>
      <c r="G145" s="153"/>
      <c r="H145" s="153"/>
      <c r="I145" s="153"/>
      <c r="J145" s="153"/>
      <c r="K145" s="153"/>
      <c r="L145" s="153"/>
      <c r="M145" s="153"/>
      <c r="N145" s="153"/>
      <c r="O145" s="153"/>
    </row>
    <row r="146">
      <c r="A146" s="153"/>
      <c r="B146" s="153"/>
      <c r="C146" s="153"/>
      <c r="D146" s="153"/>
      <c r="E146" s="153"/>
      <c r="F146" s="153"/>
      <c r="G146" s="153"/>
      <c r="H146" s="153"/>
      <c r="I146" s="153"/>
      <c r="J146" s="153"/>
      <c r="K146" s="153"/>
      <c r="L146" s="153"/>
      <c r="M146" s="153"/>
      <c r="N146" s="153"/>
      <c r="O146" s="153"/>
    </row>
    <row r="147">
      <c r="A147" s="153"/>
      <c r="B147" s="153"/>
      <c r="C147" s="153"/>
      <c r="D147" s="153"/>
      <c r="E147" s="153"/>
      <c r="F147" s="153"/>
      <c r="G147" s="153"/>
      <c r="H147" s="153"/>
      <c r="I147" s="153"/>
      <c r="J147" s="153"/>
      <c r="K147" s="153"/>
      <c r="L147" s="153"/>
      <c r="M147" s="153"/>
      <c r="N147" s="153"/>
      <c r="O147" s="153"/>
    </row>
    <row r="148">
      <c r="A148" s="153"/>
      <c r="B148" s="153"/>
      <c r="C148" s="153"/>
      <c r="D148" s="153"/>
      <c r="E148" s="153"/>
      <c r="F148" s="153"/>
      <c r="G148" s="153"/>
      <c r="H148" s="153"/>
      <c r="I148" s="153"/>
      <c r="J148" s="153"/>
      <c r="K148" s="153"/>
      <c r="L148" s="153"/>
      <c r="M148" s="153"/>
      <c r="N148" s="153"/>
      <c r="O148" s="153"/>
    </row>
    <row r="149">
      <c r="A149" s="153"/>
      <c r="B149" s="153"/>
      <c r="C149" s="153"/>
      <c r="D149" s="153"/>
      <c r="E149" s="153"/>
      <c r="F149" s="153"/>
      <c r="G149" s="153"/>
      <c r="H149" s="153"/>
      <c r="I149" s="153"/>
      <c r="J149" s="153"/>
      <c r="K149" s="153"/>
      <c r="L149" s="153"/>
      <c r="M149" s="153"/>
      <c r="N149" s="153"/>
      <c r="O149" s="153"/>
    </row>
    <row r="150">
      <c r="A150" s="153"/>
      <c r="B150" s="153"/>
      <c r="C150" s="153"/>
      <c r="D150" s="153"/>
      <c r="E150" s="153"/>
      <c r="F150" s="153"/>
      <c r="G150" s="153"/>
      <c r="H150" s="153"/>
      <c r="I150" s="153"/>
      <c r="J150" s="153"/>
      <c r="K150" s="153"/>
      <c r="L150" s="153"/>
      <c r="M150" s="153"/>
      <c r="N150" s="153"/>
      <c r="O150" s="153"/>
    </row>
    <row r="151">
      <c r="A151" s="153"/>
      <c r="B151" s="153"/>
      <c r="C151" s="153"/>
      <c r="D151" s="153"/>
      <c r="E151" s="153"/>
      <c r="F151" s="153"/>
      <c r="G151" s="153"/>
      <c r="H151" s="153"/>
      <c r="I151" s="153"/>
      <c r="J151" s="153"/>
      <c r="K151" s="153"/>
      <c r="L151" s="153"/>
      <c r="M151" s="153"/>
      <c r="N151" s="153"/>
      <c r="O151" s="153"/>
    </row>
    <row r="152">
      <c r="A152" s="153"/>
      <c r="B152" s="153"/>
      <c r="C152" s="153"/>
      <c r="D152" s="153"/>
      <c r="E152" s="153"/>
      <c r="F152" s="153"/>
      <c r="G152" s="153"/>
      <c r="H152" s="153"/>
      <c r="I152" s="153"/>
      <c r="J152" s="153"/>
      <c r="K152" s="153"/>
      <c r="L152" s="153"/>
      <c r="M152" s="153"/>
      <c r="N152" s="153"/>
      <c r="O152" s="153"/>
    </row>
    <row r="153">
      <c r="A153" s="153"/>
      <c r="B153" s="153"/>
      <c r="C153" s="153"/>
      <c r="D153" s="153"/>
      <c r="E153" s="153"/>
      <c r="F153" s="153"/>
      <c r="G153" s="153"/>
      <c r="H153" s="153"/>
      <c r="I153" s="153"/>
      <c r="J153" s="153"/>
      <c r="K153" s="153"/>
      <c r="L153" s="153"/>
      <c r="M153" s="153"/>
      <c r="N153" s="153"/>
      <c r="O153" s="153"/>
    </row>
    <row r="154">
      <c r="A154" s="153"/>
      <c r="B154" s="153"/>
      <c r="C154" s="153"/>
      <c r="D154" s="153"/>
      <c r="E154" s="153"/>
      <c r="F154" s="153"/>
      <c r="G154" s="153"/>
      <c r="H154" s="153"/>
      <c r="I154" s="153"/>
      <c r="J154" s="153"/>
      <c r="K154" s="153"/>
      <c r="L154" s="153"/>
      <c r="M154" s="153"/>
      <c r="N154" s="153"/>
      <c r="O154" s="153"/>
    </row>
    <row r="155">
      <c r="A155" s="153"/>
      <c r="B155" s="153"/>
      <c r="C155" s="153"/>
      <c r="D155" s="153"/>
      <c r="E155" s="153"/>
      <c r="F155" s="153"/>
      <c r="G155" s="153"/>
      <c r="H155" s="153"/>
      <c r="I155" s="153"/>
      <c r="J155" s="153"/>
      <c r="K155" s="153"/>
      <c r="L155" s="153"/>
      <c r="M155" s="153"/>
      <c r="N155" s="153"/>
      <c r="O155" s="153"/>
    </row>
    <row r="156">
      <c r="A156" s="153"/>
      <c r="B156" s="153"/>
      <c r="C156" s="153"/>
      <c r="D156" s="153"/>
      <c r="E156" s="153"/>
      <c r="F156" s="153"/>
      <c r="G156" s="153"/>
      <c r="H156" s="153"/>
      <c r="I156" s="153"/>
      <c r="J156" s="153"/>
      <c r="K156" s="153"/>
      <c r="L156" s="153"/>
      <c r="M156" s="153"/>
      <c r="N156" s="153"/>
      <c r="O156" s="153"/>
    </row>
    <row r="157">
      <c r="A157" s="153"/>
      <c r="B157" s="153"/>
      <c r="C157" s="153"/>
      <c r="D157" s="153"/>
      <c r="E157" s="153"/>
      <c r="F157" s="153"/>
      <c r="G157" s="153"/>
      <c r="H157" s="153"/>
      <c r="I157" s="153"/>
      <c r="J157" s="153"/>
      <c r="K157" s="153"/>
      <c r="L157" s="153"/>
      <c r="M157" s="153"/>
      <c r="N157" s="153"/>
      <c r="O157" s="153"/>
    </row>
    <row r="158">
      <c r="A158" s="153"/>
      <c r="B158" s="153"/>
      <c r="C158" s="153"/>
      <c r="D158" s="153"/>
      <c r="E158" s="153"/>
      <c r="F158" s="153"/>
      <c r="G158" s="153"/>
      <c r="H158" s="153"/>
      <c r="I158" s="153"/>
      <c r="J158" s="153"/>
      <c r="K158" s="153"/>
      <c r="L158" s="153"/>
      <c r="M158" s="153"/>
      <c r="N158" s="153"/>
      <c r="O158" s="153"/>
    </row>
    <row r="159">
      <c r="A159" s="153"/>
      <c r="B159" s="153"/>
      <c r="C159" s="153"/>
      <c r="D159" s="153"/>
      <c r="E159" s="153"/>
      <c r="F159" s="153"/>
      <c r="G159" s="153"/>
      <c r="H159" s="153"/>
      <c r="I159" s="153"/>
      <c r="J159" s="153"/>
      <c r="K159" s="153"/>
      <c r="L159" s="153"/>
      <c r="M159" s="153"/>
      <c r="N159" s="153"/>
      <c r="O159" s="153"/>
    </row>
    <row r="160">
      <c r="A160" s="153"/>
      <c r="B160" s="153"/>
      <c r="C160" s="153"/>
      <c r="D160" s="153"/>
      <c r="E160" s="153"/>
      <c r="F160" s="153"/>
      <c r="G160" s="153"/>
      <c r="H160" s="153"/>
      <c r="I160" s="153"/>
      <c r="J160" s="153"/>
      <c r="K160" s="153"/>
      <c r="L160" s="153"/>
      <c r="M160" s="153"/>
      <c r="N160" s="153"/>
      <c r="O160" s="153"/>
    </row>
    <row r="161">
      <c r="A161" s="153"/>
      <c r="B161" s="153"/>
      <c r="C161" s="153"/>
      <c r="D161" s="153"/>
      <c r="E161" s="153"/>
      <c r="F161" s="153"/>
      <c r="G161" s="153"/>
      <c r="H161" s="153"/>
      <c r="I161" s="153"/>
      <c r="J161" s="153"/>
      <c r="K161" s="153"/>
      <c r="L161" s="153"/>
      <c r="M161" s="153"/>
      <c r="N161" s="153"/>
      <c r="O161" s="153"/>
    </row>
    <row r="162">
      <c r="A162" s="153"/>
      <c r="B162" s="153"/>
      <c r="C162" s="153"/>
      <c r="D162" s="153"/>
      <c r="E162" s="153"/>
      <c r="F162" s="153"/>
      <c r="G162" s="153"/>
      <c r="H162" s="153"/>
      <c r="I162" s="153"/>
      <c r="J162" s="153"/>
      <c r="K162" s="153"/>
      <c r="L162" s="153"/>
      <c r="M162" s="153"/>
      <c r="N162" s="153"/>
      <c r="O162" s="153"/>
    </row>
    <row r="163">
      <c r="A163" s="153"/>
      <c r="B163" s="153"/>
      <c r="C163" s="153"/>
      <c r="D163" s="153"/>
      <c r="E163" s="153"/>
      <c r="F163" s="153"/>
      <c r="G163" s="153"/>
      <c r="H163" s="153"/>
      <c r="I163" s="153"/>
      <c r="J163" s="153"/>
      <c r="K163" s="153"/>
      <c r="L163" s="153"/>
      <c r="M163" s="153"/>
      <c r="N163" s="153"/>
      <c r="O163" s="153"/>
    </row>
    <row r="164">
      <c r="A164" s="153"/>
      <c r="B164" s="153"/>
      <c r="C164" s="153"/>
      <c r="D164" s="153"/>
      <c r="E164" s="153"/>
      <c r="F164" s="153"/>
      <c r="G164" s="153"/>
      <c r="H164" s="153"/>
      <c r="I164" s="153"/>
      <c r="J164" s="153"/>
      <c r="K164" s="153"/>
      <c r="L164" s="153"/>
      <c r="M164" s="153"/>
      <c r="N164" s="153"/>
      <c r="O164" s="153"/>
    </row>
    <row r="165">
      <c r="A165" s="153"/>
      <c r="B165" s="153"/>
      <c r="C165" s="153"/>
      <c r="D165" s="153"/>
      <c r="E165" s="153"/>
      <c r="F165" s="153"/>
      <c r="G165" s="153"/>
      <c r="H165" s="153"/>
      <c r="I165" s="153"/>
      <c r="J165" s="153"/>
      <c r="K165" s="153"/>
      <c r="L165" s="153"/>
      <c r="M165" s="153"/>
      <c r="N165" s="153"/>
      <c r="O165" s="153"/>
    </row>
    <row r="166">
      <c r="A166" s="153"/>
      <c r="B166" s="153"/>
      <c r="C166" s="153"/>
      <c r="D166" s="153"/>
      <c r="E166" s="153"/>
      <c r="F166" s="153"/>
      <c r="G166" s="153"/>
      <c r="H166" s="153"/>
      <c r="I166" s="153"/>
      <c r="J166" s="153"/>
      <c r="K166" s="153"/>
      <c r="L166" s="153"/>
      <c r="M166" s="153"/>
      <c r="N166" s="153"/>
      <c r="O166" s="153"/>
    </row>
    <row r="167">
      <c r="A167" s="153"/>
      <c r="B167" s="153"/>
      <c r="C167" s="153"/>
      <c r="D167" s="153"/>
      <c r="E167" s="153"/>
      <c r="F167" s="153"/>
      <c r="G167" s="153"/>
      <c r="H167" s="153"/>
      <c r="I167" s="153"/>
      <c r="J167" s="153"/>
      <c r="K167" s="153"/>
      <c r="L167" s="153"/>
      <c r="M167" s="153"/>
      <c r="N167" s="153"/>
      <c r="O167" s="153"/>
    </row>
    <row r="168">
      <c r="A168" s="153"/>
      <c r="B168" s="153"/>
      <c r="C168" s="153"/>
      <c r="D168" s="153"/>
      <c r="E168" s="153"/>
      <c r="F168" s="153"/>
      <c r="G168" s="153"/>
      <c r="H168" s="153"/>
      <c r="I168" s="153"/>
      <c r="J168" s="153"/>
      <c r="K168" s="153"/>
      <c r="L168" s="153"/>
      <c r="M168" s="153"/>
      <c r="N168" s="153"/>
      <c r="O168" s="153"/>
    </row>
    <row r="169">
      <c r="A169" s="153"/>
      <c r="B169" s="153"/>
      <c r="C169" s="153"/>
      <c r="D169" s="153"/>
      <c r="E169" s="153"/>
      <c r="F169" s="153"/>
      <c r="G169" s="153"/>
      <c r="H169" s="153"/>
      <c r="I169" s="153"/>
      <c r="J169" s="153"/>
      <c r="K169" s="153"/>
      <c r="L169" s="153"/>
      <c r="M169" s="153"/>
      <c r="N169" s="153"/>
      <c r="O169" s="153"/>
    </row>
    <row r="170">
      <c r="A170" s="153"/>
      <c r="B170" s="153"/>
      <c r="C170" s="153"/>
      <c r="D170" s="153"/>
      <c r="E170" s="153"/>
      <c r="F170" s="153"/>
      <c r="G170" s="153"/>
      <c r="H170" s="153"/>
      <c r="I170" s="153"/>
      <c r="J170" s="153"/>
      <c r="K170" s="153"/>
      <c r="L170" s="153"/>
      <c r="M170" s="153"/>
      <c r="N170" s="153"/>
      <c r="O170" s="153"/>
    </row>
    <row r="171">
      <c r="A171" s="153"/>
      <c r="B171" s="153"/>
      <c r="C171" s="153"/>
      <c r="D171" s="153"/>
      <c r="E171" s="153"/>
      <c r="F171" s="153"/>
      <c r="G171" s="153"/>
      <c r="H171" s="153"/>
      <c r="I171" s="153"/>
      <c r="J171" s="153"/>
      <c r="K171" s="153"/>
      <c r="L171" s="153"/>
      <c r="M171" s="153"/>
      <c r="N171" s="153"/>
      <c r="O171" s="153"/>
    </row>
    <row r="172">
      <c r="A172" s="153"/>
      <c r="B172" s="153"/>
      <c r="C172" s="153"/>
      <c r="D172" s="153"/>
      <c r="E172" s="153"/>
      <c r="F172" s="153"/>
      <c r="G172" s="153"/>
      <c r="H172" s="153"/>
      <c r="I172" s="153"/>
      <c r="J172" s="153"/>
      <c r="K172" s="153"/>
      <c r="L172" s="153"/>
      <c r="M172" s="153"/>
      <c r="N172" s="153"/>
      <c r="O172" s="153"/>
    </row>
    <row r="173">
      <c r="A173" s="153"/>
      <c r="B173" s="153"/>
      <c r="C173" s="153"/>
      <c r="D173" s="153"/>
      <c r="E173" s="153"/>
      <c r="F173" s="153"/>
      <c r="G173" s="153"/>
      <c r="H173" s="153"/>
      <c r="I173" s="153"/>
      <c r="J173" s="153"/>
      <c r="K173" s="153"/>
      <c r="L173" s="153"/>
      <c r="M173" s="153"/>
      <c r="N173" s="153"/>
      <c r="O173" s="153"/>
    </row>
    <row r="174">
      <c r="A174" s="153"/>
      <c r="B174" s="153"/>
      <c r="C174" s="153"/>
      <c r="D174" s="153"/>
      <c r="E174" s="153"/>
      <c r="F174" s="153"/>
      <c r="G174" s="153"/>
      <c r="H174" s="153"/>
      <c r="I174" s="153"/>
      <c r="J174" s="153"/>
      <c r="K174" s="153"/>
      <c r="L174" s="153"/>
      <c r="M174" s="153"/>
      <c r="N174" s="153"/>
      <c r="O174" s="153"/>
    </row>
    <row r="175">
      <c r="A175" s="153"/>
      <c r="B175" s="153"/>
      <c r="C175" s="153"/>
      <c r="D175" s="153"/>
      <c r="E175" s="153"/>
      <c r="F175" s="153"/>
      <c r="G175" s="153"/>
      <c r="H175" s="153"/>
      <c r="I175" s="153"/>
      <c r="J175" s="153"/>
      <c r="K175" s="153"/>
      <c r="L175" s="153"/>
      <c r="M175" s="153"/>
      <c r="N175" s="153"/>
      <c r="O175" s="153"/>
    </row>
    <row r="176">
      <c r="A176" s="153"/>
      <c r="B176" s="153"/>
      <c r="C176" s="153"/>
      <c r="D176" s="153"/>
      <c r="E176" s="153"/>
      <c r="F176" s="153"/>
      <c r="G176" s="153"/>
      <c r="H176" s="153"/>
      <c r="I176" s="153"/>
      <c r="J176" s="153"/>
      <c r="K176" s="153"/>
      <c r="L176" s="153"/>
      <c r="M176" s="153"/>
      <c r="N176" s="153"/>
      <c r="O176" s="153"/>
    </row>
    <row r="177">
      <c r="A177" s="153"/>
      <c r="B177" s="153"/>
      <c r="C177" s="153"/>
      <c r="D177" s="153"/>
      <c r="E177" s="153"/>
      <c r="F177" s="153"/>
      <c r="G177" s="153"/>
      <c r="H177" s="153"/>
      <c r="I177" s="153"/>
      <c r="J177" s="153"/>
      <c r="K177" s="153"/>
      <c r="L177" s="153"/>
      <c r="M177" s="153"/>
      <c r="N177" s="153"/>
      <c r="O177" s="153"/>
    </row>
    <row r="178">
      <c r="A178" s="153"/>
      <c r="B178" s="153"/>
      <c r="C178" s="153"/>
      <c r="D178" s="153"/>
      <c r="E178" s="153"/>
      <c r="F178" s="153"/>
      <c r="G178" s="153"/>
      <c r="H178" s="153"/>
      <c r="I178" s="153"/>
      <c r="J178" s="153"/>
      <c r="K178" s="153"/>
      <c r="L178" s="153"/>
      <c r="M178" s="153"/>
      <c r="N178" s="153"/>
      <c r="O178" s="153"/>
    </row>
    <row r="179">
      <c r="A179" s="153"/>
      <c r="B179" s="153"/>
      <c r="C179" s="153"/>
      <c r="D179" s="153"/>
      <c r="E179" s="153"/>
      <c r="F179" s="153"/>
      <c r="G179" s="153"/>
      <c r="H179" s="153"/>
      <c r="I179" s="153"/>
      <c r="J179" s="153"/>
      <c r="K179" s="153"/>
      <c r="L179" s="153"/>
      <c r="M179" s="153"/>
      <c r="N179" s="153"/>
      <c r="O179" s="153"/>
    </row>
    <row r="180">
      <c r="A180" s="153"/>
      <c r="B180" s="153"/>
      <c r="C180" s="153"/>
      <c r="D180" s="153"/>
      <c r="E180" s="153"/>
      <c r="F180" s="153"/>
      <c r="G180" s="153"/>
      <c r="H180" s="153"/>
      <c r="I180" s="153"/>
      <c r="J180" s="153"/>
      <c r="K180" s="153"/>
      <c r="L180" s="153"/>
      <c r="M180" s="153"/>
      <c r="N180" s="153"/>
      <c r="O180" s="153"/>
    </row>
    <row r="181">
      <c r="A181" s="153"/>
      <c r="B181" s="153"/>
      <c r="C181" s="153"/>
      <c r="D181" s="153"/>
      <c r="E181" s="153"/>
      <c r="F181" s="153"/>
      <c r="G181" s="153"/>
      <c r="H181" s="153"/>
      <c r="I181" s="153"/>
      <c r="J181" s="153"/>
      <c r="K181" s="153"/>
      <c r="L181" s="153"/>
      <c r="M181" s="153"/>
      <c r="N181" s="153"/>
      <c r="O181" s="153"/>
    </row>
    <row r="182">
      <c r="A182" s="153"/>
      <c r="B182" s="153"/>
      <c r="C182" s="153"/>
      <c r="D182" s="153"/>
      <c r="E182" s="153"/>
      <c r="F182" s="153"/>
      <c r="G182" s="153"/>
      <c r="H182" s="153"/>
      <c r="I182" s="153"/>
      <c r="J182" s="153"/>
      <c r="K182" s="153"/>
      <c r="L182" s="153"/>
      <c r="M182" s="153"/>
      <c r="N182" s="153"/>
      <c r="O182" s="153"/>
    </row>
    <row r="183">
      <c r="A183" s="153"/>
      <c r="B183" s="153"/>
      <c r="C183" s="153"/>
      <c r="D183" s="153"/>
      <c r="E183" s="153"/>
      <c r="F183" s="153"/>
      <c r="G183" s="153"/>
      <c r="H183" s="153"/>
      <c r="I183" s="153"/>
      <c r="J183" s="153"/>
      <c r="K183" s="153"/>
      <c r="L183" s="153"/>
      <c r="M183" s="153"/>
      <c r="N183" s="153"/>
      <c r="O183" s="153"/>
    </row>
    <row r="184">
      <c r="A184" s="153"/>
      <c r="B184" s="153"/>
      <c r="C184" s="153"/>
      <c r="D184" s="153"/>
      <c r="E184" s="153"/>
      <c r="F184" s="153"/>
      <c r="G184" s="153"/>
      <c r="H184" s="153"/>
      <c r="I184" s="153"/>
      <c r="J184" s="153"/>
      <c r="K184" s="153"/>
      <c r="L184" s="153"/>
      <c r="M184" s="153"/>
      <c r="N184" s="153"/>
      <c r="O184" s="153"/>
    </row>
    <row r="185">
      <c r="A185" s="153"/>
      <c r="B185" s="153"/>
      <c r="C185" s="153"/>
      <c r="D185" s="153"/>
      <c r="E185" s="153"/>
      <c r="F185" s="153"/>
      <c r="G185" s="153"/>
      <c r="H185" s="153"/>
      <c r="I185" s="153"/>
      <c r="J185" s="153"/>
      <c r="K185" s="153"/>
      <c r="L185" s="153"/>
      <c r="M185" s="153"/>
      <c r="N185" s="153"/>
      <c r="O185" s="153"/>
    </row>
    <row r="186">
      <c r="A186" s="153"/>
      <c r="B186" s="153"/>
      <c r="C186" s="153"/>
      <c r="D186" s="153"/>
      <c r="E186" s="153"/>
      <c r="F186" s="153"/>
      <c r="G186" s="153"/>
      <c r="H186" s="153"/>
      <c r="I186" s="153"/>
      <c r="J186" s="153"/>
      <c r="K186" s="153"/>
      <c r="L186" s="153"/>
      <c r="M186" s="153"/>
      <c r="N186" s="153"/>
      <c r="O186" s="153"/>
    </row>
    <row r="187">
      <c r="A187" s="153"/>
      <c r="B187" s="153"/>
      <c r="C187" s="153"/>
      <c r="D187" s="153"/>
      <c r="E187" s="153"/>
      <c r="F187" s="153"/>
      <c r="G187" s="153"/>
      <c r="H187" s="153"/>
      <c r="I187" s="153"/>
      <c r="J187" s="153"/>
      <c r="K187" s="153"/>
      <c r="L187" s="153"/>
      <c r="M187" s="153"/>
      <c r="N187" s="153"/>
      <c r="O187" s="153"/>
    </row>
    <row r="188">
      <c r="A188" s="153"/>
      <c r="B188" s="153"/>
      <c r="C188" s="153"/>
      <c r="D188" s="153"/>
      <c r="E188" s="153"/>
      <c r="F188" s="153"/>
      <c r="G188" s="153"/>
      <c r="H188" s="153"/>
      <c r="I188" s="153"/>
      <c r="J188" s="153"/>
      <c r="K188" s="153"/>
      <c r="L188" s="153"/>
      <c r="M188" s="153"/>
      <c r="N188" s="153"/>
      <c r="O188" s="153"/>
    </row>
    <row r="189">
      <c r="A189" s="153"/>
      <c r="B189" s="153"/>
      <c r="C189" s="153"/>
      <c r="D189" s="153"/>
      <c r="E189" s="153"/>
      <c r="F189" s="153"/>
      <c r="G189" s="153"/>
      <c r="H189" s="153"/>
      <c r="I189" s="153"/>
      <c r="J189" s="153"/>
      <c r="K189" s="153"/>
      <c r="L189" s="153"/>
      <c r="M189" s="153"/>
      <c r="N189" s="153"/>
      <c r="O189" s="153"/>
    </row>
    <row r="190">
      <c r="A190" s="153"/>
      <c r="B190" s="153"/>
      <c r="C190" s="153"/>
      <c r="D190" s="153"/>
      <c r="E190" s="153"/>
      <c r="F190" s="153"/>
      <c r="G190" s="153"/>
      <c r="H190" s="153"/>
      <c r="I190" s="153"/>
      <c r="J190" s="153"/>
      <c r="K190" s="153"/>
      <c r="L190" s="153"/>
      <c r="M190" s="153"/>
      <c r="N190" s="153"/>
      <c r="O190" s="153"/>
    </row>
    <row r="191">
      <c r="A191" s="153"/>
      <c r="B191" s="153"/>
      <c r="C191" s="153"/>
      <c r="D191" s="153"/>
      <c r="E191" s="153"/>
      <c r="F191" s="153"/>
      <c r="G191" s="153"/>
      <c r="H191" s="153"/>
      <c r="I191" s="153"/>
      <c r="J191" s="153"/>
      <c r="K191" s="153"/>
      <c r="L191" s="153"/>
      <c r="M191" s="153"/>
      <c r="N191" s="153"/>
      <c r="O191" s="153"/>
    </row>
    <row r="192">
      <c r="A192" s="153"/>
      <c r="B192" s="153"/>
      <c r="C192" s="153"/>
      <c r="D192" s="153"/>
      <c r="E192" s="153"/>
      <c r="F192" s="153"/>
      <c r="G192" s="153"/>
      <c r="H192" s="153"/>
      <c r="I192" s="153"/>
      <c r="J192" s="153"/>
      <c r="K192" s="153"/>
      <c r="L192" s="153"/>
      <c r="M192" s="153"/>
      <c r="N192" s="153"/>
      <c r="O192" s="153"/>
    </row>
    <row r="193">
      <c r="A193" s="153"/>
      <c r="B193" s="153"/>
      <c r="C193" s="153"/>
      <c r="D193" s="153"/>
      <c r="E193" s="153"/>
      <c r="F193" s="153"/>
      <c r="G193" s="153"/>
      <c r="H193" s="153"/>
      <c r="I193" s="153"/>
      <c r="J193" s="153"/>
      <c r="K193" s="153"/>
      <c r="L193" s="153"/>
      <c r="M193" s="153"/>
      <c r="N193" s="153"/>
      <c r="O193" s="153"/>
    </row>
    <row r="194">
      <c r="A194" s="153"/>
      <c r="B194" s="153"/>
      <c r="C194" s="153"/>
      <c r="D194" s="153"/>
      <c r="E194" s="153"/>
      <c r="F194" s="153"/>
      <c r="G194" s="153"/>
      <c r="H194" s="153"/>
      <c r="I194" s="153"/>
      <c r="J194" s="153"/>
      <c r="K194" s="153"/>
      <c r="L194" s="153"/>
      <c r="M194" s="153"/>
      <c r="N194" s="153"/>
      <c r="O194" s="153"/>
    </row>
    <row r="195">
      <c r="A195" s="153"/>
      <c r="B195" s="153"/>
      <c r="C195" s="153"/>
      <c r="D195" s="153"/>
      <c r="E195" s="153"/>
      <c r="F195" s="153"/>
      <c r="G195" s="153"/>
      <c r="H195" s="153"/>
      <c r="I195" s="153"/>
      <c r="J195" s="153"/>
      <c r="K195" s="153"/>
      <c r="L195" s="153"/>
      <c r="M195" s="153"/>
      <c r="N195" s="153"/>
      <c r="O195" s="153"/>
    </row>
    <row r="196">
      <c r="A196" s="153"/>
      <c r="B196" s="153"/>
      <c r="C196" s="153"/>
      <c r="D196" s="153"/>
      <c r="E196" s="153"/>
      <c r="F196" s="153"/>
      <c r="G196" s="153"/>
      <c r="H196" s="153"/>
      <c r="I196" s="153"/>
      <c r="J196" s="153"/>
      <c r="K196" s="153"/>
      <c r="L196" s="153"/>
      <c r="M196" s="153"/>
      <c r="N196" s="153"/>
      <c r="O196" s="153"/>
    </row>
    <row r="197">
      <c r="A197" s="153"/>
      <c r="B197" s="153"/>
      <c r="C197" s="153"/>
      <c r="D197" s="153"/>
      <c r="E197" s="153"/>
      <c r="F197" s="153"/>
      <c r="G197" s="153"/>
      <c r="H197" s="153"/>
      <c r="I197" s="153"/>
      <c r="J197" s="153"/>
      <c r="K197" s="153"/>
      <c r="L197" s="153"/>
      <c r="M197" s="153"/>
      <c r="N197" s="153"/>
      <c r="O197" s="153"/>
    </row>
    <row r="198">
      <c r="A198" s="153"/>
      <c r="B198" s="153"/>
      <c r="C198" s="153"/>
      <c r="D198" s="153"/>
      <c r="E198" s="153"/>
      <c r="F198" s="153"/>
      <c r="G198" s="153"/>
      <c r="H198" s="153"/>
      <c r="I198" s="153"/>
      <c r="J198" s="153"/>
      <c r="K198" s="153"/>
      <c r="L198" s="153"/>
      <c r="M198" s="153"/>
      <c r="N198" s="153"/>
      <c r="O198" s="153"/>
    </row>
    <row r="199">
      <c r="A199" s="153"/>
      <c r="B199" s="153"/>
      <c r="C199" s="153"/>
      <c r="D199" s="153"/>
      <c r="E199" s="153"/>
      <c r="F199" s="153"/>
      <c r="G199" s="153"/>
      <c r="H199" s="153"/>
      <c r="I199" s="153"/>
      <c r="J199" s="153"/>
      <c r="K199" s="153"/>
      <c r="L199" s="153"/>
      <c r="M199" s="153"/>
      <c r="N199" s="153"/>
      <c r="O199" s="153"/>
    </row>
    <row r="200">
      <c r="A200" s="153"/>
      <c r="B200" s="153"/>
      <c r="C200" s="153"/>
      <c r="D200" s="153"/>
      <c r="E200" s="153"/>
      <c r="F200" s="153"/>
      <c r="G200" s="153"/>
      <c r="H200" s="153"/>
      <c r="I200" s="153"/>
      <c r="J200" s="153"/>
      <c r="K200" s="153"/>
      <c r="L200" s="153"/>
      <c r="M200" s="153"/>
      <c r="N200" s="153"/>
      <c r="O200" s="153"/>
    </row>
    <row r="201">
      <c r="A201" s="191"/>
      <c r="B201" s="191"/>
      <c r="C201" s="191"/>
      <c r="D201" s="191"/>
      <c r="E201" s="191"/>
      <c r="F201" s="191"/>
      <c r="G201" s="191"/>
      <c r="H201" s="191"/>
      <c r="I201" s="191"/>
      <c r="J201" s="191"/>
      <c r="K201" s="191"/>
      <c r="L201" s="191"/>
      <c r="M201" s="191"/>
      <c r="N201" s="191"/>
      <c r="O201" s="191"/>
    </row>
    <row r="202">
      <c r="A202" s="191"/>
      <c r="B202" s="191"/>
      <c r="C202" s="191"/>
      <c r="D202" s="191"/>
      <c r="E202" s="191"/>
      <c r="F202" s="191"/>
      <c r="G202" s="191"/>
      <c r="H202" s="191"/>
      <c r="I202" s="191"/>
      <c r="J202" s="191"/>
      <c r="K202" s="191"/>
      <c r="L202" s="191"/>
      <c r="M202" s="191"/>
      <c r="N202" s="191"/>
      <c r="O202" s="191"/>
    </row>
    <row r="203">
      <c r="A203" s="191"/>
      <c r="B203" s="191"/>
      <c r="C203" s="191"/>
      <c r="D203" s="191"/>
      <c r="E203" s="191"/>
      <c r="F203" s="191"/>
      <c r="G203" s="191"/>
      <c r="H203" s="191"/>
      <c r="I203" s="191"/>
      <c r="J203" s="191"/>
      <c r="K203" s="191"/>
      <c r="L203" s="191"/>
      <c r="M203" s="191"/>
      <c r="N203" s="191"/>
      <c r="O203" s="191"/>
    </row>
    <row r="204">
      <c r="A204" s="191"/>
      <c r="B204" s="191"/>
      <c r="C204" s="191"/>
      <c r="D204" s="191"/>
      <c r="E204" s="191"/>
      <c r="F204" s="191"/>
      <c r="G204" s="191"/>
      <c r="H204" s="191"/>
      <c r="I204" s="191"/>
      <c r="J204" s="191"/>
      <c r="K204" s="191"/>
      <c r="L204" s="191"/>
      <c r="M204" s="191"/>
      <c r="N204" s="191"/>
      <c r="O204" s="191"/>
    </row>
    <row r="205">
      <c r="A205" s="191"/>
      <c r="B205" s="191"/>
      <c r="C205" s="191"/>
      <c r="D205" s="191"/>
      <c r="E205" s="191"/>
      <c r="F205" s="191"/>
      <c r="G205" s="191"/>
      <c r="H205" s="191"/>
      <c r="I205" s="191"/>
      <c r="J205" s="191"/>
      <c r="K205" s="191"/>
      <c r="L205" s="191"/>
      <c r="M205" s="191"/>
      <c r="N205" s="191"/>
      <c r="O205" s="191"/>
    </row>
    <row r="206">
      <c r="A206" s="191"/>
      <c r="B206" s="191"/>
      <c r="C206" s="191"/>
      <c r="D206" s="191"/>
      <c r="E206" s="191"/>
      <c r="F206" s="191"/>
      <c r="G206" s="191"/>
      <c r="H206" s="191"/>
      <c r="I206" s="191"/>
      <c r="J206" s="191"/>
      <c r="K206" s="191"/>
      <c r="L206" s="191"/>
      <c r="M206" s="191"/>
      <c r="N206" s="191"/>
      <c r="O206" s="191"/>
    </row>
    <row r="207">
      <c r="A207" s="191"/>
      <c r="B207" s="191"/>
      <c r="C207" s="191"/>
      <c r="D207" s="191"/>
      <c r="E207" s="191"/>
      <c r="F207" s="191"/>
      <c r="G207" s="191"/>
      <c r="H207" s="191"/>
      <c r="I207" s="191"/>
      <c r="J207" s="191"/>
      <c r="K207" s="191"/>
      <c r="L207" s="191"/>
      <c r="M207" s="191"/>
      <c r="N207" s="191"/>
      <c r="O207" s="191"/>
    </row>
    <row r="208">
      <c r="A208" s="191"/>
      <c r="B208" s="191"/>
      <c r="C208" s="191"/>
      <c r="D208" s="191"/>
      <c r="E208" s="191"/>
      <c r="F208" s="191"/>
      <c r="G208" s="191"/>
      <c r="H208" s="191"/>
      <c r="I208" s="191"/>
      <c r="J208" s="191"/>
      <c r="K208" s="191"/>
      <c r="L208" s="191"/>
      <c r="M208" s="191"/>
      <c r="N208" s="191"/>
      <c r="O208" s="191"/>
    </row>
    <row r="209">
      <c r="A209" s="191"/>
      <c r="B209" s="191"/>
      <c r="C209" s="191"/>
      <c r="D209" s="191"/>
      <c r="E209" s="191"/>
      <c r="F209" s="191"/>
      <c r="G209" s="191"/>
      <c r="H209" s="191"/>
      <c r="I209" s="191"/>
      <c r="J209" s="191"/>
      <c r="K209" s="191"/>
      <c r="L209" s="191"/>
      <c r="M209" s="191"/>
      <c r="N209" s="191"/>
      <c r="O209" s="191"/>
    </row>
    <row r="210">
      <c r="A210" s="191"/>
      <c r="B210" s="191"/>
      <c r="C210" s="191"/>
      <c r="D210" s="191"/>
      <c r="E210" s="191"/>
      <c r="F210" s="191"/>
      <c r="G210" s="191"/>
      <c r="H210" s="191"/>
      <c r="I210" s="191"/>
      <c r="J210" s="191"/>
      <c r="K210" s="191"/>
      <c r="L210" s="191"/>
      <c r="M210" s="191"/>
      <c r="N210" s="191"/>
      <c r="O210" s="191"/>
    </row>
    <row r="211">
      <c r="A211" s="191"/>
      <c r="B211" s="191"/>
      <c r="C211" s="191"/>
      <c r="D211" s="191"/>
      <c r="E211" s="191"/>
      <c r="F211" s="191"/>
      <c r="G211" s="191"/>
      <c r="H211" s="191"/>
      <c r="I211" s="191"/>
      <c r="J211" s="191"/>
      <c r="K211" s="191"/>
      <c r="L211" s="191"/>
      <c r="M211" s="191"/>
      <c r="N211" s="191"/>
      <c r="O211" s="191"/>
    </row>
    <row r="212">
      <c r="A212" s="191"/>
      <c r="B212" s="191"/>
      <c r="C212" s="191"/>
      <c r="D212" s="191"/>
      <c r="E212" s="191"/>
      <c r="F212" s="191"/>
      <c r="G212" s="191"/>
      <c r="H212" s="191"/>
      <c r="I212" s="191"/>
      <c r="J212" s="191"/>
      <c r="K212" s="191"/>
      <c r="L212" s="191"/>
      <c r="M212" s="191"/>
      <c r="N212" s="191"/>
      <c r="O212" s="191"/>
    </row>
    <row r="213">
      <c r="A213" s="191"/>
      <c r="B213" s="191"/>
      <c r="C213" s="191"/>
      <c r="D213" s="191"/>
      <c r="E213" s="191"/>
      <c r="F213" s="191"/>
      <c r="G213" s="191"/>
      <c r="H213" s="191"/>
      <c r="I213" s="191"/>
      <c r="J213" s="191"/>
      <c r="K213" s="191"/>
      <c r="L213" s="191"/>
      <c r="M213" s="191"/>
      <c r="N213" s="191"/>
      <c r="O213" s="191"/>
    </row>
    <row r="214">
      <c r="A214" s="191"/>
      <c r="B214" s="191"/>
      <c r="C214" s="191"/>
      <c r="D214" s="191"/>
      <c r="E214" s="191"/>
      <c r="F214" s="191"/>
      <c r="G214" s="191"/>
      <c r="H214" s="191"/>
      <c r="I214" s="191"/>
      <c r="J214" s="191"/>
      <c r="K214" s="191"/>
      <c r="L214" s="191"/>
      <c r="M214" s="191"/>
      <c r="N214" s="191"/>
      <c r="O214" s="191"/>
    </row>
    <row r="215">
      <c r="A215" s="191"/>
      <c r="B215" s="191"/>
      <c r="C215" s="191"/>
      <c r="D215" s="191"/>
      <c r="E215" s="191"/>
      <c r="F215" s="191"/>
      <c r="G215" s="191"/>
      <c r="H215" s="191"/>
      <c r="I215" s="191"/>
      <c r="J215" s="191"/>
      <c r="K215" s="191"/>
      <c r="L215" s="191"/>
      <c r="M215" s="191"/>
      <c r="N215" s="191"/>
      <c r="O215" s="191"/>
    </row>
    <row r="216">
      <c r="A216" s="191"/>
      <c r="B216" s="191"/>
      <c r="C216" s="191"/>
      <c r="D216" s="191"/>
      <c r="E216" s="191"/>
      <c r="F216" s="191"/>
      <c r="G216" s="191"/>
      <c r="H216" s="191"/>
      <c r="I216" s="191"/>
      <c r="J216" s="191"/>
      <c r="K216" s="191"/>
      <c r="L216" s="191"/>
      <c r="M216" s="191"/>
      <c r="N216" s="191"/>
      <c r="O216" s="191"/>
    </row>
    <row r="217">
      <c r="A217" s="191"/>
      <c r="B217" s="191"/>
      <c r="C217" s="191"/>
      <c r="D217" s="191"/>
      <c r="E217" s="191"/>
      <c r="F217" s="191"/>
      <c r="G217" s="191"/>
      <c r="H217" s="191"/>
      <c r="I217" s="191"/>
      <c r="J217" s="191"/>
      <c r="K217" s="191"/>
      <c r="L217" s="191"/>
      <c r="M217" s="191"/>
      <c r="N217" s="191"/>
      <c r="O217" s="191"/>
    </row>
    <row r="218">
      <c r="A218" s="191"/>
      <c r="B218" s="191"/>
      <c r="C218" s="191"/>
      <c r="D218" s="191"/>
      <c r="E218" s="191"/>
      <c r="F218" s="191"/>
      <c r="G218" s="191"/>
      <c r="H218" s="191"/>
      <c r="I218" s="191"/>
      <c r="J218" s="191"/>
      <c r="K218" s="191"/>
      <c r="L218" s="191"/>
      <c r="M218" s="191"/>
      <c r="N218" s="191"/>
      <c r="O218" s="191"/>
    </row>
    <row r="219">
      <c r="A219" s="191"/>
      <c r="B219" s="191"/>
      <c r="C219" s="191"/>
      <c r="D219" s="191"/>
      <c r="E219" s="191"/>
      <c r="F219" s="191"/>
      <c r="G219" s="191"/>
      <c r="H219" s="191"/>
      <c r="I219" s="191"/>
      <c r="J219" s="191"/>
      <c r="K219" s="191"/>
      <c r="L219" s="191"/>
      <c r="M219" s="191"/>
      <c r="N219" s="191"/>
      <c r="O219" s="191"/>
    </row>
    <row r="220">
      <c r="A220" s="191"/>
      <c r="B220" s="191"/>
      <c r="C220" s="191"/>
      <c r="D220" s="191"/>
      <c r="E220" s="191"/>
      <c r="F220" s="191"/>
      <c r="G220" s="191"/>
      <c r="H220" s="191"/>
      <c r="I220" s="191"/>
      <c r="J220" s="191"/>
      <c r="K220" s="191"/>
      <c r="L220" s="191"/>
      <c r="M220" s="191"/>
      <c r="N220" s="191"/>
      <c r="O220" s="191"/>
    </row>
    <row r="221">
      <c r="A221" s="191"/>
      <c r="B221" s="191"/>
      <c r="C221" s="191"/>
      <c r="D221" s="191"/>
      <c r="E221" s="191"/>
      <c r="F221" s="191"/>
      <c r="G221" s="191"/>
      <c r="H221" s="191"/>
      <c r="I221" s="191"/>
      <c r="J221" s="191"/>
      <c r="K221" s="191"/>
      <c r="L221" s="191"/>
      <c r="M221" s="191"/>
      <c r="N221" s="191"/>
      <c r="O221" s="191"/>
    </row>
    <row r="222">
      <c r="A222" s="191"/>
      <c r="B222" s="191"/>
      <c r="C222" s="191"/>
      <c r="D222" s="191"/>
      <c r="E222" s="191"/>
      <c r="F222" s="191"/>
      <c r="G222" s="191"/>
      <c r="H222" s="191"/>
      <c r="I222" s="191"/>
      <c r="J222" s="191"/>
      <c r="K222" s="191"/>
      <c r="L222" s="191"/>
      <c r="M222" s="191"/>
      <c r="N222" s="191"/>
      <c r="O222" s="191"/>
    </row>
    <row r="223">
      <c r="A223" s="191"/>
      <c r="B223" s="191"/>
      <c r="C223" s="191"/>
      <c r="D223" s="191"/>
      <c r="E223" s="191"/>
      <c r="F223" s="191"/>
      <c r="G223" s="191"/>
      <c r="H223" s="191"/>
      <c r="I223" s="191"/>
      <c r="J223" s="191"/>
      <c r="K223" s="191"/>
      <c r="L223" s="191"/>
      <c r="M223" s="191"/>
      <c r="N223" s="191"/>
      <c r="O223" s="191"/>
    </row>
    <row r="224">
      <c r="A224" s="191"/>
      <c r="B224" s="191"/>
      <c r="C224" s="191"/>
      <c r="D224" s="191"/>
      <c r="E224" s="191"/>
      <c r="F224" s="191"/>
      <c r="G224" s="191"/>
      <c r="H224" s="191"/>
      <c r="I224" s="191"/>
      <c r="J224" s="191"/>
      <c r="K224" s="191"/>
      <c r="L224" s="191"/>
      <c r="M224" s="191"/>
      <c r="N224" s="191"/>
      <c r="O224" s="191"/>
    </row>
    <row r="225">
      <c r="A225" s="191"/>
      <c r="B225" s="191"/>
      <c r="C225" s="191"/>
      <c r="D225" s="191"/>
      <c r="E225" s="191"/>
      <c r="F225" s="191"/>
      <c r="G225" s="191"/>
      <c r="H225" s="191"/>
      <c r="I225" s="191"/>
      <c r="J225" s="191"/>
      <c r="K225" s="191"/>
      <c r="L225" s="191"/>
      <c r="M225" s="191"/>
      <c r="N225" s="191"/>
      <c r="O225" s="191"/>
    </row>
    <row r="226">
      <c r="A226" s="191"/>
      <c r="B226" s="191"/>
      <c r="C226" s="191"/>
      <c r="D226" s="191"/>
      <c r="E226" s="191"/>
      <c r="F226" s="191"/>
      <c r="G226" s="191"/>
      <c r="H226" s="191"/>
      <c r="I226" s="191"/>
      <c r="J226" s="191"/>
      <c r="K226" s="191"/>
      <c r="L226" s="191"/>
      <c r="M226" s="191"/>
      <c r="N226" s="191"/>
      <c r="O226" s="191"/>
    </row>
    <row r="227">
      <c r="A227" s="191"/>
      <c r="B227" s="191"/>
      <c r="C227" s="191"/>
      <c r="D227" s="191"/>
      <c r="E227" s="191"/>
      <c r="F227" s="191"/>
      <c r="G227" s="191"/>
      <c r="H227" s="191"/>
      <c r="I227" s="191"/>
      <c r="J227" s="191"/>
      <c r="K227" s="191"/>
      <c r="L227" s="191"/>
      <c r="M227" s="191"/>
      <c r="N227" s="191"/>
      <c r="O227" s="191"/>
    </row>
    <row r="228">
      <c r="A228" s="191"/>
      <c r="B228" s="191"/>
      <c r="C228" s="191"/>
      <c r="D228" s="191"/>
      <c r="E228" s="191"/>
      <c r="F228" s="191"/>
      <c r="G228" s="191"/>
      <c r="H228" s="191"/>
      <c r="I228" s="191"/>
      <c r="J228" s="191"/>
      <c r="K228" s="191"/>
      <c r="L228" s="191"/>
      <c r="M228" s="191"/>
      <c r="N228" s="191"/>
      <c r="O228" s="191"/>
    </row>
    <row r="229">
      <c r="A229" s="191"/>
      <c r="B229" s="191"/>
      <c r="C229" s="191"/>
      <c r="D229" s="191"/>
      <c r="E229" s="191"/>
      <c r="F229" s="191"/>
      <c r="G229" s="191"/>
      <c r="H229" s="191"/>
      <c r="I229" s="191"/>
      <c r="J229" s="191"/>
      <c r="K229" s="191"/>
      <c r="L229" s="191"/>
      <c r="M229" s="191"/>
      <c r="N229" s="191"/>
      <c r="O229" s="191"/>
    </row>
    <row r="230">
      <c r="A230" s="191"/>
      <c r="B230" s="191"/>
      <c r="C230" s="191"/>
      <c r="D230" s="191"/>
      <c r="E230" s="191"/>
      <c r="F230" s="191"/>
      <c r="G230" s="191"/>
      <c r="H230" s="191"/>
      <c r="I230" s="191"/>
      <c r="J230" s="191"/>
      <c r="K230" s="191"/>
      <c r="L230" s="191"/>
      <c r="M230" s="191"/>
      <c r="N230" s="191"/>
      <c r="O230" s="191"/>
    </row>
    <row r="231">
      <c r="A231" s="191"/>
      <c r="B231" s="191"/>
      <c r="C231" s="191"/>
      <c r="D231" s="191"/>
      <c r="E231" s="191"/>
      <c r="F231" s="191"/>
      <c r="G231" s="191"/>
      <c r="H231" s="191"/>
      <c r="I231" s="191"/>
      <c r="J231" s="191"/>
      <c r="K231" s="191"/>
      <c r="L231" s="191"/>
      <c r="M231" s="191"/>
      <c r="N231" s="191"/>
      <c r="O231" s="191"/>
    </row>
    <row r="232">
      <c r="A232" s="191"/>
      <c r="B232" s="191"/>
      <c r="C232" s="191"/>
      <c r="D232" s="191"/>
      <c r="E232" s="192"/>
      <c r="F232" s="192"/>
      <c r="G232" s="192"/>
      <c r="H232" s="192"/>
      <c r="I232" s="191"/>
      <c r="J232" s="191"/>
      <c r="K232" s="191"/>
      <c r="L232" s="191"/>
      <c r="M232" s="191"/>
      <c r="N232" s="191"/>
      <c r="O232" s="191"/>
    </row>
    <row r="233">
      <c r="A233" s="191"/>
      <c r="B233" s="191"/>
      <c r="C233" s="192"/>
      <c r="D233" s="193"/>
      <c r="E233" s="191"/>
      <c r="F233" s="193"/>
      <c r="G233" s="191"/>
      <c r="H233" s="192"/>
      <c r="I233" s="192"/>
      <c r="J233" s="192"/>
      <c r="K233" s="192"/>
      <c r="L233" s="192"/>
      <c r="M233" s="191"/>
      <c r="N233" s="191"/>
      <c r="O233" s="191"/>
    </row>
    <row r="234">
      <c r="A234" s="191"/>
      <c r="B234" s="191"/>
      <c r="C234" s="191"/>
      <c r="D234" s="191"/>
      <c r="E234" s="191"/>
      <c r="F234" s="193"/>
      <c r="G234" s="191"/>
      <c r="H234" s="192"/>
      <c r="I234" s="191"/>
      <c r="J234" s="191"/>
      <c r="K234" s="191"/>
      <c r="L234" s="191"/>
      <c r="M234" s="191"/>
      <c r="N234" s="191"/>
      <c r="O234" s="191"/>
    </row>
    <row r="235">
      <c r="A235" s="191"/>
      <c r="B235" s="191"/>
      <c r="C235" s="191"/>
      <c r="D235" s="191"/>
      <c r="E235" s="192"/>
      <c r="F235" s="192"/>
      <c r="G235" s="192"/>
      <c r="H235" s="192"/>
      <c r="I235" s="191"/>
      <c r="J235" s="191"/>
      <c r="K235" s="191"/>
      <c r="L235" s="191"/>
      <c r="M235" s="191"/>
      <c r="N235" s="191"/>
      <c r="O235" s="191"/>
    </row>
    <row r="236">
      <c r="A236" s="191"/>
      <c r="B236" s="191"/>
      <c r="C236" s="191"/>
      <c r="D236" s="191"/>
      <c r="E236" s="191"/>
      <c r="F236" s="191"/>
      <c r="G236" s="191"/>
      <c r="H236" s="191"/>
      <c r="I236" s="192"/>
      <c r="J236" s="192"/>
      <c r="K236" s="192"/>
      <c r="L236" s="191"/>
      <c r="M236" s="191"/>
      <c r="N236" s="191"/>
      <c r="O236" s="191"/>
    </row>
    <row r="237">
      <c r="A237" s="191"/>
      <c r="B237" s="191"/>
      <c r="C237" s="191"/>
      <c r="D237" s="191"/>
      <c r="E237" s="191"/>
      <c r="F237" s="191"/>
      <c r="G237" s="191"/>
      <c r="H237" s="191"/>
      <c r="I237" s="191"/>
      <c r="J237" s="191"/>
      <c r="K237" s="191"/>
      <c r="L237" s="191"/>
      <c r="M237" s="191"/>
      <c r="N237" s="191"/>
      <c r="O237" s="191"/>
    </row>
    <row r="238">
      <c r="A238" s="191"/>
      <c r="B238" s="191"/>
      <c r="C238" s="191"/>
      <c r="D238" s="191"/>
      <c r="E238" s="191"/>
      <c r="F238" s="191"/>
      <c r="G238" s="191"/>
      <c r="H238" s="191"/>
      <c r="I238" s="191"/>
      <c r="J238" s="191"/>
      <c r="K238" s="191"/>
      <c r="L238" s="191"/>
      <c r="M238" s="191"/>
      <c r="N238" s="191"/>
      <c r="O238" s="191"/>
    </row>
    <row r="239">
      <c r="A239" s="191"/>
      <c r="B239" s="191"/>
      <c r="C239" s="191"/>
      <c r="D239" s="191"/>
      <c r="E239" s="191"/>
      <c r="F239" s="191"/>
      <c r="G239" s="191"/>
      <c r="H239" s="191"/>
      <c r="I239" s="191"/>
      <c r="J239" s="191"/>
      <c r="K239" s="191"/>
      <c r="L239" s="191"/>
      <c r="M239" s="191"/>
      <c r="N239" s="191"/>
      <c r="O239" s="191"/>
    </row>
    <row r="240">
      <c r="A240" s="191"/>
      <c r="B240" s="191"/>
      <c r="C240" s="191"/>
      <c r="D240" s="191"/>
      <c r="E240" s="191"/>
      <c r="F240" s="191"/>
      <c r="G240" s="191"/>
      <c r="H240" s="191"/>
      <c r="I240" s="191"/>
      <c r="J240" s="191"/>
      <c r="K240" s="191"/>
      <c r="L240" s="191"/>
      <c r="M240" s="191"/>
      <c r="N240" s="191"/>
      <c r="O240" s="191"/>
    </row>
    <row r="241">
      <c r="A241" s="191"/>
      <c r="B241" s="191"/>
      <c r="C241" s="191"/>
      <c r="D241" s="191"/>
      <c r="E241" s="191"/>
      <c r="F241" s="191"/>
      <c r="G241" s="191"/>
      <c r="H241" s="191"/>
      <c r="I241" s="191"/>
      <c r="J241" s="191"/>
      <c r="K241" s="191"/>
      <c r="L241" s="191"/>
      <c r="M241" s="191"/>
      <c r="N241" s="191"/>
      <c r="O241" s="191"/>
    </row>
    <row r="242">
      <c r="A242" s="191"/>
      <c r="B242" s="191"/>
      <c r="C242" s="191"/>
      <c r="D242" s="191"/>
      <c r="E242" s="191"/>
      <c r="F242" s="191"/>
      <c r="G242" s="191"/>
      <c r="H242" s="191"/>
      <c r="I242" s="191"/>
      <c r="J242" s="191"/>
      <c r="K242" s="191"/>
      <c r="L242" s="191"/>
      <c r="M242" s="191"/>
      <c r="N242" s="191"/>
      <c r="O242" s="191"/>
    </row>
    <row r="243">
      <c r="A243" s="191"/>
      <c r="B243" s="191"/>
      <c r="C243" s="191"/>
      <c r="D243" s="191"/>
      <c r="E243" s="191"/>
      <c r="F243" s="191"/>
      <c r="G243" s="191"/>
      <c r="H243" s="191"/>
      <c r="I243" s="191"/>
      <c r="J243" s="191"/>
      <c r="K243" s="191"/>
      <c r="L243" s="191"/>
      <c r="M243" s="191"/>
      <c r="N243" s="191"/>
      <c r="O243" s="191"/>
    </row>
    <row r="244">
      <c r="A244" s="191"/>
      <c r="B244" s="191"/>
      <c r="C244" s="191"/>
      <c r="D244" s="191"/>
      <c r="E244" s="191"/>
      <c r="F244" s="191"/>
      <c r="G244" s="191"/>
      <c r="H244" s="191"/>
      <c r="I244" s="191"/>
      <c r="J244" s="191"/>
      <c r="K244" s="191"/>
      <c r="L244" s="191"/>
      <c r="M244" s="191"/>
      <c r="N244" s="191"/>
      <c r="O244" s="191"/>
    </row>
    <row r="245">
      <c r="A245" s="191"/>
      <c r="B245" s="191"/>
      <c r="C245" s="191"/>
      <c r="D245" s="191"/>
      <c r="E245" s="191"/>
      <c r="F245" s="191"/>
      <c r="G245" s="191"/>
      <c r="H245" s="191"/>
      <c r="I245" s="191"/>
      <c r="J245" s="191"/>
      <c r="K245" s="191"/>
      <c r="L245" s="191"/>
      <c r="M245" s="191"/>
      <c r="N245" s="191"/>
      <c r="O245" s="191"/>
    </row>
    <row r="246">
      <c r="A246" s="191"/>
      <c r="B246" s="191"/>
      <c r="C246" s="191"/>
      <c r="D246" s="191"/>
      <c r="E246" s="191"/>
      <c r="F246" s="191"/>
      <c r="G246" s="191"/>
      <c r="H246" s="191"/>
      <c r="I246" s="191"/>
      <c r="J246" s="191"/>
      <c r="K246" s="191"/>
      <c r="L246" s="191"/>
      <c r="M246" s="191"/>
      <c r="N246" s="191"/>
      <c r="O246" s="191"/>
    </row>
    <row r="247">
      <c r="A247" s="191"/>
      <c r="B247" s="191"/>
      <c r="C247" s="191"/>
      <c r="D247" s="191"/>
      <c r="E247" s="191"/>
      <c r="F247" s="191"/>
      <c r="G247" s="191"/>
      <c r="H247" s="191"/>
      <c r="I247" s="191"/>
      <c r="J247" s="191"/>
      <c r="K247" s="191"/>
      <c r="L247" s="191"/>
      <c r="M247" s="191"/>
      <c r="N247" s="191"/>
      <c r="O247" s="191"/>
    </row>
    <row r="248">
      <c r="A248" s="191"/>
      <c r="B248" s="191"/>
      <c r="C248" s="191"/>
      <c r="D248" s="191"/>
      <c r="E248" s="191"/>
      <c r="F248" s="191"/>
      <c r="G248" s="191"/>
      <c r="H248" s="191"/>
      <c r="I248" s="191"/>
      <c r="J248" s="191"/>
      <c r="K248" s="191"/>
      <c r="L248" s="191"/>
      <c r="M248" s="191"/>
      <c r="N248" s="191"/>
      <c r="O248" s="191"/>
    </row>
    <row r="249">
      <c r="A249" s="191"/>
      <c r="B249" s="191"/>
      <c r="C249" s="191"/>
      <c r="D249" s="191"/>
      <c r="E249" s="191"/>
      <c r="F249" s="191"/>
      <c r="G249" s="191"/>
      <c r="H249" s="191"/>
      <c r="I249" s="191"/>
      <c r="J249" s="191"/>
      <c r="K249" s="191"/>
      <c r="L249" s="191"/>
      <c r="M249" s="191"/>
      <c r="N249" s="191"/>
      <c r="O249" s="191"/>
    </row>
    <row r="250">
      <c r="A250" s="191"/>
      <c r="B250" s="191"/>
      <c r="C250" s="191"/>
      <c r="D250" s="191"/>
      <c r="E250" s="191"/>
      <c r="F250" s="191"/>
      <c r="G250" s="191"/>
      <c r="H250" s="191"/>
      <c r="I250" s="191"/>
      <c r="J250" s="191"/>
      <c r="K250" s="191"/>
      <c r="L250" s="191"/>
      <c r="M250" s="191"/>
      <c r="N250" s="191"/>
      <c r="O250" s="191"/>
    </row>
    <row r="251">
      <c r="A251" s="191"/>
      <c r="B251" s="191"/>
      <c r="C251" s="191"/>
      <c r="D251" s="191"/>
      <c r="E251" s="191"/>
      <c r="F251" s="191"/>
      <c r="G251" s="191"/>
      <c r="H251" s="191"/>
      <c r="I251" s="191"/>
      <c r="J251" s="191"/>
      <c r="K251" s="191"/>
      <c r="L251" s="191"/>
      <c r="M251" s="191"/>
      <c r="N251" s="191"/>
      <c r="O251" s="191"/>
    </row>
    <row r="252">
      <c r="A252" s="191"/>
      <c r="B252" s="191"/>
      <c r="C252" s="191"/>
      <c r="D252" s="191"/>
      <c r="E252" s="191"/>
      <c r="F252" s="191"/>
      <c r="G252" s="191"/>
      <c r="H252" s="191"/>
      <c r="I252" s="191"/>
      <c r="J252" s="191"/>
      <c r="K252" s="191"/>
      <c r="L252" s="191"/>
      <c r="M252" s="191"/>
      <c r="N252" s="191"/>
      <c r="O252" s="191"/>
    </row>
    <row r="253">
      <c r="A253" s="191"/>
      <c r="B253" s="191"/>
      <c r="C253" s="191"/>
      <c r="D253" s="191"/>
      <c r="E253" s="191"/>
      <c r="F253" s="191"/>
      <c r="G253" s="191"/>
      <c r="H253" s="191"/>
      <c r="I253" s="191"/>
      <c r="J253" s="191"/>
      <c r="K253" s="191"/>
      <c r="L253" s="191"/>
      <c r="M253" s="191"/>
      <c r="N253" s="191"/>
      <c r="O253" s="191"/>
    </row>
    <row r="254">
      <c r="A254" s="191"/>
      <c r="B254" s="191"/>
      <c r="C254" s="191"/>
      <c r="D254" s="191"/>
      <c r="E254" s="191"/>
      <c r="F254" s="191"/>
      <c r="G254" s="191"/>
      <c r="H254" s="191"/>
      <c r="I254" s="191"/>
      <c r="J254" s="191"/>
      <c r="K254" s="191"/>
      <c r="L254" s="191"/>
      <c r="M254" s="191"/>
      <c r="N254" s="191"/>
      <c r="O254" s="191"/>
    </row>
    <row r="255">
      <c r="A255" s="191"/>
      <c r="B255" s="191"/>
      <c r="C255" s="191"/>
      <c r="D255" s="191"/>
      <c r="E255" s="191"/>
      <c r="F255" s="191"/>
      <c r="G255" s="191"/>
      <c r="H255" s="191"/>
      <c r="I255" s="191"/>
      <c r="J255" s="191"/>
      <c r="K255" s="191"/>
      <c r="L255" s="191"/>
      <c r="M255" s="191"/>
      <c r="N255" s="191"/>
      <c r="O255" s="191"/>
    </row>
    <row r="256">
      <c r="A256" s="191"/>
      <c r="B256" s="191"/>
      <c r="C256" s="191"/>
      <c r="D256" s="191"/>
      <c r="E256" s="191"/>
      <c r="F256" s="191"/>
      <c r="G256" s="191"/>
      <c r="H256" s="191"/>
      <c r="I256" s="191"/>
      <c r="J256" s="191"/>
      <c r="K256" s="191"/>
      <c r="L256" s="191"/>
      <c r="M256" s="191"/>
      <c r="N256" s="191"/>
      <c r="O256" s="191"/>
    </row>
    <row r="257">
      <c r="A257" s="191"/>
      <c r="B257" s="191"/>
      <c r="C257" s="191"/>
      <c r="D257" s="191"/>
      <c r="E257" s="191"/>
      <c r="F257" s="191"/>
      <c r="G257" s="191"/>
      <c r="H257" s="191"/>
      <c r="I257" s="191"/>
      <c r="J257" s="191"/>
      <c r="K257" s="191"/>
      <c r="L257" s="191"/>
      <c r="M257" s="191"/>
      <c r="N257" s="191"/>
      <c r="O257" s="191"/>
    </row>
    <row r="258">
      <c r="A258" s="191"/>
      <c r="B258" s="191"/>
      <c r="C258" s="191"/>
      <c r="D258" s="191"/>
      <c r="E258" s="191"/>
      <c r="F258" s="191"/>
      <c r="G258" s="191"/>
      <c r="H258" s="191"/>
      <c r="I258" s="191"/>
      <c r="J258" s="191"/>
      <c r="K258" s="191"/>
      <c r="L258" s="191"/>
      <c r="M258" s="191"/>
      <c r="N258" s="191"/>
      <c r="O258" s="191"/>
    </row>
    <row r="259">
      <c r="A259" s="191"/>
      <c r="B259" s="191"/>
      <c r="C259" s="191"/>
      <c r="D259" s="191"/>
      <c r="E259" s="191"/>
      <c r="F259" s="191"/>
      <c r="G259" s="191"/>
      <c r="H259" s="191"/>
      <c r="I259" s="191"/>
      <c r="J259" s="191"/>
      <c r="K259" s="191"/>
      <c r="L259" s="191"/>
      <c r="M259" s="191"/>
      <c r="N259" s="191"/>
      <c r="O259" s="191"/>
    </row>
    <row r="260">
      <c r="A260" s="191"/>
      <c r="B260" s="191"/>
      <c r="C260" s="191"/>
      <c r="D260" s="191"/>
      <c r="E260" s="191"/>
      <c r="F260" s="191"/>
      <c r="G260" s="191"/>
      <c r="H260" s="191"/>
      <c r="I260" s="191"/>
      <c r="J260" s="191"/>
      <c r="K260" s="191"/>
      <c r="L260" s="191"/>
      <c r="M260" s="191"/>
      <c r="N260" s="191"/>
      <c r="O260" s="191"/>
    </row>
    <row r="261">
      <c r="A261" s="191"/>
      <c r="B261" s="191"/>
      <c r="C261" s="191"/>
      <c r="D261" s="191"/>
      <c r="E261" s="191"/>
      <c r="F261" s="191"/>
      <c r="G261" s="191"/>
      <c r="H261" s="191"/>
      <c r="I261" s="191"/>
      <c r="J261" s="191"/>
      <c r="K261" s="191"/>
      <c r="L261" s="191"/>
      <c r="M261" s="191"/>
      <c r="N261" s="191"/>
      <c r="O261" s="191"/>
    </row>
    <row r="262">
      <c r="A262" s="191"/>
      <c r="B262" s="191"/>
      <c r="C262" s="191"/>
      <c r="D262" s="191"/>
      <c r="E262" s="191"/>
      <c r="F262" s="191"/>
      <c r="G262" s="191"/>
      <c r="H262" s="191"/>
      <c r="I262" s="191"/>
      <c r="J262" s="191"/>
      <c r="K262" s="191"/>
      <c r="L262" s="191"/>
      <c r="M262" s="191"/>
      <c r="N262" s="191"/>
      <c r="O262" s="191"/>
    </row>
    <row r="263">
      <c r="A263" s="191"/>
      <c r="B263" s="191"/>
      <c r="C263" s="191"/>
      <c r="D263" s="191"/>
      <c r="E263" s="191"/>
      <c r="F263" s="191"/>
      <c r="G263" s="191"/>
      <c r="H263" s="191"/>
      <c r="I263" s="191"/>
      <c r="J263" s="191"/>
      <c r="K263" s="191"/>
      <c r="L263" s="191"/>
      <c r="M263" s="191"/>
      <c r="N263" s="191"/>
      <c r="O263" s="191"/>
    </row>
    <row r="264">
      <c r="A264" s="191"/>
      <c r="B264" s="191"/>
      <c r="C264" s="191"/>
      <c r="D264" s="191"/>
      <c r="E264" s="191"/>
      <c r="F264" s="191"/>
      <c r="G264" s="191"/>
      <c r="H264" s="191"/>
      <c r="I264" s="191"/>
      <c r="J264" s="191"/>
      <c r="K264" s="191"/>
      <c r="L264" s="191"/>
      <c r="M264" s="191"/>
      <c r="N264" s="191"/>
      <c r="O264" s="191"/>
    </row>
    <row r="265">
      <c r="A265" s="191"/>
      <c r="B265" s="191"/>
      <c r="C265" s="191"/>
      <c r="D265" s="191"/>
      <c r="E265" s="191"/>
      <c r="F265" s="191"/>
      <c r="G265" s="191"/>
      <c r="H265" s="191"/>
      <c r="I265" s="191"/>
      <c r="J265" s="191"/>
      <c r="K265" s="191"/>
      <c r="L265" s="191"/>
      <c r="M265" s="191"/>
      <c r="N265" s="191"/>
      <c r="O265" s="191"/>
    </row>
    <row r="266">
      <c r="A266" s="191"/>
      <c r="B266" s="191"/>
      <c r="C266" s="191"/>
      <c r="D266" s="191"/>
      <c r="E266" s="191"/>
      <c r="F266" s="191"/>
      <c r="G266" s="191"/>
      <c r="H266" s="191"/>
      <c r="I266" s="191"/>
      <c r="J266" s="191"/>
      <c r="K266" s="191"/>
      <c r="L266" s="191"/>
      <c r="M266" s="191"/>
      <c r="N266" s="191"/>
      <c r="O266" s="191"/>
    </row>
    <row r="267">
      <c r="A267" s="191"/>
      <c r="B267" s="191"/>
      <c r="C267" s="191"/>
      <c r="D267" s="191"/>
      <c r="E267" s="191"/>
      <c r="F267" s="191"/>
      <c r="G267" s="191"/>
      <c r="H267" s="191"/>
      <c r="I267" s="191"/>
      <c r="J267" s="191"/>
      <c r="K267" s="191"/>
      <c r="L267" s="191"/>
      <c r="M267" s="191"/>
      <c r="N267" s="191"/>
      <c r="O267" s="191"/>
    </row>
    <row r="268">
      <c r="A268" s="191"/>
      <c r="B268" s="191"/>
      <c r="C268" s="191"/>
      <c r="D268" s="191"/>
      <c r="E268" s="191"/>
      <c r="F268" s="191"/>
      <c r="G268" s="191"/>
      <c r="H268" s="191"/>
      <c r="I268" s="191"/>
      <c r="J268" s="191"/>
      <c r="K268" s="191"/>
      <c r="L268" s="191"/>
      <c r="M268" s="191"/>
      <c r="N268" s="191"/>
      <c r="O268" s="191"/>
    </row>
    <row r="269">
      <c r="A269" s="191"/>
      <c r="B269" s="191"/>
      <c r="C269" s="191"/>
      <c r="D269" s="191"/>
      <c r="E269" s="191"/>
      <c r="F269" s="191"/>
      <c r="G269" s="191"/>
      <c r="H269" s="191"/>
      <c r="I269" s="191"/>
      <c r="J269" s="191"/>
      <c r="K269" s="191"/>
      <c r="L269" s="191"/>
      <c r="M269" s="191"/>
      <c r="N269" s="191"/>
      <c r="O269" s="191"/>
    </row>
    <row r="270">
      <c r="A270" s="191"/>
      <c r="B270" s="191"/>
      <c r="C270" s="191"/>
      <c r="D270" s="191"/>
      <c r="E270" s="191"/>
      <c r="F270" s="191"/>
      <c r="G270" s="191"/>
      <c r="H270" s="191"/>
      <c r="I270" s="191"/>
      <c r="J270" s="191"/>
      <c r="K270" s="191"/>
      <c r="L270" s="191"/>
      <c r="M270" s="191"/>
      <c r="N270" s="191"/>
      <c r="O270" s="191"/>
    </row>
    <row r="271">
      <c r="A271" s="191"/>
      <c r="B271" s="191"/>
      <c r="C271" s="191"/>
      <c r="D271" s="191"/>
      <c r="E271" s="191"/>
      <c r="F271" s="191"/>
      <c r="G271" s="191"/>
      <c r="H271" s="191"/>
      <c r="I271" s="191"/>
      <c r="J271" s="191"/>
      <c r="K271" s="191"/>
      <c r="L271" s="191"/>
      <c r="M271" s="191"/>
      <c r="N271" s="191"/>
      <c r="O271" s="191"/>
    </row>
    <row r="272">
      <c r="A272" s="191"/>
      <c r="B272" s="191"/>
      <c r="C272" s="191"/>
      <c r="D272" s="191"/>
      <c r="E272" s="191"/>
      <c r="F272" s="191"/>
      <c r="G272" s="191"/>
      <c r="H272" s="191"/>
      <c r="I272" s="191"/>
      <c r="J272" s="191"/>
      <c r="K272" s="191"/>
      <c r="L272" s="191"/>
      <c r="M272" s="191"/>
      <c r="N272" s="191"/>
      <c r="O272" s="191"/>
    </row>
    <row r="273">
      <c r="A273" s="191"/>
      <c r="B273" s="191"/>
      <c r="C273" s="191"/>
      <c r="D273" s="191"/>
      <c r="E273" s="191"/>
      <c r="F273" s="191"/>
      <c r="G273" s="191"/>
      <c r="H273" s="191"/>
      <c r="I273" s="191"/>
      <c r="J273" s="191"/>
      <c r="K273" s="191"/>
      <c r="L273" s="191"/>
      <c r="M273" s="191"/>
      <c r="N273" s="191"/>
      <c r="O273" s="191"/>
    </row>
    <row r="274">
      <c r="A274" s="191"/>
      <c r="B274" s="191"/>
      <c r="C274" s="191"/>
      <c r="D274" s="191"/>
      <c r="E274" s="191"/>
      <c r="F274" s="191"/>
      <c r="G274" s="191"/>
      <c r="H274" s="191"/>
      <c r="I274" s="191"/>
      <c r="J274" s="191"/>
      <c r="K274" s="191"/>
      <c r="L274" s="191"/>
      <c r="M274" s="191"/>
      <c r="N274" s="191"/>
      <c r="O274" s="191"/>
    </row>
    <row r="275">
      <c r="A275" s="191"/>
      <c r="B275" s="191"/>
      <c r="C275" s="191"/>
      <c r="D275" s="191"/>
      <c r="E275" s="191"/>
      <c r="F275" s="191"/>
      <c r="G275" s="191"/>
      <c r="H275" s="191"/>
      <c r="I275" s="191"/>
      <c r="J275" s="191"/>
      <c r="K275" s="191"/>
      <c r="L275" s="191"/>
      <c r="M275" s="191"/>
      <c r="N275" s="191"/>
      <c r="O275" s="191"/>
    </row>
    <row r="276">
      <c r="A276" s="191"/>
      <c r="B276" s="191"/>
      <c r="C276" s="191"/>
      <c r="D276" s="191"/>
      <c r="E276" s="191"/>
      <c r="F276" s="191"/>
      <c r="G276" s="191"/>
      <c r="H276" s="191"/>
      <c r="I276" s="191"/>
      <c r="J276" s="191"/>
      <c r="K276" s="191"/>
      <c r="L276" s="191"/>
      <c r="M276" s="191"/>
      <c r="N276" s="191"/>
      <c r="O276" s="191"/>
    </row>
    <row r="277">
      <c r="A277" s="191"/>
      <c r="B277" s="191"/>
      <c r="C277" s="191"/>
      <c r="D277" s="191"/>
      <c r="E277" s="191"/>
      <c r="F277" s="191"/>
      <c r="G277" s="191"/>
      <c r="H277" s="191"/>
      <c r="I277" s="191"/>
      <c r="J277" s="191"/>
      <c r="K277" s="191"/>
      <c r="L277" s="191"/>
      <c r="M277" s="191"/>
      <c r="N277" s="191"/>
      <c r="O277" s="191"/>
    </row>
    <row r="278">
      <c r="A278" s="191"/>
      <c r="B278" s="191"/>
      <c r="C278" s="191"/>
      <c r="D278" s="191"/>
      <c r="E278" s="191"/>
      <c r="F278" s="191"/>
      <c r="G278" s="191"/>
      <c r="H278" s="191"/>
      <c r="I278" s="191"/>
      <c r="J278" s="191"/>
      <c r="K278" s="191"/>
      <c r="L278" s="191"/>
      <c r="M278" s="191"/>
      <c r="N278" s="191"/>
      <c r="O278" s="191"/>
    </row>
    <row r="279">
      <c r="A279" s="191"/>
      <c r="B279" s="191"/>
      <c r="C279" s="191"/>
      <c r="D279" s="191"/>
      <c r="E279" s="191"/>
      <c r="F279" s="191"/>
      <c r="G279" s="191"/>
      <c r="H279" s="191"/>
      <c r="I279" s="191"/>
      <c r="J279" s="191"/>
      <c r="K279" s="191"/>
      <c r="L279" s="191"/>
      <c r="M279" s="191"/>
      <c r="N279" s="191"/>
      <c r="O279" s="191"/>
    </row>
    <row r="280">
      <c r="A280" s="191"/>
      <c r="B280" s="191"/>
      <c r="C280" s="191"/>
      <c r="D280" s="191"/>
      <c r="E280" s="191"/>
      <c r="F280" s="191"/>
      <c r="G280" s="191"/>
      <c r="H280" s="191"/>
      <c r="I280" s="191"/>
      <c r="J280" s="191"/>
      <c r="K280" s="191"/>
      <c r="L280" s="191"/>
      <c r="M280" s="191"/>
      <c r="N280" s="191"/>
      <c r="O280" s="191"/>
    </row>
    <row r="281">
      <c r="A281" s="191"/>
      <c r="B281" s="191"/>
      <c r="C281" s="191"/>
      <c r="D281" s="191"/>
      <c r="E281" s="191"/>
      <c r="F281" s="191"/>
      <c r="G281" s="191"/>
      <c r="H281" s="191"/>
      <c r="I281" s="191"/>
      <c r="J281" s="191"/>
      <c r="K281" s="191"/>
      <c r="L281" s="191"/>
      <c r="M281" s="191"/>
      <c r="N281" s="191"/>
      <c r="O281" s="191"/>
    </row>
    <row r="282">
      <c r="A282" s="191"/>
      <c r="B282" s="191"/>
      <c r="C282" s="191"/>
      <c r="D282" s="191"/>
      <c r="E282" s="191"/>
      <c r="F282" s="191"/>
      <c r="G282" s="191"/>
      <c r="H282" s="191"/>
      <c r="I282" s="191"/>
      <c r="J282" s="191"/>
      <c r="K282" s="191"/>
      <c r="L282" s="191"/>
      <c r="M282" s="191"/>
      <c r="N282" s="191"/>
      <c r="O282" s="191"/>
    </row>
    <row r="283">
      <c r="A283" s="191"/>
      <c r="B283" s="191"/>
      <c r="C283" s="191"/>
      <c r="D283" s="191"/>
      <c r="E283" s="191"/>
      <c r="F283" s="191"/>
      <c r="G283" s="191"/>
      <c r="H283" s="191"/>
      <c r="I283" s="191"/>
      <c r="J283" s="191"/>
      <c r="K283" s="191"/>
      <c r="L283" s="191"/>
      <c r="M283" s="191"/>
      <c r="N283" s="191"/>
      <c r="O283" s="191"/>
    </row>
    <row r="284">
      <c r="A284" s="191"/>
      <c r="B284" s="191"/>
      <c r="C284" s="191"/>
      <c r="D284" s="191"/>
      <c r="E284" s="191"/>
      <c r="F284" s="191"/>
      <c r="G284" s="191"/>
      <c r="H284" s="191"/>
      <c r="I284" s="191"/>
      <c r="J284" s="191"/>
      <c r="K284" s="191"/>
      <c r="L284" s="191"/>
      <c r="M284" s="191"/>
      <c r="N284" s="191"/>
      <c r="O284" s="191"/>
    </row>
    <row r="285">
      <c r="A285" s="191"/>
      <c r="B285" s="191"/>
      <c r="C285" s="191"/>
      <c r="D285" s="191"/>
      <c r="E285" s="191"/>
      <c r="F285" s="191"/>
      <c r="G285" s="191"/>
      <c r="H285" s="191"/>
      <c r="I285" s="191"/>
      <c r="J285" s="191"/>
      <c r="K285" s="191"/>
      <c r="L285" s="191"/>
      <c r="M285" s="191"/>
      <c r="N285" s="191"/>
      <c r="O285" s="191"/>
    </row>
    <row r="286">
      <c r="A286" s="191"/>
      <c r="B286" s="191"/>
      <c r="C286" s="191"/>
      <c r="D286" s="191"/>
      <c r="E286" s="191"/>
      <c r="F286" s="191"/>
      <c r="G286" s="191"/>
      <c r="H286" s="191"/>
      <c r="I286" s="191"/>
      <c r="J286" s="191"/>
      <c r="K286" s="191"/>
      <c r="L286" s="191"/>
      <c r="M286" s="191"/>
      <c r="N286" s="191"/>
      <c r="O286" s="191"/>
    </row>
    <row r="287">
      <c r="A287" s="191"/>
      <c r="B287" s="191"/>
      <c r="C287" s="191"/>
      <c r="D287" s="191"/>
      <c r="E287" s="191"/>
      <c r="F287" s="191"/>
      <c r="G287" s="191"/>
      <c r="H287" s="191"/>
      <c r="I287" s="191"/>
      <c r="J287" s="191"/>
      <c r="K287" s="191"/>
      <c r="L287" s="191"/>
      <c r="M287" s="191"/>
      <c r="N287" s="191"/>
      <c r="O287" s="191"/>
    </row>
    <row r="288">
      <c r="A288" s="191"/>
      <c r="B288" s="191"/>
      <c r="C288" s="191"/>
      <c r="D288" s="191"/>
      <c r="E288" s="191"/>
      <c r="F288" s="191"/>
      <c r="G288" s="191"/>
      <c r="H288" s="191"/>
      <c r="I288" s="191"/>
      <c r="J288" s="191"/>
      <c r="K288" s="191"/>
      <c r="L288" s="191"/>
      <c r="M288" s="191"/>
      <c r="N288" s="191"/>
      <c r="O288" s="191"/>
    </row>
    <row r="289">
      <c r="A289" s="191"/>
      <c r="B289" s="191"/>
      <c r="C289" s="191"/>
      <c r="D289" s="191"/>
      <c r="E289" s="191"/>
      <c r="F289" s="191"/>
      <c r="G289" s="191"/>
      <c r="H289" s="191"/>
      <c r="I289" s="191"/>
      <c r="J289" s="191"/>
      <c r="K289" s="191"/>
      <c r="L289" s="191"/>
      <c r="M289" s="191"/>
      <c r="N289" s="191"/>
      <c r="O289" s="191"/>
    </row>
    <row r="290">
      <c r="A290" s="191"/>
      <c r="B290" s="191"/>
      <c r="C290" s="191"/>
      <c r="D290" s="191"/>
      <c r="E290" s="191"/>
      <c r="F290" s="191"/>
      <c r="G290" s="191"/>
      <c r="H290" s="191"/>
      <c r="I290" s="191"/>
      <c r="J290" s="191"/>
      <c r="K290" s="191"/>
      <c r="L290" s="191"/>
      <c r="M290" s="191"/>
      <c r="N290" s="191"/>
      <c r="O290" s="191"/>
    </row>
    <row r="291">
      <c r="A291" s="191"/>
      <c r="B291" s="191"/>
      <c r="C291" s="191"/>
      <c r="D291" s="191"/>
      <c r="E291" s="191"/>
      <c r="F291" s="191"/>
      <c r="G291" s="191"/>
      <c r="H291" s="191"/>
      <c r="I291" s="191"/>
      <c r="J291" s="191"/>
      <c r="K291" s="191"/>
      <c r="L291" s="191"/>
      <c r="M291" s="191"/>
      <c r="N291" s="191"/>
      <c r="O291" s="191"/>
    </row>
    <row r="292">
      <c r="A292" s="191"/>
      <c r="B292" s="191"/>
      <c r="C292" s="191"/>
      <c r="D292" s="191"/>
      <c r="E292" s="191"/>
      <c r="F292" s="191"/>
      <c r="G292" s="191"/>
      <c r="H292" s="191"/>
      <c r="I292" s="191"/>
      <c r="J292" s="191"/>
      <c r="K292" s="191"/>
      <c r="L292" s="191"/>
      <c r="M292" s="191"/>
      <c r="N292" s="191"/>
      <c r="O292" s="191"/>
    </row>
    <row r="293">
      <c r="A293" s="191"/>
      <c r="B293" s="191"/>
      <c r="C293" s="191"/>
      <c r="D293" s="191"/>
      <c r="E293" s="191"/>
      <c r="F293" s="191"/>
      <c r="G293" s="191"/>
      <c r="H293" s="191"/>
      <c r="I293" s="191"/>
      <c r="J293" s="191"/>
      <c r="K293" s="191"/>
      <c r="L293" s="191"/>
      <c r="M293" s="191"/>
      <c r="N293" s="191"/>
      <c r="O293" s="191"/>
    </row>
    <row r="294">
      <c r="A294" s="191"/>
      <c r="B294" s="191"/>
      <c r="C294" s="191"/>
      <c r="D294" s="191"/>
      <c r="E294" s="191"/>
      <c r="F294" s="191"/>
      <c r="G294" s="191"/>
      <c r="H294" s="191"/>
      <c r="I294" s="191"/>
      <c r="J294" s="191"/>
      <c r="K294" s="191"/>
      <c r="L294" s="191"/>
      <c r="M294" s="191"/>
      <c r="N294" s="191"/>
      <c r="O294" s="191"/>
    </row>
    <row r="295">
      <c r="A295" s="191"/>
      <c r="B295" s="191"/>
      <c r="C295" s="191"/>
      <c r="D295" s="191"/>
      <c r="E295" s="191"/>
      <c r="F295" s="191"/>
      <c r="G295" s="191"/>
      <c r="H295" s="191"/>
      <c r="I295" s="191"/>
      <c r="J295" s="191"/>
      <c r="K295" s="191"/>
      <c r="L295" s="191"/>
      <c r="M295" s="191"/>
      <c r="N295" s="191"/>
      <c r="O295" s="191"/>
    </row>
    <row r="296">
      <c r="A296" s="191"/>
      <c r="B296" s="191"/>
      <c r="C296" s="191"/>
      <c r="D296" s="191"/>
      <c r="E296" s="191"/>
      <c r="F296" s="191"/>
      <c r="G296" s="191"/>
      <c r="H296" s="191"/>
      <c r="I296" s="191"/>
      <c r="J296" s="191"/>
      <c r="K296" s="191"/>
      <c r="L296" s="191"/>
      <c r="M296" s="191"/>
      <c r="N296" s="191"/>
      <c r="O296" s="191"/>
    </row>
    <row r="297">
      <c r="A297" s="191"/>
      <c r="B297" s="191"/>
      <c r="C297" s="191"/>
      <c r="D297" s="191"/>
      <c r="E297" s="191"/>
      <c r="F297" s="191"/>
      <c r="G297" s="191"/>
      <c r="H297" s="191"/>
      <c r="I297" s="191"/>
      <c r="J297" s="191"/>
      <c r="K297" s="191"/>
      <c r="L297" s="191"/>
      <c r="M297" s="191"/>
      <c r="N297" s="191"/>
      <c r="O297" s="191"/>
    </row>
    <row r="298">
      <c r="A298" s="191"/>
      <c r="B298" s="191"/>
      <c r="C298" s="191"/>
      <c r="D298" s="191"/>
      <c r="E298" s="191"/>
      <c r="F298" s="191"/>
      <c r="G298" s="191"/>
      <c r="H298" s="191"/>
      <c r="I298" s="191"/>
      <c r="J298" s="191"/>
      <c r="K298" s="191"/>
      <c r="L298" s="191"/>
      <c r="M298" s="191"/>
      <c r="N298" s="191"/>
      <c r="O298" s="191"/>
    </row>
    <row r="299">
      <c r="A299" s="191"/>
      <c r="B299" s="191"/>
      <c r="C299" s="191"/>
      <c r="D299" s="191"/>
      <c r="E299" s="191"/>
      <c r="F299" s="191"/>
      <c r="G299" s="191"/>
      <c r="H299" s="191"/>
      <c r="I299" s="191"/>
      <c r="J299" s="191"/>
      <c r="K299" s="191"/>
      <c r="L299" s="191"/>
      <c r="M299" s="191"/>
      <c r="N299" s="191"/>
      <c r="O299" s="191"/>
    </row>
    <row r="300">
      <c r="A300" s="191"/>
      <c r="B300" s="191"/>
      <c r="C300" s="191"/>
      <c r="D300" s="191"/>
      <c r="E300" s="191"/>
      <c r="F300" s="191"/>
      <c r="G300" s="191"/>
      <c r="H300" s="191"/>
      <c r="I300" s="191"/>
      <c r="J300" s="191"/>
      <c r="K300" s="191"/>
      <c r="L300" s="191"/>
      <c r="M300" s="191"/>
      <c r="N300" s="191"/>
      <c r="O300" s="191"/>
    </row>
    <row r="301">
      <c r="A301" s="191"/>
      <c r="B301" s="191"/>
      <c r="C301" s="191"/>
      <c r="D301" s="191"/>
      <c r="E301" s="191"/>
      <c r="F301" s="191"/>
      <c r="G301" s="191"/>
      <c r="H301" s="191"/>
      <c r="I301" s="191"/>
      <c r="J301" s="191"/>
      <c r="K301" s="191"/>
      <c r="L301" s="191"/>
      <c r="M301" s="191"/>
      <c r="N301" s="191"/>
      <c r="O301" s="191"/>
    </row>
    <row r="302">
      <c r="A302" s="191"/>
      <c r="B302" s="191"/>
      <c r="C302" s="191"/>
      <c r="D302" s="191"/>
      <c r="E302" s="191"/>
      <c r="F302" s="191"/>
      <c r="G302" s="191"/>
      <c r="H302" s="191"/>
      <c r="I302" s="191"/>
      <c r="J302" s="191"/>
      <c r="K302" s="191"/>
      <c r="L302" s="191"/>
      <c r="M302" s="191"/>
      <c r="N302" s="191"/>
      <c r="O302" s="191"/>
    </row>
    <row r="303">
      <c r="A303" s="191"/>
      <c r="B303" s="191"/>
      <c r="C303" s="191"/>
      <c r="D303" s="191"/>
      <c r="E303" s="191"/>
      <c r="F303" s="191"/>
      <c r="G303" s="191"/>
      <c r="H303" s="191"/>
      <c r="I303" s="191"/>
      <c r="J303" s="191"/>
      <c r="K303" s="191"/>
      <c r="L303" s="191"/>
      <c r="M303" s="191"/>
      <c r="N303" s="191"/>
      <c r="O303" s="191"/>
    </row>
    <row r="304">
      <c r="A304" s="191"/>
      <c r="B304" s="191"/>
      <c r="C304" s="191"/>
      <c r="D304" s="191"/>
      <c r="E304" s="191"/>
      <c r="F304" s="191"/>
      <c r="G304" s="191"/>
      <c r="H304" s="191"/>
      <c r="I304" s="191"/>
      <c r="J304" s="191"/>
      <c r="K304" s="191"/>
      <c r="L304" s="191"/>
      <c r="M304" s="191"/>
      <c r="N304" s="191"/>
      <c r="O304" s="191"/>
    </row>
    <row r="305">
      <c r="A305" s="191"/>
      <c r="B305" s="191"/>
      <c r="C305" s="191"/>
      <c r="D305" s="191"/>
      <c r="E305" s="191"/>
      <c r="F305" s="191"/>
      <c r="G305" s="191"/>
      <c r="H305" s="191"/>
      <c r="I305" s="191"/>
      <c r="J305" s="191"/>
      <c r="K305" s="191"/>
      <c r="L305" s="191"/>
      <c r="M305" s="191"/>
      <c r="N305" s="191"/>
      <c r="O305" s="191"/>
    </row>
    <row r="306">
      <c r="A306" s="191"/>
      <c r="B306" s="191"/>
      <c r="C306" s="191"/>
      <c r="D306" s="191"/>
      <c r="E306" s="191"/>
      <c r="F306" s="191"/>
      <c r="G306" s="191"/>
      <c r="H306" s="191"/>
      <c r="I306" s="191"/>
      <c r="J306" s="191"/>
      <c r="K306" s="191"/>
      <c r="L306" s="191"/>
      <c r="M306" s="191"/>
      <c r="N306" s="191"/>
      <c r="O306" s="191"/>
    </row>
    <row r="307">
      <c r="A307" s="191"/>
      <c r="B307" s="191"/>
      <c r="C307" s="191"/>
      <c r="D307" s="191"/>
      <c r="E307" s="191"/>
      <c r="F307" s="191"/>
      <c r="G307" s="191"/>
      <c r="H307" s="191"/>
      <c r="I307" s="191"/>
      <c r="J307" s="191"/>
      <c r="K307" s="191"/>
      <c r="L307" s="191"/>
      <c r="M307" s="191"/>
      <c r="N307" s="191"/>
      <c r="O307" s="191"/>
    </row>
    <row r="308">
      <c r="A308" s="191"/>
      <c r="B308" s="191"/>
      <c r="C308" s="191"/>
      <c r="D308" s="191"/>
      <c r="E308" s="191"/>
      <c r="F308" s="191"/>
      <c r="G308" s="191"/>
      <c r="H308" s="191"/>
      <c r="I308" s="191"/>
      <c r="J308" s="191"/>
      <c r="K308" s="191"/>
      <c r="L308" s="191"/>
      <c r="M308" s="191"/>
      <c r="N308" s="191"/>
      <c r="O308" s="191"/>
    </row>
    <row r="309">
      <c r="A309" s="191"/>
      <c r="B309" s="191"/>
      <c r="C309" s="191"/>
      <c r="D309" s="191"/>
      <c r="E309" s="191"/>
      <c r="F309" s="191"/>
      <c r="G309" s="191"/>
      <c r="H309" s="191"/>
      <c r="I309" s="191"/>
      <c r="J309" s="191"/>
      <c r="K309" s="191"/>
      <c r="L309" s="191"/>
      <c r="M309" s="191"/>
      <c r="N309" s="191"/>
      <c r="O309" s="191"/>
    </row>
    <row r="310">
      <c r="A310" s="191"/>
      <c r="B310" s="191"/>
      <c r="C310" s="191"/>
      <c r="D310" s="191"/>
      <c r="E310" s="191"/>
      <c r="F310" s="191"/>
      <c r="G310" s="191"/>
      <c r="H310" s="191"/>
      <c r="I310" s="191"/>
      <c r="J310" s="191"/>
      <c r="K310" s="191"/>
      <c r="L310" s="191"/>
      <c r="M310" s="191"/>
      <c r="N310" s="191"/>
      <c r="O310" s="191"/>
    </row>
    <row r="311">
      <c r="A311" s="191"/>
      <c r="B311" s="191"/>
      <c r="C311" s="191"/>
      <c r="D311" s="191"/>
      <c r="E311" s="191"/>
      <c r="F311" s="191"/>
      <c r="G311" s="191"/>
      <c r="H311" s="191"/>
      <c r="I311" s="191"/>
      <c r="J311" s="191"/>
      <c r="K311" s="191"/>
      <c r="L311" s="191"/>
      <c r="M311" s="191"/>
      <c r="N311" s="191"/>
      <c r="O311" s="191"/>
    </row>
    <row r="312">
      <c r="A312" s="191"/>
      <c r="B312" s="191"/>
      <c r="C312" s="191"/>
      <c r="D312" s="191"/>
      <c r="E312" s="191"/>
      <c r="F312" s="191"/>
      <c r="G312" s="191"/>
      <c r="H312" s="191"/>
      <c r="I312" s="191"/>
      <c r="J312" s="191"/>
      <c r="K312" s="191"/>
      <c r="L312" s="191"/>
      <c r="M312" s="191"/>
      <c r="N312" s="191"/>
      <c r="O312" s="191"/>
    </row>
    <row r="313">
      <c r="A313" s="191"/>
      <c r="B313" s="191"/>
      <c r="C313" s="191"/>
      <c r="D313" s="191"/>
      <c r="E313" s="191"/>
      <c r="F313" s="191"/>
      <c r="G313" s="191"/>
      <c r="H313" s="191"/>
      <c r="I313" s="191"/>
      <c r="J313" s="191"/>
      <c r="K313" s="191"/>
      <c r="L313" s="191"/>
      <c r="M313" s="191"/>
      <c r="N313" s="191"/>
      <c r="O313" s="191"/>
    </row>
    <row r="314">
      <c r="A314" s="191"/>
      <c r="B314" s="191"/>
      <c r="C314" s="191"/>
      <c r="D314" s="191"/>
      <c r="E314" s="191"/>
      <c r="F314" s="191"/>
      <c r="G314" s="191"/>
      <c r="H314" s="191"/>
      <c r="I314" s="191"/>
      <c r="J314" s="191"/>
      <c r="K314" s="191"/>
      <c r="L314" s="191"/>
      <c r="M314" s="191"/>
      <c r="N314" s="191"/>
      <c r="O314" s="191"/>
    </row>
    <row r="315">
      <c r="A315" s="191"/>
      <c r="B315" s="191"/>
      <c r="C315" s="191"/>
      <c r="D315" s="191"/>
      <c r="E315" s="191"/>
      <c r="F315" s="191"/>
      <c r="G315" s="191"/>
      <c r="H315" s="191"/>
      <c r="I315" s="191"/>
      <c r="J315" s="191"/>
      <c r="K315" s="191"/>
      <c r="L315" s="191"/>
      <c r="M315" s="191"/>
      <c r="N315" s="191"/>
      <c r="O315" s="191"/>
    </row>
    <row r="316">
      <c r="A316" s="191"/>
      <c r="B316" s="191"/>
      <c r="C316" s="191"/>
      <c r="D316" s="191"/>
      <c r="E316" s="191"/>
      <c r="F316" s="191"/>
      <c r="G316" s="191"/>
      <c r="H316" s="191"/>
      <c r="I316" s="191"/>
      <c r="J316" s="191"/>
      <c r="K316" s="191"/>
      <c r="L316" s="191"/>
      <c r="M316" s="191"/>
      <c r="N316" s="191"/>
      <c r="O316" s="191"/>
    </row>
    <row r="317">
      <c r="A317" s="191"/>
      <c r="B317" s="191"/>
      <c r="C317" s="191"/>
      <c r="D317" s="191"/>
      <c r="E317" s="191"/>
      <c r="F317" s="191"/>
      <c r="G317" s="191"/>
      <c r="H317" s="191"/>
      <c r="I317" s="191"/>
      <c r="J317" s="191"/>
      <c r="K317" s="191"/>
      <c r="L317" s="191"/>
      <c r="M317" s="191"/>
      <c r="N317" s="191"/>
      <c r="O317" s="191"/>
    </row>
    <row r="318">
      <c r="A318" s="191"/>
      <c r="B318" s="191"/>
      <c r="C318" s="191"/>
      <c r="D318" s="191"/>
      <c r="E318" s="191"/>
      <c r="F318" s="191"/>
      <c r="G318" s="191"/>
      <c r="H318" s="191"/>
      <c r="I318" s="191"/>
      <c r="J318" s="191"/>
      <c r="K318" s="191"/>
      <c r="L318" s="191"/>
      <c r="M318" s="191"/>
      <c r="N318" s="191"/>
      <c r="O318" s="191"/>
    </row>
    <row r="319">
      <c r="A319" s="191"/>
      <c r="B319" s="191"/>
      <c r="C319" s="191"/>
      <c r="D319" s="191"/>
      <c r="E319" s="191"/>
      <c r="F319" s="191"/>
      <c r="G319" s="191"/>
      <c r="H319" s="191"/>
      <c r="I319" s="191"/>
      <c r="J319" s="191"/>
      <c r="K319" s="191"/>
      <c r="L319" s="191"/>
      <c r="M319" s="191"/>
      <c r="N319" s="191"/>
      <c r="O319" s="191"/>
    </row>
    <row r="320">
      <c r="A320" s="191"/>
      <c r="B320" s="191"/>
      <c r="C320" s="191"/>
      <c r="D320" s="191"/>
      <c r="E320" s="191"/>
      <c r="F320" s="191"/>
      <c r="G320" s="191"/>
      <c r="H320" s="191"/>
      <c r="I320" s="191"/>
      <c r="J320" s="191"/>
      <c r="K320" s="191"/>
      <c r="L320" s="191"/>
      <c r="M320" s="191"/>
      <c r="N320" s="191"/>
      <c r="O320" s="191"/>
    </row>
    <row r="321">
      <c r="A321" s="191"/>
      <c r="B321" s="191"/>
      <c r="C321" s="191"/>
      <c r="D321" s="191"/>
      <c r="E321" s="191"/>
      <c r="F321" s="191"/>
      <c r="G321" s="191"/>
      <c r="H321" s="191"/>
      <c r="I321" s="191"/>
      <c r="J321" s="191"/>
      <c r="K321" s="191"/>
      <c r="L321" s="191"/>
      <c r="M321" s="191"/>
      <c r="N321" s="191"/>
      <c r="O321" s="191"/>
    </row>
    <row r="322">
      <c r="A322" s="191"/>
      <c r="B322" s="191"/>
      <c r="C322" s="191"/>
      <c r="D322" s="191"/>
      <c r="E322" s="191"/>
      <c r="F322" s="191"/>
      <c r="G322" s="191"/>
      <c r="H322" s="191"/>
      <c r="I322" s="191"/>
      <c r="J322" s="191"/>
      <c r="K322" s="191"/>
      <c r="L322" s="191"/>
      <c r="M322" s="191"/>
      <c r="N322" s="191"/>
      <c r="O322" s="191"/>
    </row>
    <row r="323">
      <c r="A323" s="191"/>
      <c r="B323" s="191"/>
      <c r="C323" s="191"/>
      <c r="D323" s="191"/>
      <c r="E323" s="191"/>
      <c r="F323" s="191"/>
      <c r="G323" s="191"/>
      <c r="H323" s="191"/>
      <c r="I323" s="191"/>
      <c r="J323" s="191"/>
      <c r="K323" s="191"/>
      <c r="L323" s="191"/>
      <c r="M323" s="191"/>
      <c r="N323" s="191"/>
      <c r="O323" s="191"/>
    </row>
    <row r="324">
      <c r="A324" s="191"/>
      <c r="B324" s="191"/>
      <c r="C324" s="191"/>
      <c r="D324" s="191"/>
      <c r="E324" s="191"/>
      <c r="F324" s="191"/>
      <c r="G324" s="191"/>
      <c r="H324" s="191"/>
      <c r="I324" s="191"/>
      <c r="J324" s="191"/>
      <c r="K324" s="191"/>
      <c r="L324" s="191"/>
      <c r="M324" s="191"/>
      <c r="N324" s="191"/>
      <c r="O324" s="191"/>
    </row>
    <row r="325">
      <c r="A325" s="191"/>
      <c r="B325" s="191"/>
      <c r="C325" s="191"/>
      <c r="D325" s="191"/>
      <c r="E325" s="191"/>
      <c r="F325" s="191"/>
      <c r="G325" s="191"/>
      <c r="H325" s="191"/>
      <c r="I325" s="191"/>
      <c r="J325" s="191"/>
      <c r="K325" s="191"/>
      <c r="L325" s="191"/>
      <c r="M325" s="191"/>
      <c r="N325" s="191"/>
      <c r="O325" s="191"/>
    </row>
    <row r="326">
      <c r="A326" s="191"/>
      <c r="B326" s="191"/>
      <c r="C326" s="191"/>
      <c r="D326" s="191"/>
      <c r="E326" s="191"/>
      <c r="F326" s="191"/>
      <c r="G326" s="191"/>
      <c r="H326" s="191"/>
      <c r="I326" s="191"/>
      <c r="J326" s="191"/>
      <c r="K326" s="191"/>
      <c r="L326" s="191"/>
      <c r="M326" s="191"/>
      <c r="N326" s="191"/>
      <c r="O326" s="191"/>
    </row>
    <row r="327">
      <c r="A327" s="191"/>
      <c r="B327" s="191"/>
      <c r="C327" s="191"/>
      <c r="D327" s="191"/>
      <c r="E327" s="191"/>
      <c r="F327" s="191"/>
      <c r="G327" s="191"/>
      <c r="H327" s="191"/>
      <c r="I327" s="191"/>
      <c r="J327" s="191"/>
      <c r="K327" s="191"/>
      <c r="L327" s="191"/>
      <c r="M327" s="191"/>
      <c r="N327" s="191"/>
      <c r="O327" s="191"/>
    </row>
    <row r="328">
      <c r="A328" s="191"/>
      <c r="B328" s="191"/>
      <c r="C328" s="191"/>
      <c r="D328" s="191"/>
      <c r="E328" s="191"/>
      <c r="F328" s="191"/>
      <c r="G328" s="191"/>
      <c r="H328" s="191"/>
      <c r="I328" s="191"/>
      <c r="J328" s="191"/>
      <c r="K328" s="191"/>
      <c r="L328" s="191"/>
      <c r="M328" s="191"/>
      <c r="N328" s="191"/>
      <c r="O328" s="191"/>
    </row>
    <row r="329">
      <c r="A329" s="191"/>
      <c r="B329" s="191"/>
      <c r="C329" s="191"/>
      <c r="D329" s="191"/>
      <c r="E329" s="191"/>
      <c r="F329" s="191"/>
      <c r="G329" s="191"/>
      <c r="H329" s="191"/>
      <c r="I329" s="191"/>
      <c r="J329" s="191"/>
      <c r="K329" s="191"/>
      <c r="L329" s="191"/>
      <c r="M329" s="191"/>
      <c r="N329" s="191"/>
      <c r="O329" s="191"/>
    </row>
    <row r="330">
      <c r="A330" s="191"/>
      <c r="B330" s="191"/>
      <c r="C330" s="191"/>
      <c r="D330" s="191"/>
      <c r="E330" s="191"/>
      <c r="F330" s="191"/>
      <c r="G330" s="191"/>
      <c r="H330" s="191"/>
      <c r="I330" s="191"/>
      <c r="J330" s="191"/>
      <c r="K330" s="191"/>
      <c r="L330" s="191"/>
      <c r="M330" s="191"/>
      <c r="N330" s="191"/>
      <c r="O330" s="191"/>
    </row>
    <row r="331">
      <c r="A331" s="191"/>
      <c r="B331" s="191"/>
      <c r="C331" s="191"/>
      <c r="D331" s="191"/>
      <c r="E331" s="191"/>
      <c r="F331" s="191"/>
      <c r="G331" s="191"/>
      <c r="H331" s="191"/>
      <c r="I331" s="191"/>
      <c r="J331" s="191"/>
      <c r="K331" s="191"/>
      <c r="L331" s="191"/>
      <c r="M331" s="191"/>
      <c r="N331" s="191"/>
      <c r="O331" s="191"/>
    </row>
    <row r="332">
      <c r="A332" s="191"/>
      <c r="B332" s="191"/>
      <c r="C332" s="191"/>
      <c r="D332" s="191"/>
      <c r="E332" s="191"/>
      <c r="F332" s="191"/>
      <c r="G332" s="191"/>
      <c r="H332" s="191"/>
      <c r="I332" s="191"/>
      <c r="J332" s="191"/>
      <c r="K332" s="191"/>
      <c r="L332" s="191"/>
      <c r="M332" s="191"/>
      <c r="N332" s="191"/>
      <c r="O332" s="191"/>
    </row>
    <row r="333">
      <c r="A333" s="191"/>
      <c r="B333" s="191"/>
      <c r="C333" s="191"/>
      <c r="D333" s="191"/>
      <c r="E333" s="191"/>
      <c r="F333" s="191"/>
      <c r="G333" s="191"/>
      <c r="H333" s="191"/>
      <c r="I333" s="191"/>
      <c r="J333" s="191"/>
      <c r="K333" s="191"/>
      <c r="L333" s="191"/>
      <c r="M333" s="191"/>
      <c r="N333" s="191"/>
      <c r="O333" s="191"/>
    </row>
    <row r="334">
      <c r="A334" s="191"/>
      <c r="B334" s="191"/>
      <c r="C334" s="191"/>
      <c r="D334" s="191"/>
      <c r="E334" s="191"/>
      <c r="F334" s="191"/>
      <c r="G334" s="191"/>
      <c r="H334" s="191"/>
      <c r="I334" s="191"/>
      <c r="J334" s="191"/>
      <c r="K334" s="191"/>
      <c r="L334" s="191"/>
      <c r="M334" s="191"/>
      <c r="N334" s="191"/>
      <c r="O334" s="191"/>
    </row>
    <row r="335">
      <c r="A335" s="191"/>
      <c r="B335" s="191"/>
      <c r="C335" s="191"/>
      <c r="D335" s="191"/>
      <c r="E335" s="191"/>
      <c r="F335" s="191"/>
      <c r="G335" s="191"/>
      <c r="H335" s="191"/>
      <c r="I335" s="191"/>
      <c r="J335" s="191"/>
      <c r="K335" s="191"/>
      <c r="L335" s="191"/>
      <c r="M335" s="191"/>
      <c r="N335" s="191"/>
      <c r="O335" s="191"/>
    </row>
    <row r="336">
      <c r="A336" s="191"/>
      <c r="B336" s="191"/>
      <c r="C336" s="191"/>
      <c r="D336" s="191"/>
      <c r="E336" s="191"/>
      <c r="F336" s="191"/>
      <c r="G336" s="191"/>
      <c r="H336" s="191"/>
      <c r="I336" s="191"/>
      <c r="J336" s="191"/>
      <c r="K336" s="191"/>
      <c r="L336" s="191"/>
      <c r="M336" s="191"/>
      <c r="N336" s="191"/>
      <c r="O336" s="191"/>
    </row>
    <row r="337">
      <c r="A337" s="191"/>
      <c r="B337" s="191"/>
      <c r="C337" s="191"/>
      <c r="D337" s="191"/>
      <c r="E337" s="191"/>
      <c r="F337" s="191"/>
      <c r="G337" s="191"/>
      <c r="H337" s="191"/>
      <c r="I337" s="191"/>
      <c r="J337" s="191"/>
      <c r="K337" s="191"/>
      <c r="L337" s="191"/>
      <c r="M337" s="191"/>
      <c r="N337" s="191"/>
      <c r="O337" s="191"/>
    </row>
    <row r="338">
      <c r="A338" s="191"/>
      <c r="B338" s="191"/>
      <c r="C338" s="191"/>
      <c r="D338" s="191"/>
      <c r="E338" s="191"/>
      <c r="F338" s="191"/>
      <c r="G338" s="191"/>
      <c r="H338" s="191"/>
      <c r="I338" s="191"/>
      <c r="J338" s="191"/>
      <c r="K338" s="191"/>
      <c r="L338" s="191"/>
      <c r="M338" s="191"/>
      <c r="N338" s="191"/>
      <c r="O338" s="191"/>
    </row>
    <row r="339">
      <c r="A339" s="191"/>
      <c r="B339" s="191"/>
      <c r="C339" s="191"/>
      <c r="D339" s="191"/>
      <c r="E339" s="191"/>
      <c r="F339" s="191"/>
      <c r="G339" s="191"/>
      <c r="H339" s="191"/>
      <c r="I339" s="191"/>
      <c r="J339" s="191"/>
      <c r="K339" s="191"/>
      <c r="L339" s="191"/>
      <c r="M339" s="191"/>
      <c r="N339" s="191"/>
      <c r="O339" s="191"/>
    </row>
    <row r="340">
      <c r="A340" s="191"/>
      <c r="B340" s="191"/>
      <c r="C340" s="191"/>
      <c r="D340" s="191"/>
      <c r="E340" s="191"/>
      <c r="F340" s="191"/>
      <c r="G340" s="191"/>
      <c r="H340" s="191"/>
      <c r="I340" s="191"/>
      <c r="J340" s="191"/>
      <c r="K340" s="191"/>
      <c r="L340" s="191"/>
      <c r="M340" s="191"/>
      <c r="N340" s="191"/>
      <c r="O340" s="191"/>
    </row>
    <row r="341">
      <c r="A341" s="191"/>
      <c r="B341" s="191"/>
      <c r="C341" s="191"/>
      <c r="D341" s="191"/>
      <c r="E341" s="191"/>
      <c r="F341" s="191"/>
      <c r="G341" s="191"/>
      <c r="H341" s="191"/>
      <c r="I341" s="191"/>
      <c r="J341" s="191"/>
      <c r="K341" s="191"/>
      <c r="L341" s="191"/>
      <c r="M341" s="191"/>
      <c r="N341" s="191"/>
      <c r="O341" s="191"/>
    </row>
    <row r="342">
      <c r="A342" s="191"/>
      <c r="B342" s="191"/>
      <c r="C342" s="191"/>
      <c r="D342" s="191"/>
      <c r="E342" s="191"/>
      <c r="F342" s="191"/>
      <c r="G342" s="191"/>
      <c r="H342" s="191"/>
      <c r="I342" s="191"/>
      <c r="J342" s="191"/>
      <c r="K342" s="191"/>
      <c r="L342" s="191"/>
      <c r="M342" s="191"/>
      <c r="N342" s="191"/>
      <c r="O342" s="191"/>
    </row>
    <row r="343">
      <c r="A343" s="191"/>
      <c r="B343" s="191"/>
      <c r="C343" s="191"/>
      <c r="D343" s="191"/>
      <c r="E343" s="191"/>
      <c r="F343" s="191"/>
      <c r="G343" s="191"/>
      <c r="H343" s="191"/>
      <c r="I343" s="191"/>
      <c r="J343" s="191"/>
      <c r="K343" s="191"/>
      <c r="L343" s="191"/>
      <c r="M343" s="191"/>
      <c r="N343" s="191"/>
      <c r="O343" s="191"/>
    </row>
    <row r="344">
      <c r="A344" s="191"/>
      <c r="B344" s="191"/>
      <c r="C344" s="191"/>
      <c r="D344" s="191"/>
      <c r="E344" s="191"/>
      <c r="F344" s="191"/>
      <c r="G344" s="191"/>
      <c r="H344" s="191"/>
      <c r="I344" s="191"/>
      <c r="J344" s="191"/>
      <c r="K344" s="191"/>
      <c r="L344" s="191"/>
      <c r="M344" s="191"/>
      <c r="N344" s="191"/>
      <c r="O344" s="191"/>
    </row>
    <row r="345">
      <c r="A345" s="191"/>
      <c r="B345" s="191"/>
      <c r="C345" s="191"/>
      <c r="D345" s="191"/>
      <c r="E345" s="191"/>
      <c r="F345" s="191"/>
      <c r="G345" s="191"/>
      <c r="H345" s="191"/>
      <c r="I345" s="191"/>
      <c r="J345" s="191"/>
      <c r="K345" s="191"/>
      <c r="L345" s="191"/>
      <c r="M345" s="191"/>
      <c r="N345" s="191"/>
      <c r="O345" s="191"/>
    </row>
    <row r="346">
      <c r="A346" s="191"/>
      <c r="B346" s="191"/>
      <c r="C346" s="191"/>
      <c r="D346" s="191"/>
      <c r="E346" s="191"/>
      <c r="F346" s="191"/>
      <c r="G346" s="191"/>
      <c r="H346" s="191"/>
      <c r="I346" s="191"/>
      <c r="J346" s="191"/>
      <c r="K346" s="191"/>
      <c r="L346" s="191"/>
      <c r="M346" s="191"/>
      <c r="N346" s="191"/>
      <c r="O346" s="191"/>
    </row>
    <row r="347">
      <c r="A347" s="191"/>
      <c r="B347" s="191"/>
      <c r="C347" s="191"/>
      <c r="D347" s="191"/>
      <c r="E347" s="191"/>
      <c r="F347" s="191"/>
      <c r="G347" s="191"/>
      <c r="H347" s="191"/>
      <c r="I347" s="191"/>
      <c r="J347" s="191"/>
      <c r="K347" s="191"/>
      <c r="L347" s="191"/>
      <c r="M347" s="191"/>
      <c r="N347" s="191"/>
      <c r="O347" s="191"/>
    </row>
    <row r="348">
      <c r="A348" s="191"/>
      <c r="B348" s="191"/>
      <c r="C348" s="191"/>
      <c r="D348" s="191"/>
      <c r="E348" s="191"/>
      <c r="F348" s="191"/>
      <c r="G348" s="191"/>
      <c r="H348" s="191"/>
      <c r="I348" s="191"/>
      <c r="J348" s="191"/>
      <c r="K348" s="191"/>
      <c r="L348" s="191"/>
      <c r="M348" s="191"/>
      <c r="N348" s="191"/>
      <c r="O348" s="191"/>
    </row>
    <row r="349">
      <c r="A349" s="191"/>
      <c r="B349" s="191"/>
      <c r="C349" s="191"/>
      <c r="D349" s="191"/>
      <c r="E349" s="191"/>
      <c r="F349" s="191"/>
      <c r="G349" s="191"/>
      <c r="H349" s="191"/>
      <c r="I349" s="191"/>
      <c r="J349" s="191"/>
      <c r="K349" s="191"/>
      <c r="L349" s="191"/>
      <c r="M349" s="191"/>
      <c r="N349" s="191"/>
      <c r="O349" s="191"/>
    </row>
    <row r="350">
      <c r="A350" s="191"/>
      <c r="B350" s="191"/>
      <c r="C350" s="191"/>
      <c r="D350" s="191"/>
      <c r="E350" s="191"/>
      <c r="F350" s="191"/>
      <c r="G350" s="191"/>
      <c r="H350" s="191"/>
      <c r="I350" s="191"/>
      <c r="J350" s="191"/>
      <c r="K350" s="191"/>
      <c r="L350" s="191"/>
      <c r="M350" s="191"/>
      <c r="N350" s="191"/>
      <c r="O350" s="191"/>
    </row>
    <row r="351">
      <c r="A351" s="191"/>
      <c r="B351" s="191"/>
      <c r="C351" s="191"/>
      <c r="D351" s="191"/>
      <c r="E351" s="191"/>
      <c r="F351" s="191"/>
      <c r="G351" s="191"/>
      <c r="H351" s="191"/>
      <c r="I351" s="191"/>
      <c r="J351" s="191"/>
      <c r="K351" s="191"/>
      <c r="L351" s="191"/>
      <c r="M351" s="191"/>
      <c r="N351" s="191"/>
      <c r="O351" s="191"/>
    </row>
    <row r="352">
      <c r="A352" s="191"/>
      <c r="B352" s="191"/>
      <c r="C352" s="191"/>
      <c r="D352" s="191"/>
      <c r="E352" s="191"/>
      <c r="F352" s="191"/>
      <c r="G352" s="191"/>
      <c r="H352" s="191"/>
      <c r="I352" s="191"/>
      <c r="J352" s="191"/>
      <c r="K352" s="191"/>
      <c r="L352" s="191"/>
      <c r="M352" s="191"/>
      <c r="N352" s="191"/>
      <c r="O352" s="191"/>
    </row>
    <row r="353">
      <c r="A353" s="191"/>
      <c r="B353" s="191"/>
      <c r="C353" s="191"/>
      <c r="D353" s="191"/>
      <c r="E353" s="191"/>
      <c r="F353" s="191"/>
      <c r="G353" s="191"/>
      <c r="H353" s="191"/>
      <c r="I353" s="191"/>
      <c r="J353" s="191"/>
      <c r="K353" s="191"/>
      <c r="L353" s="191"/>
      <c r="M353" s="191"/>
      <c r="N353" s="191"/>
      <c r="O353" s="191"/>
    </row>
    <row r="354">
      <c r="A354" s="191"/>
      <c r="B354" s="191"/>
      <c r="C354" s="191"/>
      <c r="D354" s="191"/>
      <c r="E354" s="191"/>
      <c r="F354" s="191"/>
      <c r="G354" s="191"/>
      <c r="H354" s="191"/>
      <c r="I354" s="191"/>
      <c r="J354" s="191"/>
      <c r="K354" s="191"/>
      <c r="L354" s="191"/>
      <c r="M354" s="191"/>
      <c r="N354" s="191"/>
      <c r="O354" s="191"/>
    </row>
    <row r="355">
      <c r="A355" s="191"/>
      <c r="B355" s="191"/>
      <c r="C355" s="191"/>
      <c r="D355" s="191"/>
      <c r="E355" s="191"/>
      <c r="F355" s="191"/>
      <c r="G355" s="191"/>
      <c r="H355" s="191"/>
      <c r="I355" s="191"/>
      <c r="J355" s="191"/>
      <c r="K355" s="191"/>
      <c r="L355" s="191"/>
      <c r="M355" s="191"/>
      <c r="N355" s="191"/>
      <c r="O355" s="191"/>
    </row>
    <row r="356">
      <c r="A356" s="191"/>
      <c r="B356" s="191"/>
      <c r="C356" s="191"/>
      <c r="D356" s="191"/>
      <c r="E356" s="191"/>
      <c r="F356" s="191"/>
      <c r="G356" s="191"/>
      <c r="H356" s="191"/>
      <c r="I356" s="191"/>
      <c r="J356" s="191"/>
      <c r="K356" s="191"/>
      <c r="L356" s="191"/>
      <c r="M356" s="191"/>
      <c r="N356" s="191"/>
      <c r="O356" s="191"/>
    </row>
    <row r="357">
      <c r="A357" s="191"/>
      <c r="B357" s="191"/>
      <c r="C357" s="191"/>
      <c r="D357" s="191"/>
      <c r="E357" s="191"/>
      <c r="F357" s="191"/>
      <c r="G357" s="191"/>
      <c r="H357" s="191"/>
      <c r="I357" s="191"/>
      <c r="J357" s="191"/>
      <c r="K357" s="191"/>
      <c r="L357" s="191"/>
      <c r="M357" s="191"/>
      <c r="N357" s="191"/>
      <c r="O357" s="191"/>
    </row>
    <row r="358">
      <c r="A358" s="191"/>
      <c r="B358" s="191"/>
      <c r="C358" s="191"/>
      <c r="D358" s="191"/>
      <c r="E358" s="191"/>
      <c r="F358" s="191"/>
      <c r="G358" s="191"/>
      <c r="H358" s="191"/>
      <c r="I358" s="191"/>
      <c r="J358" s="191"/>
      <c r="K358" s="191"/>
      <c r="L358" s="191"/>
      <c r="M358" s="191"/>
      <c r="N358" s="191"/>
      <c r="O358" s="191"/>
    </row>
    <row r="359">
      <c r="A359" s="191"/>
      <c r="B359" s="191"/>
      <c r="C359" s="191"/>
      <c r="D359" s="191"/>
      <c r="E359" s="191"/>
      <c r="F359" s="191"/>
      <c r="G359" s="191"/>
      <c r="H359" s="191"/>
      <c r="I359" s="191"/>
      <c r="J359" s="191"/>
      <c r="K359" s="191"/>
      <c r="L359" s="191"/>
      <c r="M359" s="191"/>
      <c r="N359" s="191"/>
      <c r="O359" s="191"/>
    </row>
    <row r="360">
      <c r="A360" s="191"/>
      <c r="B360" s="191"/>
      <c r="C360" s="191"/>
      <c r="D360" s="191"/>
      <c r="E360" s="191"/>
      <c r="F360" s="191"/>
      <c r="G360" s="191"/>
      <c r="H360" s="191"/>
      <c r="I360" s="191"/>
      <c r="J360" s="191"/>
      <c r="K360" s="191"/>
      <c r="L360" s="191"/>
      <c r="M360" s="191"/>
      <c r="N360" s="191"/>
      <c r="O360" s="191"/>
    </row>
    <row r="361">
      <c r="A361" s="191"/>
      <c r="B361" s="191"/>
      <c r="C361" s="191"/>
      <c r="D361" s="191"/>
      <c r="E361" s="191"/>
      <c r="F361" s="191"/>
      <c r="G361" s="191"/>
      <c r="H361" s="191"/>
      <c r="I361" s="191"/>
      <c r="J361" s="191"/>
      <c r="K361" s="191"/>
      <c r="L361" s="191"/>
      <c r="M361" s="191"/>
      <c r="N361" s="191"/>
      <c r="O361" s="191"/>
    </row>
    <row r="362">
      <c r="A362" s="191"/>
      <c r="B362" s="191"/>
      <c r="C362" s="191"/>
      <c r="D362" s="191"/>
      <c r="E362" s="191"/>
      <c r="F362" s="191"/>
      <c r="G362" s="191"/>
      <c r="H362" s="191"/>
      <c r="I362" s="191"/>
      <c r="J362" s="191"/>
      <c r="K362" s="191"/>
      <c r="L362" s="191"/>
      <c r="M362" s="191"/>
      <c r="N362" s="191"/>
      <c r="O362" s="191"/>
    </row>
    <row r="363">
      <c r="A363" s="191"/>
      <c r="B363" s="191"/>
      <c r="C363" s="191"/>
      <c r="D363" s="191"/>
      <c r="E363" s="191"/>
      <c r="F363" s="191"/>
      <c r="G363" s="191"/>
      <c r="H363" s="191"/>
      <c r="I363" s="191"/>
      <c r="J363" s="191"/>
      <c r="K363" s="191"/>
      <c r="L363" s="191"/>
      <c r="M363" s="191"/>
      <c r="N363" s="191"/>
      <c r="O363" s="191"/>
    </row>
    <row r="364">
      <c r="A364" s="191"/>
      <c r="B364" s="191"/>
      <c r="C364" s="191"/>
      <c r="D364" s="191"/>
      <c r="E364" s="191"/>
      <c r="F364" s="191"/>
      <c r="G364" s="191"/>
      <c r="H364" s="191"/>
      <c r="I364" s="191"/>
      <c r="J364" s="191"/>
      <c r="K364" s="191"/>
      <c r="L364" s="191"/>
      <c r="M364" s="191"/>
      <c r="N364" s="191"/>
      <c r="O364" s="191"/>
    </row>
    <row r="365">
      <c r="A365" s="191"/>
      <c r="B365" s="191"/>
      <c r="C365" s="191"/>
      <c r="D365" s="191"/>
      <c r="E365" s="191"/>
      <c r="F365" s="191"/>
      <c r="G365" s="191"/>
      <c r="H365" s="191"/>
      <c r="I365" s="191"/>
      <c r="J365" s="191"/>
      <c r="K365" s="191"/>
      <c r="L365" s="191"/>
      <c r="M365" s="191"/>
      <c r="N365" s="191"/>
      <c r="O365" s="191"/>
    </row>
    <row r="366">
      <c r="A366" s="191"/>
      <c r="B366" s="191"/>
      <c r="C366" s="191"/>
      <c r="D366" s="191"/>
      <c r="E366" s="191"/>
      <c r="F366" s="191"/>
      <c r="G366" s="191"/>
      <c r="H366" s="191"/>
      <c r="I366" s="191"/>
      <c r="J366" s="191"/>
      <c r="K366" s="191"/>
      <c r="L366" s="191"/>
      <c r="M366" s="191"/>
      <c r="N366" s="191"/>
      <c r="O366" s="191"/>
    </row>
    <row r="367">
      <c r="A367" s="191"/>
      <c r="B367" s="191"/>
      <c r="C367" s="191"/>
      <c r="D367" s="191"/>
      <c r="E367" s="191"/>
      <c r="F367" s="191"/>
      <c r="G367" s="191"/>
      <c r="H367" s="191"/>
      <c r="I367" s="191"/>
      <c r="J367" s="191"/>
      <c r="K367" s="191"/>
      <c r="L367" s="191"/>
      <c r="M367" s="191"/>
      <c r="N367" s="191"/>
      <c r="O367" s="191"/>
    </row>
    <row r="368">
      <c r="A368" s="191"/>
      <c r="B368" s="191"/>
      <c r="C368" s="191"/>
      <c r="D368" s="191"/>
      <c r="E368" s="191"/>
      <c r="F368" s="191"/>
      <c r="G368" s="191"/>
      <c r="H368" s="191"/>
      <c r="I368" s="191"/>
      <c r="J368" s="191"/>
      <c r="K368" s="191"/>
      <c r="L368" s="191"/>
      <c r="M368" s="191"/>
      <c r="N368" s="191"/>
      <c r="O368" s="191"/>
    </row>
    <row r="369">
      <c r="A369" s="191"/>
      <c r="B369" s="191"/>
      <c r="C369" s="191"/>
      <c r="D369" s="191"/>
      <c r="E369" s="191"/>
      <c r="F369" s="191"/>
      <c r="G369" s="191"/>
      <c r="H369" s="191"/>
      <c r="I369" s="191"/>
      <c r="J369" s="191"/>
      <c r="K369" s="191"/>
      <c r="L369" s="191"/>
      <c r="M369" s="191"/>
      <c r="N369" s="191"/>
      <c r="O369" s="191"/>
    </row>
    <row r="370">
      <c r="A370" s="191"/>
      <c r="B370" s="191"/>
      <c r="C370" s="191"/>
      <c r="D370" s="191"/>
      <c r="E370" s="191"/>
      <c r="F370" s="191"/>
      <c r="G370" s="191"/>
      <c r="H370" s="191"/>
      <c r="I370" s="191"/>
      <c r="J370" s="191"/>
      <c r="K370" s="191"/>
      <c r="L370" s="191"/>
      <c r="M370" s="191"/>
      <c r="N370" s="191"/>
      <c r="O370" s="191"/>
    </row>
    <row r="371">
      <c r="A371" s="191"/>
      <c r="B371" s="191"/>
      <c r="C371" s="191"/>
      <c r="D371" s="191"/>
      <c r="E371" s="191"/>
      <c r="F371" s="191"/>
      <c r="G371" s="191"/>
      <c r="H371" s="191"/>
      <c r="I371" s="191"/>
      <c r="J371" s="191"/>
      <c r="K371" s="191"/>
      <c r="L371" s="191"/>
      <c r="M371" s="191"/>
      <c r="N371" s="191"/>
      <c r="O371" s="191"/>
    </row>
    <row r="372">
      <c r="A372" s="191"/>
      <c r="B372" s="191"/>
      <c r="C372" s="191"/>
      <c r="D372" s="191"/>
      <c r="E372" s="191"/>
      <c r="F372" s="191"/>
      <c r="G372" s="191"/>
      <c r="H372" s="191"/>
      <c r="I372" s="191"/>
      <c r="J372" s="191"/>
      <c r="K372" s="191"/>
      <c r="L372" s="191"/>
      <c r="M372" s="191"/>
      <c r="N372" s="191"/>
      <c r="O372" s="191"/>
    </row>
    <row r="373">
      <c r="A373" s="191"/>
      <c r="B373" s="191"/>
      <c r="C373" s="191"/>
      <c r="D373" s="191"/>
      <c r="E373" s="191"/>
      <c r="F373" s="191"/>
      <c r="G373" s="191"/>
      <c r="H373" s="191"/>
      <c r="I373" s="191"/>
      <c r="J373" s="191"/>
      <c r="K373" s="191"/>
      <c r="L373" s="191"/>
      <c r="M373" s="191"/>
      <c r="N373" s="191"/>
      <c r="O373" s="191"/>
    </row>
    <row r="374">
      <c r="A374" s="191"/>
      <c r="B374" s="191"/>
      <c r="C374" s="191"/>
      <c r="D374" s="191"/>
      <c r="E374" s="191"/>
      <c r="F374" s="191"/>
      <c r="G374" s="191"/>
      <c r="H374" s="191"/>
      <c r="I374" s="191"/>
      <c r="J374" s="191"/>
      <c r="K374" s="191"/>
      <c r="L374" s="191"/>
      <c r="M374" s="191"/>
      <c r="N374" s="191"/>
      <c r="O374" s="191"/>
    </row>
    <row r="375">
      <c r="A375" s="191"/>
      <c r="B375" s="191"/>
      <c r="C375" s="191"/>
      <c r="D375" s="191"/>
      <c r="E375" s="191"/>
      <c r="F375" s="191"/>
      <c r="G375" s="191"/>
      <c r="H375" s="191"/>
      <c r="I375" s="191"/>
      <c r="J375" s="191"/>
      <c r="K375" s="191"/>
      <c r="L375" s="191"/>
      <c r="M375" s="191"/>
      <c r="N375" s="191"/>
      <c r="O375" s="191"/>
    </row>
    <row r="376">
      <c r="A376" s="191"/>
      <c r="B376" s="191"/>
      <c r="C376" s="191"/>
      <c r="D376" s="191"/>
      <c r="E376" s="191"/>
      <c r="F376" s="191"/>
      <c r="G376" s="191"/>
      <c r="H376" s="191"/>
      <c r="I376" s="191"/>
      <c r="J376" s="191"/>
      <c r="K376" s="191"/>
      <c r="L376" s="191"/>
      <c r="M376" s="191"/>
      <c r="N376" s="191"/>
      <c r="O376" s="191"/>
    </row>
    <row r="377">
      <c r="A377" s="191"/>
      <c r="B377" s="191"/>
      <c r="C377" s="191"/>
      <c r="D377" s="191"/>
      <c r="E377" s="191"/>
      <c r="F377" s="191"/>
      <c r="G377" s="191"/>
      <c r="H377" s="191"/>
      <c r="I377" s="191"/>
      <c r="J377" s="191"/>
      <c r="K377" s="191"/>
      <c r="L377" s="191"/>
      <c r="M377" s="191"/>
      <c r="N377" s="191"/>
      <c r="O377" s="191"/>
    </row>
    <row r="378">
      <c r="A378" s="191"/>
      <c r="B378" s="191"/>
      <c r="C378" s="191"/>
      <c r="D378" s="191"/>
      <c r="E378" s="191"/>
      <c r="F378" s="191"/>
      <c r="G378" s="191"/>
      <c r="H378" s="191"/>
      <c r="I378" s="191"/>
      <c r="J378" s="191"/>
      <c r="K378" s="191"/>
      <c r="L378" s="191"/>
      <c r="M378" s="191"/>
      <c r="N378" s="191"/>
      <c r="O378" s="191"/>
    </row>
    <row r="379">
      <c r="A379" s="191"/>
      <c r="B379" s="191"/>
      <c r="C379" s="191"/>
      <c r="D379" s="191"/>
      <c r="E379" s="191"/>
      <c r="F379" s="191"/>
      <c r="G379" s="191"/>
      <c r="H379" s="191"/>
      <c r="I379" s="191"/>
      <c r="J379" s="191"/>
      <c r="K379" s="191"/>
      <c r="L379" s="191"/>
      <c r="M379" s="191"/>
      <c r="N379" s="191"/>
      <c r="O379" s="191"/>
    </row>
    <row r="380">
      <c r="A380" s="191"/>
      <c r="B380" s="191"/>
      <c r="C380" s="191"/>
      <c r="D380" s="191"/>
      <c r="E380" s="191"/>
      <c r="F380" s="191"/>
      <c r="G380" s="191"/>
      <c r="H380" s="191"/>
      <c r="I380" s="191"/>
      <c r="J380" s="191"/>
      <c r="K380" s="191"/>
      <c r="L380" s="191"/>
      <c r="M380" s="191"/>
      <c r="N380" s="191"/>
      <c r="O380" s="191"/>
    </row>
    <row r="381">
      <c r="A381" s="191"/>
      <c r="B381" s="191"/>
      <c r="C381" s="191"/>
      <c r="D381" s="191"/>
      <c r="E381" s="191"/>
      <c r="F381" s="191"/>
      <c r="G381" s="191"/>
      <c r="H381" s="191"/>
      <c r="I381" s="191"/>
      <c r="J381" s="191"/>
      <c r="K381" s="191"/>
      <c r="L381" s="191"/>
      <c r="M381" s="191"/>
      <c r="N381" s="191"/>
      <c r="O381" s="191"/>
    </row>
    <row r="382">
      <c r="A382" s="191"/>
      <c r="B382" s="191"/>
      <c r="C382" s="191"/>
      <c r="D382" s="191"/>
      <c r="E382" s="191"/>
      <c r="F382" s="191"/>
      <c r="G382" s="191"/>
      <c r="H382" s="191"/>
      <c r="I382" s="191"/>
      <c r="J382" s="191"/>
      <c r="K382" s="191"/>
      <c r="L382" s="191"/>
      <c r="M382" s="191"/>
      <c r="N382" s="191"/>
      <c r="O382" s="191"/>
    </row>
    <row r="383">
      <c r="A383" s="191"/>
      <c r="B383" s="191"/>
      <c r="C383" s="191"/>
      <c r="D383" s="191"/>
      <c r="E383" s="191"/>
      <c r="F383" s="191"/>
      <c r="G383" s="191"/>
      <c r="H383" s="191"/>
      <c r="I383" s="191"/>
      <c r="J383" s="191"/>
      <c r="K383" s="191"/>
      <c r="L383" s="191"/>
      <c r="M383" s="191"/>
      <c r="N383" s="191"/>
      <c r="O383" s="191"/>
    </row>
    <row r="384">
      <c r="A384" s="191"/>
      <c r="B384" s="191"/>
      <c r="C384" s="191"/>
      <c r="D384" s="191"/>
      <c r="E384" s="191"/>
      <c r="F384" s="191"/>
      <c r="G384" s="191"/>
      <c r="H384" s="191"/>
      <c r="I384" s="191"/>
      <c r="J384" s="191"/>
      <c r="K384" s="191"/>
      <c r="L384" s="191"/>
      <c r="M384" s="191"/>
      <c r="N384" s="191"/>
      <c r="O384" s="191"/>
    </row>
    <row r="385">
      <c r="A385" s="191"/>
      <c r="B385" s="191"/>
      <c r="C385" s="191"/>
      <c r="D385" s="191"/>
      <c r="E385" s="191"/>
      <c r="F385" s="191"/>
      <c r="G385" s="191"/>
      <c r="H385" s="191"/>
      <c r="I385" s="191"/>
      <c r="J385" s="191"/>
      <c r="K385" s="191"/>
      <c r="L385" s="191"/>
      <c r="M385" s="191"/>
      <c r="N385" s="191"/>
      <c r="O385" s="191"/>
    </row>
    <row r="386">
      <c r="A386" s="191"/>
      <c r="B386" s="191"/>
      <c r="C386" s="191"/>
      <c r="D386" s="191"/>
      <c r="E386" s="191"/>
      <c r="F386" s="191"/>
      <c r="G386" s="191"/>
      <c r="H386" s="191"/>
      <c r="I386" s="191"/>
      <c r="J386" s="191"/>
      <c r="K386" s="191"/>
      <c r="L386" s="191"/>
      <c r="M386" s="191"/>
      <c r="N386" s="191"/>
      <c r="O386" s="191"/>
    </row>
    <row r="387">
      <c r="A387" s="191"/>
      <c r="B387" s="191"/>
      <c r="C387" s="191"/>
      <c r="D387" s="191"/>
      <c r="E387" s="191"/>
      <c r="F387" s="191"/>
      <c r="G387" s="191"/>
      <c r="H387" s="191"/>
      <c r="I387" s="191"/>
      <c r="J387" s="191"/>
      <c r="K387" s="191"/>
      <c r="L387" s="191"/>
      <c r="M387" s="191"/>
      <c r="N387" s="191"/>
      <c r="O387" s="191"/>
    </row>
    <row r="388">
      <c r="A388" s="191"/>
      <c r="B388" s="191"/>
      <c r="C388" s="191"/>
      <c r="D388" s="191"/>
      <c r="E388" s="191"/>
      <c r="F388" s="191"/>
      <c r="G388" s="191"/>
      <c r="H388" s="191"/>
      <c r="I388" s="191"/>
      <c r="J388" s="191"/>
      <c r="K388" s="191"/>
      <c r="L388" s="191"/>
      <c r="M388" s="191"/>
      <c r="N388" s="191"/>
      <c r="O388" s="191"/>
    </row>
    <row r="389">
      <c r="A389" s="191"/>
      <c r="B389" s="191"/>
      <c r="C389" s="191"/>
      <c r="D389" s="191"/>
      <c r="E389" s="191"/>
      <c r="F389" s="191"/>
      <c r="G389" s="191"/>
      <c r="H389" s="191"/>
      <c r="I389" s="191"/>
      <c r="J389" s="191"/>
      <c r="K389" s="191"/>
      <c r="L389" s="191"/>
      <c r="M389" s="191"/>
      <c r="N389" s="191"/>
      <c r="O389" s="191"/>
    </row>
    <row r="390">
      <c r="A390" s="191"/>
      <c r="B390" s="191"/>
      <c r="C390" s="191"/>
      <c r="D390" s="191"/>
      <c r="E390" s="191"/>
      <c r="F390" s="191"/>
      <c r="G390" s="191"/>
      <c r="H390" s="191"/>
      <c r="I390" s="191"/>
      <c r="J390" s="191"/>
      <c r="K390" s="191"/>
      <c r="L390" s="191"/>
      <c r="M390" s="191"/>
      <c r="N390" s="191"/>
      <c r="O390" s="191"/>
    </row>
    <row r="391">
      <c r="A391" s="191"/>
      <c r="B391" s="191"/>
      <c r="C391" s="191"/>
      <c r="D391" s="191"/>
      <c r="E391" s="191"/>
      <c r="F391" s="191"/>
      <c r="G391" s="191"/>
      <c r="H391" s="191"/>
      <c r="I391" s="191"/>
      <c r="J391" s="191"/>
      <c r="K391" s="191"/>
      <c r="L391" s="191"/>
      <c r="M391" s="191"/>
      <c r="N391" s="191"/>
      <c r="O391" s="191"/>
    </row>
    <row r="392">
      <c r="A392" s="191"/>
      <c r="B392" s="191"/>
      <c r="C392" s="191"/>
      <c r="D392" s="191"/>
      <c r="E392" s="191"/>
      <c r="F392" s="191"/>
      <c r="G392" s="191"/>
      <c r="H392" s="191"/>
      <c r="I392" s="191"/>
      <c r="J392" s="191"/>
      <c r="K392" s="191"/>
      <c r="L392" s="191"/>
      <c r="M392" s="191"/>
      <c r="N392" s="191"/>
      <c r="O392" s="191"/>
    </row>
    <row r="393">
      <c r="A393" s="191"/>
      <c r="B393" s="191"/>
      <c r="C393" s="191"/>
      <c r="D393" s="191"/>
      <c r="E393" s="191"/>
      <c r="F393" s="191"/>
      <c r="G393" s="191"/>
      <c r="H393" s="191"/>
      <c r="I393" s="191"/>
      <c r="J393" s="191"/>
      <c r="K393" s="191"/>
      <c r="L393" s="191"/>
      <c r="M393" s="191"/>
      <c r="N393" s="191"/>
      <c r="O393" s="191"/>
    </row>
    <row r="394">
      <c r="A394" s="191"/>
      <c r="B394" s="191"/>
      <c r="C394" s="191"/>
      <c r="D394" s="191"/>
      <c r="E394" s="191"/>
      <c r="F394" s="191"/>
      <c r="G394" s="191"/>
      <c r="H394" s="191"/>
      <c r="I394" s="191"/>
      <c r="J394" s="191"/>
      <c r="K394" s="191"/>
      <c r="L394" s="191"/>
      <c r="M394" s="191"/>
      <c r="N394" s="191"/>
      <c r="O394" s="191"/>
    </row>
    <row r="395">
      <c r="A395" s="191"/>
      <c r="B395" s="191"/>
      <c r="C395" s="191"/>
      <c r="D395" s="191"/>
      <c r="E395" s="191"/>
      <c r="F395" s="191"/>
      <c r="G395" s="191"/>
      <c r="H395" s="191"/>
      <c r="I395" s="191"/>
      <c r="J395" s="191"/>
      <c r="K395" s="191"/>
      <c r="L395" s="191"/>
      <c r="M395" s="191"/>
      <c r="N395" s="191"/>
      <c r="O395" s="191"/>
    </row>
    <row r="396">
      <c r="A396" s="191"/>
      <c r="B396" s="191"/>
      <c r="C396" s="191"/>
      <c r="D396" s="191"/>
      <c r="E396" s="191"/>
      <c r="F396" s="191"/>
      <c r="G396" s="191"/>
      <c r="H396" s="191"/>
      <c r="I396" s="191"/>
      <c r="J396" s="191"/>
      <c r="K396" s="191"/>
      <c r="L396" s="191"/>
      <c r="M396" s="191"/>
      <c r="N396" s="191"/>
      <c r="O396" s="191"/>
    </row>
    <row r="397">
      <c r="A397" s="191"/>
      <c r="B397" s="191"/>
      <c r="C397" s="191"/>
      <c r="D397" s="191"/>
      <c r="E397" s="191"/>
      <c r="F397" s="191"/>
      <c r="G397" s="191"/>
      <c r="H397" s="191"/>
      <c r="I397" s="191"/>
      <c r="J397" s="191"/>
      <c r="K397" s="191"/>
      <c r="L397" s="191"/>
      <c r="M397" s="191"/>
      <c r="N397" s="191"/>
      <c r="O397" s="191"/>
    </row>
    <row r="398">
      <c r="A398" s="191"/>
      <c r="B398" s="191"/>
      <c r="C398" s="191"/>
      <c r="D398" s="191"/>
      <c r="E398" s="191"/>
      <c r="F398" s="191"/>
      <c r="G398" s="191"/>
      <c r="H398" s="191"/>
      <c r="I398" s="191"/>
      <c r="J398" s="191"/>
      <c r="K398" s="191"/>
      <c r="L398" s="191"/>
      <c r="M398" s="191"/>
      <c r="N398" s="191"/>
      <c r="O398" s="191"/>
    </row>
    <row r="399">
      <c r="A399" s="191"/>
      <c r="B399" s="191"/>
      <c r="C399" s="191"/>
      <c r="D399" s="191"/>
      <c r="E399" s="191"/>
      <c r="F399" s="191"/>
      <c r="G399" s="191"/>
      <c r="H399" s="191"/>
      <c r="I399" s="191"/>
      <c r="J399" s="191"/>
      <c r="K399" s="191"/>
      <c r="L399" s="191"/>
      <c r="M399" s="191"/>
      <c r="N399" s="191"/>
      <c r="O399" s="191"/>
    </row>
    <row r="400">
      <c r="A400" s="191"/>
      <c r="B400" s="191"/>
      <c r="C400" s="191"/>
      <c r="D400" s="191"/>
      <c r="E400" s="191"/>
      <c r="F400" s="191"/>
      <c r="G400" s="191"/>
      <c r="H400" s="191"/>
      <c r="I400" s="191"/>
      <c r="J400" s="191"/>
      <c r="K400" s="191"/>
      <c r="L400" s="191"/>
      <c r="M400" s="191"/>
      <c r="N400" s="191"/>
      <c r="O400" s="191"/>
    </row>
    <row r="401">
      <c r="A401" s="191"/>
      <c r="B401" s="191"/>
      <c r="C401" s="191"/>
      <c r="D401" s="191"/>
      <c r="E401" s="191"/>
      <c r="F401" s="191"/>
      <c r="G401" s="191"/>
      <c r="H401" s="191"/>
      <c r="I401" s="191"/>
      <c r="J401" s="191"/>
      <c r="K401" s="191"/>
      <c r="L401" s="191"/>
      <c r="M401" s="191"/>
      <c r="N401" s="191"/>
      <c r="O401" s="191"/>
    </row>
    <row r="402">
      <c r="A402" s="191"/>
      <c r="B402" s="191"/>
      <c r="C402" s="191"/>
      <c r="D402" s="191"/>
      <c r="E402" s="191"/>
      <c r="F402" s="191"/>
      <c r="G402" s="191"/>
      <c r="H402" s="191"/>
      <c r="I402" s="191"/>
      <c r="J402" s="191"/>
      <c r="K402" s="191"/>
      <c r="L402" s="191"/>
      <c r="M402" s="191"/>
      <c r="N402" s="191"/>
      <c r="O402" s="191"/>
    </row>
    <row r="403">
      <c r="A403" s="191"/>
      <c r="B403" s="191"/>
      <c r="C403" s="191"/>
      <c r="D403" s="191"/>
      <c r="E403" s="191"/>
      <c r="F403" s="191"/>
      <c r="G403" s="191"/>
      <c r="H403" s="191"/>
      <c r="I403" s="191"/>
      <c r="J403" s="191"/>
      <c r="K403" s="191"/>
      <c r="L403" s="191"/>
      <c r="M403" s="191"/>
      <c r="N403" s="191"/>
      <c r="O403" s="191"/>
    </row>
    <row r="404">
      <c r="A404" s="191"/>
      <c r="B404" s="191"/>
      <c r="C404" s="191"/>
      <c r="D404" s="191"/>
      <c r="E404" s="191"/>
      <c r="F404" s="191"/>
      <c r="G404" s="191"/>
      <c r="H404" s="191"/>
      <c r="I404" s="191"/>
      <c r="J404" s="191"/>
      <c r="K404" s="191"/>
      <c r="L404" s="191"/>
      <c r="M404" s="191"/>
      <c r="N404" s="191"/>
      <c r="O404" s="191"/>
    </row>
    <row r="405">
      <c r="A405" s="191"/>
      <c r="B405" s="191"/>
      <c r="C405" s="191"/>
      <c r="D405" s="191"/>
      <c r="E405" s="191"/>
      <c r="F405" s="191"/>
      <c r="G405" s="191"/>
      <c r="H405" s="191"/>
      <c r="I405" s="191"/>
      <c r="J405" s="191"/>
      <c r="K405" s="191"/>
      <c r="L405" s="191"/>
      <c r="M405" s="191"/>
      <c r="N405" s="191"/>
      <c r="O405" s="191"/>
    </row>
    <row r="406">
      <c r="A406" s="191"/>
      <c r="B406" s="191"/>
      <c r="C406" s="191"/>
      <c r="D406" s="191"/>
      <c r="E406" s="191"/>
      <c r="F406" s="191"/>
      <c r="G406" s="191"/>
      <c r="H406" s="191"/>
      <c r="I406" s="191"/>
      <c r="J406" s="191"/>
      <c r="K406" s="191"/>
      <c r="L406" s="191"/>
      <c r="M406" s="191"/>
      <c r="N406" s="191"/>
      <c r="O406" s="191"/>
    </row>
    <row r="407">
      <c r="A407" s="191"/>
      <c r="B407" s="191"/>
      <c r="C407" s="191"/>
      <c r="D407" s="191"/>
      <c r="E407" s="191"/>
      <c r="F407" s="191"/>
      <c r="G407" s="191"/>
      <c r="H407" s="191"/>
      <c r="I407" s="191"/>
      <c r="J407" s="191"/>
      <c r="K407" s="191"/>
      <c r="L407" s="191"/>
      <c r="M407" s="191"/>
      <c r="N407" s="191"/>
      <c r="O407" s="191"/>
    </row>
    <row r="408">
      <c r="A408" s="191"/>
      <c r="B408" s="191"/>
      <c r="C408" s="191"/>
      <c r="D408" s="191"/>
      <c r="E408" s="191"/>
      <c r="F408" s="191"/>
      <c r="G408" s="191"/>
      <c r="H408" s="191"/>
      <c r="I408" s="191"/>
      <c r="J408" s="191"/>
      <c r="K408" s="191"/>
      <c r="L408" s="191"/>
      <c r="M408" s="191"/>
      <c r="N408" s="191"/>
      <c r="O408" s="191"/>
    </row>
    <row r="409">
      <c r="A409" s="191"/>
      <c r="B409" s="191"/>
      <c r="C409" s="191"/>
      <c r="D409" s="191"/>
      <c r="E409" s="191"/>
      <c r="F409" s="191"/>
      <c r="G409" s="191"/>
      <c r="H409" s="191"/>
      <c r="I409" s="191"/>
      <c r="J409" s="191"/>
      <c r="K409" s="191"/>
      <c r="L409" s="191"/>
      <c r="M409" s="191"/>
      <c r="N409" s="191"/>
      <c r="O409" s="191"/>
    </row>
    <row r="410">
      <c r="A410" s="191"/>
      <c r="B410" s="191"/>
      <c r="C410" s="191"/>
      <c r="D410" s="191"/>
      <c r="E410" s="191"/>
      <c r="F410" s="191"/>
      <c r="G410" s="191"/>
      <c r="H410" s="191"/>
      <c r="I410" s="191"/>
      <c r="J410" s="191"/>
      <c r="K410" s="191"/>
      <c r="L410" s="191"/>
      <c r="M410" s="191"/>
      <c r="N410" s="191"/>
      <c r="O410" s="191"/>
    </row>
    <row r="411">
      <c r="A411" s="191"/>
      <c r="B411" s="191"/>
      <c r="C411" s="191"/>
      <c r="D411" s="191"/>
      <c r="E411" s="191"/>
      <c r="F411" s="191"/>
      <c r="G411" s="191"/>
      <c r="H411" s="191"/>
      <c r="I411" s="191"/>
      <c r="J411" s="191"/>
      <c r="K411" s="191"/>
      <c r="L411" s="191"/>
      <c r="M411" s="191"/>
      <c r="N411" s="191"/>
      <c r="O411" s="191"/>
    </row>
    <row r="412">
      <c r="A412" s="191"/>
      <c r="B412" s="191"/>
      <c r="C412" s="191"/>
      <c r="D412" s="191"/>
      <c r="E412" s="191"/>
      <c r="F412" s="191"/>
      <c r="G412" s="191"/>
      <c r="H412" s="191"/>
      <c r="I412" s="191"/>
      <c r="J412" s="191"/>
      <c r="K412" s="191"/>
      <c r="L412" s="191"/>
      <c r="M412" s="191"/>
      <c r="N412" s="191"/>
      <c r="O412" s="191"/>
    </row>
    <row r="413">
      <c r="A413" s="191"/>
      <c r="B413" s="191"/>
      <c r="C413" s="191"/>
      <c r="D413" s="191"/>
      <c r="E413" s="191"/>
      <c r="F413" s="191"/>
      <c r="G413" s="191"/>
      <c r="H413" s="191"/>
      <c r="I413" s="191"/>
      <c r="J413" s="191"/>
      <c r="K413" s="191"/>
      <c r="L413" s="191"/>
      <c r="M413" s="191"/>
      <c r="N413" s="191"/>
      <c r="O413" s="191"/>
    </row>
    <row r="414">
      <c r="A414" s="191"/>
      <c r="B414" s="191"/>
      <c r="C414" s="191"/>
      <c r="D414" s="191"/>
      <c r="E414" s="191"/>
      <c r="F414" s="191"/>
      <c r="G414" s="191"/>
      <c r="H414" s="191"/>
      <c r="I414" s="191"/>
      <c r="J414" s="191"/>
      <c r="K414" s="191"/>
      <c r="L414" s="191"/>
      <c r="M414" s="191"/>
      <c r="N414" s="191"/>
      <c r="O414" s="191"/>
    </row>
    <row r="415">
      <c r="A415" s="191"/>
      <c r="B415" s="191"/>
      <c r="C415" s="191"/>
      <c r="D415" s="191"/>
      <c r="E415" s="191"/>
      <c r="F415" s="191"/>
      <c r="G415" s="191"/>
      <c r="H415" s="191"/>
      <c r="I415" s="191"/>
      <c r="J415" s="191"/>
      <c r="K415" s="191"/>
      <c r="L415" s="191"/>
      <c r="M415" s="191"/>
      <c r="N415" s="191"/>
      <c r="O415" s="191"/>
    </row>
    <row r="416">
      <c r="A416" s="191"/>
      <c r="B416" s="191"/>
      <c r="C416" s="191"/>
      <c r="D416" s="191"/>
      <c r="E416" s="191"/>
      <c r="F416" s="191"/>
      <c r="G416" s="191"/>
      <c r="H416" s="191"/>
      <c r="I416" s="191"/>
      <c r="J416" s="191"/>
      <c r="K416" s="191"/>
      <c r="L416" s="191"/>
      <c r="M416" s="191"/>
      <c r="N416" s="191"/>
      <c r="O416" s="191"/>
    </row>
    <row r="417">
      <c r="A417" s="191"/>
      <c r="B417" s="191"/>
      <c r="C417" s="191"/>
      <c r="D417" s="191"/>
      <c r="E417" s="191"/>
      <c r="F417" s="191"/>
      <c r="G417" s="191"/>
      <c r="H417" s="191"/>
      <c r="I417" s="191"/>
      <c r="J417" s="191"/>
      <c r="K417" s="191"/>
      <c r="L417" s="191"/>
      <c r="M417" s="191"/>
      <c r="N417" s="191"/>
      <c r="O417" s="191"/>
    </row>
    <row r="418">
      <c r="A418" s="191"/>
      <c r="B418" s="191"/>
      <c r="C418" s="191"/>
      <c r="D418" s="191"/>
      <c r="E418" s="191"/>
      <c r="F418" s="191"/>
      <c r="G418" s="191"/>
      <c r="H418" s="191"/>
      <c r="I418" s="191"/>
      <c r="J418" s="191"/>
      <c r="K418" s="191"/>
      <c r="L418" s="191"/>
      <c r="M418" s="191"/>
      <c r="N418" s="191"/>
      <c r="O418" s="191"/>
    </row>
    <row r="419">
      <c r="A419" s="191"/>
      <c r="B419" s="191"/>
      <c r="C419" s="191"/>
      <c r="D419" s="191"/>
      <c r="E419" s="191"/>
      <c r="F419" s="191"/>
      <c r="G419" s="191"/>
      <c r="H419" s="191"/>
      <c r="I419" s="191"/>
      <c r="J419" s="191"/>
      <c r="K419" s="191"/>
      <c r="L419" s="191"/>
      <c r="M419" s="191"/>
      <c r="N419" s="191"/>
      <c r="O419" s="191"/>
    </row>
    <row r="420">
      <c r="A420" s="191"/>
      <c r="B420" s="191"/>
      <c r="C420" s="191"/>
      <c r="D420" s="191"/>
      <c r="E420" s="191"/>
      <c r="F420" s="191"/>
      <c r="G420" s="191"/>
      <c r="H420" s="191"/>
      <c r="I420" s="191"/>
      <c r="J420" s="191"/>
      <c r="K420" s="191"/>
      <c r="L420" s="191"/>
      <c r="M420" s="191"/>
      <c r="N420" s="191"/>
      <c r="O420" s="191"/>
    </row>
    <row r="421">
      <c r="A421" s="191"/>
      <c r="B421" s="191"/>
      <c r="C421" s="191"/>
      <c r="D421" s="191"/>
      <c r="E421" s="191"/>
      <c r="F421" s="191"/>
      <c r="G421" s="191"/>
      <c r="H421" s="191"/>
      <c r="I421" s="191"/>
      <c r="J421" s="191"/>
      <c r="K421" s="191"/>
      <c r="L421" s="191"/>
      <c r="M421" s="191"/>
      <c r="N421" s="191"/>
      <c r="O421" s="191"/>
    </row>
    <row r="422">
      <c r="A422" s="191"/>
      <c r="B422" s="191"/>
      <c r="C422" s="191"/>
      <c r="D422" s="191"/>
      <c r="E422" s="191"/>
      <c r="F422" s="191"/>
      <c r="G422" s="191"/>
      <c r="H422" s="191"/>
      <c r="I422" s="191"/>
      <c r="J422" s="191"/>
      <c r="K422" s="191"/>
      <c r="L422" s="191"/>
      <c r="M422" s="191"/>
      <c r="N422" s="191"/>
      <c r="O422" s="191"/>
    </row>
    <row r="423">
      <c r="A423" s="191"/>
      <c r="B423" s="191"/>
      <c r="C423" s="191"/>
      <c r="D423" s="191"/>
      <c r="E423" s="191"/>
      <c r="F423" s="191"/>
      <c r="G423" s="191"/>
      <c r="H423" s="191"/>
      <c r="I423" s="191"/>
      <c r="J423" s="191"/>
      <c r="K423" s="191"/>
      <c r="L423" s="191"/>
      <c r="M423" s="191"/>
      <c r="N423" s="191"/>
      <c r="O423" s="191"/>
    </row>
    <row r="424">
      <c r="A424" s="191"/>
      <c r="B424" s="191"/>
      <c r="C424" s="191"/>
      <c r="D424" s="191"/>
      <c r="E424" s="191"/>
      <c r="F424" s="191"/>
      <c r="G424" s="191"/>
      <c r="H424" s="191"/>
      <c r="I424" s="191"/>
      <c r="J424" s="191"/>
      <c r="K424" s="191"/>
      <c r="L424" s="191"/>
      <c r="M424" s="191"/>
      <c r="N424" s="191"/>
      <c r="O424" s="191"/>
    </row>
    <row r="425">
      <c r="A425" s="191"/>
      <c r="B425" s="191"/>
      <c r="C425" s="191"/>
      <c r="D425" s="191"/>
      <c r="E425" s="191"/>
      <c r="F425" s="191"/>
      <c r="G425" s="191"/>
      <c r="H425" s="191"/>
      <c r="I425" s="191"/>
      <c r="J425" s="191"/>
      <c r="K425" s="191"/>
      <c r="L425" s="191"/>
      <c r="M425" s="191"/>
      <c r="N425" s="191"/>
      <c r="O425" s="191"/>
    </row>
    <row r="426">
      <c r="A426" s="191"/>
      <c r="B426" s="191"/>
      <c r="C426" s="191"/>
      <c r="D426" s="191"/>
      <c r="E426" s="191"/>
      <c r="F426" s="191"/>
      <c r="G426" s="191"/>
      <c r="H426" s="191"/>
      <c r="I426" s="191"/>
      <c r="J426" s="191"/>
      <c r="K426" s="191"/>
      <c r="L426" s="191"/>
      <c r="M426" s="191"/>
      <c r="N426" s="191"/>
      <c r="O426" s="191"/>
    </row>
    <row r="427">
      <c r="A427" s="191"/>
      <c r="B427" s="191"/>
      <c r="C427" s="191"/>
      <c r="D427" s="191"/>
      <c r="E427" s="191"/>
      <c r="F427" s="191"/>
      <c r="G427" s="191"/>
      <c r="H427" s="191"/>
      <c r="I427" s="191"/>
      <c r="J427" s="191"/>
      <c r="K427" s="191"/>
      <c r="L427" s="191"/>
      <c r="M427" s="191"/>
      <c r="N427" s="191"/>
      <c r="O427" s="191"/>
    </row>
    <row r="428">
      <c r="A428" s="191"/>
      <c r="B428" s="191"/>
      <c r="C428" s="191"/>
      <c r="D428" s="191"/>
      <c r="E428" s="191"/>
      <c r="F428" s="191"/>
      <c r="G428" s="191"/>
      <c r="H428" s="191"/>
      <c r="I428" s="191"/>
      <c r="J428" s="191"/>
      <c r="K428" s="191"/>
      <c r="L428" s="191"/>
      <c r="M428" s="191"/>
      <c r="N428" s="191"/>
      <c r="O428" s="191"/>
    </row>
    <row r="429">
      <c r="A429" s="191"/>
      <c r="B429" s="191"/>
      <c r="C429" s="191"/>
      <c r="D429" s="191"/>
      <c r="E429" s="191"/>
      <c r="F429" s="191"/>
      <c r="G429" s="191"/>
      <c r="H429" s="191"/>
      <c r="I429" s="191"/>
      <c r="J429" s="191"/>
      <c r="K429" s="191"/>
      <c r="L429" s="191"/>
      <c r="M429" s="191"/>
      <c r="N429" s="191"/>
      <c r="O429" s="191"/>
    </row>
    <row r="430">
      <c r="A430" s="191"/>
      <c r="B430" s="191"/>
      <c r="C430" s="191"/>
      <c r="D430" s="191"/>
      <c r="E430" s="191"/>
      <c r="F430" s="191"/>
      <c r="G430" s="191"/>
      <c r="H430" s="191"/>
      <c r="I430" s="191"/>
      <c r="J430" s="191"/>
      <c r="K430" s="191"/>
      <c r="L430" s="191"/>
      <c r="M430" s="191"/>
      <c r="N430" s="191"/>
      <c r="O430" s="191"/>
    </row>
    <row r="431">
      <c r="A431" s="191"/>
      <c r="B431" s="191"/>
      <c r="C431" s="191"/>
      <c r="D431" s="191"/>
      <c r="E431" s="191"/>
      <c r="F431" s="191"/>
      <c r="G431" s="191"/>
      <c r="H431" s="191"/>
      <c r="I431" s="191"/>
      <c r="J431" s="191"/>
      <c r="K431" s="191"/>
      <c r="L431" s="191"/>
      <c r="M431" s="191"/>
      <c r="N431" s="191"/>
      <c r="O431" s="191"/>
    </row>
    <row r="432">
      <c r="A432" s="191"/>
      <c r="B432" s="191"/>
      <c r="C432" s="191"/>
      <c r="D432" s="191"/>
      <c r="E432" s="191"/>
      <c r="F432" s="191"/>
      <c r="G432" s="191"/>
      <c r="H432" s="191"/>
      <c r="I432" s="191"/>
      <c r="J432" s="191"/>
      <c r="K432" s="191"/>
      <c r="L432" s="191"/>
      <c r="M432" s="191"/>
      <c r="N432" s="191"/>
      <c r="O432" s="191"/>
    </row>
    <row r="433">
      <c r="A433" s="191"/>
      <c r="B433" s="191"/>
      <c r="C433" s="191"/>
      <c r="D433" s="191"/>
      <c r="E433" s="191"/>
      <c r="F433" s="191"/>
      <c r="G433" s="191"/>
      <c r="H433" s="191"/>
      <c r="I433" s="191"/>
      <c r="J433" s="191"/>
      <c r="K433" s="191"/>
      <c r="L433" s="191"/>
      <c r="M433" s="191"/>
      <c r="N433" s="191"/>
      <c r="O433" s="191"/>
    </row>
    <row r="434">
      <c r="A434" s="191"/>
      <c r="B434" s="191"/>
      <c r="C434" s="191"/>
      <c r="D434" s="191"/>
      <c r="E434" s="191"/>
      <c r="F434" s="191"/>
      <c r="G434" s="191"/>
      <c r="H434" s="191"/>
      <c r="I434" s="191"/>
      <c r="J434" s="191"/>
      <c r="K434" s="191"/>
      <c r="L434" s="191"/>
      <c r="M434" s="191"/>
      <c r="N434" s="191"/>
      <c r="O434" s="191"/>
    </row>
    <row r="435">
      <c r="A435" s="191"/>
      <c r="B435" s="191"/>
      <c r="C435" s="191"/>
      <c r="D435" s="191"/>
      <c r="E435" s="191"/>
      <c r="F435" s="191"/>
      <c r="G435" s="191"/>
      <c r="H435" s="191"/>
      <c r="I435" s="191"/>
      <c r="J435" s="191"/>
      <c r="K435" s="191"/>
      <c r="L435" s="191"/>
      <c r="M435" s="191"/>
      <c r="N435" s="191"/>
      <c r="O435" s="191"/>
    </row>
    <row r="436">
      <c r="A436" s="191"/>
      <c r="B436" s="191"/>
      <c r="C436" s="191"/>
      <c r="D436" s="191"/>
      <c r="E436" s="191"/>
      <c r="F436" s="191"/>
      <c r="G436" s="191"/>
      <c r="H436" s="191"/>
      <c r="I436" s="191"/>
      <c r="J436" s="191"/>
      <c r="K436" s="191"/>
      <c r="L436" s="191"/>
      <c r="M436" s="191"/>
      <c r="N436" s="191"/>
      <c r="O436" s="191"/>
    </row>
    <row r="437">
      <c r="A437" s="191"/>
      <c r="B437" s="191"/>
      <c r="C437" s="191"/>
      <c r="D437" s="191"/>
      <c r="E437" s="191"/>
      <c r="F437" s="191"/>
      <c r="G437" s="191"/>
      <c r="H437" s="191"/>
      <c r="I437" s="191"/>
      <c r="J437" s="191"/>
      <c r="K437" s="191"/>
      <c r="L437" s="191"/>
      <c r="M437" s="191"/>
      <c r="N437" s="191"/>
      <c r="O437" s="191"/>
    </row>
    <row r="438">
      <c r="A438" s="191"/>
      <c r="B438" s="191"/>
      <c r="C438" s="191"/>
      <c r="D438" s="191"/>
      <c r="E438" s="191"/>
      <c r="F438" s="191"/>
      <c r="G438" s="191"/>
      <c r="H438" s="191"/>
      <c r="I438" s="191"/>
      <c r="J438" s="191"/>
      <c r="K438" s="191"/>
      <c r="L438" s="191"/>
      <c r="M438" s="191"/>
      <c r="N438" s="191"/>
      <c r="O438" s="191"/>
    </row>
    <row r="439">
      <c r="A439" s="191"/>
      <c r="B439" s="191"/>
      <c r="C439" s="191"/>
      <c r="D439" s="191"/>
      <c r="E439" s="191"/>
      <c r="F439" s="191"/>
      <c r="G439" s="191"/>
      <c r="H439" s="191"/>
      <c r="I439" s="191"/>
      <c r="J439" s="191"/>
      <c r="K439" s="191"/>
      <c r="L439" s="191"/>
      <c r="M439" s="191"/>
      <c r="N439" s="191"/>
      <c r="O439" s="191"/>
    </row>
    <row r="440">
      <c r="A440" s="191"/>
      <c r="B440" s="191"/>
      <c r="C440" s="191"/>
      <c r="D440" s="191"/>
      <c r="E440" s="191"/>
      <c r="F440" s="191"/>
      <c r="G440" s="191"/>
      <c r="H440" s="191"/>
      <c r="I440" s="191"/>
      <c r="J440" s="191"/>
      <c r="K440" s="191"/>
      <c r="L440" s="191"/>
      <c r="M440" s="191"/>
      <c r="N440" s="191"/>
      <c r="O440" s="191"/>
    </row>
    <row r="441">
      <c r="A441" s="191"/>
      <c r="B441" s="191"/>
      <c r="C441" s="191"/>
      <c r="D441" s="191"/>
      <c r="E441" s="191"/>
      <c r="F441" s="191"/>
      <c r="G441" s="191"/>
      <c r="H441" s="191"/>
      <c r="I441" s="191"/>
      <c r="J441" s="191"/>
      <c r="K441" s="191"/>
      <c r="L441" s="191"/>
      <c r="M441" s="191"/>
      <c r="N441" s="191"/>
      <c r="O441" s="191"/>
    </row>
    <row r="442">
      <c r="A442" s="191"/>
      <c r="B442" s="191"/>
      <c r="C442" s="191"/>
      <c r="D442" s="191"/>
      <c r="E442" s="191"/>
      <c r="F442" s="191"/>
      <c r="G442" s="191"/>
      <c r="H442" s="191"/>
      <c r="I442" s="191"/>
      <c r="J442" s="191"/>
      <c r="K442" s="191"/>
      <c r="L442" s="191"/>
      <c r="M442" s="191"/>
      <c r="N442" s="191"/>
      <c r="O442" s="191"/>
    </row>
    <row r="443">
      <c r="A443" s="191"/>
      <c r="B443" s="191"/>
      <c r="C443" s="191"/>
      <c r="D443" s="191"/>
      <c r="E443" s="191"/>
      <c r="F443" s="191"/>
      <c r="G443" s="191"/>
      <c r="H443" s="191"/>
      <c r="I443" s="191"/>
      <c r="J443" s="191"/>
      <c r="K443" s="191"/>
      <c r="L443" s="191"/>
      <c r="M443" s="191"/>
      <c r="N443" s="191"/>
      <c r="O443" s="191"/>
    </row>
    <row r="444">
      <c r="A444" s="191"/>
      <c r="B444" s="191"/>
      <c r="C444" s="191"/>
      <c r="D444" s="191"/>
      <c r="E444" s="191"/>
      <c r="F444" s="191"/>
      <c r="G444" s="191"/>
      <c r="H444" s="191"/>
      <c r="I444" s="191"/>
      <c r="J444" s="191"/>
      <c r="K444" s="191"/>
      <c r="L444" s="191"/>
      <c r="M444" s="191"/>
      <c r="N444" s="191"/>
      <c r="O444" s="191"/>
    </row>
    <row r="445">
      <c r="A445" s="191"/>
      <c r="B445" s="191"/>
      <c r="C445" s="191"/>
      <c r="D445" s="191"/>
      <c r="E445" s="191"/>
      <c r="F445" s="191"/>
      <c r="G445" s="191"/>
      <c r="H445" s="191"/>
      <c r="I445" s="191"/>
      <c r="J445" s="191"/>
      <c r="K445" s="191"/>
      <c r="L445" s="191"/>
      <c r="M445" s="191"/>
      <c r="N445" s="191"/>
      <c r="O445" s="191"/>
    </row>
    <row r="446">
      <c r="A446" s="191"/>
      <c r="B446" s="191"/>
      <c r="C446" s="191"/>
      <c r="D446" s="191"/>
      <c r="E446" s="191"/>
      <c r="F446" s="191"/>
      <c r="G446" s="191"/>
      <c r="H446" s="191"/>
      <c r="I446" s="191"/>
      <c r="J446" s="191"/>
      <c r="K446" s="191"/>
      <c r="L446" s="191"/>
      <c r="M446" s="191"/>
      <c r="N446" s="191"/>
      <c r="O446" s="191"/>
    </row>
    <row r="447">
      <c r="A447" s="191"/>
      <c r="B447" s="191"/>
      <c r="C447" s="191"/>
      <c r="D447" s="191"/>
      <c r="E447" s="191"/>
      <c r="F447" s="191"/>
      <c r="G447" s="191"/>
      <c r="H447" s="191"/>
      <c r="I447" s="191"/>
      <c r="J447" s="191"/>
      <c r="K447" s="191"/>
      <c r="L447" s="191"/>
      <c r="M447" s="191"/>
      <c r="N447" s="191"/>
      <c r="O447" s="191"/>
    </row>
    <row r="448">
      <c r="A448" s="191"/>
      <c r="B448" s="191"/>
      <c r="C448" s="191"/>
      <c r="D448" s="191"/>
      <c r="E448" s="191"/>
      <c r="F448" s="191"/>
      <c r="G448" s="191"/>
      <c r="H448" s="191"/>
      <c r="I448" s="191"/>
      <c r="J448" s="191"/>
      <c r="K448" s="191"/>
      <c r="L448" s="191"/>
      <c r="M448" s="191"/>
      <c r="N448" s="191"/>
      <c r="O448" s="191"/>
    </row>
    <row r="449">
      <c r="A449" s="191"/>
      <c r="B449" s="191"/>
      <c r="C449" s="191"/>
      <c r="D449" s="191"/>
      <c r="E449" s="191"/>
      <c r="F449" s="191"/>
      <c r="G449" s="191"/>
      <c r="H449" s="191"/>
      <c r="I449" s="191"/>
      <c r="J449" s="191"/>
      <c r="K449" s="191"/>
      <c r="L449" s="191"/>
      <c r="M449" s="191"/>
      <c r="N449" s="191"/>
      <c r="O449" s="191"/>
    </row>
    <row r="450">
      <c r="A450" s="191"/>
      <c r="B450" s="191"/>
      <c r="C450" s="191"/>
      <c r="D450" s="191"/>
      <c r="E450" s="191"/>
      <c r="F450" s="191"/>
      <c r="G450" s="191"/>
      <c r="H450" s="191"/>
      <c r="I450" s="191"/>
      <c r="J450" s="191"/>
      <c r="K450" s="191"/>
      <c r="L450" s="191"/>
      <c r="M450" s="191"/>
      <c r="N450" s="191"/>
      <c r="O450" s="191"/>
    </row>
    <row r="451">
      <c r="A451" s="191"/>
      <c r="B451" s="191"/>
      <c r="C451" s="191"/>
      <c r="D451" s="191"/>
      <c r="E451" s="191"/>
      <c r="F451" s="191"/>
      <c r="G451" s="191"/>
      <c r="H451" s="191"/>
      <c r="I451" s="191"/>
      <c r="J451" s="191"/>
      <c r="K451" s="191"/>
      <c r="L451" s="191"/>
      <c r="M451" s="191"/>
      <c r="N451" s="191"/>
      <c r="O451" s="191"/>
    </row>
    <row r="452">
      <c r="A452" s="191"/>
      <c r="B452" s="191"/>
      <c r="C452" s="191"/>
      <c r="D452" s="191"/>
      <c r="E452" s="191"/>
      <c r="F452" s="191"/>
      <c r="G452" s="191"/>
      <c r="H452" s="191"/>
      <c r="I452" s="191"/>
      <c r="J452" s="191"/>
      <c r="K452" s="191"/>
      <c r="L452" s="191"/>
      <c r="M452" s="191"/>
      <c r="N452" s="191"/>
      <c r="O452" s="191"/>
    </row>
    <row r="453">
      <c r="A453" s="191"/>
      <c r="B453" s="191"/>
      <c r="C453" s="191"/>
      <c r="D453" s="191"/>
      <c r="E453" s="191"/>
      <c r="F453" s="191"/>
      <c r="G453" s="191"/>
      <c r="H453" s="191"/>
      <c r="I453" s="191"/>
      <c r="J453" s="191"/>
      <c r="K453" s="191"/>
      <c r="L453" s="191"/>
      <c r="M453" s="191"/>
      <c r="N453" s="191"/>
      <c r="O453" s="191"/>
    </row>
    <row r="454">
      <c r="A454" s="191"/>
      <c r="B454" s="191"/>
      <c r="C454" s="191"/>
      <c r="D454" s="191"/>
      <c r="E454" s="191"/>
      <c r="F454" s="191"/>
      <c r="G454" s="191"/>
      <c r="H454" s="191"/>
      <c r="I454" s="191"/>
      <c r="J454" s="191"/>
      <c r="K454" s="191"/>
      <c r="L454" s="191"/>
      <c r="M454" s="191"/>
      <c r="N454" s="191"/>
      <c r="O454" s="191"/>
    </row>
    <row r="455">
      <c r="A455" s="191"/>
      <c r="B455" s="191"/>
      <c r="C455" s="191"/>
      <c r="D455" s="191"/>
      <c r="E455" s="191"/>
      <c r="F455" s="191"/>
      <c r="G455" s="191"/>
      <c r="H455" s="191"/>
      <c r="I455" s="191"/>
      <c r="J455" s="191"/>
      <c r="K455" s="191"/>
      <c r="L455" s="191"/>
      <c r="M455" s="191"/>
      <c r="N455" s="191"/>
      <c r="O455" s="191"/>
    </row>
    <row r="456">
      <c r="A456" s="191"/>
      <c r="B456" s="191"/>
      <c r="C456" s="191"/>
      <c r="D456" s="191"/>
      <c r="E456" s="191"/>
      <c r="F456" s="191"/>
      <c r="G456" s="191"/>
      <c r="H456" s="191"/>
      <c r="I456" s="191"/>
      <c r="J456" s="191"/>
      <c r="K456" s="191"/>
      <c r="L456" s="191"/>
      <c r="M456" s="191"/>
      <c r="N456" s="191"/>
      <c r="O456" s="191"/>
    </row>
    <row r="457">
      <c r="A457" s="191"/>
      <c r="B457" s="191"/>
      <c r="C457" s="191"/>
      <c r="D457" s="191"/>
      <c r="E457" s="191"/>
      <c r="F457" s="191"/>
      <c r="G457" s="191"/>
      <c r="H457" s="191"/>
      <c r="I457" s="191"/>
      <c r="J457" s="191"/>
      <c r="K457" s="191"/>
      <c r="L457" s="191"/>
      <c r="M457" s="191"/>
      <c r="N457" s="191"/>
      <c r="O457" s="191"/>
    </row>
    <row r="458">
      <c r="A458" s="191"/>
      <c r="B458" s="191"/>
      <c r="C458" s="191"/>
      <c r="D458" s="191"/>
      <c r="E458" s="191"/>
      <c r="F458" s="191"/>
      <c r="G458" s="191"/>
      <c r="H458" s="191"/>
      <c r="I458" s="191"/>
      <c r="J458" s="191"/>
      <c r="K458" s="191"/>
      <c r="L458" s="191"/>
      <c r="M458" s="191"/>
      <c r="N458" s="191"/>
      <c r="O458" s="191"/>
    </row>
    <row r="459">
      <c r="A459" s="191"/>
      <c r="B459" s="191"/>
      <c r="C459" s="191"/>
      <c r="D459" s="191"/>
      <c r="E459" s="191"/>
      <c r="F459" s="191"/>
      <c r="G459" s="191"/>
      <c r="H459" s="191"/>
      <c r="I459" s="191"/>
      <c r="J459" s="191"/>
      <c r="K459" s="191"/>
      <c r="L459" s="191"/>
      <c r="M459" s="191"/>
      <c r="N459" s="191"/>
      <c r="O459" s="191"/>
    </row>
    <row r="460">
      <c r="A460" s="191"/>
      <c r="B460" s="191"/>
      <c r="C460" s="191"/>
      <c r="D460" s="191"/>
      <c r="E460" s="191"/>
      <c r="F460" s="191"/>
      <c r="G460" s="191"/>
      <c r="H460" s="191"/>
      <c r="I460" s="191"/>
      <c r="J460" s="191"/>
      <c r="K460" s="191"/>
      <c r="L460" s="191"/>
      <c r="M460" s="191"/>
      <c r="N460" s="191"/>
      <c r="O460" s="191"/>
    </row>
    <row r="461">
      <c r="A461" s="191"/>
      <c r="B461" s="191"/>
      <c r="C461" s="191"/>
      <c r="D461" s="191"/>
      <c r="E461" s="191"/>
      <c r="F461" s="191"/>
      <c r="G461" s="191"/>
      <c r="H461" s="191"/>
      <c r="I461" s="191"/>
      <c r="J461" s="191"/>
      <c r="K461" s="191"/>
      <c r="L461" s="191"/>
      <c r="M461" s="191"/>
      <c r="N461" s="191"/>
      <c r="O461" s="191"/>
    </row>
    <row r="462">
      <c r="A462" s="191"/>
      <c r="B462" s="191"/>
      <c r="C462" s="191"/>
      <c r="D462" s="191"/>
      <c r="E462" s="191"/>
      <c r="F462" s="191"/>
      <c r="G462" s="191"/>
      <c r="H462" s="191"/>
      <c r="I462" s="191"/>
      <c r="J462" s="191"/>
      <c r="K462" s="191"/>
      <c r="L462" s="191"/>
      <c r="M462" s="191"/>
      <c r="N462" s="191"/>
      <c r="O462" s="191"/>
    </row>
    <row r="463">
      <c r="A463" s="191"/>
      <c r="B463" s="191"/>
      <c r="C463" s="191"/>
      <c r="D463" s="191"/>
      <c r="E463" s="191"/>
      <c r="F463" s="191"/>
      <c r="G463" s="191"/>
      <c r="H463" s="191"/>
      <c r="I463" s="191"/>
      <c r="J463" s="191"/>
      <c r="K463" s="191"/>
      <c r="L463" s="191"/>
      <c r="M463" s="191"/>
      <c r="N463" s="191"/>
      <c r="O463" s="191"/>
    </row>
    <row r="464">
      <c r="A464" s="191"/>
      <c r="B464" s="191"/>
      <c r="C464" s="191"/>
      <c r="D464" s="191"/>
      <c r="E464" s="191"/>
      <c r="F464" s="191"/>
      <c r="G464" s="191"/>
      <c r="H464" s="191"/>
      <c r="I464" s="191"/>
      <c r="J464" s="191"/>
      <c r="K464" s="191"/>
      <c r="L464" s="191"/>
      <c r="M464" s="191"/>
      <c r="N464" s="191"/>
      <c r="O464" s="191"/>
    </row>
    <row r="465">
      <c r="A465" s="191"/>
      <c r="B465" s="191"/>
      <c r="C465" s="191"/>
      <c r="D465" s="191"/>
      <c r="E465" s="191"/>
      <c r="F465" s="191"/>
      <c r="G465" s="191"/>
      <c r="H465" s="191"/>
      <c r="I465" s="191"/>
      <c r="J465" s="191"/>
      <c r="K465" s="191"/>
      <c r="L465" s="191"/>
      <c r="M465" s="191"/>
      <c r="N465" s="191"/>
      <c r="O465" s="191"/>
    </row>
    <row r="466">
      <c r="A466" s="191"/>
      <c r="B466" s="191"/>
      <c r="C466" s="191"/>
      <c r="D466" s="191"/>
      <c r="E466" s="191"/>
      <c r="F466" s="191"/>
      <c r="G466" s="191"/>
      <c r="H466" s="191"/>
      <c r="I466" s="191"/>
      <c r="J466" s="191"/>
      <c r="K466" s="191"/>
      <c r="L466" s="191"/>
      <c r="M466" s="191"/>
      <c r="N466" s="191"/>
      <c r="O466" s="191"/>
    </row>
    <row r="467">
      <c r="A467" s="191"/>
      <c r="B467" s="191"/>
      <c r="C467" s="191"/>
      <c r="D467" s="191"/>
      <c r="E467" s="191"/>
      <c r="F467" s="191"/>
      <c r="G467" s="191"/>
      <c r="H467" s="191"/>
      <c r="I467" s="191"/>
      <c r="J467" s="191"/>
      <c r="K467" s="191"/>
      <c r="L467" s="191"/>
      <c r="M467" s="191"/>
      <c r="N467" s="191"/>
      <c r="O467" s="191"/>
    </row>
    <row r="468">
      <c r="A468" s="191"/>
      <c r="B468" s="191"/>
      <c r="C468" s="191"/>
      <c r="D468" s="191"/>
      <c r="E468" s="191"/>
      <c r="F468" s="191"/>
      <c r="G468" s="191"/>
      <c r="H468" s="191"/>
      <c r="I468" s="191"/>
      <c r="J468" s="191"/>
      <c r="K468" s="191"/>
      <c r="L468" s="191"/>
      <c r="M468" s="191"/>
      <c r="N468" s="191"/>
      <c r="O468" s="191"/>
    </row>
    <row r="469">
      <c r="A469" s="191"/>
      <c r="B469" s="191"/>
      <c r="C469" s="191"/>
      <c r="D469" s="191"/>
      <c r="E469" s="191"/>
      <c r="F469" s="191"/>
      <c r="G469" s="191"/>
      <c r="H469" s="191"/>
      <c r="I469" s="191"/>
      <c r="J469" s="191"/>
      <c r="K469" s="191"/>
      <c r="L469" s="191"/>
      <c r="M469" s="191"/>
      <c r="N469" s="191"/>
      <c r="O469" s="191"/>
    </row>
    <row r="470">
      <c r="A470" s="191"/>
      <c r="B470" s="191"/>
      <c r="C470" s="191"/>
      <c r="D470" s="191"/>
      <c r="E470" s="191"/>
      <c r="F470" s="191"/>
      <c r="G470" s="191"/>
      <c r="H470" s="191"/>
      <c r="I470" s="191"/>
      <c r="J470" s="191"/>
      <c r="K470" s="191"/>
      <c r="L470" s="191"/>
      <c r="M470" s="191"/>
      <c r="N470" s="191"/>
      <c r="O470" s="191"/>
    </row>
    <row r="471">
      <c r="A471" s="191"/>
      <c r="B471" s="191"/>
      <c r="C471" s="191"/>
      <c r="D471" s="191"/>
      <c r="E471" s="191"/>
      <c r="F471" s="191"/>
      <c r="G471" s="191"/>
      <c r="H471" s="191"/>
      <c r="I471" s="191"/>
      <c r="J471" s="191"/>
      <c r="K471" s="191"/>
      <c r="L471" s="191"/>
      <c r="M471" s="191"/>
      <c r="N471" s="191"/>
      <c r="O471" s="191"/>
    </row>
    <row r="472">
      <c r="A472" s="191"/>
      <c r="B472" s="191"/>
      <c r="C472" s="191"/>
      <c r="D472" s="191"/>
      <c r="E472" s="191"/>
      <c r="F472" s="191"/>
      <c r="G472" s="191"/>
      <c r="H472" s="191"/>
      <c r="I472" s="191"/>
      <c r="J472" s="191"/>
      <c r="K472" s="191"/>
      <c r="L472" s="191"/>
      <c r="M472" s="191"/>
      <c r="N472" s="191"/>
      <c r="O472" s="191"/>
    </row>
    <row r="473">
      <c r="A473" s="191"/>
      <c r="B473" s="191"/>
      <c r="C473" s="191"/>
      <c r="D473" s="191"/>
      <c r="E473" s="191"/>
      <c r="F473" s="191"/>
      <c r="G473" s="191"/>
      <c r="H473" s="191"/>
      <c r="I473" s="191"/>
      <c r="J473" s="191"/>
      <c r="K473" s="191"/>
      <c r="L473" s="191"/>
      <c r="M473" s="191"/>
      <c r="N473" s="191"/>
      <c r="O473" s="191"/>
    </row>
    <row r="474">
      <c r="A474" s="191"/>
      <c r="B474" s="191"/>
      <c r="C474" s="191"/>
      <c r="D474" s="191"/>
      <c r="E474" s="191"/>
      <c r="F474" s="191"/>
      <c r="G474" s="191"/>
      <c r="H474" s="191"/>
      <c r="I474" s="191"/>
      <c r="J474" s="191"/>
      <c r="K474" s="191"/>
      <c r="L474" s="191"/>
      <c r="M474" s="191"/>
      <c r="N474" s="191"/>
      <c r="O474" s="191"/>
    </row>
    <row r="475">
      <c r="A475" s="191"/>
      <c r="B475" s="191"/>
      <c r="C475" s="191"/>
      <c r="D475" s="191"/>
      <c r="E475" s="191"/>
      <c r="F475" s="191"/>
      <c r="G475" s="191"/>
      <c r="H475" s="191"/>
      <c r="I475" s="191"/>
      <c r="J475" s="191"/>
      <c r="K475" s="191"/>
      <c r="L475" s="191"/>
      <c r="M475" s="191"/>
      <c r="N475" s="191"/>
      <c r="O475" s="191"/>
    </row>
    <row r="476">
      <c r="A476" s="191"/>
      <c r="B476" s="191"/>
      <c r="C476" s="191"/>
      <c r="D476" s="191"/>
      <c r="E476" s="191"/>
      <c r="F476" s="191"/>
      <c r="G476" s="191"/>
      <c r="H476" s="191"/>
      <c r="I476" s="191"/>
      <c r="J476" s="191"/>
      <c r="K476" s="191"/>
      <c r="L476" s="191"/>
      <c r="M476" s="191"/>
      <c r="N476" s="191"/>
      <c r="O476" s="191"/>
    </row>
    <row r="477">
      <c r="A477" s="191"/>
      <c r="B477" s="191"/>
      <c r="C477" s="191"/>
      <c r="D477" s="191"/>
      <c r="E477" s="191"/>
      <c r="F477" s="191"/>
      <c r="G477" s="191"/>
      <c r="H477" s="191"/>
      <c r="I477" s="191"/>
      <c r="J477" s="191"/>
      <c r="K477" s="191"/>
      <c r="L477" s="191"/>
      <c r="M477" s="191"/>
      <c r="N477" s="191"/>
      <c r="O477" s="191"/>
    </row>
    <row r="478">
      <c r="A478" s="191"/>
      <c r="B478" s="191"/>
      <c r="C478" s="191"/>
      <c r="D478" s="191"/>
      <c r="E478" s="191"/>
      <c r="F478" s="191"/>
      <c r="G478" s="191"/>
      <c r="H478" s="191"/>
      <c r="I478" s="191"/>
      <c r="J478" s="191"/>
      <c r="K478" s="191"/>
      <c r="L478" s="191"/>
      <c r="M478" s="191"/>
      <c r="N478" s="191"/>
      <c r="O478" s="191"/>
    </row>
    <row r="479">
      <c r="A479" s="191"/>
      <c r="B479" s="191"/>
      <c r="C479" s="191"/>
      <c r="D479" s="191"/>
      <c r="E479" s="191"/>
      <c r="F479" s="191"/>
      <c r="G479" s="191"/>
      <c r="H479" s="191"/>
      <c r="I479" s="191"/>
      <c r="J479" s="191"/>
      <c r="K479" s="191"/>
      <c r="L479" s="191"/>
      <c r="M479" s="191"/>
      <c r="N479" s="191"/>
      <c r="O479" s="191"/>
    </row>
    <row r="480">
      <c r="A480" s="191"/>
      <c r="B480" s="191"/>
      <c r="C480" s="191"/>
      <c r="D480" s="191"/>
      <c r="E480" s="191"/>
      <c r="F480" s="191"/>
      <c r="G480" s="191"/>
      <c r="H480" s="191"/>
      <c r="I480" s="191"/>
      <c r="J480" s="191"/>
      <c r="K480" s="191"/>
      <c r="L480" s="191"/>
      <c r="M480" s="191"/>
      <c r="N480" s="191"/>
      <c r="O480" s="191"/>
    </row>
    <row r="481">
      <c r="A481" s="191"/>
      <c r="B481" s="191"/>
      <c r="C481" s="191"/>
      <c r="D481" s="191"/>
      <c r="E481" s="191"/>
      <c r="F481" s="191"/>
      <c r="G481" s="191"/>
      <c r="H481" s="191"/>
      <c r="I481" s="191"/>
      <c r="J481" s="191"/>
      <c r="K481" s="191"/>
      <c r="L481" s="191"/>
      <c r="M481" s="191"/>
      <c r="N481" s="191"/>
      <c r="O481" s="191"/>
    </row>
    <row r="482">
      <c r="A482" s="191"/>
      <c r="B482" s="191"/>
      <c r="C482" s="191"/>
      <c r="D482" s="191"/>
      <c r="E482" s="191"/>
      <c r="F482" s="191"/>
      <c r="G482" s="191"/>
      <c r="H482" s="191"/>
      <c r="I482" s="191"/>
      <c r="J482" s="191"/>
      <c r="K482" s="191"/>
      <c r="L482" s="191"/>
      <c r="M482" s="191"/>
      <c r="N482" s="191"/>
      <c r="O482" s="191"/>
    </row>
    <row r="483">
      <c r="A483" s="191"/>
      <c r="B483" s="191"/>
      <c r="C483" s="191"/>
      <c r="D483" s="191"/>
      <c r="E483" s="191"/>
      <c r="F483" s="191"/>
      <c r="G483" s="191"/>
      <c r="H483" s="191"/>
      <c r="I483" s="191"/>
      <c r="J483" s="191"/>
      <c r="K483" s="191"/>
      <c r="L483" s="191"/>
      <c r="M483" s="191"/>
      <c r="N483" s="191"/>
      <c r="O483" s="191"/>
    </row>
    <row r="484">
      <c r="A484" s="191"/>
      <c r="B484" s="191"/>
      <c r="C484" s="191"/>
      <c r="D484" s="191"/>
      <c r="E484" s="191"/>
      <c r="F484" s="191"/>
      <c r="G484" s="191"/>
      <c r="H484" s="191"/>
      <c r="I484" s="191"/>
      <c r="J484" s="191"/>
      <c r="K484" s="191"/>
      <c r="L484" s="191"/>
      <c r="M484" s="191"/>
      <c r="N484" s="191"/>
      <c r="O484" s="191"/>
    </row>
    <row r="485">
      <c r="A485" s="191"/>
      <c r="B485" s="191"/>
      <c r="C485" s="191"/>
      <c r="D485" s="191"/>
      <c r="E485" s="191"/>
      <c r="F485" s="191"/>
      <c r="G485" s="191"/>
      <c r="H485" s="191"/>
      <c r="I485" s="191"/>
      <c r="J485" s="191"/>
      <c r="K485" s="191"/>
      <c r="L485" s="191"/>
      <c r="M485" s="191"/>
      <c r="N485" s="191"/>
      <c r="O485" s="191"/>
    </row>
    <row r="486">
      <c r="A486" s="191"/>
      <c r="B486" s="191"/>
      <c r="C486" s="191"/>
      <c r="D486" s="191"/>
      <c r="E486" s="191"/>
      <c r="F486" s="191"/>
      <c r="G486" s="191"/>
      <c r="H486" s="191"/>
      <c r="I486" s="191"/>
      <c r="J486" s="191"/>
      <c r="K486" s="191"/>
      <c r="L486" s="191"/>
      <c r="M486" s="191"/>
      <c r="N486" s="191"/>
      <c r="O486" s="191"/>
    </row>
    <row r="487">
      <c r="A487" s="191"/>
      <c r="B487" s="191"/>
      <c r="C487" s="191"/>
      <c r="D487" s="191"/>
      <c r="E487" s="191"/>
      <c r="F487" s="191"/>
      <c r="G487" s="191"/>
      <c r="H487" s="191"/>
      <c r="I487" s="191"/>
      <c r="J487" s="191"/>
      <c r="K487" s="191"/>
      <c r="L487" s="191"/>
      <c r="M487" s="191"/>
      <c r="N487" s="191"/>
      <c r="O487" s="191"/>
    </row>
    <row r="488">
      <c r="A488" s="191"/>
      <c r="B488" s="191"/>
      <c r="C488" s="191"/>
      <c r="D488" s="191"/>
      <c r="E488" s="191"/>
      <c r="F488" s="191"/>
      <c r="G488" s="191"/>
      <c r="H488" s="191"/>
      <c r="I488" s="191"/>
      <c r="J488" s="191"/>
      <c r="K488" s="191"/>
      <c r="L488" s="191"/>
      <c r="M488" s="191"/>
      <c r="N488" s="191"/>
      <c r="O488" s="191"/>
    </row>
    <row r="489">
      <c r="A489" s="191"/>
      <c r="B489" s="191"/>
      <c r="C489" s="191"/>
      <c r="D489" s="191"/>
      <c r="E489" s="191"/>
      <c r="F489" s="191"/>
      <c r="G489" s="191"/>
      <c r="H489" s="191"/>
      <c r="I489" s="191"/>
      <c r="J489" s="191"/>
      <c r="K489" s="191"/>
      <c r="L489" s="191"/>
      <c r="M489" s="191"/>
      <c r="N489" s="191"/>
      <c r="O489" s="191"/>
    </row>
    <row r="490">
      <c r="A490" s="191"/>
      <c r="B490" s="191"/>
      <c r="C490" s="191"/>
      <c r="D490" s="191"/>
      <c r="E490" s="191"/>
      <c r="F490" s="191"/>
      <c r="G490" s="191"/>
      <c r="H490" s="191"/>
      <c r="I490" s="191"/>
      <c r="J490" s="191"/>
      <c r="K490" s="191"/>
      <c r="L490" s="191"/>
      <c r="M490" s="191"/>
      <c r="N490" s="191"/>
      <c r="O490" s="191"/>
    </row>
    <row r="491">
      <c r="A491" s="191"/>
      <c r="B491" s="191"/>
      <c r="C491" s="191"/>
      <c r="D491" s="191"/>
      <c r="E491" s="191"/>
      <c r="F491" s="191"/>
      <c r="G491" s="191"/>
      <c r="H491" s="191"/>
      <c r="I491" s="191"/>
      <c r="J491" s="191"/>
      <c r="K491" s="191"/>
      <c r="L491" s="191"/>
      <c r="M491" s="191"/>
      <c r="N491" s="191"/>
      <c r="O491" s="191"/>
    </row>
    <row r="492">
      <c r="A492" s="191"/>
      <c r="B492" s="191"/>
      <c r="C492" s="191"/>
      <c r="D492" s="191"/>
      <c r="E492" s="191"/>
      <c r="F492" s="191"/>
      <c r="G492" s="191"/>
      <c r="H492" s="191"/>
      <c r="I492" s="191"/>
      <c r="J492" s="191"/>
      <c r="K492" s="191"/>
      <c r="L492" s="191"/>
      <c r="M492" s="191"/>
      <c r="N492" s="191"/>
      <c r="O492" s="191"/>
    </row>
    <row r="493">
      <c r="A493" s="191"/>
      <c r="B493" s="191"/>
      <c r="C493" s="191"/>
      <c r="D493" s="191"/>
      <c r="E493" s="191"/>
      <c r="F493" s="191"/>
      <c r="G493" s="191"/>
      <c r="H493" s="191"/>
      <c r="I493" s="191"/>
      <c r="J493" s="191"/>
      <c r="K493" s="191"/>
      <c r="L493" s="191"/>
      <c r="M493" s="191"/>
      <c r="N493" s="191"/>
      <c r="O493" s="191"/>
    </row>
    <row r="494">
      <c r="A494" s="191"/>
      <c r="B494" s="191"/>
      <c r="C494" s="191"/>
      <c r="D494" s="191"/>
      <c r="E494" s="191"/>
      <c r="F494" s="191"/>
      <c r="G494" s="191"/>
      <c r="H494" s="191"/>
      <c r="I494" s="191"/>
      <c r="J494" s="191"/>
      <c r="K494" s="191"/>
      <c r="L494" s="191"/>
      <c r="M494" s="191"/>
      <c r="N494" s="191"/>
      <c r="O494" s="191"/>
    </row>
    <row r="495">
      <c r="A495" s="191"/>
      <c r="B495" s="191"/>
      <c r="C495" s="191"/>
      <c r="D495" s="191"/>
      <c r="E495" s="191"/>
      <c r="F495" s="191"/>
      <c r="G495" s="191"/>
      <c r="H495" s="191"/>
      <c r="I495" s="191"/>
      <c r="J495" s="191"/>
      <c r="K495" s="191"/>
      <c r="L495" s="191"/>
      <c r="M495" s="191"/>
      <c r="N495" s="191"/>
      <c r="O495" s="191"/>
    </row>
    <row r="496">
      <c r="A496" s="191"/>
      <c r="B496" s="191"/>
      <c r="C496" s="191"/>
      <c r="D496" s="191"/>
      <c r="E496" s="191"/>
      <c r="F496" s="191"/>
      <c r="G496" s="191"/>
      <c r="H496" s="191"/>
      <c r="I496" s="191"/>
      <c r="J496" s="191"/>
      <c r="K496" s="191"/>
      <c r="L496" s="191"/>
      <c r="M496" s="191"/>
      <c r="N496" s="191"/>
      <c r="O496" s="191"/>
    </row>
    <row r="497">
      <c r="A497" s="191"/>
      <c r="B497" s="191"/>
      <c r="C497" s="191"/>
      <c r="D497" s="191"/>
      <c r="E497" s="191"/>
      <c r="F497" s="191"/>
      <c r="G497" s="191"/>
      <c r="H497" s="191"/>
      <c r="I497" s="191"/>
      <c r="J497" s="191"/>
      <c r="K497" s="191"/>
      <c r="L497" s="191"/>
      <c r="M497" s="191"/>
      <c r="N497" s="191"/>
      <c r="O497" s="191"/>
    </row>
    <row r="498">
      <c r="A498" s="191"/>
      <c r="B498" s="191"/>
      <c r="C498" s="191"/>
      <c r="D498" s="191"/>
      <c r="E498" s="191"/>
      <c r="F498" s="191"/>
      <c r="G498" s="191"/>
      <c r="H498" s="191"/>
      <c r="I498" s="191"/>
      <c r="J498" s="191"/>
      <c r="K498" s="191"/>
      <c r="L498" s="191"/>
      <c r="M498" s="191"/>
      <c r="N498" s="191"/>
      <c r="O498" s="191"/>
    </row>
    <row r="499">
      <c r="A499" s="191"/>
      <c r="B499" s="191"/>
      <c r="C499" s="191"/>
      <c r="D499" s="191"/>
      <c r="E499" s="191"/>
      <c r="F499" s="191"/>
      <c r="G499" s="191"/>
      <c r="H499" s="191"/>
      <c r="I499" s="191"/>
      <c r="J499" s="191"/>
      <c r="K499" s="191"/>
      <c r="L499" s="191"/>
      <c r="M499" s="191"/>
      <c r="N499" s="191"/>
      <c r="O499" s="191"/>
    </row>
    <row r="500">
      <c r="A500" s="191"/>
      <c r="B500" s="191"/>
      <c r="C500" s="191"/>
      <c r="D500" s="191"/>
      <c r="E500" s="191"/>
      <c r="F500" s="191"/>
      <c r="G500" s="191"/>
      <c r="H500" s="191"/>
      <c r="I500" s="191"/>
      <c r="J500" s="191"/>
      <c r="K500" s="191"/>
      <c r="L500" s="191"/>
      <c r="M500" s="191"/>
      <c r="N500" s="191"/>
      <c r="O500" s="191"/>
    </row>
    <row r="501">
      <c r="A501" s="191"/>
      <c r="B501" s="191"/>
      <c r="C501" s="191"/>
      <c r="D501" s="191"/>
      <c r="E501" s="191"/>
      <c r="F501" s="191"/>
      <c r="G501" s="191"/>
      <c r="H501" s="191"/>
      <c r="I501" s="191"/>
      <c r="J501" s="191"/>
      <c r="K501" s="191"/>
      <c r="L501" s="191"/>
      <c r="M501" s="191"/>
      <c r="N501" s="191"/>
      <c r="O501" s="191"/>
    </row>
    <row r="502">
      <c r="A502" s="191"/>
      <c r="B502" s="191"/>
      <c r="C502" s="191"/>
      <c r="D502" s="191"/>
      <c r="E502" s="191"/>
      <c r="F502" s="191"/>
      <c r="G502" s="191"/>
      <c r="H502" s="191"/>
      <c r="I502" s="191"/>
      <c r="J502" s="191"/>
      <c r="K502" s="191"/>
      <c r="L502" s="191"/>
      <c r="M502" s="191"/>
      <c r="N502" s="191"/>
      <c r="O502" s="191"/>
    </row>
    <row r="503">
      <c r="A503" s="191"/>
      <c r="B503" s="191"/>
      <c r="C503" s="191"/>
      <c r="D503" s="191"/>
      <c r="E503" s="191"/>
      <c r="F503" s="191"/>
      <c r="G503" s="191"/>
      <c r="H503" s="191"/>
      <c r="I503" s="191"/>
      <c r="J503" s="191"/>
      <c r="K503" s="191"/>
      <c r="L503" s="191"/>
      <c r="M503" s="191"/>
      <c r="N503" s="191"/>
      <c r="O503" s="191"/>
    </row>
    <row r="504">
      <c r="A504" s="191"/>
      <c r="B504" s="191"/>
      <c r="C504" s="191"/>
      <c r="D504" s="191"/>
      <c r="E504" s="191"/>
      <c r="F504" s="191"/>
      <c r="G504" s="191"/>
      <c r="H504" s="191"/>
      <c r="I504" s="191"/>
      <c r="J504" s="191"/>
      <c r="K504" s="191"/>
      <c r="L504" s="191"/>
      <c r="M504" s="191"/>
      <c r="N504" s="191"/>
      <c r="O504" s="191"/>
    </row>
    <row r="505">
      <c r="A505" s="191"/>
      <c r="B505" s="191"/>
      <c r="C505" s="191"/>
      <c r="D505" s="191"/>
      <c r="E505" s="191"/>
      <c r="F505" s="191"/>
      <c r="G505" s="191"/>
      <c r="H505" s="191"/>
      <c r="I505" s="191"/>
      <c r="J505" s="191"/>
      <c r="K505" s="191"/>
      <c r="L505" s="191"/>
      <c r="M505" s="191"/>
      <c r="N505" s="191"/>
      <c r="O505" s="191"/>
    </row>
    <row r="506">
      <c r="A506" s="191"/>
      <c r="B506" s="191"/>
      <c r="C506" s="191"/>
      <c r="D506" s="191"/>
      <c r="E506" s="191"/>
      <c r="F506" s="191"/>
      <c r="G506" s="191"/>
      <c r="H506" s="191"/>
      <c r="I506" s="191"/>
      <c r="J506" s="191"/>
      <c r="K506" s="191"/>
      <c r="L506" s="191"/>
      <c r="M506" s="191"/>
      <c r="N506" s="191"/>
      <c r="O506" s="191"/>
    </row>
    <row r="507">
      <c r="A507" s="191"/>
      <c r="B507" s="191"/>
      <c r="C507" s="191"/>
      <c r="D507" s="191"/>
      <c r="E507" s="191"/>
      <c r="F507" s="191"/>
      <c r="G507" s="191"/>
      <c r="H507" s="191"/>
      <c r="I507" s="191"/>
      <c r="J507" s="191"/>
      <c r="K507" s="191"/>
      <c r="L507" s="191"/>
      <c r="M507" s="191"/>
      <c r="N507" s="191"/>
      <c r="O507" s="191"/>
    </row>
    <row r="508">
      <c r="A508" s="191"/>
      <c r="B508" s="191"/>
      <c r="C508" s="191"/>
      <c r="D508" s="191"/>
      <c r="E508" s="191"/>
      <c r="F508" s="191"/>
      <c r="G508" s="191"/>
      <c r="H508" s="191"/>
      <c r="I508" s="191"/>
      <c r="J508" s="191"/>
      <c r="K508" s="191"/>
      <c r="L508" s="191"/>
      <c r="M508" s="191"/>
      <c r="N508" s="191"/>
      <c r="O508" s="191"/>
    </row>
    <row r="509">
      <c r="A509" s="191"/>
      <c r="B509" s="191"/>
      <c r="C509" s="191"/>
      <c r="D509" s="191"/>
      <c r="E509" s="191"/>
      <c r="F509" s="191"/>
      <c r="G509" s="191"/>
      <c r="H509" s="191"/>
      <c r="I509" s="191"/>
      <c r="J509" s="191"/>
      <c r="K509" s="191"/>
      <c r="L509" s="191"/>
      <c r="M509" s="191"/>
      <c r="N509" s="191"/>
      <c r="O509" s="191"/>
    </row>
    <row r="510">
      <c r="A510" s="191"/>
      <c r="B510" s="191"/>
      <c r="C510" s="191"/>
      <c r="D510" s="191"/>
      <c r="E510" s="191"/>
      <c r="F510" s="191"/>
      <c r="G510" s="191"/>
      <c r="H510" s="191"/>
      <c r="I510" s="191"/>
      <c r="J510" s="191"/>
      <c r="K510" s="191"/>
      <c r="L510" s="191"/>
      <c r="M510" s="191"/>
      <c r="N510" s="191"/>
      <c r="O510" s="191"/>
    </row>
    <row r="511">
      <c r="A511" s="191"/>
      <c r="B511" s="191"/>
      <c r="C511" s="191"/>
      <c r="D511" s="191"/>
      <c r="E511" s="191"/>
      <c r="F511" s="191"/>
      <c r="G511" s="191"/>
      <c r="H511" s="191"/>
      <c r="I511" s="191"/>
      <c r="J511" s="191"/>
      <c r="K511" s="191"/>
      <c r="L511" s="191"/>
      <c r="M511" s="191"/>
      <c r="N511" s="191"/>
      <c r="O511" s="191"/>
    </row>
    <row r="512">
      <c r="A512" s="191"/>
      <c r="B512" s="191"/>
      <c r="C512" s="191"/>
      <c r="D512" s="191"/>
      <c r="E512" s="191"/>
      <c r="F512" s="191"/>
      <c r="G512" s="191"/>
      <c r="H512" s="191"/>
      <c r="I512" s="191"/>
      <c r="J512" s="191"/>
      <c r="K512" s="191"/>
      <c r="L512" s="191"/>
      <c r="M512" s="191"/>
      <c r="N512" s="191"/>
      <c r="O512" s="191"/>
    </row>
    <row r="513">
      <c r="A513" s="191"/>
      <c r="B513" s="191"/>
      <c r="C513" s="191"/>
      <c r="D513" s="191"/>
      <c r="E513" s="191"/>
      <c r="F513" s="191"/>
      <c r="G513" s="191"/>
      <c r="H513" s="191"/>
      <c r="I513" s="191"/>
      <c r="J513" s="191"/>
      <c r="K513" s="191"/>
      <c r="L513" s="191"/>
      <c r="M513" s="191"/>
      <c r="N513" s="191"/>
      <c r="O513" s="191"/>
    </row>
    <row r="514">
      <c r="A514" s="191"/>
      <c r="B514" s="191"/>
      <c r="C514" s="191"/>
      <c r="D514" s="191"/>
      <c r="E514" s="191"/>
      <c r="F514" s="191"/>
      <c r="G514" s="191"/>
      <c r="H514" s="191"/>
      <c r="I514" s="191"/>
      <c r="J514" s="191"/>
      <c r="K514" s="191"/>
      <c r="L514" s="191"/>
      <c r="M514" s="191"/>
      <c r="N514" s="191"/>
      <c r="O514" s="191"/>
    </row>
    <row r="515">
      <c r="A515" s="191"/>
      <c r="B515" s="191"/>
      <c r="C515" s="191"/>
      <c r="D515" s="191"/>
      <c r="E515" s="191"/>
      <c r="F515" s="191"/>
      <c r="G515" s="191"/>
      <c r="H515" s="191"/>
      <c r="I515" s="191"/>
      <c r="J515" s="191"/>
      <c r="K515" s="191"/>
      <c r="L515" s="191"/>
      <c r="M515" s="191"/>
      <c r="N515" s="191"/>
      <c r="O515" s="191"/>
    </row>
    <row r="516">
      <c r="A516" s="191"/>
      <c r="B516" s="191"/>
      <c r="C516" s="191"/>
      <c r="D516" s="191"/>
      <c r="E516" s="191"/>
      <c r="F516" s="191"/>
      <c r="G516" s="191"/>
      <c r="H516" s="191"/>
      <c r="I516" s="191"/>
      <c r="J516" s="191"/>
      <c r="K516" s="191"/>
      <c r="L516" s="191"/>
      <c r="M516" s="191"/>
      <c r="N516" s="191"/>
      <c r="O516" s="191"/>
    </row>
    <row r="517">
      <c r="A517" s="191"/>
      <c r="B517" s="191"/>
      <c r="C517" s="191"/>
      <c r="D517" s="191"/>
      <c r="E517" s="191"/>
      <c r="F517" s="191"/>
      <c r="G517" s="191"/>
      <c r="H517" s="191"/>
      <c r="I517" s="191"/>
      <c r="J517" s="191"/>
      <c r="K517" s="191"/>
      <c r="L517" s="191"/>
      <c r="M517" s="191"/>
      <c r="N517" s="191"/>
      <c r="O517" s="191"/>
    </row>
    <row r="518">
      <c r="A518" s="191"/>
      <c r="B518" s="191"/>
      <c r="C518" s="191"/>
      <c r="D518" s="191"/>
      <c r="E518" s="191"/>
      <c r="F518" s="191"/>
      <c r="G518" s="191"/>
      <c r="H518" s="191"/>
      <c r="I518" s="191"/>
      <c r="J518" s="191"/>
      <c r="K518" s="191"/>
      <c r="L518" s="191"/>
      <c r="M518" s="191"/>
      <c r="N518" s="191"/>
      <c r="O518" s="191"/>
    </row>
    <row r="519">
      <c r="A519" s="191"/>
      <c r="B519" s="191"/>
      <c r="C519" s="191"/>
      <c r="D519" s="191"/>
      <c r="E519" s="191"/>
      <c r="F519" s="191"/>
      <c r="G519" s="191"/>
      <c r="H519" s="191"/>
      <c r="I519" s="191"/>
      <c r="J519" s="191"/>
      <c r="K519" s="191"/>
      <c r="L519" s="191"/>
      <c r="M519" s="191"/>
      <c r="N519" s="191"/>
      <c r="O519" s="191"/>
    </row>
    <row r="520">
      <c r="A520" s="191"/>
      <c r="B520" s="191"/>
      <c r="C520" s="191"/>
      <c r="D520" s="191"/>
      <c r="E520" s="191"/>
      <c r="F520" s="191"/>
      <c r="G520" s="191"/>
      <c r="H520" s="191"/>
      <c r="I520" s="191"/>
      <c r="J520" s="191"/>
      <c r="K520" s="191"/>
      <c r="L520" s="191"/>
      <c r="M520" s="191"/>
      <c r="N520" s="191"/>
      <c r="O520" s="191"/>
    </row>
    <row r="521">
      <c r="A521" s="191"/>
      <c r="B521" s="191"/>
      <c r="C521" s="191"/>
      <c r="D521" s="191"/>
      <c r="E521" s="191"/>
      <c r="F521" s="191"/>
      <c r="G521" s="191"/>
      <c r="H521" s="191"/>
      <c r="I521" s="191"/>
      <c r="J521" s="191"/>
      <c r="K521" s="191"/>
      <c r="L521" s="191"/>
      <c r="M521" s="191"/>
      <c r="N521" s="191"/>
      <c r="O521" s="191"/>
    </row>
    <row r="522">
      <c r="A522" s="191"/>
      <c r="B522" s="191"/>
      <c r="C522" s="191"/>
      <c r="D522" s="191"/>
      <c r="E522" s="191"/>
      <c r="F522" s="191"/>
      <c r="G522" s="191"/>
      <c r="H522" s="191"/>
      <c r="I522" s="191"/>
      <c r="J522" s="191"/>
      <c r="K522" s="191"/>
      <c r="L522" s="191"/>
      <c r="M522" s="191"/>
      <c r="N522" s="191"/>
      <c r="O522" s="191"/>
    </row>
    <row r="523">
      <c r="A523" s="191"/>
      <c r="B523" s="191"/>
      <c r="C523" s="191"/>
      <c r="D523" s="191"/>
      <c r="E523" s="191"/>
      <c r="F523" s="191"/>
      <c r="G523" s="191"/>
      <c r="H523" s="191"/>
      <c r="I523" s="191"/>
      <c r="J523" s="191"/>
      <c r="K523" s="191"/>
      <c r="L523" s="191"/>
      <c r="M523" s="191"/>
      <c r="N523" s="191"/>
      <c r="O523" s="191"/>
    </row>
    <row r="524">
      <c r="A524" s="191"/>
      <c r="B524" s="191"/>
      <c r="C524" s="191"/>
      <c r="D524" s="191"/>
      <c r="E524" s="191"/>
      <c r="F524" s="191"/>
      <c r="G524" s="191"/>
      <c r="H524" s="191"/>
      <c r="I524" s="191"/>
      <c r="J524" s="191"/>
      <c r="K524" s="191"/>
      <c r="L524" s="191"/>
      <c r="M524" s="191"/>
      <c r="N524" s="191"/>
      <c r="O524" s="191"/>
    </row>
    <row r="525">
      <c r="A525" s="191"/>
      <c r="B525" s="191"/>
      <c r="C525" s="191"/>
      <c r="D525" s="191"/>
      <c r="E525" s="191"/>
      <c r="F525" s="191"/>
      <c r="G525" s="191"/>
      <c r="H525" s="191"/>
      <c r="I525" s="191"/>
      <c r="J525" s="191"/>
      <c r="K525" s="191"/>
      <c r="L525" s="191"/>
      <c r="M525" s="191"/>
      <c r="N525" s="191"/>
      <c r="O525" s="191"/>
    </row>
    <row r="526">
      <c r="A526" s="191"/>
      <c r="B526" s="191"/>
      <c r="C526" s="191"/>
      <c r="D526" s="191"/>
      <c r="E526" s="191"/>
      <c r="F526" s="191"/>
      <c r="G526" s="191"/>
      <c r="H526" s="191"/>
      <c r="I526" s="191"/>
      <c r="J526" s="191"/>
      <c r="K526" s="191"/>
      <c r="L526" s="191"/>
      <c r="M526" s="191"/>
      <c r="N526" s="191"/>
      <c r="O526" s="191"/>
    </row>
    <row r="527">
      <c r="A527" s="191"/>
      <c r="B527" s="191"/>
      <c r="C527" s="191"/>
      <c r="D527" s="191"/>
      <c r="E527" s="191"/>
      <c r="F527" s="191"/>
      <c r="G527" s="191"/>
      <c r="H527" s="191"/>
      <c r="I527" s="191"/>
      <c r="J527" s="191"/>
      <c r="K527" s="191"/>
      <c r="L527" s="191"/>
      <c r="M527" s="191"/>
      <c r="N527" s="191"/>
      <c r="O527" s="191"/>
    </row>
    <row r="528">
      <c r="A528" s="191"/>
      <c r="B528" s="191"/>
      <c r="C528" s="191"/>
      <c r="D528" s="191"/>
      <c r="E528" s="191"/>
      <c r="F528" s="191"/>
      <c r="G528" s="191"/>
      <c r="H528" s="191"/>
      <c r="I528" s="191"/>
      <c r="J528" s="191"/>
      <c r="K528" s="191"/>
      <c r="L528" s="191"/>
      <c r="M528" s="191"/>
      <c r="N528" s="191"/>
      <c r="O528" s="191"/>
    </row>
    <row r="529">
      <c r="A529" s="191"/>
      <c r="B529" s="191"/>
      <c r="C529" s="191"/>
      <c r="D529" s="191"/>
      <c r="E529" s="191"/>
      <c r="F529" s="191"/>
      <c r="G529" s="191"/>
      <c r="H529" s="191"/>
      <c r="I529" s="191"/>
      <c r="J529" s="191"/>
      <c r="K529" s="191"/>
      <c r="L529" s="191"/>
      <c r="M529" s="191"/>
      <c r="N529" s="191"/>
      <c r="O529" s="191"/>
    </row>
    <row r="530">
      <c r="A530" s="191"/>
      <c r="B530" s="191"/>
      <c r="C530" s="191"/>
      <c r="D530" s="191"/>
      <c r="E530" s="191"/>
      <c r="F530" s="191"/>
      <c r="G530" s="191"/>
      <c r="H530" s="191"/>
      <c r="I530" s="191"/>
      <c r="J530" s="191"/>
      <c r="K530" s="191"/>
      <c r="L530" s="191"/>
      <c r="M530" s="191"/>
      <c r="N530" s="191"/>
      <c r="O530" s="191"/>
    </row>
    <row r="531">
      <c r="A531" s="191"/>
      <c r="B531" s="191"/>
      <c r="C531" s="191"/>
      <c r="D531" s="191"/>
      <c r="E531" s="191"/>
      <c r="F531" s="191"/>
      <c r="G531" s="191"/>
      <c r="H531" s="191"/>
      <c r="I531" s="191"/>
      <c r="J531" s="191"/>
      <c r="K531" s="191"/>
      <c r="L531" s="191"/>
      <c r="M531" s="191"/>
      <c r="N531" s="191"/>
      <c r="O531" s="191"/>
    </row>
    <row r="532">
      <c r="A532" s="191"/>
      <c r="B532" s="191"/>
      <c r="C532" s="191"/>
      <c r="D532" s="191"/>
      <c r="E532" s="191"/>
      <c r="F532" s="191"/>
      <c r="G532" s="191"/>
      <c r="H532" s="191"/>
      <c r="I532" s="191"/>
      <c r="J532" s="191"/>
      <c r="K532" s="191"/>
      <c r="L532" s="191"/>
      <c r="M532" s="191"/>
      <c r="N532" s="191"/>
      <c r="O532" s="191"/>
    </row>
    <row r="533">
      <c r="A533" s="191"/>
      <c r="B533" s="191"/>
      <c r="C533" s="191"/>
      <c r="D533" s="191"/>
      <c r="E533" s="191"/>
      <c r="F533" s="191"/>
      <c r="G533" s="191"/>
      <c r="H533" s="191"/>
      <c r="I533" s="191"/>
      <c r="J533" s="191"/>
      <c r="K533" s="191"/>
      <c r="L533" s="191"/>
      <c r="M533" s="191"/>
      <c r="N533" s="191"/>
      <c r="O533" s="191"/>
    </row>
    <row r="534">
      <c r="A534" s="191"/>
      <c r="B534" s="191"/>
      <c r="C534" s="191"/>
      <c r="D534" s="191"/>
      <c r="E534" s="191"/>
      <c r="F534" s="191"/>
      <c r="G534" s="191"/>
      <c r="H534" s="191"/>
      <c r="I534" s="191"/>
      <c r="J534" s="191"/>
      <c r="K534" s="191"/>
      <c r="L534" s="191"/>
      <c r="M534" s="191"/>
      <c r="N534" s="191"/>
      <c r="O534" s="191"/>
    </row>
    <row r="535">
      <c r="A535" s="191"/>
      <c r="B535" s="191"/>
      <c r="C535" s="191"/>
      <c r="D535" s="191"/>
      <c r="E535" s="191"/>
      <c r="F535" s="191"/>
      <c r="G535" s="191"/>
      <c r="H535" s="191"/>
      <c r="I535" s="191"/>
      <c r="J535" s="191"/>
      <c r="K535" s="191"/>
      <c r="L535" s="191"/>
      <c r="M535" s="191"/>
      <c r="N535" s="191"/>
      <c r="O535" s="191"/>
    </row>
    <row r="536">
      <c r="A536" s="191"/>
      <c r="B536" s="191"/>
      <c r="C536" s="191"/>
      <c r="D536" s="191"/>
      <c r="E536" s="191"/>
      <c r="F536" s="191"/>
      <c r="G536" s="191"/>
      <c r="H536" s="191"/>
      <c r="I536" s="191"/>
      <c r="J536" s="191"/>
      <c r="K536" s="191"/>
      <c r="L536" s="191"/>
      <c r="M536" s="191"/>
      <c r="N536" s="191"/>
      <c r="O536" s="191"/>
    </row>
    <row r="537">
      <c r="A537" s="191"/>
      <c r="B537" s="191"/>
      <c r="C537" s="191"/>
      <c r="D537" s="191"/>
      <c r="E537" s="191"/>
      <c r="F537" s="191"/>
      <c r="G537" s="191"/>
      <c r="H537" s="191"/>
      <c r="I537" s="191"/>
      <c r="J537" s="191"/>
      <c r="K537" s="191"/>
      <c r="L537" s="191"/>
      <c r="M537" s="191"/>
      <c r="N537" s="191"/>
      <c r="O537" s="191"/>
    </row>
    <row r="538">
      <c r="A538" s="191"/>
      <c r="B538" s="191"/>
      <c r="C538" s="191"/>
      <c r="D538" s="191"/>
      <c r="E538" s="191"/>
      <c r="F538" s="191"/>
      <c r="G538" s="191"/>
      <c r="H538" s="191"/>
      <c r="I538" s="191"/>
      <c r="J538" s="191"/>
      <c r="K538" s="191"/>
      <c r="L538" s="191"/>
      <c r="M538" s="191"/>
      <c r="N538" s="191"/>
      <c r="O538" s="191"/>
    </row>
    <row r="539">
      <c r="A539" s="191"/>
      <c r="B539" s="191"/>
      <c r="C539" s="191"/>
      <c r="D539" s="191"/>
      <c r="E539" s="191"/>
      <c r="F539" s="191"/>
      <c r="G539" s="191"/>
      <c r="H539" s="191"/>
      <c r="I539" s="191"/>
      <c r="J539" s="191"/>
      <c r="K539" s="191"/>
      <c r="L539" s="191"/>
      <c r="M539" s="191"/>
      <c r="N539" s="191"/>
      <c r="O539" s="191"/>
    </row>
    <row r="540">
      <c r="A540" s="191"/>
      <c r="B540" s="191"/>
      <c r="C540" s="191"/>
      <c r="D540" s="191"/>
      <c r="E540" s="191"/>
      <c r="F540" s="191"/>
      <c r="G540" s="191"/>
      <c r="H540" s="191"/>
      <c r="I540" s="191"/>
      <c r="J540" s="191"/>
      <c r="K540" s="191"/>
      <c r="L540" s="191"/>
      <c r="M540" s="191"/>
      <c r="N540" s="191"/>
      <c r="O540" s="191"/>
    </row>
    <row r="541">
      <c r="A541" s="191"/>
      <c r="B541" s="191"/>
      <c r="C541" s="191"/>
      <c r="D541" s="191"/>
      <c r="E541" s="191"/>
      <c r="F541" s="191"/>
      <c r="G541" s="191"/>
      <c r="H541" s="191"/>
      <c r="I541" s="191"/>
      <c r="J541" s="191"/>
      <c r="K541" s="191"/>
      <c r="L541" s="191"/>
      <c r="M541" s="191"/>
      <c r="N541" s="191"/>
      <c r="O541" s="191"/>
    </row>
    <row r="542">
      <c r="A542" s="191"/>
      <c r="B542" s="191"/>
      <c r="C542" s="191"/>
      <c r="D542" s="191"/>
      <c r="E542" s="191"/>
      <c r="F542" s="191"/>
      <c r="G542" s="191"/>
      <c r="H542" s="191"/>
      <c r="I542" s="191"/>
      <c r="J542" s="191"/>
      <c r="K542" s="191"/>
      <c r="L542" s="191"/>
      <c r="M542" s="191"/>
      <c r="N542" s="191"/>
      <c r="O542" s="191"/>
    </row>
    <row r="543">
      <c r="A543" s="191"/>
      <c r="B543" s="191"/>
      <c r="C543" s="191"/>
      <c r="D543" s="191"/>
      <c r="E543" s="191"/>
      <c r="F543" s="191"/>
      <c r="G543" s="191"/>
      <c r="H543" s="191"/>
      <c r="I543" s="191"/>
      <c r="J543" s="191"/>
      <c r="K543" s="191"/>
      <c r="L543" s="191"/>
      <c r="M543" s="191"/>
      <c r="N543" s="191"/>
      <c r="O543" s="191"/>
    </row>
    <row r="544">
      <c r="A544" s="191"/>
      <c r="B544" s="191"/>
      <c r="C544" s="191"/>
      <c r="D544" s="191"/>
      <c r="E544" s="191"/>
      <c r="F544" s="191"/>
      <c r="G544" s="191"/>
      <c r="H544" s="191"/>
      <c r="I544" s="191"/>
      <c r="J544" s="191"/>
      <c r="K544" s="191"/>
      <c r="L544" s="191"/>
      <c r="M544" s="191"/>
      <c r="N544" s="191"/>
      <c r="O544" s="191"/>
    </row>
    <row r="545">
      <c r="A545" s="191"/>
      <c r="B545" s="191"/>
      <c r="C545" s="191"/>
      <c r="D545" s="191"/>
      <c r="E545" s="191"/>
      <c r="F545" s="191"/>
      <c r="G545" s="191"/>
      <c r="H545" s="191"/>
      <c r="I545" s="191"/>
      <c r="J545" s="191"/>
      <c r="K545" s="191"/>
      <c r="L545" s="191"/>
      <c r="M545" s="191"/>
      <c r="N545" s="191"/>
      <c r="O545" s="191"/>
    </row>
    <row r="546">
      <c r="A546" s="191"/>
      <c r="B546" s="191"/>
      <c r="C546" s="191"/>
      <c r="D546" s="191"/>
      <c r="E546" s="191"/>
      <c r="F546" s="191"/>
      <c r="G546" s="191"/>
      <c r="H546" s="191"/>
      <c r="I546" s="191"/>
      <c r="J546" s="191"/>
      <c r="K546" s="191"/>
      <c r="L546" s="191"/>
      <c r="M546" s="191"/>
      <c r="N546" s="191"/>
      <c r="O546" s="191"/>
    </row>
    <row r="547">
      <c r="A547" s="191"/>
      <c r="B547" s="191"/>
      <c r="C547" s="191"/>
      <c r="D547" s="191"/>
      <c r="E547" s="191"/>
      <c r="F547" s="191"/>
      <c r="G547" s="191"/>
      <c r="H547" s="191"/>
      <c r="I547" s="191"/>
      <c r="J547" s="191"/>
      <c r="K547" s="191"/>
      <c r="L547" s="191"/>
      <c r="M547" s="191"/>
      <c r="N547" s="191"/>
      <c r="O547" s="191"/>
    </row>
    <row r="548">
      <c r="A548" s="191"/>
      <c r="B548" s="191"/>
      <c r="C548" s="191"/>
      <c r="D548" s="191"/>
      <c r="E548" s="191"/>
      <c r="F548" s="191"/>
      <c r="G548" s="191"/>
      <c r="H548" s="191"/>
      <c r="I548" s="191"/>
      <c r="J548" s="191"/>
      <c r="K548" s="191"/>
      <c r="L548" s="191"/>
      <c r="M548" s="191"/>
      <c r="N548" s="191"/>
      <c r="O548" s="191"/>
    </row>
    <row r="549">
      <c r="A549" s="191"/>
      <c r="B549" s="191"/>
      <c r="C549" s="191"/>
      <c r="D549" s="191"/>
      <c r="E549" s="191"/>
      <c r="F549" s="191"/>
      <c r="G549" s="191"/>
      <c r="H549" s="191"/>
      <c r="I549" s="191"/>
      <c r="J549" s="191"/>
      <c r="K549" s="191"/>
      <c r="L549" s="191"/>
      <c r="M549" s="191"/>
      <c r="N549" s="191"/>
      <c r="O549" s="191"/>
    </row>
    <row r="550">
      <c r="A550" s="191"/>
      <c r="B550" s="191"/>
      <c r="C550" s="191"/>
      <c r="D550" s="191"/>
      <c r="E550" s="191"/>
      <c r="F550" s="191"/>
      <c r="G550" s="191"/>
      <c r="H550" s="191"/>
      <c r="I550" s="191"/>
      <c r="J550" s="191"/>
      <c r="K550" s="191"/>
      <c r="L550" s="191"/>
      <c r="M550" s="191"/>
      <c r="N550" s="191"/>
      <c r="O550" s="191"/>
    </row>
    <row r="551">
      <c r="A551" s="191"/>
      <c r="B551" s="191"/>
      <c r="C551" s="191"/>
      <c r="D551" s="191"/>
      <c r="E551" s="191"/>
      <c r="F551" s="191"/>
      <c r="G551" s="191"/>
      <c r="H551" s="191"/>
      <c r="I551" s="191"/>
      <c r="J551" s="191"/>
      <c r="K551" s="191"/>
      <c r="L551" s="191"/>
      <c r="M551" s="191"/>
      <c r="N551" s="191"/>
      <c r="O551" s="191"/>
    </row>
    <row r="552">
      <c r="A552" s="191"/>
      <c r="B552" s="191"/>
      <c r="C552" s="191"/>
      <c r="D552" s="191"/>
      <c r="E552" s="191"/>
      <c r="F552" s="191"/>
      <c r="G552" s="191"/>
      <c r="H552" s="191"/>
      <c r="I552" s="191"/>
      <c r="J552" s="191"/>
      <c r="K552" s="191"/>
      <c r="L552" s="191"/>
      <c r="M552" s="191"/>
      <c r="N552" s="191"/>
      <c r="O552" s="191"/>
    </row>
    <row r="553">
      <c r="A553" s="191"/>
      <c r="B553" s="191"/>
      <c r="C553" s="191"/>
      <c r="D553" s="191"/>
      <c r="E553" s="191"/>
      <c r="F553" s="191"/>
      <c r="G553" s="191"/>
      <c r="H553" s="191"/>
      <c r="I553" s="191"/>
      <c r="J553" s="191"/>
      <c r="K553" s="191"/>
      <c r="L553" s="191"/>
      <c r="M553" s="191"/>
      <c r="N553" s="191"/>
      <c r="O553" s="191"/>
    </row>
    <row r="554">
      <c r="A554" s="191"/>
      <c r="B554" s="191"/>
      <c r="C554" s="191"/>
      <c r="D554" s="191"/>
      <c r="E554" s="191"/>
      <c r="F554" s="191"/>
      <c r="G554" s="191"/>
      <c r="H554" s="191"/>
      <c r="I554" s="191"/>
      <c r="J554" s="191"/>
      <c r="K554" s="191"/>
      <c r="L554" s="191"/>
      <c r="M554" s="191"/>
      <c r="N554" s="191"/>
      <c r="O554" s="191"/>
    </row>
    <row r="555">
      <c r="A555" s="191"/>
      <c r="B555" s="191"/>
      <c r="C555" s="191"/>
      <c r="D555" s="191"/>
      <c r="E555" s="191"/>
      <c r="F555" s="191"/>
      <c r="G555" s="191"/>
      <c r="H555" s="191"/>
      <c r="I555" s="191"/>
      <c r="J555" s="191"/>
      <c r="K555" s="191"/>
      <c r="L555" s="191"/>
      <c r="M555" s="191"/>
      <c r="N555" s="191"/>
      <c r="O555" s="191"/>
    </row>
    <row r="556">
      <c r="A556" s="191"/>
      <c r="B556" s="191"/>
      <c r="C556" s="191"/>
      <c r="D556" s="191"/>
      <c r="E556" s="191"/>
      <c r="F556" s="191"/>
      <c r="G556" s="191"/>
      <c r="H556" s="191"/>
      <c r="I556" s="191"/>
      <c r="J556" s="191"/>
      <c r="K556" s="191"/>
      <c r="L556" s="191"/>
      <c r="M556" s="191"/>
      <c r="N556" s="191"/>
      <c r="O556" s="191"/>
    </row>
    <row r="557">
      <c r="A557" s="191"/>
      <c r="B557" s="191"/>
      <c r="C557" s="191"/>
      <c r="D557" s="191"/>
      <c r="E557" s="191"/>
      <c r="F557" s="191"/>
      <c r="G557" s="191"/>
      <c r="H557" s="191"/>
      <c r="I557" s="191"/>
      <c r="J557" s="191"/>
      <c r="K557" s="191"/>
      <c r="L557" s="191"/>
      <c r="M557" s="191"/>
      <c r="N557" s="191"/>
      <c r="O557" s="191"/>
    </row>
    <row r="558">
      <c r="A558" s="191"/>
      <c r="B558" s="191"/>
      <c r="C558" s="191"/>
      <c r="D558" s="191"/>
      <c r="E558" s="191"/>
      <c r="F558" s="191"/>
      <c r="G558" s="191"/>
      <c r="H558" s="191"/>
      <c r="I558" s="191"/>
      <c r="J558" s="191"/>
      <c r="K558" s="191"/>
      <c r="L558" s="191"/>
      <c r="M558" s="191"/>
      <c r="N558" s="191"/>
      <c r="O558" s="191"/>
    </row>
    <row r="559">
      <c r="A559" s="191"/>
      <c r="B559" s="191"/>
      <c r="C559" s="191"/>
      <c r="D559" s="191"/>
      <c r="E559" s="191"/>
      <c r="F559" s="191"/>
      <c r="G559" s="191"/>
      <c r="H559" s="191"/>
      <c r="I559" s="191"/>
      <c r="J559" s="191"/>
      <c r="K559" s="191"/>
      <c r="L559" s="191"/>
      <c r="M559" s="191"/>
      <c r="N559" s="191"/>
      <c r="O559" s="191"/>
    </row>
    <row r="560">
      <c r="A560" s="191"/>
      <c r="B560" s="191"/>
      <c r="C560" s="191"/>
      <c r="D560" s="191"/>
      <c r="E560" s="191"/>
      <c r="F560" s="191"/>
      <c r="G560" s="191"/>
      <c r="H560" s="191"/>
      <c r="I560" s="191"/>
      <c r="J560" s="191"/>
      <c r="K560" s="191"/>
      <c r="L560" s="191"/>
      <c r="M560" s="191"/>
      <c r="N560" s="191"/>
      <c r="O560" s="191"/>
    </row>
    <row r="561">
      <c r="A561" s="191"/>
      <c r="B561" s="191"/>
      <c r="C561" s="191"/>
      <c r="D561" s="191"/>
      <c r="E561" s="191"/>
      <c r="F561" s="191"/>
      <c r="G561" s="191"/>
      <c r="H561" s="191"/>
      <c r="I561" s="191"/>
      <c r="J561" s="191"/>
      <c r="K561" s="191"/>
      <c r="L561" s="191"/>
      <c r="M561" s="191"/>
      <c r="N561" s="191"/>
      <c r="O561" s="191"/>
    </row>
    <row r="562">
      <c r="A562" s="191"/>
      <c r="B562" s="191"/>
      <c r="C562" s="191"/>
      <c r="D562" s="191"/>
      <c r="E562" s="191"/>
      <c r="F562" s="191"/>
      <c r="G562" s="191"/>
      <c r="H562" s="191"/>
      <c r="I562" s="191"/>
      <c r="J562" s="191"/>
      <c r="K562" s="191"/>
      <c r="L562" s="191"/>
      <c r="M562" s="191"/>
      <c r="N562" s="191"/>
      <c r="O562" s="191"/>
    </row>
    <row r="563">
      <c r="A563" s="191"/>
      <c r="B563" s="191"/>
      <c r="C563" s="191"/>
      <c r="D563" s="191"/>
      <c r="E563" s="191"/>
      <c r="F563" s="191"/>
      <c r="G563" s="191"/>
      <c r="H563" s="191"/>
      <c r="I563" s="191"/>
      <c r="J563" s="191"/>
      <c r="K563" s="191"/>
      <c r="L563" s="191"/>
      <c r="M563" s="191"/>
      <c r="N563" s="191"/>
      <c r="O563" s="191"/>
    </row>
    <row r="564">
      <c r="A564" s="191"/>
      <c r="B564" s="191"/>
      <c r="C564" s="191"/>
      <c r="D564" s="191"/>
      <c r="E564" s="191"/>
      <c r="F564" s="191"/>
      <c r="G564" s="191"/>
      <c r="H564" s="191"/>
      <c r="I564" s="191"/>
      <c r="J564" s="191"/>
      <c r="K564" s="191"/>
      <c r="L564" s="191"/>
      <c r="M564" s="191"/>
      <c r="N564" s="191"/>
      <c r="O564" s="191"/>
    </row>
    <row r="565">
      <c r="A565" s="191"/>
      <c r="B565" s="191"/>
      <c r="C565" s="191"/>
      <c r="D565" s="191"/>
      <c r="E565" s="191"/>
      <c r="F565" s="191"/>
      <c r="G565" s="191"/>
      <c r="H565" s="191"/>
      <c r="I565" s="191"/>
      <c r="J565" s="191"/>
      <c r="K565" s="191"/>
      <c r="L565" s="191"/>
      <c r="M565" s="191"/>
      <c r="N565" s="191"/>
      <c r="O565" s="191"/>
    </row>
    <row r="566">
      <c r="A566" s="191"/>
      <c r="B566" s="191"/>
      <c r="C566" s="191"/>
      <c r="D566" s="191"/>
      <c r="E566" s="191"/>
      <c r="F566" s="191"/>
      <c r="G566" s="191"/>
      <c r="H566" s="191"/>
      <c r="I566" s="191"/>
      <c r="J566" s="191"/>
      <c r="K566" s="191"/>
      <c r="L566" s="191"/>
      <c r="M566" s="191"/>
      <c r="N566" s="191"/>
      <c r="O566" s="191"/>
    </row>
    <row r="567">
      <c r="A567" s="191"/>
      <c r="B567" s="191"/>
      <c r="C567" s="191"/>
      <c r="D567" s="191"/>
      <c r="E567" s="191"/>
      <c r="F567" s="191"/>
      <c r="G567" s="191"/>
      <c r="H567" s="191"/>
      <c r="I567" s="191"/>
      <c r="J567" s="191"/>
      <c r="K567" s="191"/>
      <c r="L567" s="191"/>
      <c r="M567" s="191"/>
      <c r="N567" s="191"/>
      <c r="O567" s="191"/>
    </row>
    <row r="568">
      <c r="A568" s="191"/>
      <c r="B568" s="191"/>
      <c r="C568" s="191"/>
      <c r="D568" s="191"/>
      <c r="E568" s="191"/>
      <c r="F568" s="191"/>
      <c r="G568" s="191"/>
      <c r="H568" s="191"/>
      <c r="I568" s="191"/>
      <c r="J568" s="191"/>
      <c r="K568" s="191"/>
      <c r="L568" s="191"/>
      <c r="M568" s="191"/>
      <c r="N568" s="191"/>
      <c r="O568" s="191"/>
    </row>
    <row r="569">
      <c r="A569" s="191"/>
      <c r="B569" s="191"/>
      <c r="C569" s="191"/>
      <c r="D569" s="191"/>
      <c r="E569" s="191"/>
      <c r="F569" s="191"/>
      <c r="G569" s="191"/>
      <c r="H569" s="191"/>
      <c r="I569" s="191"/>
      <c r="J569" s="191"/>
      <c r="K569" s="191"/>
      <c r="L569" s="191"/>
      <c r="M569" s="191"/>
      <c r="N569" s="191"/>
      <c r="O569" s="191"/>
    </row>
    <row r="570">
      <c r="A570" s="191"/>
      <c r="B570" s="191"/>
      <c r="C570" s="191"/>
      <c r="D570" s="191"/>
      <c r="E570" s="191"/>
      <c r="F570" s="191"/>
      <c r="G570" s="191"/>
      <c r="H570" s="191"/>
      <c r="I570" s="191"/>
      <c r="J570" s="191"/>
      <c r="K570" s="191"/>
      <c r="L570" s="191"/>
      <c r="M570" s="191"/>
      <c r="N570" s="191"/>
      <c r="O570" s="191"/>
    </row>
    <row r="571">
      <c r="A571" s="191"/>
      <c r="B571" s="191"/>
      <c r="C571" s="191"/>
      <c r="D571" s="191"/>
      <c r="E571" s="191"/>
      <c r="F571" s="191"/>
      <c r="G571" s="191"/>
      <c r="H571" s="191"/>
      <c r="I571" s="191"/>
      <c r="J571" s="191"/>
      <c r="K571" s="191"/>
      <c r="L571" s="191"/>
      <c r="M571" s="191"/>
      <c r="N571" s="191"/>
      <c r="O571" s="191"/>
    </row>
    <row r="572">
      <c r="A572" s="191"/>
      <c r="B572" s="191"/>
      <c r="C572" s="191"/>
      <c r="D572" s="191"/>
      <c r="E572" s="191"/>
      <c r="F572" s="191"/>
      <c r="G572" s="191"/>
      <c r="H572" s="191"/>
      <c r="I572" s="191"/>
      <c r="J572" s="191"/>
      <c r="K572" s="191"/>
      <c r="L572" s="191"/>
      <c r="M572" s="191"/>
      <c r="N572" s="191"/>
      <c r="O572" s="191"/>
    </row>
    <row r="573">
      <c r="A573" s="191"/>
      <c r="B573" s="191"/>
      <c r="C573" s="191"/>
      <c r="D573" s="191"/>
      <c r="E573" s="191"/>
      <c r="F573" s="191"/>
      <c r="G573" s="191"/>
      <c r="H573" s="191"/>
      <c r="I573" s="191"/>
      <c r="J573" s="191"/>
      <c r="K573" s="191"/>
      <c r="L573" s="191"/>
      <c r="M573" s="191"/>
      <c r="N573" s="191"/>
      <c r="O573" s="191"/>
    </row>
    <row r="574">
      <c r="A574" s="191"/>
      <c r="B574" s="191"/>
      <c r="C574" s="191"/>
      <c r="D574" s="191"/>
      <c r="E574" s="191"/>
      <c r="F574" s="191"/>
      <c r="G574" s="191"/>
      <c r="H574" s="191"/>
      <c r="I574" s="191"/>
      <c r="J574" s="191"/>
      <c r="K574" s="191"/>
      <c r="L574" s="191"/>
      <c r="M574" s="191"/>
      <c r="N574" s="191"/>
      <c r="O574" s="191"/>
    </row>
    <row r="575">
      <c r="A575" s="191"/>
      <c r="B575" s="191"/>
      <c r="C575" s="191"/>
      <c r="D575" s="191"/>
      <c r="E575" s="191"/>
      <c r="F575" s="191"/>
      <c r="G575" s="191"/>
      <c r="H575" s="191"/>
      <c r="I575" s="191"/>
      <c r="J575" s="191"/>
      <c r="K575" s="191"/>
      <c r="L575" s="191"/>
      <c r="M575" s="191"/>
      <c r="N575" s="191"/>
      <c r="O575" s="191"/>
    </row>
    <row r="576">
      <c r="A576" s="191"/>
      <c r="B576" s="191"/>
      <c r="C576" s="191"/>
      <c r="D576" s="191"/>
      <c r="E576" s="191"/>
      <c r="F576" s="191"/>
      <c r="G576" s="191"/>
      <c r="H576" s="191"/>
      <c r="I576" s="191"/>
      <c r="J576" s="191"/>
      <c r="K576" s="191"/>
      <c r="L576" s="191"/>
      <c r="M576" s="191"/>
      <c r="N576" s="191"/>
      <c r="O576" s="191"/>
    </row>
    <row r="577">
      <c r="A577" s="191"/>
      <c r="B577" s="191"/>
      <c r="C577" s="191"/>
      <c r="D577" s="191"/>
      <c r="E577" s="191"/>
      <c r="F577" s="191"/>
      <c r="G577" s="191"/>
      <c r="H577" s="191"/>
      <c r="I577" s="191"/>
      <c r="J577" s="191"/>
      <c r="K577" s="191"/>
      <c r="L577" s="191"/>
      <c r="M577" s="191"/>
      <c r="N577" s="191"/>
      <c r="O577" s="191"/>
    </row>
    <row r="578">
      <c r="A578" s="191"/>
      <c r="B578" s="191"/>
      <c r="C578" s="191"/>
      <c r="D578" s="191"/>
      <c r="E578" s="191"/>
      <c r="F578" s="191"/>
      <c r="G578" s="191"/>
      <c r="H578" s="191"/>
      <c r="I578" s="191"/>
      <c r="J578" s="191"/>
      <c r="K578" s="191"/>
      <c r="L578" s="191"/>
      <c r="M578" s="191"/>
      <c r="N578" s="191"/>
      <c r="O578" s="191"/>
    </row>
    <row r="579">
      <c r="A579" s="191"/>
      <c r="B579" s="191"/>
      <c r="C579" s="191"/>
      <c r="D579" s="191"/>
      <c r="E579" s="191"/>
      <c r="F579" s="191"/>
      <c r="G579" s="191"/>
      <c r="H579" s="191"/>
      <c r="I579" s="191"/>
      <c r="J579" s="191"/>
      <c r="K579" s="191"/>
      <c r="L579" s="191"/>
      <c r="M579" s="191"/>
      <c r="N579" s="191"/>
      <c r="O579" s="191"/>
    </row>
    <row r="580">
      <c r="A580" s="191"/>
      <c r="B580" s="191"/>
      <c r="C580" s="191"/>
      <c r="D580" s="191"/>
      <c r="E580" s="191"/>
      <c r="F580" s="191"/>
      <c r="G580" s="191"/>
      <c r="H580" s="191"/>
      <c r="I580" s="191"/>
      <c r="J580" s="191"/>
      <c r="K580" s="191"/>
      <c r="L580" s="191"/>
      <c r="M580" s="191"/>
      <c r="N580" s="191"/>
      <c r="O580" s="191"/>
    </row>
    <row r="581">
      <c r="A581" s="191"/>
      <c r="B581" s="191"/>
      <c r="C581" s="191"/>
      <c r="D581" s="191"/>
      <c r="E581" s="191"/>
      <c r="F581" s="191"/>
      <c r="G581" s="191"/>
      <c r="H581" s="191"/>
      <c r="I581" s="191"/>
      <c r="J581" s="191"/>
      <c r="K581" s="191"/>
      <c r="L581" s="191"/>
      <c r="M581" s="191"/>
      <c r="N581" s="191"/>
      <c r="O581" s="191"/>
    </row>
    <row r="582">
      <c r="A582" s="191"/>
      <c r="B582" s="191"/>
      <c r="C582" s="191"/>
      <c r="D582" s="191"/>
      <c r="E582" s="191"/>
      <c r="F582" s="191"/>
      <c r="G582" s="191"/>
      <c r="H582" s="191"/>
      <c r="I582" s="191"/>
      <c r="J582" s="191"/>
      <c r="K582" s="191"/>
      <c r="L582" s="191"/>
      <c r="M582" s="191"/>
      <c r="N582" s="191"/>
      <c r="O582" s="191"/>
    </row>
    <row r="583">
      <c r="A583" s="191"/>
      <c r="B583" s="191"/>
      <c r="C583" s="191"/>
      <c r="D583" s="191"/>
      <c r="E583" s="191"/>
      <c r="F583" s="191"/>
      <c r="G583" s="191"/>
      <c r="H583" s="191"/>
      <c r="I583" s="191"/>
      <c r="J583" s="191"/>
      <c r="K583" s="191"/>
      <c r="L583" s="191"/>
      <c r="M583" s="191"/>
      <c r="N583" s="191"/>
      <c r="O583" s="191"/>
    </row>
    <row r="584">
      <c r="A584" s="191"/>
      <c r="B584" s="191"/>
      <c r="C584" s="191"/>
      <c r="D584" s="191"/>
      <c r="E584" s="191"/>
      <c r="F584" s="191"/>
      <c r="G584" s="191"/>
      <c r="H584" s="191"/>
      <c r="I584" s="191"/>
      <c r="J584" s="191"/>
      <c r="K584" s="191"/>
      <c r="L584" s="191"/>
      <c r="M584" s="191"/>
      <c r="N584" s="191"/>
      <c r="O584" s="191"/>
    </row>
    <row r="585">
      <c r="A585" s="191"/>
      <c r="B585" s="191"/>
      <c r="C585" s="191"/>
      <c r="D585" s="191"/>
      <c r="E585" s="191"/>
      <c r="F585" s="191"/>
      <c r="G585" s="191"/>
      <c r="H585" s="191"/>
      <c r="I585" s="191"/>
      <c r="J585" s="191"/>
      <c r="K585" s="191"/>
      <c r="L585" s="191"/>
      <c r="M585" s="191"/>
      <c r="N585" s="191"/>
      <c r="O585" s="191"/>
    </row>
    <row r="586">
      <c r="A586" s="191"/>
      <c r="B586" s="191"/>
      <c r="C586" s="191"/>
      <c r="D586" s="191"/>
      <c r="E586" s="191"/>
      <c r="F586" s="191"/>
      <c r="G586" s="191"/>
      <c r="H586" s="191"/>
      <c r="I586" s="191"/>
      <c r="J586" s="191"/>
      <c r="K586" s="191"/>
      <c r="L586" s="191"/>
      <c r="M586" s="191"/>
      <c r="N586" s="191"/>
      <c r="O586" s="191"/>
    </row>
    <row r="587">
      <c r="A587" s="191"/>
      <c r="B587" s="191"/>
      <c r="C587" s="191"/>
      <c r="D587" s="191"/>
      <c r="E587" s="191"/>
      <c r="F587" s="191"/>
      <c r="G587" s="191"/>
      <c r="H587" s="191"/>
      <c r="I587" s="191"/>
      <c r="J587" s="191"/>
      <c r="K587" s="191"/>
      <c r="L587" s="191"/>
      <c r="M587" s="191"/>
      <c r="N587" s="191"/>
      <c r="O587" s="191"/>
    </row>
    <row r="588">
      <c r="A588" s="191"/>
      <c r="B588" s="191"/>
      <c r="C588" s="191"/>
      <c r="D588" s="191"/>
      <c r="E588" s="191"/>
      <c r="F588" s="191"/>
      <c r="G588" s="191"/>
      <c r="H588" s="191"/>
      <c r="I588" s="191"/>
      <c r="J588" s="191"/>
      <c r="K588" s="191"/>
      <c r="L588" s="191"/>
      <c r="M588" s="191"/>
      <c r="N588" s="191"/>
      <c r="O588" s="191"/>
    </row>
    <row r="589">
      <c r="A589" s="191"/>
      <c r="B589" s="191"/>
      <c r="C589" s="191"/>
      <c r="D589" s="191"/>
      <c r="E589" s="191"/>
      <c r="F589" s="191"/>
      <c r="G589" s="191"/>
      <c r="H589" s="191"/>
      <c r="I589" s="191"/>
      <c r="J589" s="191"/>
      <c r="K589" s="191"/>
      <c r="L589" s="191"/>
      <c r="M589" s="191"/>
      <c r="N589" s="191"/>
      <c r="O589" s="191"/>
    </row>
    <row r="590">
      <c r="A590" s="191"/>
      <c r="B590" s="191"/>
      <c r="C590" s="191"/>
      <c r="D590" s="191"/>
      <c r="E590" s="191"/>
      <c r="F590" s="191"/>
      <c r="G590" s="191"/>
      <c r="H590" s="191"/>
      <c r="I590" s="191"/>
      <c r="J590" s="191"/>
      <c r="K590" s="191"/>
      <c r="L590" s="191"/>
      <c r="M590" s="191"/>
      <c r="N590" s="191"/>
      <c r="O590" s="191"/>
    </row>
    <row r="591">
      <c r="A591" s="191"/>
      <c r="B591" s="191"/>
      <c r="C591" s="191"/>
      <c r="D591" s="191"/>
      <c r="E591" s="191"/>
      <c r="F591" s="191"/>
      <c r="G591" s="191"/>
      <c r="H591" s="191"/>
      <c r="I591" s="191"/>
      <c r="J591" s="191"/>
      <c r="K591" s="191"/>
      <c r="L591" s="191"/>
      <c r="M591" s="191"/>
      <c r="N591" s="191"/>
      <c r="O591" s="191"/>
    </row>
    <row r="592">
      <c r="A592" s="191"/>
      <c r="B592" s="191"/>
      <c r="C592" s="191"/>
      <c r="D592" s="191"/>
      <c r="E592" s="191"/>
      <c r="F592" s="191"/>
      <c r="G592" s="191"/>
      <c r="H592" s="191"/>
      <c r="I592" s="191"/>
      <c r="J592" s="191"/>
      <c r="K592" s="191"/>
      <c r="L592" s="191"/>
      <c r="M592" s="191"/>
      <c r="N592" s="191"/>
      <c r="O592" s="191"/>
    </row>
    <row r="593">
      <c r="A593" s="191"/>
      <c r="B593" s="191"/>
      <c r="C593" s="191"/>
      <c r="D593" s="191"/>
      <c r="E593" s="191"/>
      <c r="F593" s="191"/>
      <c r="G593" s="191"/>
      <c r="H593" s="191"/>
      <c r="I593" s="191"/>
      <c r="J593" s="191"/>
      <c r="K593" s="191"/>
      <c r="L593" s="191"/>
      <c r="M593" s="191"/>
      <c r="N593" s="191"/>
      <c r="O593" s="191"/>
    </row>
    <row r="594">
      <c r="A594" s="191"/>
      <c r="B594" s="191"/>
      <c r="C594" s="191"/>
      <c r="D594" s="191"/>
      <c r="E594" s="191"/>
      <c r="F594" s="191"/>
      <c r="G594" s="191"/>
      <c r="H594" s="191"/>
      <c r="I594" s="191"/>
      <c r="J594" s="191"/>
      <c r="K594" s="191"/>
      <c r="L594" s="191"/>
      <c r="M594" s="191"/>
      <c r="N594" s="191"/>
      <c r="O594" s="191"/>
    </row>
    <row r="595">
      <c r="A595" s="191"/>
      <c r="B595" s="191"/>
      <c r="C595" s="191"/>
      <c r="D595" s="191"/>
      <c r="E595" s="191"/>
      <c r="F595" s="191"/>
      <c r="G595" s="191"/>
      <c r="H595" s="191"/>
      <c r="I595" s="191"/>
      <c r="J595" s="191"/>
      <c r="K595" s="191"/>
      <c r="L595" s="191"/>
      <c r="M595" s="191"/>
      <c r="N595" s="191"/>
      <c r="O595" s="191"/>
    </row>
    <row r="596">
      <c r="A596" s="191"/>
      <c r="B596" s="191"/>
      <c r="C596" s="191"/>
      <c r="D596" s="191"/>
      <c r="E596" s="191"/>
      <c r="F596" s="191"/>
      <c r="G596" s="191"/>
      <c r="H596" s="191"/>
      <c r="I596" s="191"/>
      <c r="J596" s="191"/>
      <c r="K596" s="191"/>
      <c r="L596" s="191"/>
      <c r="M596" s="191"/>
      <c r="N596" s="191"/>
      <c r="O596" s="191"/>
    </row>
    <row r="597">
      <c r="A597" s="191"/>
      <c r="B597" s="191"/>
      <c r="C597" s="191"/>
      <c r="D597" s="191"/>
      <c r="E597" s="191"/>
      <c r="F597" s="191"/>
      <c r="G597" s="191"/>
      <c r="H597" s="191"/>
      <c r="I597" s="191"/>
      <c r="J597" s="191"/>
      <c r="K597" s="191"/>
      <c r="L597" s="191"/>
      <c r="M597" s="191"/>
      <c r="N597" s="191"/>
      <c r="O597" s="191"/>
    </row>
    <row r="598">
      <c r="A598" s="191"/>
      <c r="B598" s="191"/>
      <c r="C598" s="191"/>
      <c r="D598" s="191"/>
      <c r="E598" s="191"/>
      <c r="F598" s="191"/>
      <c r="G598" s="191"/>
      <c r="H598" s="191"/>
      <c r="I598" s="191"/>
      <c r="J598" s="191"/>
      <c r="K598" s="191"/>
      <c r="L598" s="191"/>
      <c r="M598" s="191"/>
      <c r="N598" s="191"/>
      <c r="O598" s="191"/>
    </row>
    <row r="599">
      <c r="A599" s="191"/>
      <c r="B599" s="191"/>
      <c r="C599" s="191"/>
      <c r="D599" s="191"/>
      <c r="E599" s="191"/>
      <c r="F599" s="191"/>
      <c r="G599" s="191"/>
      <c r="H599" s="191"/>
      <c r="I599" s="191"/>
      <c r="J599" s="191"/>
      <c r="K599" s="191"/>
      <c r="L599" s="191"/>
      <c r="M599" s="191"/>
      <c r="N599" s="191"/>
      <c r="O599" s="191"/>
    </row>
    <row r="600">
      <c r="A600" s="191"/>
      <c r="B600" s="191"/>
      <c r="C600" s="191"/>
      <c r="D600" s="191"/>
      <c r="E600" s="191"/>
      <c r="F600" s="191"/>
      <c r="G600" s="191"/>
      <c r="H600" s="191"/>
      <c r="I600" s="191"/>
      <c r="J600" s="191"/>
      <c r="K600" s="191"/>
      <c r="L600" s="191"/>
      <c r="M600" s="191"/>
      <c r="N600" s="191"/>
      <c r="O600" s="191"/>
    </row>
    <row r="601">
      <c r="A601" s="191"/>
      <c r="B601" s="191"/>
      <c r="C601" s="191"/>
      <c r="D601" s="191"/>
      <c r="E601" s="191"/>
      <c r="F601" s="191"/>
      <c r="G601" s="191"/>
      <c r="H601" s="191"/>
      <c r="I601" s="191"/>
      <c r="J601" s="191"/>
      <c r="K601" s="191"/>
      <c r="L601" s="191"/>
      <c r="M601" s="191"/>
      <c r="N601" s="191"/>
      <c r="O601" s="191"/>
    </row>
    <row r="602">
      <c r="A602" s="191"/>
      <c r="B602" s="191"/>
      <c r="C602" s="191"/>
      <c r="D602" s="191"/>
      <c r="E602" s="191"/>
      <c r="F602" s="191"/>
      <c r="G602" s="191"/>
      <c r="H602" s="191"/>
      <c r="I602" s="191"/>
      <c r="J602" s="191"/>
      <c r="K602" s="191"/>
      <c r="L602" s="191"/>
      <c r="M602" s="191"/>
      <c r="N602" s="191"/>
      <c r="O602" s="191"/>
    </row>
    <row r="603">
      <c r="A603" s="191"/>
      <c r="B603" s="191"/>
      <c r="C603" s="191"/>
      <c r="D603" s="191"/>
      <c r="E603" s="191"/>
      <c r="F603" s="191"/>
      <c r="G603" s="191"/>
      <c r="H603" s="191"/>
      <c r="I603" s="191"/>
      <c r="J603" s="191"/>
      <c r="K603" s="191"/>
      <c r="L603" s="191"/>
      <c r="M603" s="191"/>
      <c r="N603" s="191"/>
      <c r="O603" s="191"/>
    </row>
    <row r="604">
      <c r="A604" s="191"/>
      <c r="B604" s="191"/>
      <c r="C604" s="191"/>
      <c r="D604" s="191"/>
      <c r="E604" s="191"/>
      <c r="F604" s="191"/>
      <c r="G604" s="191"/>
      <c r="H604" s="191"/>
      <c r="I604" s="191"/>
      <c r="J604" s="191"/>
      <c r="K604" s="191"/>
      <c r="L604" s="191"/>
      <c r="M604" s="191"/>
      <c r="N604" s="191"/>
      <c r="O604" s="191"/>
    </row>
    <row r="605">
      <c r="A605" s="191"/>
      <c r="B605" s="191"/>
      <c r="C605" s="191"/>
      <c r="D605" s="191"/>
      <c r="E605" s="191"/>
      <c r="F605" s="191"/>
      <c r="G605" s="191"/>
      <c r="H605" s="191"/>
      <c r="I605" s="191"/>
      <c r="J605" s="191"/>
      <c r="K605" s="191"/>
      <c r="L605" s="191"/>
      <c r="M605" s="191"/>
      <c r="N605" s="191"/>
      <c r="O605" s="191"/>
    </row>
    <row r="606">
      <c r="A606" s="191"/>
      <c r="B606" s="191"/>
      <c r="C606" s="191"/>
      <c r="D606" s="191"/>
      <c r="E606" s="191"/>
      <c r="F606" s="191"/>
      <c r="G606" s="191"/>
      <c r="H606" s="191"/>
      <c r="I606" s="191"/>
      <c r="J606" s="191"/>
      <c r="K606" s="191"/>
      <c r="L606" s="191"/>
      <c r="M606" s="191"/>
      <c r="N606" s="191"/>
      <c r="O606" s="191"/>
    </row>
    <row r="607">
      <c r="A607" s="191"/>
      <c r="B607" s="191"/>
      <c r="C607" s="191"/>
      <c r="D607" s="191"/>
      <c r="E607" s="191"/>
      <c r="F607" s="191"/>
      <c r="G607" s="191"/>
      <c r="H607" s="191"/>
      <c r="I607" s="191"/>
      <c r="J607" s="191"/>
      <c r="K607" s="191"/>
      <c r="L607" s="191"/>
      <c r="M607" s="191"/>
      <c r="N607" s="191"/>
      <c r="O607" s="191"/>
    </row>
    <row r="608">
      <c r="A608" s="191"/>
      <c r="B608" s="191"/>
      <c r="C608" s="191"/>
      <c r="D608" s="191"/>
      <c r="E608" s="191"/>
      <c r="F608" s="191"/>
      <c r="G608" s="191"/>
      <c r="H608" s="191"/>
      <c r="I608" s="191"/>
      <c r="J608" s="191"/>
      <c r="K608" s="191"/>
      <c r="L608" s="191"/>
      <c r="M608" s="191"/>
      <c r="N608" s="191"/>
      <c r="O608" s="191"/>
    </row>
    <row r="609">
      <c r="A609" s="191"/>
      <c r="B609" s="191"/>
      <c r="C609" s="191"/>
      <c r="D609" s="191"/>
      <c r="E609" s="191"/>
      <c r="F609" s="191"/>
      <c r="G609" s="191"/>
      <c r="H609" s="191"/>
      <c r="I609" s="191"/>
      <c r="J609" s="191"/>
      <c r="K609" s="191"/>
      <c r="L609" s="191"/>
      <c r="M609" s="191"/>
      <c r="N609" s="191"/>
      <c r="O609" s="191"/>
    </row>
    <row r="610">
      <c r="A610" s="191"/>
      <c r="B610" s="191"/>
      <c r="C610" s="191"/>
      <c r="D610" s="191"/>
      <c r="E610" s="191"/>
      <c r="F610" s="191"/>
      <c r="G610" s="191"/>
      <c r="H610" s="191"/>
      <c r="I610" s="191"/>
      <c r="J610" s="191"/>
      <c r="K610" s="191"/>
      <c r="L610" s="191"/>
      <c r="M610" s="191"/>
      <c r="N610" s="191"/>
      <c r="O610" s="191"/>
    </row>
    <row r="611">
      <c r="A611" s="191"/>
      <c r="B611" s="191"/>
      <c r="C611" s="191"/>
      <c r="D611" s="191"/>
      <c r="E611" s="191"/>
      <c r="F611" s="191"/>
      <c r="G611" s="191"/>
      <c r="H611" s="191"/>
      <c r="I611" s="191"/>
      <c r="J611" s="191"/>
      <c r="K611" s="191"/>
      <c r="L611" s="191"/>
      <c r="M611" s="191"/>
      <c r="N611" s="191"/>
      <c r="O611" s="191"/>
    </row>
    <row r="612">
      <c r="A612" s="191"/>
      <c r="B612" s="191"/>
      <c r="C612" s="191"/>
      <c r="D612" s="191"/>
      <c r="E612" s="191"/>
      <c r="F612" s="191"/>
      <c r="G612" s="191"/>
      <c r="H612" s="191"/>
      <c r="I612" s="191"/>
      <c r="J612" s="191"/>
      <c r="K612" s="191"/>
      <c r="L612" s="191"/>
      <c r="M612" s="191"/>
      <c r="N612" s="191"/>
      <c r="O612" s="191"/>
    </row>
    <row r="613">
      <c r="A613" s="191"/>
      <c r="B613" s="191"/>
      <c r="C613" s="191"/>
      <c r="D613" s="191"/>
      <c r="E613" s="191"/>
      <c r="F613" s="191"/>
      <c r="G613" s="191"/>
      <c r="H613" s="191"/>
      <c r="I613" s="191"/>
      <c r="J613" s="191"/>
      <c r="K613" s="191"/>
      <c r="L613" s="191"/>
      <c r="M613" s="191"/>
      <c r="N613" s="191"/>
      <c r="O613" s="191"/>
    </row>
    <row r="614">
      <c r="A614" s="191"/>
      <c r="B614" s="191"/>
      <c r="C614" s="191"/>
      <c r="D614" s="191"/>
      <c r="E614" s="191"/>
      <c r="F614" s="191"/>
      <c r="G614" s="191"/>
      <c r="H614" s="191"/>
      <c r="I614" s="191"/>
      <c r="J614" s="191"/>
      <c r="K614" s="191"/>
      <c r="L614" s="191"/>
      <c r="M614" s="191"/>
      <c r="N614" s="191"/>
      <c r="O614" s="191"/>
    </row>
    <row r="615">
      <c r="A615" s="191"/>
      <c r="B615" s="191"/>
      <c r="C615" s="191"/>
      <c r="D615" s="191"/>
      <c r="E615" s="191"/>
      <c r="F615" s="191"/>
      <c r="G615" s="191"/>
      <c r="H615" s="191"/>
      <c r="I615" s="191"/>
      <c r="J615" s="191"/>
      <c r="K615" s="191"/>
      <c r="L615" s="191"/>
      <c r="M615" s="191"/>
      <c r="N615" s="191"/>
      <c r="O615" s="191"/>
    </row>
    <row r="616">
      <c r="A616" s="191"/>
      <c r="B616" s="191"/>
      <c r="C616" s="191"/>
      <c r="D616" s="191"/>
      <c r="E616" s="191"/>
      <c r="F616" s="191"/>
      <c r="G616" s="191"/>
      <c r="H616" s="191"/>
      <c r="I616" s="191"/>
      <c r="J616" s="191"/>
      <c r="K616" s="191"/>
      <c r="L616" s="191"/>
      <c r="M616" s="191"/>
      <c r="N616" s="191"/>
      <c r="O616" s="191"/>
    </row>
    <row r="617">
      <c r="A617" s="191"/>
      <c r="B617" s="191"/>
      <c r="C617" s="191"/>
      <c r="D617" s="191"/>
      <c r="E617" s="191"/>
      <c r="F617" s="191"/>
      <c r="G617" s="191"/>
      <c r="H617" s="191"/>
      <c r="I617" s="191"/>
      <c r="J617" s="191"/>
      <c r="K617" s="191"/>
      <c r="L617" s="191"/>
      <c r="M617" s="191"/>
      <c r="N617" s="191"/>
      <c r="O617" s="191"/>
    </row>
    <row r="618">
      <c r="A618" s="191"/>
      <c r="B618" s="191"/>
      <c r="C618" s="191"/>
      <c r="D618" s="191"/>
      <c r="E618" s="191"/>
      <c r="F618" s="191"/>
      <c r="G618" s="191"/>
      <c r="H618" s="191"/>
      <c r="I618" s="191"/>
      <c r="J618" s="191"/>
      <c r="K618" s="191"/>
      <c r="L618" s="191"/>
      <c r="M618" s="191"/>
      <c r="N618" s="191"/>
      <c r="O618" s="191"/>
    </row>
    <row r="619">
      <c r="A619" s="191"/>
      <c r="B619" s="191"/>
      <c r="C619" s="191"/>
      <c r="D619" s="191"/>
      <c r="E619" s="191"/>
      <c r="F619" s="191"/>
      <c r="G619" s="191"/>
      <c r="H619" s="191"/>
      <c r="I619" s="191"/>
      <c r="J619" s="191"/>
      <c r="K619" s="191"/>
      <c r="L619" s="191"/>
      <c r="M619" s="191"/>
      <c r="N619" s="191"/>
      <c r="O619" s="191"/>
    </row>
    <row r="620">
      <c r="A620" s="191"/>
      <c r="B620" s="191"/>
      <c r="C620" s="191"/>
      <c r="D620" s="191"/>
      <c r="E620" s="191"/>
      <c r="F620" s="191"/>
      <c r="G620" s="191"/>
      <c r="H620" s="191"/>
      <c r="I620" s="191"/>
      <c r="J620" s="191"/>
      <c r="K620" s="191"/>
      <c r="L620" s="191"/>
      <c r="M620" s="191"/>
      <c r="N620" s="191"/>
      <c r="O620" s="191"/>
    </row>
    <row r="621">
      <c r="A621" s="191"/>
      <c r="B621" s="191"/>
      <c r="C621" s="191"/>
      <c r="D621" s="191"/>
      <c r="E621" s="191"/>
      <c r="F621" s="191"/>
      <c r="G621" s="191"/>
      <c r="H621" s="191"/>
      <c r="I621" s="191"/>
      <c r="J621" s="191"/>
      <c r="K621" s="191"/>
      <c r="L621" s="191"/>
      <c r="M621" s="191"/>
      <c r="N621" s="191"/>
      <c r="O621" s="191"/>
    </row>
    <row r="622">
      <c r="A622" s="191"/>
      <c r="B622" s="191"/>
      <c r="C622" s="191"/>
      <c r="D622" s="191"/>
      <c r="E622" s="191"/>
      <c r="F622" s="191"/>
      <c r="G622" s="191"/>
      <c r="H622" s="191"/>
      <c r="I622" s="191"/>
      <c r="J622" s="191"/>
      <c r="K622" s="191"/>
      <c r="L622" s="191"/>
      <c r="M622" s="191"/>
      <c r="N622" s="191"/>
      <c r="O622" s="191"/>
    </row>
    <row r="623">
      <c r="A623" s="191"/>
      <c r="B623" s="191"/>
      <c r="C623" s="191"/>
      <c r="D623" s="191"/>
      <c r="E623" s="191"/>
      <c r="F623" s="191"/>
      <c r="G623" s="191"/>
      <c r="H623" s="191"/>
      <c r="I623" s="191"/>
      <c r="J623" s="191"/>
      <c r="K623" s="191"/>
      <c r="L623" s="191"/>
      <c r="M623" s="191"/>
      <c r="N623" s="191"/>
      <c r="O623" s="191"/>
    </row>
    <row r="624">
      <c r="A624" s="191"/>
      <c r="B624" s="191"/>
      <c r="C624" s="191"/>
      <c r="D624" s="191"/>
      <c r="E624" s="191"/>
      <c r="F624" s="191"/>
      <c r="G624" s="191"/>
      <c r="H624" s="191"/>
      <c r="I624" s="191"/>
      <c r="J624" s="191"/>
      <c r="K624" s="191"/>
      <c r="L624" s="191"/>
      <c r="M624" s="191"/>
      <c r="N624" s="191"/>
      <c r="O624" s="191"/>
    </row>
    <row r="625">
      <c r="A625" s="191"/>
      <c r="B625" s="191"/>
      <c r="C625" s="191"/>
      <c r="D625" s="191"/>
      <c r="E625" s="191"/>
      <c r="F625" s="191"/>
      <c r="G625" s="191"/>
      <c r="H625" s="191"/>
      <c r="I625" s="191"/>
      <c r="J625" s="191"/>
      <c r="K625" s="191"/>
      <c r="L625" s="191"/>
      <c r="M625" s="191"/>
      <c r="N625" s="191"/>
      <c r="O625" s="191"/>
    </row>
    <row r="626">
      <c r="A626" s="191"/>
      <c r="B626" s="191"/>
      <c r="C626" s="191"/>
      <c r="D626" s="191"/>
      <c r="E626" s="191"/>
      <c r="F626" s="191"/>
      <c r="G626" s="191"/>
      <c r="H626" s="191"/>
      <c r="I626" s="191"/>
      <c r="J626" s="191"/>
      <c r="K626" s="191"/>
      <c r="L626" s="191"/>
      <c r="M626" s="191"/>
      <c r="N626" s="191"/>
      <c r="O626" s="191"/>
    </row>
    <row r="627">
      <c r="A627" s="191"/>
      <c r="B627" s="191"/>
      <c r="C627" s="191"/>
      <c r="D627" s="191"/>
      <c r="E627" s="191"/>
      <c r="F627" s="191"/>
      <c r="G627" s="191"/>
      <c r="H627" s="191"/>
      <c r="I627" s="191"/>
      <c r="J627" s="191"/>
      <c r="K627" s="191"/>
      <c r="L627" s="191"/>
      <c r="M627" s="191"/>
      <c r="N627" s="191"/>
      <c r="O627" s="191"/>
    </row>
    <row r="628">
      <c r="A628" s="191"/>
      <c r="B628" s="191"/>
      <c r="C628" s="191"/>
      <c r="D628" s="191"/>
      <c r="E628" s="191"/>
      <c r="F628" s="191"/>
      <c r="G628" s="191"/>
      <c r="H628" s="191"/>
      <c r="I628" s="191"/>
      <c r="J628" s="191"/>
      <c r="K628" s="191"/>
      <c r="L628" s="191"/>
      <c r="M628" s="191"/>
      <c r="N628" s="191"/>
      <c r="O628" s="191"/>
    </row>
    <row r="629">
      <c r="A629" s="191"/>
      <c r="B629" s="191"/>
      <c r="C629" s="191"/>
      <c r="D629" s="191"/>
      <c r="E629" s="191"/>
      <c r="F629" s="191"/>
      <c r="G629" s="191"/>
      <c r="H629" s="191"/>
      <c r="I629" s="191"/>
      <c r="J629" s="191"/>
      <c r="K629" s="191"/>
      <c r="L629" s="191"/>
      <c r="M629" s="191"/>
      <c r="N629" s="191"/>
      <c r="O629" s="191"/>
    </row>
    <row r="630">
      <c r="A630" s="191"/>
      <c r="B630" s="191"/>
      <c r="C630" s="191"/>
      <c r="D630" s="191"/>
      <c r="E630" s="191"/>
      <c r="F630" s="191"/>
      <c r="G630" s="191"/>
      <c r="H630" s="191"/>
      <c r="I630" s="191"/>
      <c r="J630" s="191"/>
      <c r="K630" s="191"/>
      <c r="L630" s="191"/>
      <c r="M630" s="191"/>
      <c r="N630" s="191"/>
      <c r="O630" s="191"/>
    </row>
    <row r="631">
      <c r="A631" s="191"/>
      <c r="B631" s="191"/>
      <c r="C631" s="191"/>
      <c r="D631" s="191"/>
      <c r="E631" s="191"/>
      <c r="F631" s="191"/>
      <c r="G631" s="191"/>
      <c r="H631" s="191"/>
      <c r="I631" s="191"/>
      <c r="J631" s="191"/>
      <c r="K631" s="191"/>
      <c r="L631" s="191"/>
      <c r="M631" s="191"/>
      <c r="N631" s="191"/>
      <c r="O631" s="191"/>
    </row>
    <row r="632">
      <c r="A632" s="191"/>
      <c r="B632" s="191"/>
      <c r="C632" s="191"/>
      <c r="D632" s="191"/>
      <c r="E632" s="191"/>
      <c r="F632" s="191"/>
      <c r="G632" s="191"/>
      <c r="H632" s="191"/>
      <c r="I632" s="191"/>
      <c r="J632" s="191"/>
      <c r="K632" s="191"/>
      <c r="L632" s="191"/>
      <c r="M632" s="191"/>
      <c r="N632" s="191"/>
      <c r="O632" s="191"/>
    </row>
    <row r="633">
      <c r="A633" s="191"/>
      <c r="B633" s="191"/>
      <c r="C633" s="191"/>
      <c r="D633" s="191"/>
      <c r="E633" s="191"/>
      <c r="F633" s="191"/>
      <c r="G633" s="191"/>
      <c r="H633" s="191"/>
      <c r="I633" s="191"/>
      <c r="J633" s="191"/>
      <c r="K633" s="191"/>
      <c r="L633" s="191"/>
      <c r="M633" s="191"/>
      <c r="N633" s="191"/>
      <c r="O633" s="191"/>
    </row>
    <row r="634">
      <c r="A634" s="191"/>
      <c r="B634" s="191"/>
      <c r="C634" s="191"/>
      <c r="D634" s="191"/>
      <c r="E634" s="191"/>
      <c r="F634" s="191"/>
      <c r="G634" s="191"/>
      <c r="H634" s="191"/>
      <c r="I634" s="191"/>
      <c r="J634" s="191"/>
      <c r="K634" s="191"/>
      <c r="L634" s="191"/>
      <c r="M634" s="191"/>
      <c r="N634" s="191"/>
      <c r="O634" s="191"/>
    </row>
    <row r="635">
      <c r="A635" s="191"/>
      <c r="B635" s="191"/>
      <c r="C635" s="191"/>
      <c r="D635" s="191"/>
      <c r="E635" s="191"/>
      <c r="F635" s="191"/>
      <c r="G635" s="191"/>
      <c r="H635" s="191"/>
      <c r="I635" s="191"/>
      <c r="J635" s="191"/>
      <c r="K635" s="191"/>
      <c r="L635" s="191"/>
      <c r="M635" s="191"/>
      <c r="N635" s="191"/>
      <c r="O635" s="191"/>
    </row>
    <row r="636">
      <c r="A636" s="191"/>
      <c r="B636" s="191"/>
      <c r="C636" s="191"/>
      <c r="D636" s="191"/>
      <c r="E636" s="191"/>
      <c r="F636" s="191"/>
      <c r="G636" s="191"/>
      <c r="H636" s="191"/>
      <c r="I636" s="191"/>
      <c r="J636" s="191"/>
      <c r="K636" s="191"/>
      <c r="L636" s="191"/>
      <c r="M636" s="191"/>
      <c r="N636" s="191"/>
      <c r="O636" s="191"/>
    </row>
    <row r="637">
      <c r="A637" s="191"/>
      <c r="B637" s="191"/>
      <c r="C637" s="191"/>
      <c r="D637" s="191"/>
      <c r="E637" s="191"/>
      <c r="F637" s="191"/>
      <c r="G637" s="191"/>
      <c r="H637" s="191"/>
      <c r="I637" s="191"/>
      <c r="J637" s="191"/>
      <c r="K637" s="191"/>
      <c r="L637" s="191"/>
      <c r="M637" s="191"/>
      <c r="N637" s="191"/>
      <c r="O637" s="191"/>
    </row>
    <row r="638">
      <c r="A638" s="191"/>
      <c r="B638" s="191"/>
      <c r="C638" s="191"/>
      <c r="D638" s="191"/>
      <c r="E638" s="191"/>
      <c r="F638" s="191"/>
      <c r="G638" s="191"/>
      <c r="H638" s="191"/>
      <c r="I638" s="191"/>
      <c r="J638" s="191"/>
      <c r="K638" s="191"/>
      <c r="L638" s="191"/>
      <c r="M638" s="191"/>
      <c r="N638" s="191"/>
      <c r="O638" s="191"/>
    </row>
    <row r="639">
      <c r="A639" s="191"/>
      <c r="B639" s="191"/>
      <c r="C639" s="191"/>
      <c r="D639" s="191"/>
      <c r="E639" s="191"/>
      <c r="F639" s="191"/>
      <c r="G639" s="191"/>
      <c r="H639" s="191"/>
      <c r="I639" s="191"/>
      <c r="J639" s="191"/>
      <c r="K639" s="191"/>
      <c r="L639" s="191"/>
      <c r="M639" s="191"/>
      <c r="N639" s="191"/>
      <c r="O639" s="191"/>
    </row>
    <row r="640">
      <c r="A640" s="191"/>
      <c r="B640" s="191"/>
      <c r="C640" s="191"/>
      <c r="D640" s="191"/>
      <c r="E640" s="191"/>
      <c r="F640" s="191"/>
      <c r="G640" s="191"/>
      <c r="H640" s="191"/>
      <c r="I640" s="191"/>
      <c r="J640" s="191"/>
      <c r="K640" s="191"/>
      <c r="L640" s="191"/>
      <c r="M640" s="191"/>
      <c r="N640" s="191"/>
      <c r="O640" s="191"/>
    </row>
    <row r="641">
      <c r="A641" s="191"/>
      <c r="B641" s="191"/>
      <c r="C641" s="191"/>
      <c r="D641" s="191"/>
      <c r="E641" s="191"/>
      <c r="F641" s="191"/>
      <c r="G641" s="191"/>
      <c r="H641" s="191"/>
      <c r="I641" s="191"/>
      <c r="J641" s="191"/>
      <c r="K641" s="191"/>
      <c r="L641" s="191"/>
      <c r="M641" s="191"/>
      <c r="N641" s="191"/>
      <c r="O641" s="191"/>
    </row>
    <row r="642">
      <c r="A642" s="191"/>
      <c r="B642" s="191"/>
      <c r="C642" s="191"/>
      <c r="D642" s="191"/>
      <c r="E642" s="191"/>
      <c r="F642" s="191"/>
      <c r="G642" s="191"/>
      <c r="H642" s="191"/>
      <c r="I642" s="191"/>
      <c r="J642" s="191"/>
      <c r="K642" s="191"/>
      <c r="L642" s="191"/>
      <c r="M642" s="191"/>
      <c r="N642" s="191"/>
      <c r="O642" s="191"/>
    </row>
    <row r="643">
      <c r="A643" s="191"/>
      <c r="B643" s="191"/>
      <c r="C643" s="191"/>
      <c r="D643" s="191"/>
      <c r="E643" s="191"/>
      <c r="F643" s="191"/>
      <c r="G643" s="191"/>
      <c r="H643" s="191"/>
      <c r="I643" s="191"/>
      <c r="J643" s="191"/>
      <c r="K643" s="191"/>
      <c r="L643" s="191"/>
      <c r="M643" s="191"/>
      <c r="N643" s="191"/>
      <c r="O643" s="191"/>
    </row>
    <row r="644">
      <c r="A644" s="191"/>
      <c r="B644" s="191"/>
      <c r="C644" s="191"/>
      <c r="D644" s="191"/>
      <c r="E644" s="191"/>
      <c r="F644" s="191"/>
      <c r="G644" s="191"/>
      <c r="H644" s="191"/>
      <c r="I644" s="191"/>
      <c r="J644" s="191"/>
      <c r="K644" s="191"/>
      <c r="L644" s="191"/>
      <c r="M644" s="191"/>
      <c r="N644" s="191"/>
      <c r="O644" s="191"/>
    </row>
    <row r="645">
      <c r="A645" s="191"/>
      <c r="B645" s="191"/>
      <c r="C645" s="191"/>
      <c r="D645" s="191"/>
      <c r="E645" s="191"/>
      <c r="F645" s="191"/>
      <c r="G645" s="191"/>
      <c r="H645" s="191"/>
      <c r="I645" s="191"/>
      <c r="J645" s="191"/>
      <c r="K645" s="191"/>
      <c r="L645" s="191"/>
      <c r="M645" s="191"/>
      <c r="N645" s="191"/>
      <c r="O645" s="191"/>
    </row>
    <row r="646">
      <c r="A646" s="191"/>
      <c r="B646" s="191"/>
      <c r="C646" s="191"/>
      <c r="D646" s="191"/>
      <c r="E646" s="191"/>
      <c r="F646" s="191"/>
      <c r="G646" s="191"/>
      <c r="H646" s="191"/>
      <c r="I646" s="191"/>
      <c r="J646" s="191"/>
      <c r="K646" s="191"/>
      <c r="L646" s="191"/>
      <c r="M646" s="191"/>
      <c r="N646" s="191"/>
      <c r="O646" s="191"/>
    </row>
    <row r="647">
      <c r="A647" s="191"/>
      <c r="B647" s="191"/>
      <c r="C647" s="191"/>
      <c r="D647" s="191"/>
      <c r="E647" s="191"/>
      <c r="F647" s="191"/>
      <c r="G647" s="191"/>
      <c r="H647" s="191"/>
      <c r="I647" s="191"/>
      <c r="J647" s="191"/>
      <c r="K647" s="191"/>
      <c r="L647" s="191"/>
      <c r="M647" s="191"/>
      <c r="N647" s="191"/>
      <c r="O647" s="191"/>
    </row>
    <row r="648">
      <c r="A648" s="191"/>
      <c r="B648" s="191"/>
      <c r="C648" s="191"/>
      <c r="D648" s="191"/>
      <c r="E648" s="191"/>
      <c r="F648" s="191"/>
      <c r="G648" s="191"/>
      <c r="H648" s="191"/>
      <c r="I648" s="191"/>
      <c r="J648" s="191"/>
      <c r="K648" s="191"/>
      <c r="L648" s="191"/>
      <c r="M648" s="191"/>
      <c r="N648" s="191"/>
      <c r="O648" s="191"/>
    </row>
    <row r="649">
      <c r="A649" s="191"/>
      <c r="B649" s="191"/>
      <c r="C649" s="191"/>
      <c r="D649" s="191"/>
      <c r="E649" s="191"/>
      <c r="F649" s="191"/>
      <c r="G649" s="191"/>
      <c r="H649" s="191"/>
      <c r="I649" s="191"/>
      <c r="J649" s="191"/>
      <c r="K649" s="191"/>
      <c r="L649" s="191"/>
      <c r="M649" s="191"/>
      <c r="N649" s="191"/>
      <c r="O649" s="191"/>
    </row>
    <row r="650">
      <c r="A650" s="191"/>
      <c r="B650" s="191"/>
      <c r="C650" s="191"/>
      <c r="D650" s="191"/>
      <c r="E650" s="191"/>
      <c r="F650" s="191"/>
      <c r="G650" s="191"/>
      <c r="H650" s="191"/>
      <c r="I650" s="191"/>
      <c r="J650" s="191"/>
      <c r="K650" s="191"/>
      <c r="L650" s="191"/>
      <c r="M650" s="191"/>
      <c r="N650" s="191"/>
      <c r="O650" s="191"/>
    </row>
    <row r="651">
      <c r="A651" s="191"/>
      <c r="B651" s="191"/>
      <c r="C651" s="191"/>
      <c r="D651" s="191"/>
      <c r="E651" s="191"/>
      <c r="F651" s="191"/>
      <c r="G651" s="191"/>
      <c r="H651" s="191"/>
      <c r="I651" s="191"/>
      <c r="J651" s="191"/>
      <c r="K651" s="191"/>
      <c r="L651" s="191"/>
      <c r="M651" s="191"/>
      <c r="N651" s="191"/>
      <c r="O651" s="191"/>
    </row>
    <row r="652">
      <c r="A652" s="191"/>
      <c r="B652" s="191"/>
      <c r="C652" s="191"/>
      <c r="D652" s="191"/>
      <c r="E652" s="191"/>
      <c r="F652" s="191"/>
      <c r="G652" s="191"/>
      <c r="H652" s="191"/>
      <c r="I652" s="191"/>
      <c r="J652" s="191"/>
      <c r="K652" s="191"/>
      <c r="L652" s="191"/>
      <c r="M652" s="191"/>
      <c r="N652" s="191"/>
      <c r="O652" s="191"/>
    </row>
    <row r="653">
      <c r="A653" s="191"/>
      <c r="B653" s="191"/>
      <c r="C653" s="191"/>
      <c r="D653" s="191"/>
      <c r="E653" s="191"/>
      <c r="F653" s="191"/>
      <c r="G653" s="191"/>
      <c r="H653" s="191"/>
      <c r="I653" s="191"/>
      <c r="J653" s="191"/>
      <c r="K653" s="191"/>
      <c r="L653" s="191"/>
      <c r="M653" s="191"/>
      <c r="N653" s="191"/>
      <c r="O653" s="191"/>
    </row>
    <row r="654">
      <c r="A654" s="191"/>
      <c r="B654" s="191"/>
      <c r="C654" s="191"/>
      <c r="D654" s="191"/>
      <c r="E654" s="191"/>
      <c r="F654" s="191"/>
      <c r="G654" s="191"/>
      <c r="H654" s="191"/>
      <c r="I654" s="191"/>
      <c r="J654" s="191"/>
      <c r="K654" s="191"/>
      <c r="L654" s="191"/>
      <c r="M654" s="191"/>
      <c r="N654" s="191"/>
      <c r="O654" s="191"/>
    </row>
    <row r="655">
      <c r="A655" s="191"/>
      <c r="B655" s="191"/>
      <c r="C655" s="191"/>
      <c r="D655" s="191"/>
      <c r="E655" s="191"/>
      <c r="F655" s="191"/>
      <c r="G655" s="191"/>
      <c r="H655" s="191"/>
      <c r="I655" s="191"/>
      <c r="J655" s="191"/>
      <c r="K655" s="191"/>
      <c r="L655" s="191"/>
      <c r="M655" s="191"/>
      <c r="N655" s="191"/>
      <c r="O655" s="191"/>
    </row>
    <row r="656">
      <c r="A656" s="191"/>
      <c r="B656" s="191"/>
      <c r="C656" s="191"/>
      <c r="D656" s="191"/>
      <c r="E656" s="191"/>
      <c r="F656" s="191"/>
      <c r="G656" s="191"/>
      <c r="H656" s="191"/>
      <c r="I656" s="191"/>
      <c r="J656" s="191"/>
      <c r="K656" s="191"/>
      <c r="L656" s="191"/>
      <c r="M656" s="191"/>
      <c r="N656" s="191"/>
      <c r="O656" s="191"/>
    </row>
    <row r="657">
      <c r="A657" s="191"/>
      <c r="B657" s="191"/>
      <c r="C657" s="191"/>
      <c r="D657" s="191"/>
      <c r="E657" s="191"/>
      <c r="F657" s="191"/>
      <c r="G657" s="191"/>
      <c r="H657" s="191"/>
      <c r="I657" s="191"/>
      <c r="J657" s="191"/>
      <c r="K657" s="191"/>
      <c r="L657" s="191"/>
      <c r="M657" s="191"/>
      <c r="N657" s="191"/>
      <c r="O657" s="191"/>
    </row>
    <row r="658">
      <c r="A658" s="191"/>
      <c r="B658" s="191"/>
      <c r="C658" s="191"/>
      <c r="D658" s="191"/>
      <c r="E658" s="191"/>
      <c r="F658" s="191"/>
      <c r="G658" s="191"/>
      <c r="H658" s="191"/>
      <c r="I658" s="191"/>
      <c r="J658" s="191"/>
      <c r="K658" s="191"/>
      <c r="L658" s="191"/>
      <c r="M658" s="191"/>
      <c r="N658" s="191"/>
      <c r="O658" s="191"/>
    </row>
    <row r="659">
      <c r="A659" s="191"/>
      <c r="B659" s="191"/>
      <c r="C659" s="191"/>
      <c r="D659" s="191"/>
      <c r="E659" s="191"/>
      <c r="F659" s="191"/>
      <c r="G659" s="191"/>
      <c r="H659" s="191"/>
      <c r="I659" s="191"/>
      <c r="J659" s="191"/>
      <c r="K659" s="191"/>
      <c r="L659" s="191"/>
      <c r="M659" s="191"/>
      <c r="N659" s="191"/>
      <c r="O659" s="191"/>
    </row>
    <row r="660">
      <c r="A660" s="191"/>
      <c r="B660" s="191"/>
      <c r="C660" s="191"/>
      <c r="D660" s="191"/>
      <c r="E660" s="191"/>
      <c r="F660" s="191"/>
      <c r="G660" s="191"/>
      <c r="H660" s="191"/>
      <c r="I660" s="191"/>
      <c r="J660" s="191"/>
      <c r="K660" s="191"/>
      <c r="L660" s="191"/>
      <c r="M660" s="191"/>
      <c r="N660" s="191"/>
      <c r="O660" s="191"/>
    </row>
    <row r="661">
      <c r="A661" s="191"/>
      <c r="B661" s="191"/>
      <c r="C661" s="191"/>
      <c r="D661" s="191"/>
      <c r="E661" s="191"/>
      <c r="F661" s="191"/>
      <c r="G661" s="191"/>
      <c r="H661" s="191"/>
      <c r="I661" s="191"/>
      <c r="J661" s="191"/>
      <c r="K661" s="191"/>
      <c r="L661" s="191"/>
      <c r="M661" s="191"/>
      <c r="N661" s="191"/>
      <c r="O661" s="191"/>
    </row>
    <row r="662">
      <c r="A662" s="191"/>
      <c r="B662" s="191"/>
      <c r="C662" s="191"/>
      <c r="D662" s="191"/>
      <c r="E662" s="191"/>
      <c r="F662" s="191"/>
      <c r="G662" s="191"/>
      <c r="H662" s="191"/>
      <c r="I662" s="191"/>
      <c r="J662" s="191"/>
      <c r="K662" s="191"/>
      <c r="L662" s="191"/>
      <c r="M662" s="191"/>
      <c r="N662" s="191"/>
      <c r="O662" s="191"/>
    </row>
    <row r="663">
      <c r="A663" s="191"/>
      <c r="B663" s="191"/>
      <c r="C663" s="191"/>
      <c r="D663" s="191"/>
      <c r="E663" s="191"/>
      <c r="F663" s="191"/>
      <c r="G663" s="191"/>
      <c r="H663" s="191"/>
      <c r="I663" s="191"/>
      <c r="J663" s="191"/>
      <c r="K663" s="191"/>
      <c r="L663" s="191"/>
      <c r="M663" s="191"/>
      <c r="N663" s="191"/>
      <c r="O663" s="191"/>
    </row>
    <row r="664">
      <c r="A664" s="191"/>
      <c r="B664" s="191"/>
      <c r="C664" s="191"/>
      <c r="D664" s="191"/>
      <c r="E664" s="191"/>
      <c r="F664" s="191"/>
      <c r="G664" s="191"/>
      <c r="H664" s="191"/>
      <c r="I664" s="191"/>
      <c r="J664" s="191"/>
      <c r="K664" s="191"/>
      <c r="L664" s="191"/>
      <c r="M664" s="191"/>
      <c r="N664" s="191"/>
      <c r="O664" s="191"/>
    </row>
    <row r="665">
      <c r="A665" s="191"/>
      <c r="B665" s="191"/>
      <c r="C665" s="191"/>
      <c r="D665" s="191"/>
      <c r="E665" s="191"/>
      <c r="F665" s="191"/>
      <c r="G665" s="191"/>
      <c r="H665" s="191"/>
      <c r="I665" s="191"/>
      <c r="J665" s="191"/>
      <c r="K665" s="191"/>
      <c r="L665" s="191"/>
      <c r="M665" s="191"/>
      <c r="N665" s="191"/>
      <c r="O665" s="191"/>
    </row>
    <row r="666">
      <c r="A666" s="191"/>
      <c r="B666" s="191"/>
      <c r="C666" s="191"/>
      <c r="D666" s="191"/>
      <c r="E666" s="191"/>
      <c r="F666" s="191"/>
      <c r="G666" s="191"/>
      <c r="H666" s="191"/>
      <c r="I666" s="191"/>
      <c r="J666" s="191"/>
      <c r="K666" s="191"/>
      <c r="L666" s="191"/>
      <c r="M666" s="191"/>
      <c r="N666" s="191"/>
      <c r="O666" s="191"/>
    </row>
    <row r="667">
      <c r="A667" s="191"/>
      <c r="B667" s="191"/>
      <c r="C667" s="191"/>
      <c r="D667" s="191"/>
      <c r="E667" s="191"/>
      <c r="F667" s="191"/>
      <c r="G667" s="191"/>
      <c r="H667" s="191"/>
      <c r="I667" s="191"/>
      <c r="J667" s="191"/>
      <c r="K667" s="191"/>
      <c r="L667" s="191"/>
      <c r="M667" s="191"/>
      <c r="N667" s="191"/>
      <c r="O667" s="191"/>
    </row>
    <row r="668">
      <c r="A668" s="191"/>
      <c r="B668" s="191"/>
      <c r="C668" s="191"/>
      <c r="D668" s="191"/>
      <c r="E668" s="191"/>
      <c r="F668" s="191"/>
      <c r="G668" s="191"/>
      <c r="H668" s="191"/>
      <c r="I668" s="191"/>
      <c r="J668" s="191"/>
      <c r="K668" s="191"/>
      <c r="L668" s="191"/>
      <c r="M668" s="191"/>
      <c r="N668" s="191"/>
      <c r="O668" s="191"/>
    </row>
    <row r="669">
      <c r="A669" s="191"/>
      <c r="B669" s="191"/>
      <c r="C669" s="191"/>
      <c r="D669" s="191"/>
      <c r="E669" s="191"/>
      <c r="F669" s="191"/>
      <c r="G669" s="191"/>
      <c r="H669" s="191"/>
      <c r="I669" s="191"/>
      <c r="J669" s="191"/>
      <c r="K669" s="191"/>
      <c r="L669" s="191"/>
      <c r="M669" s="191"/>
      <c r="N669" s="191"/>
      <c r="O669" s="191"/>
    </row>
    <row r="670">
      <c r="A670" s="191"/>
      <c r="B670" s="191"/>
      <c r="C670" s="191"/>
      <c r="D670" s="191"/>
      <c r="E670" s="191"/>
      <c r="F670" s="191"/>
      <c r="G670" s="191"/>
      <c r="H670" s="191"/>
      <c r="I670" s="191"/>
      <c r="J670" s="191"/>
      <c r="K670" s="191"/>
      <c r="L670" s="191"/>
      <c r="M670" s="191"/>
      <c r="N670" s="191"/>
      <c r="O670" s="191"/>
    </row>
    <row r="671">
      <c r="A671" s="191"/>
      <c r="B671" s="191"/>
      <c r="C671" s="191"/>
      <c r="D671" s="191"/>
      <c r="E671" s="191"/>
      <c r="F671" s="191"/>
      <c r="G671" s="191"/>
      <c r="H671" s="191"/>
      <c r="I671" s="191"/>
      <c r="J671" s="191"/>
      <c r="K671" s="191"/>
      <c r="L671" s="191"/>
      <c r="M671" s="191"/>
      <c r="N671" s="191"/>
      <c r="O671" s="191"/>
    </row>
    <row r="672">
      <c r="A672" s="191"/>
      <c r="B672" s="191"/>
      <c r="C672" s="191"/>
      <c r="D672" s="191"/>
      <c r="E672" s="191"/>
      <c r="F672" s="191"/>
      <c r="G672" s="191"/>
      <c r="H672" s="191"/>
      <c r="I672" s="191"/>
      <c r="J672" s="191"/>
      <c r="K672" s="191"/>
      <c r="L672" s="191"/>
      <c r="M672" s="191"/>
      <c r="N672" s="191"/>
      <c r="O672" s="191"/>
    </row>
    <row r="673">
      <c r="A673" s="191"/>
      <c r="B673" s="191"/>
      <c r="C673" s="191"/>
      <c r="D673" s="191"/>
      <c r="E673" s="191"/>
      <c r="F673" s="191"/>
      <c r="G673" s="191"/>
      <c r="H673" s="191"/>
      <c r="I673" s="191"/>
      <c r="J673" s="191"/>
      <c r="K673" s="191"/>
      <c r="L673" s="191"/>
      <c r="M673" s="191"/>
      <c r="N673" s="191"/>
      <c r="O673" s="191"/>
    </row>
    <row r="674">
      <c r="A674" s="191"/>
      <c r="B674" s="191"/>
      <c r="C674" s="191"/>
      <c r="D674" s="191"/>
      <c r="E674" s="191"/>
      <c r="F674" s="191"/>
      <c r="G674" s="191"/>
      <c r="H674" s="191"/>
      <c r="I674" s="191"/>
      <c r="J674" s="191"/>
      <c r="K674" s="191"/>
      <c r="L674" s="191"/>
      <c r="M674" s="191"/>
      <c r="N674" s="191"/>
      <c r="O674" s="191"/>
    </row>
    <row r="675">
      <c r="A675" s="191"/>
      <c r="B675" s="191"/>
      <c r="C675" s="191"/>
      <c r="D675" s="191"/>
      <c r="E675" s="191"/>
      <c r="F675" s="191"/>
      <c r="G675" s="191"/>
      <c r="H675" s="191"/>
      <c r="I675" s="191"/>
      <c r="J675" s="191"/>
      <c r="K675" s="191"/>
      <c r="L675" s="191"/>
      <c r="M675" s="191"/>
      <c r="N675" s="191"/>
      <c r="O675" s="191"/>
    </row>
    <row r="676">
      <c r="A676" s="191"/>
      <c r="B676" s="191"/>
      <c r="C676" s="191"/>
      <c r="D676" s="191"/>
      <c r="E676" s="191"/>
      <c r="F676" s="191"/>
      <c r="G676" s="191"/>
      <c r="H676" s="191"/>
      <c r="I676" s="191"/>
      <c r="J676" s="191"/>
      <c r="K676" s="191"/>
      <c r="L676" s="191"/>
      <c r="M676" s="191"/>
      <c r="N676" s="191"/>
      <c r="O676" s="191"/>
    </row>
    <row r="677">
      <c r="A677" s="191"/>
      <c r="B677" s="191"/>
      <c r="C677" s="191"/>
      <c r="D677" s="191"/>
      <c r="E677" s="191"/>
      <c r="F677" s="191"/>
      <c r="G677" s="191"/>
      <c r="H677" s="191"/>
      <c r="I677" s="191"/>
      <c r="J677" s="191"/>
      <c r="K677" s="191"/>
      <c r="L677" s="191"/>
      <c r="M677" s="191"/>
      <c r="N677" s="191"/>
      <c r="O677" s="191"/>
    </row>
    <row r="678">
      <c r="A678" s="191"/>
      <c r="B678" s="191"/>
      <c r="C678" s="191"/>
      <c r="D678" s="191"/>
      <c r="E678" s="191"/>
      <c r="F678" s="191"/>
      <c r="G678" s="191"/>
      <c r="H678" s="191"/>
      <c r="I678" s="191"/>
      <c r="J678" s="191"/>
      <c r="K678" s="191"/>
      <c r="L678" s="191"/>
      <c r="M678" s="191"/>
      <c r="N678" s="191"/>
      <c r="O678" s="191"/>
    </row>
    <row r="679">
      <c r="A679" s="191"/>
      <c r="B679" s="191"/>
      <c r="C679" s="191"/>
      <c r="D679" s="191"/>
      <c r="E679" s="191"/>
      <c r="F679" s="191"/>
      <c r="G679" s="191"/>
      <c r="H679" s="191"/>
      <c r="I679" s="191"/>
      <c r="J679" s="191"/>
      <c r="K679" s="191"/>
      <c r="L679" s="191"/>
      <c r="M679" s="191"/>
      <c r="N679" s="191"/>
      <c r="O679" s="191"/>
    </row>
    <row r="680">
      <c r="A680" s="191"/>
      <c r="B680" s="191"/>
      <c r="C680" s="191"/>
      <c r="D680" s="191"/>
      <c r="E680" s="191"/>
      <c r="F680" s="191"/>
      <c r="G680" s="191"/>
      <c r="H680" s="191"/>
      <c r="I680" s="191"/>
      <c r="J680" s="191"/>
      <c r="K680" s="191"/>
      <c r="L680" s="191"/>
      <c r="M680" s="191"/>
      <c r="N680" s="191"/>
      <c r="O680" s="191"/>
    </row>
    <row r="681">
      <c r="A681" s="191"/>
      <c r="B681" s="191"/>
      <c r="C681" s="191"/>
      <c r="D681" s="191"/>
      <c r="E681" s="191"/>
      <c r="F681" s="191"/>
      <c r="G681" s="191"/>
      <c r="H681" s="191"/>
      <c r="I681" s="191"/>
      <c r="J681" s="191"/>
      <c r="K681" s="191"/>
      <c r="L681" s="191"/>
      <c r="M681" s="191"/>
      <c r="N681" s="191"/>
      <c r="O681" s="191"/>
    </row>
    <row r="682">
      <c r="A682" s="191"/>
      <c r="B682" s="191"/>
      <c r="C682" s="191"/>
      <c r="D682" s="191"/>
      <c r="E682" s="191"/>
      <c r="F682" s="191"/>
      <c r="G682" s="191"/>
      <c r="H682" s="191"/>
      <c r="I682" s="191"/>
      <c r="J682" s="191"/>
      <c r="K682" s="191"/>
      <c r="L682" s="191"/>
      <c r="M682" s="191"/>
      <c r="N682" s="191"/>
      <c r="O682" s="191"/>
    </row>
    <row r="683">
      <c r="A683" s="191"/>
      <c r="B683" s="191"/>
      <c r="C683" s="191"/>
      <c r="D683" s="191"/>
      <c r="E683" s="191"/>
      <c r="F683" s="191"/>
      <c r="G683" s="191"/>
      <c r="H683" s="191"/>
      <c r="I683" s="191"/>
      <c r="J683" s="191"/>
      <c r="K683" s="191"/>
      <c r="L683" s="191"/>
      <c r="M683" s="191"/>
      <c r="N683" s="191"/>
      <c r="O683" s="191"/>
    </row>
    <row r="684">
      <c r="A684" s="191"/>
      <c r="B684" s="191"/>
      <c r="C684" s="191"/>
      <c r="D684" s="191"/>
      <c r="E684" s="191"/>
      <c r="F684" s="191"/>
      <c r="G684" s="191"/>
      <c r="H684" s="191"/>
      <c r="I684" s="191"/>
      <c r="J684" s="191"/>
      <c r="K684" s="191"/>
      <c r="L684" s="191"/>
      <c r="M684" s="191"/>
      <c r="N684" s="191"/>
      <c r="O684" s="191"/>
    </row>
    <row r="685">
      <c r="A685" s="191"/>
      <c r="B685" s="191"/>
      <c r="C685" s="191"/>
      <c r="D685" s="191"/>
      <c r="E685" s="191"/>
      <c r="F685" s="191"/>
      <c r="G685" s="191"/>
      <c r="H685" s="191"/>
      <c r="I685" s="191"/>
      <c r="J685" s="191"/>
      <c r="K685" s="191"/>
      <c r="L685" s="191"/>
      <c r="M685" s="191"/>
      <c r="N685" s="191"/>
      <c r="O685" s="191"/>
    </row>
    <row r="686">
      <c r="A686" s="191"/>
      <c r="B686" s="191"/>
      <c r="C686" s="191"/>
      <c r="D686" s="191"/>
      <c r="E686" s="191"/>
      <c r="F686" s="191"/>
      <c r="G686" s="191"/>
      <c r="H686" s="191"/>
      <c r="I686" s="191"/>
      <c r="J686" s="191"/>
      <c r="K686" s="191"/>
      <c r="L686" s="191"/>
      <c r="M686" s="191"/>
      <c r="N686" s="191"/>
      <c r="O686" s="191"/>
    </row>
    <row r="687">
      <c r="A687" s="191"/>
      <c r="B687" s="191"/>
      <c r="C687" s="191"/>
      <c r="D687" s="191"/>
      <c r="E687" s="191"/>
      <c r="F687" s="191"/>
      <c r="G687" s="191"/>
      <c r="H687" s="191"/>
      <c r="I687" s="191"/>
      <c r="J687" s="191"/>
      <c r="K687" s="191"/>
      <c r="L687" s="191"/>
      <c r="M687" s="191"/>
      <c r="N687" s="191"/>
      <c r="O687" s="191"/>
    </row>
    <row r="688">
      <c r="A688" s="191"/>
      <c r="B688" s="191"/>
      <c r="C688" s="191"/>
      <c r="D688" s="191"/>
      <c r="E688" s="191"/>
      <c r="F688" s="191"/>
      <c r="G688" s="191"/>
      <c r="H688" s="191"/>
      <c r="I688" s="191"/>
      <c r="J688" s="191"/>
      <c r="K688" s="191"/>
      <c r="L688" s="191"/>
      <c r="M688" s="191"/>
      <c r="N688" s="191"/>
      <c r="O688" s="191"/>
    </row>
    <row r="689">
      <c r="A689" s="191"/>
      <c r="B689" s="191"/>
      <c r="C689" s="191"/>
      <c r="D689" s="191"/>
      <c r="E689" s="191"/>
      <c r="F689" s="191"/>
      <c r="G689" s="191"/>
      <c r="H689" s="191"/>
      <c r="I689" s="191"/>
      <c r="J689" s="191"/>
      <c r="K689" s="191"/>
      <c r="L689" s="191"/>
      <c r="M689" s="191"/>
      <c r="N689" s="191"/>
      <c r="O689" s="191"/>
    </row>
    <row r="690">
      <c r="A690" s="191"/>
      <c r="B690" s="191"/>
      <c r="C690" s="191"/>
      <c r="D690" s="191"/>
      <c r="E690" s="191"/>
      <c r="F690" s="191"/>
      <c r="G690" s="191"/>
      <c r="H690" s="191"/>
      <c r="I690" s="191"/>
      <c r="J690" s="191"/>
      <c r="K690" s="191"/>
      <c r="L690" s="191"/>
      <c r="M690" s="191"/>
      <c r="N690" s="191"/>
      <c r="O690" s="191"/>
    </row>
    <row r="691">
      <c r="A691" s="191"/>
      <c r="B691" s="191"/>
      <c r="C691" s="191"/>
      <c r="D691" s="191"/>
      <c r="E691" s="191"/>
      <c r="F691" s="191"/>
      <c r="G691" s="191"/>
      <c r="H691" s="191"/>
      <c r="I691" s="191"/>
      <c r="J691" s="191"/>
      <c r="K691" s="191"/>
      <c r="L691" s="191"/>
      <c r="M691" s="191"/>
      <c r="N691" s="191"/>
      <c r="O691" s="191"/>
    </row>
    <row r="692">
      <c r="A692" s="191"/>
      <c r="B692" s="191"/>
      <c r="C692" s="191"/>
      <c r="D692" s="191"/>
      <c r="E692" s="191"/>
      <c r="F692" s="191"/>
      <c r="G692" s="191"/>
      <c r="H692" s="191"/>
      <c r="I692" s="191"/>
      <c r="J692" s="191"/>
      <c r="K692" s="191"/>
      <c r="L692" s="191"/>
      <c r="M692" s="191"/>
      <c r="N692" s="191"/>
      <c r="O692" s="191"/>
    </row>
    <row r="693">
      <c r="A693" s="191"/>
      <c r="B693" s="191"/>
      <c r="C693" s="191"/>
      <c r="D693" s="191"/>
      <c r="E693" s="191"/>
      <c r="F693" s="191"/>
      <c r="G693" s="191"/>
      <c r="H693" s="191"/>
      <c r="I693" s="191"/>
      <c r="J693" s="191"/>
      <c r="K693" s="191"/>
      <c r="L693" s="191"/>
      <c r="M693" s="191"/>
      <c r="N693" s="191"/>
      <c r="O693" s="191"/>
    </row>
    <row r="694">
      <c r="A694" s="191"/>
      <c r="B694" s="191"/>
      <c r="C694" s="191"/>
      <c r="D694" s="191"/>
      <c r="E694" s="191"/>
      <c r="F694" s="191"/>
      <c r="G694" s="191"/>
      <c r="H694" s="191"/>
      <c r="I694" s="191"/>
      <c r="J694" s="191"/>
      <c r="K694" s="191"/>
      <c r="L694" s="191"/>
      <c r="M694" s="191"/>
      <c r="N694" s="191"/>
      <c r="O694" s="191"/>
    </row>
    <row r="695">
      <c r="A695" s="191"/>
      <c r="B695" s="191"/>
      <c r="C695" s="191"/>
      <c r="D695" s="191"/>
      <c r="E695" s="191"/>
      <c r="F695" s="191"/>
      <c r="G695" s="191"/>
      <c r="H695" s="191"/>
      <c r="I695" s="191"/>
      <c r="J695" s="191"/>
      <c r="K695" s="191"/>
      <c r="L695" s="191"/>
      <c r="M695" s="191"/>
      <c r="N695" s="191"/>
      <c r="O695" s="191"/>
    </row>
    <row r="696">
      <c r="A696" s="191"/>
      <c r="B696" s="191"/>
      <c r="C696" s="191"/>
      <c r="D696" s="191"/>
      <c r="E696" s="191"/>
      <c r="F696" s="191"/>
      <c r="G696" s="191"/>
      <c r="H696" s="191"/>
      <c r="I696" s="191"/>
      <c r="J696" s="191"/>
      <c r="K696" s="191"/>
      <c r="L696" s="191"/>
      <c r="M696" s="191"/>
      <c r="N696" s="191"/>
      <c r="O696" s="191"/>
    </row>
    <row r="697">
      <c r="A697" s="191"/>
      <c r="B697" s="191"/>
      <c r="C697" s="191"/>
      <c r="D697" s="191"/>
      <c r="E697" s="191"/>
      <c r="F697" s="191"/>
      <c r="G697" s="191"/>
      <c r="H697" s="191"/>
      <c r="I697" s="191"/>
      <c r="J697" s="191"/>
      <c r="K697" s="191"/>
      <c r="L697" s="191"/>
      <c r="M697" s="191"/>
      <c r="N697" s="191"/>
      <c r="O697" s="191"/>
    </row>
    <row r="698">
      <c r="A698" s="191"/>
      <c r="B698" s="191"/>
      <c r="C698" s="191"/>
      <c r="D698" s="191"/>
      <c r="E698" s="191"/>
      <c r="F698" s="191"/>
      <c r="G698" s="191"/>
      <c r="H698" s="191"/>
      <c r="I698" s="191"/>
      <c r="J698" s="191"/>
      <c r="K698" s="191"/>
      <c r="L698" s="191"/>
      <c r="M698" s="191"/>
      <c r="N698" s="191"/>
      <c r="O698" s="191"/>
    </row>
    <row r="699">
      <c r="A699" s="191"/>
      <c r="B699" s="191"/>
      <c r="C699" s="191"/>
      <c r="D699" s="191"/>
      <c r="E699" s="191"/>
      <c r="F699" s="191"/>
      <c r="G699" s="191"/>
      <c r="H699" s="191"/>
      <c r="I699" s="191"/>
      <c r="J699" s="191"/>
      <c r="K699" s="191"/>
      <c r="L699" s="191"/>
      <c r="M699" s="191"/>
      <c r="N699" s="191"/>
      <c r="O699" s="191"/>
    </row>
    <row r="700">
      <c r="A700" s="191"/>
      <c r="B700" s="191"/>
      <c r="C700" s="191"/>
      <c r="D700" s="191"/>
      <c r="E700" s="191"/>
      <c r="F700" s="191"/>
      <c r="G700" s="191"/>
      <c r="H700" s="191"/>
      <c r="I700" s="191"/>
      <c r="J700" s="191"/>
      <c r="K700" s="191"/>
      <c r="L700" s="191"/>
      <c r="M700" s="191"/>
      <c r="N700" s="191"/>
      <c r="O700" s="191"/>
    </row>
    <row r="701">
      <c r="A701" s="191"/>
      <c r="B701" s="191"/>
      <c r="C701" s="191"/>
      <c r="D701" s="191"/>
      <c r="E701" s="191"/>
      <c r="F701" s="191"/>
      <c r="G701" s="191"/>
      <c r="H701" s="191"/>
      <c r="I701" s="191"/>
      <c r="J701" s="191"/>
      <c r="K701" s="191"/>
      <c r="L701" s="191"/>
      <c r="M701" s="191"/>
      <c r="N701" s="191"/>
      <c r="O701" s="191"/>
    </row>
    <row r="702">
      <c r="A702" s="191"/>
      <c r="B702" s="191"/>
      <c r="C702" s="191"/>
      <c r="D702" s="191"/>
      <c r="E702" s="191"/>
      <c r="F702" s="191"/>
      <c r="G702" s="191"/>
      <c r="H702" s="191"/>
      <c r="I702" s="191"/>
      <c r="J702" s="191"/>
      <c r="K702" s="191"/>
      <c r="L702" s="191"/>
      <c r="M702" s="191"/>
      <c r="N702" s="191"/>
      <c r="O702" s="191"/>
    </row>
    <row r="703">
      <c r="A703" s="191"/>
      <c r="B703" s="191"/>
      <c r="C703" s="191"/>
      <c r="D703" s="191"/>
      <c r="E703" s="191"/>
      <c r="F703" s="191"/>
      <c r="G703" s="191"/>
      <c r="H703" s="191"/>
      <c r="I703" s="191"/>
      <c r="J703" s="191"/>
      <c r="K703" s="191"/>
      <c r="L703" s="191"/>
      <c r="M703" s="191"/>
      <c r="N703" s="191"/>
      <c r="O703" s="191"/>
    </row>
    <row r="704">
      <c r="A704" s="191"/>
      <c r="B704" s="191"/>
      <c r="C704" s="191"/>
      <c r="D704" s="191"/>
      <c r="E704" s="191"/>
      <c r="F704" s="191"/>
      <c r="G704" s="191"/>
      <c r="H704" s="191"/>
      <c r="I704" s="191"/>
      <c r="J704" s="191"/>
      <c r="K704" s="191"/>
      <c r="L704" s="191"/>
      <c r="M704" s="191"/>
      <c r="N704" s="191"/>
      <c r="O704" s="191"/>
    </row>
    <row r="705">
      <c r="A705" s="191"/>
      <c r="B705" s="191"/>
      <c r="C705" s="191"/>
      <c r="D705" s="191"/>
      <c r="E705" s="191"/>
      <c r="F705" s="191"/>
      <c r="G705" s="191"/>
      <c r="H705" s="191"/>
      <c r="I705" s="191"/>
      <c r="J705" s="191"/>
      <c r="K705" s="191"/>
      <c r="L705" s="191"/>
      <c r="M705" s="191"/>
      <c r="N705" s="191"/>
      <c r="O705" s="191"/>
    </row>
    <row r="706">
      <c r="A706" s="191"/>
      <c r="B706" s="191"/>
      <c r="C706" s="191"/>
      <c r="D706" s="191"/>
      <c r="E706" s="191"/>
      <c r="F706" s="191"/>
      <c r="G706" s="191"/>
      <c r="H706" s="191"/>
      <c r="I706" s="191"/>
      <c r="J706" s="191"/>
      <c r="K706" s="191"/>
      <c r="L706" s="191"/>
      <c r="M706" s="191"/>
      <c r="N706" s="191"/>
      <c r="O706" s="191"/>
    </row>
    <row r="707">
      <c r="A707" s="191"/>
      <c r="B707" s="191"/>
      <c r="C707" s="191"/>
      <c r="D707" s="191"/>
      <c r="E707" s="191"/>
      <c r="F707" s="191"/>
      <c r="G707" s="191"/>
      <c r="H707" s="191"/>
      <c r="I707" s="191"/>
      <c r="J707" s="191"/>
      <c r="K707" s="191"/>
      <c r="L707" s="191"/>
      <c r="M707" s="191"/>
      <c r="N707" s="191"/>
      <c r="O707" s="191"/>
    </row>
    <row r="708">
      <c r="A708" s="191"/>
      <c r="B708" s="191"/>
      <c r="C708" s="191"/>
      <c r="D708" s="191"/>
      <c r="E708" s="191"/>
      <c r="F708" s="191"/>
      <c r="G708" s="191"/>
      <c r="H708" s="191"/>
      <c r="I708" s="191"/>
      <c r="J708" s="191"/>
      <c r="K708" s="191"/>
      <c r="L708" s="191"/>
      <c r="M708" s="191"/>
      <c r="N708" s="191"/>
      <c r="O708" s="191"/>
    </row>
    <row r="709">
      <c r="A709" s="191"/>
      <c r="B709" s="191"/>
      <c r="C709" s="191"/>
      <c r="D709" s="191"/>
      <c r="E709" s="191"/>
      <c r="F709" s="191"/>
      <c r="G709" s="191"/>
      <c r="H709" s="191"/>
      <c r="I709" s="191"/>
      <c r="J709" s="191"/>
      <c r="K709" s="191"/>
      <c r="L709" s="191"/>
      <c r="M709" s="191"/>
      <c r="N709" s="191"/>
      <c r="O709" s="191"/>
    </row>
    <row r="710">
      <c r="A710" s="191"/>
      <c r="B710" s="191"/>
      <c r="C710" s="191"/>
      <c r="D710" s="191"/>
      <c r="E710" s="191"/>
      <c r="F710" s="191"/>
      <c r="G710" s="191"/>
      <c r="H710" s="191"/>
      <c r="I710" s="191"/>
      <c r="J710" s="191"/>
      <c r="K710" s="191"/>
      <c r="L710" s="191"/>
      <c r="M710" s="191"/>
      <c r="N710" s="191"/>
      <c r="O710" s="191"/>
    </row>
    <row r="711">
      <c r="A711" s="191"/>
      <c r="B711" s="191"/>
      <c r="C711" s="191"/>
      <c r="D711" s="191"/>
      <c r="E711" s="191"/>
      <c r="F711" s="191"/>
      <c r="G711" s="191"/>
      <c r="H711" s="191"/>
      <c r="I711" s="191"/>
      <c r="J711" s="191"/>
      <c r="K711" s="191"/>
      <c r="L711" s="191"/>
      <c r="M711" s="191"/>
      <c r="N711" s="191"/>
      <c r="O711" s="191"/>
    </row>
    <row r="712">
      <c r="A712" s="191"/>
      <c r="B712" s="191"/>
      <c r="C712" s="191"/>
      <c r="D712" s="191"/>
      <c r="E712" s="191"/>
      <c r="F712" s="191"/>
      <c r="G712" s="191"/>
      <c r="H712" s="191"/>
      <c r="I712" s="191"/>
      <c r="J712" s="191"/>
      <c r="K712" s="191"/>
      <c r="L712" s="191"/>
      <c r="M712" s="191"/>
      <c r="N712" s="191"/>
      <c r="O712" s="191"/>
    </row>
    <row r="713">
      <c r="A713" s="191"/>
      <c r="B713" s="191"/>
      <c r="C713" s="191"/>
      <c r="D713" s="191"/>
      <c r="E713" s="191"/>
      <c r="F713" s="191"/>
      <c r="G713" s="191"/>
      <c r="H713" s="191"/>
      <c r="I713" s="191"/>
      <c r="J713" s="191"/>
      <c r="K713" s="191"/>
      <c r="L713" s="191"/>
      <c r="M713" s="191"/>
      <c r="N713" s="191"/>
      <c r="O713" s="191"/>
    </row>
    <row r="714">
      <c r="A714" s="191"/>
      <c r="B714" s="191"/>
      <c r="C714" s="191"/>
      <c r="D714" s="191"/>
      <c r="E714" s="191"/>
      <c r="F714" s="191"/>
      <c r="G714" s="191"/>
      <c r="H714" s="191"/>
      <c r="I714" s="191"/>
      <c r="J714" s="191"/>
      <c r="K714" s="191"/>
      <c r="L714" s="191"/>
      <c r="M714" s="191"/>
      <c r="N714" s="191"/>
      <c r="O714" s="191"/>
    </row>
    <row r="715">
      <c r="A715" s="191"/>
      <c r="B715" s="191"/>
      <c r="C715" s="191"/>
      <c r="D715" s="191"/>
      <c r="E715" s="191"/>
      <c r="F715" s="191"/>
      <c r="G715" s="191"/>
      <c r="H715" s="191"/>
      <c r="I715" s="191"/>
      <c r="J715" s="191"/>
      <c r="K715" s="191"/>
      <c r="L715" s="191"/>
      <c r="M715" s="191"/>
      <c r="N715" s="191"/>
      <c r="O715" s="191"/>
    </row>
    <row r="716">
      <c r="A716" s="191"/>
      <c r="B716" s="191"/>
      <c r="C716" s="191"/>
      <c r="D716" s="191"/>
      <c r="E716" s="191"/>
      <c r="F716" s="191"/>
      <c r="G716" s="191"/>
      <c r="H716" s="191"/>
      <c r="I716" s="191"/>
      <c r="J716" s="191"/>
      <c r="K716" s="191"/>
      <c r="L716" s="191"/>
      <c r="M716" s="191"/>
      <c r="N716" s="191"/>
      <c r="O716" s="191"/>
    </row>
    <row r="717">
      <c r="A717" s="191"/>
      <c r="B717" s="191"/>
      <c r="C717" s="191"/>
      <c r="D717" s="191"/>
      <c r="E717" s="191"/>
      <c r="F717" s="191"/>
      <c r="G717" s="191"/>
      <c r="H717" s="191"/>
      <c r="I717" s="191"/>
      <c r="J717" s="191"/>
      <c r="K717" s="191"/>
      <c r="L717" s="191"/>
      <c r="M717" s="191"/>
      <c r="N717" s="191"/>
      <c r="O717" s="191"/>
    </row>
    <row r="718">
      <c r="A718" s="191"/>
      <c r="B718" s="191"/>
      <c r="C718" s="191"/>
      <c r="D718" s="191"/>
      <c r="E718" s="191"/>
      <c r="F718" s="191"/>
      <c r="G718" s="191"/>
      <c r="H718" s="191"/>
      <c r="I718" s="191"/>
      <c r="J718" s="191"/>
      <c r="K718" s="191"/>
      <c r="L718" s="191"/>
      <c r="M718" s="191"/>
      <c r="N718" s="191"/>
      <c r="O718" s="191"/>
    </row>
    <row r="719">
      <c r="A719" s="191"/>
      <c r="B719" s="191"/>
      <c r="C719" s="191"/>
      <c r="D719" s="191"/>
      <c r="E719" s="191"/>
      <c r="F719" s="191"/>
      <c r="G719" s="191"/>
      <c r="H719" s="191"/>
      <c r="I719" s="191"/>
      <c r="J719" s="191"/>
      <c r="K719" s="191"/>
      <c r="L719" s="191"/>
      <c r="M719" s="191"/>
      <c r="N719" s="191"/>
      <c r="O719" s="191"/>
    </row>
    <row r="720">
      <c r="A720" s="191"/>
      <c r="B720" s="191"/>
      <c r="C720" s="191"/>
      <c r="D720" s="191"/>
      <c r="E720" s="191"/>
      <c r="F720" s="191"/>
      <c r="G720" s="191"/>
      <c r="H720" s="191"/>
      <c r="I720" s="191"/>
      <c r="J720" s="191"/>
      <c r="K720" s="191"/>
      <c r="L720" s="191"/>
      <c r="M720" s="191"/>
      <c r="N720" s="191"/>
      <c r="O720" s="191"/>
    </row>
    <row r="721">
      <c r="A721" s="191"/>
      <c r="B721" s="191"/>
      <c r="C721" s="191"/>
      <c r="D721" s="191"/>
      <c r="E721" s="191"/>
      <c r="F721" s="191"/>
      <c r="G721" s="191"/>
      <c r="H721" s="191"/>
      <c r="I721" s="191"/>
      <c r="J721" s="191"/>
      <c r="K721" s="191"/>
      <c r="L721" s="191"/>
      <c r="M721" s="191"/>
      <c r="N721" s="191"/>
      <c r="O721" s="191"/>
    </row>
    <row r="722">
      <c r="A722" s="191"/>
      <c r="B722" s="191"/>
      <c r="C722" s="191"/>
      <c r="D722" s="191"/>
      <c r="E722" s="191"/>
      <c r="F722" s="191"/>
      <c r="G722" s="191"/>
      <c r="H722" s="191"/>
      <c r="I722" s="191"/>
      <c r="J722" s="191"/>
      <c r="K722" s="191"/>
      <c r="L722" s="191"/>
      <c r="M722" s="191"/>
      <c r="N722" s="191"/>
      <c r="O722" s="191"/>
    </row>
    <row r="723">
      <c r="A723" s="191"/>
      <c r="B723" s="191"/>
      <c r="C723" s="191"/>
      <c r="D723" s="191"/>
      <c r="E723" s="191"/>
      <c r="F723" s="191"/>
      <c r="G723" s="191"/>
      <c r="H723" s="191"/>
      <c r="I723" s="191"/>
      <c r="J723" s="191"/>
      <c r="K723" s="191"/>
      <c r="L723" s="191"/>
      <c r="M723" s="191"/>
      <c r="N723" s="191"/>
      <c r="O723" s="191"/>
    </row>
    <row r="724">
      <c r="A724" s="191"/>
      <c r="B724" s="191"/>
      <c r="C724" s="191"/>
      <c r="D724" s="191"/>
      <c r="E724" s="191"/>
      <c r="F724" s="191"/>
      <c r="G724" s="191"/>
      <c r="H724" s="191"/>
      <c r="I724" s="191"/>
      <c r="J724" s="191"/>
      <c r="K724" s="191"/>
      <c r="L724" s="191"/>
      <c r="M724" s="191"/>
      <c r="N724" s="191"/>
      <c r="O724" s="191"/>
    </row>
    <row r="725">
      <c r="A725" s="191"/>
      <c r="B725" s="191"/>
      <c r="C725" s="191"/>
      <c r="D725" s="191"/>
      <c r="E725" s="191"/>
      <c r="F725" s="191"/>
      <c r="G725" s="191"/>
      <c r="H725" s="191"/>
      <c r="I725" s="191"/>
      <c r="J725" s="191"/>
      <c r="K725" s="191"/>
      <c r="L725" s="191"/>
      <c r="M725" s="191"/>
      <c r="N725" s="191"/>
      <c r="O725" s="191"/>
    </row>
    <row r="726">
      <c r="A726" s="191"/>
      <c r="B726" s="191"/>
      <c r="C726" s="191"/>
      <c r="D726" s="191"/>
      <c r="E726" s="191"/>
      <c r="F726" s="191"/>
      <c r="G726" s="191"/>
      <c r="H726" s="191"/>
      <c r="I726" s="191"/>
      <c r="J726" s="191"/>
      <c r="K726" s="191"/>
      <c r="L726" s="191"/>
      <c r="M726" s="191"/>
      <c r="N726" s="191"/>
      <c r="O726" s="191"/>
    </row>
    <row r="727">
      <c r="A727" s="191"/>
      <c r="B727" s="191"/>
      <c r="C727" s="191"/>
      <c r="D727" s="191"/>
      <c r="E727" s="191"/>
      <c r="F727" s="191"/>
      <c r="G727" s="191"/>
      <c r="H727" s="191"/>
      <c r="I727" s="191"/>
      <c r="J727" s="191"/>
      <c r="K727" s="191"/>
      <c r="L727" s="191"/>
      <c r="M727" s="191"/>
      <c r="N727" s="191"/>
      <c r="O727" s="191"/>
    </row>
    <row r="728">
      <c r="A728" s="191"/>
      <c r="B728" s="191"/>
      <c r="C728" s="191"/>
      <c r="D728" s="191"/>
      <c r="E728" s="191"/>
      <c r="F728" s="191"/>
      <c r="G728" s="191"/>
      <c r="H728" s="191"/>
      <c r="I728" s="191"/>
      <c r="J728" s="191"/>
      <c r="K728" s="191"/>
      <c r="L728" s="191"/>
      <c r="M728" s="191"/>
      <c r="N728" s="191"/>
      <c r="O728" s="191"/>
    </row>
    <row r="729">
      <c r="A729" s="191"/>
      <c r="B729" s="191"/>
      <c r="C729" s="191"/>
      <c r="D729" s="191"/>
      <c r="E729" s="191"/>
      <c r="F729" s="191"/>
      <c r="G729" s="191"/>
      <c r="H729" s="191"/>
      <c r="I729" s="191"/>
      <c r="J729" s="191"/>
      <c r="K729" s="191"/>
      <c r="L729" s="191"/>
      <c r="M729" s="191"/>
      <c r="N729" s="191"/>
      <c r="O729" s="191"/>
    </row>
    <row r="730">
      <c r="A730" s="191"/>
      <c r="B730" s="191"/>
      <c r="C730" s="191"/>
      <c r="D730" s="191"/>
      <c r="E730" s="191"/>
      <c r="F730" s="191"/>
      <c r="G730" s="191"/>
      <c r="H730" s="191"/>
      <c r="I730" s="191"/>
      <c r="J730" s="191"/>
      <c r="K730" s="191"/>
      <c r="L730" s="191"/>
      <c r="M730" s="191"/>
      <c r="N730" s="191"/>
      <c r="O730" s="191"/>
    </row>
    <row r="731">
      <c r="A731" s="191"/>
      <c r="B731" s="191"/>
      <c r="C731" s="191"/>
      <c r="D731" s="191"/>
      <c r="E731" s="191"/>
      <c r="F731" s="191"/>
      <c r="G731" s="191"/>
      <c r="H731" s="191"/>
      <c r="I731" s="191"/>
      <c r="J731" s="191"/>
      <c r="K731" s="191"/>
      <c r="L731" s="191"/>
      <c r="M731" s="191"/>
      <c r="N731" s="191"/>
      <c r="O731" s="191"/>
    </row>
    <row r="732">
      <c r="A732" s="191"/>
      <c r="B732" s="191"/>
      <c r="C732" s="191"/>
      <c r="D732" s="191"/>
      <c r="E732" s="191"/>
      <c r="F732" s="191"/>
      <c r="G732" s="191"/>
      <c r="H732" s="191"/>
      <c r="I732" s="191"/>
      <c r="J732" s="191"/>
      <c r="K732" s="191"/>
      <c r="L732" s="191"/>
      <c r="M732" s="191"/>
      <c r="N732" s="191"/>
      <c r="O732" s="191"/>
    </row>
    <row r="733">
      <c r="A733" s="191"/>
      <c r="B733" s="191"/>
      <c r="C733" s="191"/>
      <c r="D733" s="191"/>
      <c r="E733" s="191"/>
      <c r="F733" s="191"/>
      <c r="G733" s="191"/>
      <c r="H733" s="191"/>
      <c r="I733" s="191"/>
      <c r="J733" s="191"/>
      <c r="K733" s="191"/>
      <c r="L733" s="191"/>
      <c r="M733" s="191"/>
      <c r="N733" s="191"/>
      <c r="O733" s="191"/>
    </row>
    <row r="734">
      <c r="A734" s="191"/>
      <c r="B734" s="191"/>
      <c r="C734" s="191"/>
      <c r="D734" s="191"/>
      <c r="E734" s="191"/>
      <c r="F734" s="191"/>
      <c r="G734" s="191"/>
      <c r="H734" s="191"/>
      <c r="I734" s="191"/>
      <c r="J734" s="191"/>
      <c r="K734" s="191"/>
      <c r="L734" s="191"/>
      <c r="M734" s="191"/>
      <c r="N734" s="191"/>
      <c r="O734" s="191"/>
    </row>
    <row r="735">
      <c r="A735" s="191"/>
      <c r="B735" s="191"/>
      <c r="C735" s="191"/>
      <c r="D735" s="191"/>
      <c r="E735" s="191"/>
      <c r="F735" s="191"/>
      <c r="G735" s="191"/>
      <c r="H735" s="191"/>
      <c r="I735" s="191"/>
      <c r="J735" s="191"/>
      <c r="K735" s="191"/>
      <c r="L735" s="191"/>
      <c r="M735" s="191"/>
      <c r="N735" s="191"/>
      <c r="O735" s="191"/>
    </row>
    <row r="736">
      <c r="A736" s="191"/>
      <c r="B736" s="191"/>
      <c r="C736" s="191"/>
      <c r="D736" s="191"/>
      <c r="E736" s="191"/>
      <c r="F736" s="191"/>
      <c r="G736" s="191"/>
      <c r="H736" s="191"/>
      <c r="I736" s="191"/>
      <c r="J736" s="191"/>
      <c r="K736" s="191"/>
      <c r="L736" s="191"/>
      <c r="M736" s="191"/>
      <c r="N736" s="191"/>
      <c r="O736" s="191"/>
    </row>
    <row r="737">
      <c r="A737" s="191"/>
      <c r="B737" s="191"/>
      <c r="C737" s="191"/>
      <c r="D737" s="191"/>
      <c r="E737" s="191"/>
      <c r="F737" s="191"/>
      <c r="G737" s="191"/>
      <c r="H737" s="191"/>
      <c r="I737" s="191"/>
      <c r="J737" s="191"/>
      <c r="K737" s="191"/>
      <c r="L737" s="191"/>
      <c r="M737" s="191"/>
      <c r="N737" s="191"/>
      <c r="O737" s="191"/>
    </row>
    <row r="738">
      <c r="A738" s="191"/>
      <c r="B738" s="191"/>
      <c r="C738" s="191"/>
      <c r="D738" s="191"/>
      <c r="E738" s="191"/>
      <c r="F738" s="191"/>
      <c r="G738" s="191"/>
      <c r="H738" s="191"/>
      <c r="I738" s="191"/>
      <c r="J738" s="191"/>
      <c r="K738" s="191"/>
      <c r="L738" s="191"/>
      <c r="M738" s="191"/>
      <c r="N738" s="191"/>
      <c r="O738" s="191"/>
    </row>
    <row r="739">
      <c r="A739" s="191"/>
      <c r="B739" s="191"/>
      <c r="C739" s="191"/>
      <c r="D739" s="191"/>
      <c r="E739" s="191"/>
      <c r="F739" s="191"/>
      <c r="G739" s="191"/>
      <c r="H739" s="191"/>
      <c r="I739" s="191"/>
      <c r="J739" s="191"/>
      <c r="K739" s="191"/>
      <c r="L739" s="191"/>
      <c r="M739" s="191"/>
      <c r="N739" s="191"/>
      <c r="O739" s="191"/>
    </row>
    <row r="740">
      <c r="A740" s="191"/>
      <c r="B740" s="191"/>
      <c r="C740" s="191"/>
      <c r="D740" s="191"/>
      <c r="E740" s="191"/>
      <c r="F740" s="191"/>
      <c r="G740" s="191"/>
      <c r="H740" s="191"/>
      <c r="I740" s="191"/>
      <c r="J740" s="191"/>
      <c r="K740" s="191"/>
      <c r="L740" s="191"/>
      <c r="M740" s="191"/>
      <c r="N740" s="191"/>
      <c r="O740" s="191"/>
    </row>
    <row r="741">
      <c r="A741" s="191"/>
      <c r="B741" s="191"/>
      <c r="C741" s="191"/>
      <c r="D741" s="191"/>
      <c r="E741" s="191"/>
      <c r="F741" s="191"/>
      <c r="G741" s="191"/>
      <c r="H741" s="191"/>
      <c r="I741" s="191"/>
      <c r="J741" s="191"/>
      <c r="K741" s="191"/>
      <c r="L741" s="191"/>
      <c r="M741" s="191"/>
      <c r="N741" s="191"/>
      <c r="O741" s="191"/>
    </row>
    <row r="742">
      <c r="A742" s="191"/>
      <c r="B742" s="191"/>
      <c r="C742" s="191"/>
      <c r="D742" s="191"/>
      <c r="E742" s="191"/>
      <c r="F742" s="191"/>
      <c r="G742" s="191"/>
      <c r="H742" s="191"/>
      <c r="I742" s="191"/>
      <c r="J742" s="191"/>
      <c r="K742" s="191"/>
      <c r="L742" s="191"/>
      <c r="M742" s="191"/>
      <c r="N742" s="191"/>
      <c r="O742" s="191"/>
    </row>
    <row r="743">
      <c r="A743" s="191"/>
      <c r="B743" s="191"/>
      <c r="C743" s="191"/>
      <c r="D743" s="191"/>
      <c r="E743" s="191"/>
      <c r="F743" s="191"/>
      <c r="G743" s="191"/>
      <c r="H743" s="191"/>
      <c r="I743" s="191"/>
      <c r="J743" s="191"/>
      <c r="K743" s="191"/>
      <c r="L743" s="191"/>
      <c r="M743" s="191"/>
      <c r="N743" s="191"/>
      <c r="O743" s="191"/>
    </row>
    <row r="744">
      <c r="A744" s="191"/>
      <c r="B744" s="191"/>
      <c r="C744" s="191"/>
      <c r="D744" s="191"/>
      <c r="E744" s="191"/>
      <c r="F744" s="191"/>
      <c r="G744" s="191"/>
      <c r="H744" s="191"/>
      <c r="I744" s="191"/>
      <c r="J744" s="191"/>
      <c r="K744" s="191"/>
      <c r="L744" s="191"/>
      <c r="M744" s="191"/>
      <c r="N744" s="191"/>
      <c r="O744" s="191"/>
    </row>
    <row r="745">
      <c r="A745" s="191"/>
      <c r="B745" s="191"/>
      <c r="C745" s="191"/>
      <c r="D745" s="191"/>
      <c r="E745" s="191"/>
      <c r="F745" s="191"/>
      <c r="G745" s="191"/>
      <c r="H745" s="191"/>
      <c r="I745" s="191"/>
      <c r="J745" s="191"/>
      <c r="K745" s="191"/>
      <c r="L745" s="191"/>
      <c r="M745" s="191"/>
      <c r="N745" s="191"/>
      <c r="O745" s="191"/>
    </row>
    <row r="746">
      <c r="A746" s="191"/>
      <c r="B746" s="191"/>
      <c r="C746" s="191"/>
      <c r="D746" s="191"/>
      <c r="E746" s="191"/>
      <c r="F746" s="191"/>
      <c r="G746" s="191"/>
      <c r="H746" s="191"/>
      <c r="I746" s="191"/>
      <c r="J746" s="191"/>
      <c r="K746" s="191"/>
      <c r="L746" s="191"/>
      <c r="M746" s="191"/>
      <c r="N746" s="191"/>
      <c r="O746" s="191"/>
    </row>
    <row r="747">
      <c r="A747" s="191"/>
      <c r="B747" s="191"/>
      <c r="C747" s="191"/>
      <c r="D747" s="191"/>
      <c r="E747" s="191"/>
      <c r="F747" s="191"/>
      <c r="G747" s="191"/>
      <c r="H747" s="191"/>
      <c r="I747" s="191"/>
      <c r="J747" s="191"/>
      <c r="K747" s="191"/>
      <c r="L747" s="191"/>
      <c r="M747" s="191"/>
      <c r="N747" s="191"/>
      <c r="O747" s="191"/>
    </row>
    <row r="748">
      <c r="A748" s="191"/>
      <c r="B748" s="191"/>
      <c r="C748" s="191"/>
      <c r="D748" s="191"/>
      <c r="E748" s="191"/>
      <c r="F748" s="191"/>
      <c r="G748" s="191"/>
      <c r="H748" s="191"/>
      <c r="I748" s="191"/>
      <c r="J748" s="191"/>
      <c r="K748" s="191"/>
      <c r="L748" s="191"/>
      <c r="M748" s="191"/>
      <c r="N748" s="191"/>
      <c r="O748" s="191"/>
    </row>
    <row r="749">
      <c r="A749" s="191"/>
      <c r="B749" s="191"/>
      <c r="C749" s="191"/>
      <c r="D749" s="191"/>
      <c r="E749" s="191"/>
      <c r="F749" s="191"/>
      <c r="G749" s="191"/>
      <c r="H749" s="191"/>
      <c r="I749" s="191"/>
      <c r="J749" s="191"/>
      <c r="K749" s="191"/>
      <c r="L749" s="191"/>
      <c r="M749" s="191"/>
      <c r="N749" s="191"/>
      <c r="O749" s="191"/>
    </row>
    <row r="750">
      <c r="A750" s="191"/>
      <c r="B750" s="191"/>
      <c r="C750" s="191"/>
      <c r="D750" s="191"/>
      <c r="E750" s="191"/>
      <c r="F750" s="191"/>
      <c r="G750" s="191"/>
      <c r="H750" s="191"/>
      <c r="I750" s="191"/>
      <c r="J750" s="191"/>
      <c r="K750" s="191"/>
      <c r="L750" s="191"/>
      <c r="M750" s="191"/>
      <c r="N750" s="191"/>
      <c r="O750" s="191"/>
    </row>
    <row r="751">
      <c r="A751" s="191"/>
      <c r="B751" s="191"/>
      <c r="C751" s="191"/>
      <c r="D751" s="191"/>
      <c r="E751" s="191"/>
      <c r="F751" s="191"/>
      <c r="G751" s="191"/>
      <c r="H751" s="191"/>
      <c r="I751" s="191"/>
      <c r="J751" s="191"/>
      <c r="K751" s="191"/>
      <c r="L751" s="191"/>
      <c r="M751" s="191"/>
      <c r="N751" s="191"/>
      <c r="O751" s="191"/>
    </row>
    <row r="752">
      <c r="A752" s="191"/>
      <c r="B752" s="191"/>
      <c r="C752" s="191"/>
      <c r="D752" s="191"/>
      <c r="E752" s="191"/>
      <c r="F752" s="191"/>
      <c r="G752" s="191"/>
      <c r="H752" s="191"/>
      <c r="I752" s="191"/>
      <c r="J752" s="191"/>
      <c r="K752" s="191"/>
      <c r="L752" s="191"/>
      <c r="M752" s="191"/>
      <c r="N752" s="191"/>
      <c r="O752" s="191"/>
    </row>
    <row r="753">
      <c r="A753" s="191"/>
      <c r="B753" s="191"/>
      <c r="C753" s="191"/>
      <c r="D753" s="191"/>
      <c r="E753" s="191"/>
      <c r="F753" s="191"/>
      <c r="G753" s="191"/>
      <c r="H753" s="191"/>
      <c r="I753" s="191"/>
      <c r="J753" s="191"/>
      <c r="K753" s="191"/>
      <c r="L753" s="191"/>
      <c r="M753" s="191"/>
      <c r="N753" s="191"/>
      <c r="O753" s="191"/>
    </row>
    <row r="754">
      <c r="A754" s="191"/>
      <c r="B754" s="191"/>
      <c r="C754" s="191"/>
      <c r="D754" s="191"/>
      <c r="E754" s="191"/>
      <c r="F754" s="191"/>
      <c r="G754" s="191"/>
      <c r="H754" s="191"/>
      <c r="I754" s="191"/>
      <c r="J754" s="191"/>
      <c r="K754" s="191"/>
      <c r="L754" s="191"/>
      <c r="M754" s="191"/>
      <c r="N754" s="191"/>
      <c r="O754" s="191"/>
    </row>
    <row r="755">
      <c r="A755" s="191"/>
      <c r="B755" s="191"/>
      <c r="C755" s="191"/>
      <c r="D755" s="191"/>
      <c r="E755" s="191"/>
      <c r="F755" s="191"/>
      <c r="G755" s="191"/>
      <c r="H755" s="191"/>
      <c r="I755" s="191"/>
      <c r="J755" s="191"/>
      <c r="K755" s="191"/>
      <c r="L755" s="191"/>
      <c r="M755" s="191"/>
      <c r="N755" s="191"/>
      <c r="O755" s="191"/>
    </row>
    <row r="756">
      <c r="A756" s="191"/>
      <c r="B756" s="191"/>
      <c r="C756" s="191"/>
      <c r="D756" s="191"/>
      <c r="E756" s="191"/>
      <c r="F756" s="191"/>
      <c r="G756" s="191"/>
      <c r="H756" s="191"/>
      <c r="I756" s="191"/>
      <c r="J756" s="191"/>
      <c r="K756" s="191"/>
      <c r="L756" s="191"/>
      <c r="M756" s="191"/>
      <c r="N756" s="191"/>
      <c r="O756" s="191"/>
    </row>
    <row r="757">
      <c r="A757" s="191"/>
      <c r="B757" s="191"/>
      <c r="C757" s="191"/>
      <c r="D757" s="191"/>
      <c r="E757" s="191"/>
      <c r="F757" s="191"/>
      <c r="G757" s="191"/>
      <c r="H757" s="191"/>
      <c r="I757" s="191"/>
      <c r="J757" s="191"/>
      <c r="K757" s="191"/>
      <c r="L757" s="191"/>
      <c r="M757" s="191"/>
      <c r="N757" s="191"/>
      <c r="O757" s="191"/>
    </row>
    <row r="758">
      <c r="A758" s="191"/>
      <c r="B758" s="191"/>
      <c r="C758" s="191"/>
      <c r="D758" s="191"/>
      <c r="E758" s="191"/>
      <c r="F758" s="191"/>
      <c r="G758" s="191"/>
      <c r="H758" s="191"/>
      <c r="I758" s="191"/>
      <c r="J758" s="191"/>
      <c r="K758" s="191"/>
      <c r="L758" s="191"/>
      <c r="M758" s="191"/>
      <c r="N758" s="191"/>
      <c r="O758" s="191"/>
    </row>
    <row r="759">
      <c r="A759" s="191"/>
      <c r="B759" s="191"/>
      <c r="C759" s="191"/>
      <c r="D759" s="191"/>
      <c r="E759" s="191"/>
      <c r="F759" s="191"/>
      <c r="G759" s="191"/>
      <c r="H759" s="191"/>
      <c r="I759" s="191"/>
      <c r="J759" s="191"/>
      <c r="K759" s="191"/>
      <c r="L759" s="191"/>
      <c r="M759" s="191"/>
      <c r="N759" s="191"/>
      <c r="O759" s="191"/>
    </row>
    <row r="760">
      <c r="A760" s="191"/>
      <c r="B760" s="191"/>
      <c r="C760" s="191"/>
      <c r="D760" s="191"/>
      <c r="E760" s="191"/>
      <c r="F760" s="191"/>
      <c r="G760" s="191"/>
      <c r="H760" s="191"/>
      <c r="I760" s="191"/>
      <c r="J760" s="191"/>
      <c r="K760" s="191"/>
      <c r="L760" s="191"/>
      <c r="M760" s="191"/>
      <c r="N760" s="191"/>
      <c r="O760" s="191"/>
    </row>
    <row r="761">
      <c r="A761" s="191"/>
      <c r="B761" s="191"/>
      <c r="C761" s="191"/>
      <c r="D761" s="191"/>
      <c r="E761" s="191"/>
      <c r="F761" s="191"/>
      <c r="G761" s="191"/>
      <c r="H761" s="191"/>
      <c r="I761" s="191"/>
      <c r="J761" s="191"/>
      <c r="K761" s="191"/>
      <c r="L761" s="191"/>
      <c r="M761" s="191"/>
      <c r="N761" s="191"/>
      <c r="O761" s="191"/>
    </row>
    <row r="762">
      <c r="A762" s="191"/>
      <c r="B762" s="191"/>
      <c r="C762" s="191"/>
      <c r="D762" s="191"/>
      <c r="E762" s="191"/>
      <c r="F762" s="191"/>
      <c r="G762" s="191"/>
      <c r="H762" s="191"/>
      <c r="I762" s="191"/>
      <c r="J762" s="191"/>
      <c r="K762" s="191"/>
      <c r="L762" s="191"/>
      <c r="M762" s="191"/>
      <c r="N762" s="191"/>
      <c r="O762" s="191"/>
    </row>
    <row r="763">
      <c r="A763" s="191"/>
      <c r="B763" s="191"/>
      <c r="C763" s="191"/>
      <c r="D763" s="191"/>
      <c r="E763" s="191"/>
      <c r="F763" s="191"/>
      <c r="G763" s="191"/>
      <c r="H763" s="191"/>
      <c r="I763" s="191"/>
      <c r="J763" s="191"/>
      <c r="K763" s="191"/>
      <c r="L763" s="191"/>
      <c r="M763" s="191"/>
      <c r="N763" s="191"/>
      <c r="O763" s="191"/>
    </row>
    <row r="764">
      <c r="A764" s="191"/>
      <c r="B764" s="191"/>
      <c r="C764" s="191"/>
      <c r="D764" s="191"/>
      <c r="E764" s="191"/>
      <c r="F764" s="191"/>
      <c r="G764" s="191"/>
      <c r="H764" s="191"/>
      <c r="I764" s="191"/>
      <c r="J764" s="191"/>
      <c r="K764" s="191"/>
      <c r="L764" s="191"/>
      <c r="M764" s="191"/>
      <c r="N764" s="191"/>
      <c r="O764" s="191"/>
    </row>
    <row r="765">
      <c r="A765" s="191"/>
      <c r="B765" s="191"/>
      <c r="C765" s="191"/>
      <c r="D765" s="191"/>
      <c r="E765" s="191"/>
      <c r="F765" s="191"/>
      <c r="G765" s="191"/>
      <c r="H765" s="191"/>
      <c r="I765" s="191"/>
      <c r="J765" s="191"/>
      <c r="K765" s="191"/>
      <c r="L765" s="191"/>
      <c r="M765" s="191"/>
      <c r="N765" s="191"/>
      <c r="O765" s="191"/>
    </row>
    <row r="766">
      <c r="A766" s="191"/>
      <c r="B766" s="191"/>
      <c r="C766" s="191"/>
      <c r="D766" s="191"/>
      <c r="E766" s="191"/>
      <c r="F766" s="191"/>
      <c r="G766" s="191"/>
      <c r="H766" s="191"/>
      <c r="I766" s="191"/>
      <c r="J766" s="191"/>
      <c r="K766" s="191"/>
      <c r="L766" s="191"/>
      <c r="M766" s="191"/>
      <c r="N766" s="191"/>
      <c r="O766" s="191"/>
    </row>
    <row r="767">
      <c r="A767" s="191"/>
      <c r="B767" s="191"/>
      <c r="C767" s="191"/>
      <c r="D767" s="191"/>
      <c r="E767" s="191"/>
      <c r="F767" s="191"/>
      <c r="G767" s="191"/>
      <c r="H767" s="191"/>
      <c r="I767" s="191"/>
      <c r="J767" s="191"/>
      <c r="K767" s="191"/>
      <c r="L767" s="191"/>
      <c r="M767" s="191"/>
      <c r="N767" s="191"/>
      <c r="O767" s="191"/>
    </row>
    <row r="768">
      <c r="A768" s="191"/>
      <c r="B768" s="191"/>
      <c r="C768" s="191"/>
      <c r="D768" s="191"/>
      <c r="E768" s="191"/>
      <c r="F768" s="191"/>
      <c r="G768" s="191"/>
      <c r="H768" s="191"/>
      <c r="I768" s="191"/>
      <c r="J768" s="191"/>
      <c r="K768" s="191"/>
      <c r="L768" s="191"/>
      <c r="M768" s="191"/>
      <c r="N768" s="191"/>
      <c r="O768" s="191"/>
    </row>
    <row r="769">
      <c r="A769" s="191"/>
      <c r="B769" s="191"/>
      <c r="C769" s="191"/>
      <c r="D769" s="191"/>
      <c r="E769" s="191"/>
      <c r="F769" s="191"/>
      <c r="G769" s="191"/>
      <c r="H769" s="191"/>
      <c r="I769" s="191"/>
      <c r="J769" s="191"/>
      <c r="K769" s="191"/>
      <c r="L769" s="191"/>
      <c r="M769" s="191"/>
      <c r="N769" s="191"/>
      <c r="O769" s="191"/>
    </row>
    <row r="770">
      <c r="A770" s="191"/>
      <c r="B770" s="191"/>
      <c r="C770" s="191"/>
      <c r="D770" s="191"/>
      <c r="E770" s="191"/>
      <c r="F770" s="191"/>
      <c r="G770" s="191"/>
      <c r="H770" s="191"/>
      <c r="I770" s="191"/>
      <c r="J770" s="191"/>
      <c r="K770" s="191"/>
      <c r="L770" s="191"/>
      <c r="M770" s="191"/>
      <c r="N770" s="191"/>
      <c r="O770" s="191"/>
    </row>
    <row r="771">
      <c r="A771" s="191"/>
      <c r="B771" s="191"/>
      <c r="C771" s="191"/>
      <c r="D771" s="191"/>
      <c r="E771" s="191"/>
      <c r="F771" s="191"/>
      <c r="G771" s="191"/>
      <c r="H771" s="191"/>
      <c r="I771" s="191"/>
      <c r="J771" s="191"/>
      <c r="K771" s="191"/>
      <c r="L771" s="191"/>
      <c r="M771" s="191"/>
      <c r="N771" s="191"/>
      <c r="O771" s="191"/>
    </row>
    <row r="772">
      <c r="A772" s="191"/>
      <c r="B772" s="191"/>
      <c r="C772" s="191"/>
      <c r="D772" s="191"/>
      <c r="E772" s="191"/>
      <c r="F772" s="191"/>
      <c r="G772" s="191"/>
      <c r="H772" s="191"/>
      <c r="I772" s="191"/>
      <c r="J772" s="191"/>
      <c r="K772" s="191"/>
      <c r="L772" s="191"/>
      <c r="M772" s="191"/>
      <c r="N772" s="191"/>
      <c r="O772" s="191"/>
    </row>
    <row r="773">
      <c r="A773" s="191"/>
      <c r="B773" s="191"/>
      <c r="C773" s="191"/>
      <c r="D773" s="191"/>
      <c r="E773" s="191"/>
      <c r="F773" s="191"/>
      <c r="G773" s="191"/>
      <c r="H773" s="191"/>
      <c r="I773" s="191"/>
      <c r="J773" s="191"/>
      <c r="K773" s="191"/>
      <c r="L773" s="191"/>
      <c r="M773" s="191"/>
      <c r="N773" s="191"/>
      <c r="O773" s="191"/>
    </row>
    <row r="774">
      <c r="A774" s="191"/>
      <c r="B774" s="191"/>
      <c r="C774" s="191"/>
      <c r="D774" s="191"/>
      <c r="E774" s="191"/>
      <c r="F774" s="191"/>
      <c r="G774" s="191"/>
      <c r="H774" s="191"/>
      <c r="I774" s="191"/>
      <c r="J774" s="191"/>
      <c r="K774" s="191"/>
      <c r="L774" s="191"/>
      <c r="M774" s="191"/>
      <c r="N774" s="191"/>
      <c r="O774" s="191"/>
    </row>
    <row r="775">
      <c r="A775" s="191"/>
      <c r="B775" s="191"/>
      <c r="C775" s="191"/>
      <c r="D775" s="191"/>
      <c r="E775" s="191"/>
      <c r="F775" s="191"/>
      <c r="G775" s="191"/>
      <c r="H775" s="191"/>
      <c r="I775" s="191"/>
      <c r="J775" s="191"/>
      <c r="K775" s="191"/>
      <c r="L775" s="191"/>
      <c r="M775" s="191"/>
      <c r="N775" s="191"/>
      <c r="O775" s="191"/>
    </row>
    <row r="776">
      <c r="A776" s="191"/>
      <c r="B776" s="191"/>
      <c r="C776" s="191"/>
      <c r="D776" s="191"/>
      <c r="E776" s="191"/>
      <c r="F776" s="191"/>
      <c r="G776" s="191"/>
      <c r="H776" s="191"/>
      <c r="I776" s="191"/>
      <c r="J776" s="191"/>
      <c r="K776" s="191"/>
      <c r="L776" s="191"/>
      <c r="M776" s="191"/>
      <c r="N776" s="191"/>
      <c r="O776" s="191"/>
    </row>
    <row r="777">
      <c r="A777" s="191"/>
      <c r="B777" s="191"/>
      <c r="C777" s="191"/>
      <c r="D777" s="191"/>
      <c r="E777" s="191"/>
      <c r="F777" s="191"/>
      <c r="G777" s="191"/>
      <c r="H777" s="191"/>
      <c r="I777" s="191"/>
      <c r="J777" s="191"/>
      <c r="K777" s="191"/>
      <c r="L777" s="191"/>
      <c r="M777" s="191"/>
      <c r="N777" s="191"/>
      <c r="O777" s="191"/>
    </row>
    <row r="778">
      <c r="A778" s="191"/>
      <c r="B778" s="191"/>
      <c r="C778" s="191"/>
      <c r="D778" s="191"/>
      <c r="E778" s="191"/>
      <c r="F778" s="191"/>
      <c r="G778" s="191"/>
      <c r="H778" s="191"/>
      <c r="I778" s="191"/>
      <c r="J778" s="191"/>
      <c r="K778" s="191"/>
      <c r="L778" s="191"/>
      <c r="M778" s="191"/>
      <c r="N778" s="191"/>
      <c r="O778" s="191"/>
    </row>
    <row r="779">
      <c r="A779" s="191"/>
      <c r="B779" s="191"/>
      <c r="C779" s="191"/>
      <c r="D779" s="191"/>
      <c r="E779" s="191"/>
      <c r="F779" s="191"/>
      <c r="G779" s="191"/>
      <c r="H779" s="191"/>
      <c r="I779" s="191"/>
      <c r="J779" s="191"/>
      <c r="K779" s="191"/>
      <c r="L779" s="191"/>
      <c r="M779" s="191"/>
      <c r="N779" s="191"/>
      <c r="O779" s="191"/>
    </row>
    <row r="780">
      <c r="A780" s="191"/>
      <c r="B780" s="191"/>
      <c r="C780" s="191"/>
      <c r="D780" s="191"/>
      <c r="E780" s="191"/>
      <c r="F780" s="191"/>
      <c r="G780" s="191"/>
      <c r="H780" s="191"/>
      <c r="I780" s="191"/>
      <c r="J780" s="191"/>
      <c r="K780" s="191"/>
      <c r="L780" s="191"/>
      <c r="M780" s="191"/>
      <c r="N780" s="191"/>
      <c r="O780" s="191"/>
    </row>
    <row r="781">
      <c r="A781" s="191"/>
      <c r="B781" s="191"/>
      <c r="C781" s="191"/>
      <c r="D781" s="191"/>
      <c r="E781" s="191"/>
      <c r="F781" s="191"/>
      <c r="G781" s="191"/>
      <c r="H781" s="191"/>
      <c r="I781" s="191"/>
      <c r="J781" s="191"/>
      <c r="K781" s="191"/>
      <c r="L781" s="191"/>
      <c r="M781" s="191"/>
      <c r="N781" s="191"/>
      <c r="O781" s="191"/>
    </row>
    <row r="782">
      <c r="A782" s="191"/>
      <c r="B782" s="191"/>
      <c r="C782" s="191"/>
      <c r="D782" s="191"/>
      <c r="E782" s="191"/>
      <c r="F782" s="191"/>
      <c r="G782" s="191"/>
      <c r="H782" s="191"/>
      <c r="I782" s="191"/>
      <c r="J782" s="191"/>
      <c r="K782" s="191"/>
      <c r="L782" s="191"/>
      <c r="M782" s="191"/>
      <c r="N782" s="191"/>
      <c r="O782" s="191"/>
    </row>
    <row r="783">
      <c r="A783" s="191"/>
      <c r="B783" s="191"/>
      <c r="C783" s="191"/>
      <c r="D783" s="191"/>
      <c r="E783" s="191"/>
      <c r="F783" s="191"/>
      <c r="G783" s="191"/>
      <c r="H783" s="191"/>
      <c r="I783" s="191"/>
      <c r="J783" s="191"/>
      <c r="K783" s="191"/>
      <c r="L783" s="191"/>
      <c r="M783" s="191"/>
      <c r="N783" s="191"/>
      <c r="O783" s="191"/>
    </row>
    <row r="784">
      <c r="A784" s="191"/>
      <c r="B784" s="191"/>
      <c r="C784" s="191"/>
      <c r="D784" s="191"/>
      <c r="E784" s="191"/>
      <c r="F784" s="191"/>
      <c r="G784" s="191"/>
      <c r="H784" s="191"/>
      <c r="I784" s="191"/>
      <c r="J784" s="191"/>
      <c r="K784" s="191"/>
      <c r="L784" s="191"/>
      <c r="M784" s="191"/>
      <c r="N784" s="191"/>
      <c r="O784" s="191"/>
    </row>
    <row r="785">
      <c r="A785" s="191"/>
      <c r="B785" s="191"/>
      <c r="C785" s="191"/>
      <c r="D785" s="191"/>
      <c r="E785" s="191"/>
      <c r="F785" s="191"/>
      <c r="G785" s="191"/>
      <c r="H785" s="191"/>
      <c r="I785" s="191"/>
      <c r="J785" s="191"/>
      <c r="K785" s="191"/>
      <c r="L785" s="191"/>
      <c r="M785" s="191"/>
      <c r="N785" s="191"/>
      <c r="O785" s="191"/>
    </row>
    <row r="786">
      <c r="A786" s="191"/>
      <c r="B786" s="191"/>
      <c r="C786" s="191"/>
      <c r="D786" s="191"/>
      <c r="E786" s="191"/>
      <c r="F786" s="191"/>
      <c r="G786" s="191"/>
      <c r="H786" s="191"/>
      <c r="I786" s="191"/>
      <c r="J786" s="191"/>
      <c r="K786" s="191"/>
      <c r="L786" s="191"/>
      <c r="M786" s="191"/>
      <c r="N786" s="191"/>
      <c r="O786" s="191"/>
    </row>
    <row r="787">
      <c r="A787" s="191"/>
      <c r="B787" s="191"/>
      <c r="C787" s="191"/>
      <c r="D787" s="191"/>
      <c r="E787" s="191"/>
      <c r="F787" s="191"/>
      <c r="G787" s="191"/>
      <c r="H787" s="191"/>
      <c r="I787" s="191"/>
      <c r="J787" s="191"/>
      <c r="K787" s="191"/>
      <c r="L787" s="191"/>
      <c r="M787" s="191"/>
      <c r="N787" s="191"/>
      <c r="O787" s="191"/>
    </row>
    <row r="788">
      <c r="A788" s="191"/>
      <c r="B788" s="191"/>
      <c r="C788" s="191"/>
      <c r="D788" s="191"/>
      <c r="E788" s="191"/>
      <c r="F788" s="191"/>
      <c r="G788" s="191"/>
      <c r="H788" s="191"/>
      <c r="I788" s="191"/>
      <c r="J788" s="191"/>
      <c r="K788" s="191"/>
      <c r="L788" s="191"/>
      <c r="M788" s="191"/>
      <c r="N788" s="191"/>
      <c r="O788" s="191"/>
    </row>
    <row r="789">
      <c r="A789" s="191"/>
      <c r="B789" s="191"/>
      <c r="C789" s="191"/>
      <c r="D789" s="191"/>
      <c r="E789" s="191"/>
      <c r="F789" s="191"/>
      <c r="G789" s="191"/>
      <c r="H789" s="191"/>
      <c r="I789" s="191"/>
      <c r="J789" s="191"/>
      <c r="K789" s="191"/>
      <c r="L789" s="191"/>
      <c r="M789" s="191"/>
      <c r="N789" s="191"/>
      <c r="O789" s="191"/>
    </row>
    <row r="790">
      <c r="A790" s="191"/>
      <c r="B790" s="191"/>
      <c r="C790" s="191"/>
      <c r="D790" s="191"/>
      <c r="E790" s="191"/>
      <c r="F790" s="191"/>
      <c r="G790" s="191"/>
      <c r="H790" s="191"/>
      <c r="I790" s="191"/>
      <c r="J790" s="191"/>
      <c r="K790" s="191"/>
      <c r="L790" s="191"/>
      <c r="M790" s="191"/>
      <c r="N790" s="191"/>
      <c r="O790" s="191"/>
    </row>
    <row r="791">
      <c r="A791" s="191"/>
      <c r="B791" s="191"/>
      <c r="C791" s="191"/>
      <c r="D791" s="191"/>
      <c r="E791" s="191"/>
      <c r="F791" s="191"/>
      <c r="G791" s="191"/>
      <c r="H791" s="191"/>
      <c r="I791" s="191"/>
      <c r="J791" s="191"/>
      <c r="K791" s="191"/>
      <c r="L791" s="191"/>
      <c r="M791" s="191"/>
      <c r="N791" s="191"/>
      <c r="O791" s="191"/>
    </row>
    <row r="792">
      <c r="A792" s="191"/>
      <c r="B792" s="191"/>
      <c r="C792" s="191"/>
      <c r="D792" s="191"/>
      <c r="E792" s="191"/>
      <c r="F792" s="191"/>
      <c r="G792" s="191"/>
      <c r="H792" s="191"/>
      <c r="I792" s="191"/>
      <c r="J792" s="191"/>
      <c r="K792" s="191"/>
      <c r="L792" s="191"/>
      <c r="M792" s="191"/>
      <c r="N792" s="191"/>
      <c r="O792" s="191"/>
    </row>
    <row r="793">
      <c r="A793" s="191"/>
      <c r="B793" s="191"/>
      <c r="C793" s="191"/>
      <c r="D793" s="191"/>
      <c r="E793" s="191"/>
      <c r="F793" s="191"/>
      <c r="G793" s="191"/>
      <c r="H793" s="191"/>
      <c r="I793" s="191"/>
      <c r="J793" s="191"/>
      <c r="K793" s="191"/>
      <c r="L793" s="191"/>
      <c r="M793" s="191"/>
      <c r="N793" s="191"/>
      <c r="O793" s="191"/>
    </row>
    <row r="794">
      <c r="A794" s="191"/>
      <c r="B794" s="191"/>
      <c r="C794" s="191"/>
      <c r="D794" s="191"/>
      <c r="E794" s="191"/>
      <c r="F794" s="191"/>
      <c r="G794" s="191"/>
      <c r="H794" s="191"/>
      <c r="I794" s="191"/>
      <c r="J794" s="191"/>
      <c r="K794" s="191"/>
      <c r="L794" s="191"/>
      <c r="M794" s="191"/>
      <c r="N794" s="191"/>
      <c r="O794" s="191"/>
    </row>
    <row r="795">
      <c r="A795" s="191"/>
      <c r="B795" s="191"/>
      <c r="C795" s="191"/>
      <c r="D795" s="191"/>
      <c r="E795" s="191"/>
      <c r="F795" s="191"/>
      <c r="G795" s="191"/>
      <c r="H795" s="191"/>
      <c r="I795" s="191"/>
      <c r="J795" s="191"/>
      <c r="K795" s="191"/>
      <c r="L795" s="191"/>
      <c r="M795" s="191"/>
      <c r="N795" s="191"/>
      <c r="O795" s="191"/>
    </row>
    <row r="796">
      <c r="A796" s="191"/>
      <c r="B796" s="191"/>
      <c r="C796" s="191"/>
      <c r="D796" s="191"/>
      <c r="E796" s="191"/>
      <c r="F796" s="191"/>
      <c r="G796" s="191"/>
      <c r="H796" s="191"/>
      <c r="I796" s="191"/>
      <c r="J796" s="191"/>
      <c r="K796" s="191"/>
      <c r="L796" s="191"/>
      <c r="M796" s="191"/>
      <c r="N796" s="191"/>
      <c r="O796" s="191"/>
    </row>
    <row r="797">
      <c r="A797" s="191"/>
      <c r="B797" s="191"/>
      <c r="C797" s="191"/>
      <c r="D797" s="191"/>
      <c r="E797" s="191"/>
      <c r="F797" s="191"/>
      <c r="G797" s="191"/>
      <c r="H797" s="191"/>
      <c r="I797" s="191"/>
      <c r="J797" s="191"/>
      <c r="K797" s="191"/>
      <c r="L797" s="191"/>
      <c r="M797" s="191"/>
      <c r="N797" s="191"/>
      <c r="O797" s="191"/>
    </row>
    <row r="798">
      <c r="A798" s="191"/>
      <c r="B798" s="191"/>
      <c r="C798" s="191"/>
      <c r="D798" s="191"/>
      <c r="E798" s="191"/>
      <c r="F798" s="191"/>
      <c r="G798" s="191"/>
      <c r="H798" s="191"/>
      <c r="I798" s="191"/>
      <c r="J798" s="191"/>
      <c r="K798" s="191"/>
      <c r="L798" s="191"/>
      <c r="M798" s="191"/>
      <c r="N798" s="191"/>
      <c r="O798" s="191"/>
    </row>
    <row r="799">
      <c r="A799" s="191"/>
      <c r="B799" s="191"/>
      <c r="C799" s="191"/>
      <c r="D799" s="191"/>
      <c r="E799" s="191"/>
      <c r="F799" s="191"/>
      <c r="G799" s="191"/>
      <c r="H799" s="191"/>
      <c r="I799" s="191"/>
      <c r="J799" s="191"/>
      <c r="K799" s="191"/>
      <c r="L799" s="191"/>
      <c r="M799" s="191"/>
      <c r="N799" s="191"/>
      <c r="O799" s="191"/>
    </row>
    <row r="800">
      <c r="A800" s="191"/>
      <c r="B800" s="191"/>
      <c r="C800" s="191"/>
      <c r="D800" s="191"/>
      <c r="E800" s="191"/>
      <c r="F800" s="191"/>
      <c r="G800" s="191"/>
      <c r="H800" s="191"/>
      <c r="I800" s="191"/>
      <c r="J800" s="191"/>
      <c r="K800" s="191"/>
      <c r="L800" s="191"/>
      <c r="M800" s="191"/>
      <c r="N800" s="191"/>
      <c r="O800" s="191"/>
    </row>
    <row r="801">
      <c r="A801" s="191"/>
      <c r="B801" s="191"/>
      <c r="C801" s="191"/>
      <c r="D801" s="191"/>
      <c r="E801" s="191"/>
      <c r="F801" s="191"/>
      <c r="G801" s="191"/>
      <c r="H801" s="191"/>
      <c r="I801" s="191"/>
      <c r="J801" s="191"/>
      <c r="K801" s="191"/>
      <c r="L801" s="191"/>
      <c r="M801" s="191"/>
      <c r="N801" s="191"/>
      <c r="O801" s="191"/>
    </row>
    <row r="802">
      <c r="A802" s="191"/>
      <c r="B802" s="191"/>
      <c r="C802" s="191"/>
      <c r="D802" s="191"/>
      <c r="E802" s="191"/>
      <c r="F802" s="191"/>
      <c r="G802" s="191"/>
      <c r="H802" s="191"/>
      <c r="I802" s="191"/>
      <c r="J802" s="191"/>
      <c r="K802" s="191"/>
      <c r="L802" s="191"/>
      <c r="M802" s="191"/>
      <c r="N802" s="191"/>
      <c r="O802" s="191"/>
    </row>
    <row r="803">
      <c r="A803" s="191"/>
      <c r="B803" s="191"/>
      <c r="C803" s="191"/>
      <c r="D803" s="191"/>
      <c r="E803" s="191"/>
      <c r="F803" s="191"/>
      <c r="G803" s="191"/>
      <c r="H803" s="191"/>
      <c r="I803" s="191"/>
      <c r="J803" s="191"/>
      <c r="K803" s="191"/>
      <c r="L803" s="191"/>
      <c r="M803" s="191"/>
      <c r="N803" s="191"/>
      <c r="O803" s="191"/>
    </row>
    <row r="804">
      <c r="A804" s="191"/>
      <c r="B804" s="191"/>
      <c r="C804" s="191"/>
      <c r="D804" s="191"/>
      <c r="E804" s="191"/>
      <c r="F804" s="191"/>
      <c r="G804" s="191"/>
      <c r="H804" s="191"/>
      <c r="I804" s="191"/>
      <c r="J804" s="191"/>
      <c r="K804" s="191"/>
      <c r="L804" s="191"/>
      <c r="M804" s="191"/>
      <c r="N804" s="191"/>
      <c r="O804" s="191"/>
    </row>
    <row r="805">
      <c r="A805" s="191"/>
      <c r="B805" s="191"/>
      <c r="C805" s="191"/>
      <c r="D805" s="191"/>
      <c r="E805" s="191"/>
      <c r="F805" s="191"/>
      <c r="G805" s="191"/>
      <c r="H805" s="191"/>
      <c r="I805" s="191"/>
      <c r="J805" s="191"/>
      <c r="K805" s="191"/>
      <c r="L805" s="191"/>
      <c r="M805" s="191"/>
      <c r="N805" s="191"/>
      <c r="O805" s="191"/>
    </row>
    <row r="806">
      <c r="A806" s="191"/>
      <c r="B806" s="191"/>
      <c r="C806" s="191"/>
      <c r="D806" s="191"/>
      <c r="E806" s="191"/>
      <c r="F806" s="191"/>
      <c r="G806" s="191"/>
      <c r="H806" s="191"/>
      <c r="I806" s="191"/>
      <c r="J806" s="191"/>
      <c r="K806" s="191"/>
      <c r="L806" s="191"/>
      <c r="M806" s="191"/>
      <c r="N806" s="191"/>
      <c r="O806" s="191"/>
    </row>
    <row r="807">
      <c r="A807" s="191"/>
      <c r="B807" s="191"/>
      <c r="C807" s="191"/>
      <c r="D807" s="191"/>
      <c r="E807" s="191"/>
      <c r="F807" s="191"/>
      <c r="G807" s="191"/>
      <c r="H807" s="191"/>
      <c r="I807" s="191"/>
      <c r="J807" s="191"/>
      <c r="K807" s="191"/>
      <c r="L807" s="191"/>
      <c r="M807" s="191"/>
      <c r="N807" s="191"/>
      <c r="O807" s="191"/>
    </row>
    <row r="808">
      <c r="A808" s="191"/>
      <c r="B808" s="191"/>
      <c r="C808" s="191"/>
      <c r="D808" s="191"/>
      <c r="E808" s="191"/>
      <c r="F808" s="191"/>
      <c r="G808" s="191"/>
      <c r="H808" s="191"/>
      <c r="I808" s="191"/>
      <c r="J808" s="191"/>
      <c r="K808" s="191"/>
      <c r="L808" s="191"/>
      <c r="M808" s="191"/>
      <c r="N808" s="191"/>
      <c r="O808" s="191"/>
    </row>
    <row r="809">
      <c r="A809" s="191"/>
      <c r="B809" s="191"/>
      <c r="C809" s="191"/>
      <c r="D809" s="191"/>
      <c r="E809" s="191"/>
      <c r="F809" s="191"/>
      <c r="G809" s="191"/>
      <c r="H809" s="191"/>
      <c r="I809" s="191"/>
      <c r="J809" s="191"/>
      <c r="K809" s="191"/>
      <c r="L809" s="191"/>
      <c r="M809" s="191"/>
      <c r="N809" s="191"/>
      <c r="O809" s="191"/>
    </row>
    <row r="810">
      <c r="A810" s="191"/>
      <c r="B810" s="191"/>
      <c r="C810" s="191"/>
      <c r="D810" s="191"/>
      <c r="E810" s="191"/>
      <c r="F810" s="191"/>
      <c r="G810" s="191"/>
      <c r="H810" s="191"/>
      <c r="I810" s="191"/>
      <c r="J810" s="191"/>
      <c r="K810" s="191"/>
      <c r="L810" s="191"/>
      <c r="M810" s="191"/>
      <c r="N810" s="191"/>
      <c r="O810" s="191"/>
    </row>
    <row r="811">
      <c r="A811" s="191"/>
      <c r="B811" s="191"/>
      <c r="C811" s="191"/>
      <c r="D811" s="191"/>
      <c r="E811" s="191"/>
      <c r="F811" s="191"/>
      <c r="G811" s="191"/>
      <c r="H811" s="191"/>
      <c r="I811" s="191"/>
      <c r="J811" s="191"/>
      <c r="K811" s="191"/>
      <c r="L811" s="191"/>
      <c r="M811" s="191"/>
      <c r="N811" s="191"/>
      <c r="O811" s="191"/>
    </row>
    <row r="812">
      <c r="A812" s="191"/>
      <c r="B812" s="191"/>
      <c r="C812" s="191"/>
      <c r="D812" s="191"/>
      <c r="E812" s="191"/>
      <c r="F812" s="191"/>
      <c r="G812" s="191"/>
      <c r="H812" s="191"/>
      <c r="I812" s="191"/>
      <c r="J812" s="191"/>
      <c r="K812" s="191"/>
      <c r="L812" s="191"/>
      <c r="M812" s="191"/>
      <c r="N812" s="191"/>
      <c r="O812" s="191"/>
    </row>
    <row r="813">
      <c r="A813" s="191"/>
      <c r="B813" s="191"/>
      <c r="C813" s="191"/>
      <c r="D813" s="191"/>
      <c r="E813" s="191"/>
      <c r="F813" s="191"/>
      <c r="G813" s="191"/>
      <c r="H813" s="191"/>
      <c r="I813" s="191"/>
      <c r="J813" s="191"/>
      <c r="K813" s="191"/>
      <c r="L813" s="191"/>
      <c r="M813" s="191"/>
      <c r="N813" s="191"/>
      <c r="O813" s="191"/>
    </row>
    <row r="814">
      <c r="A814" s="191"/>
      <c r="B814" s="191"/>
      <c r="C814" s="191"/>
      <c r="D814" s="191"/>
      <c r="E814" s="191"/>
      <c r="F814" s="191"/>
      <c r="G814" s="191"/>
      <c r="H814" s="191"/>
      <c r="I814" s="191"/>
      <c r="J814" s="191"/>
      <c r="K814" s="191"/>
      <c r="L814" s="191"/>
      <c r="M814" s="191"/>
      <c r="N814" s="191"/>
      <c r="O814" s="191"/>
    </row>
    <row r="815">
      <c r="A815" s="191"/>
      <c r="B815" s="191"/>
      <c r="C815" s="191"/>
      <c r="D815" s="191"/>
      <c r="E815" s="191"/>
      <c r="F815" s="191"/>
      <c r="G815" s="191"/>
      <c r="H815" s="191"/>
      <c r="I815" s="191"/>
      <c r="J815" s="191"/>
      <c r="K815" s="191"/>
      <c r="L815" s="191"/>
      <c r="M815" s="191"/>
      <c r="N815" s="191"/>
      <c r="O815" s="191"/>
    </row>
    <row r="816">
      <c r="A816" s="191"/>
      <c r="B816" s="191"/>
      <c r="C816" s="191"/>
      <c r="D816" s="191"/>
      <c r="E816" s="191"/>
      <c r="F816" s="191"/>
      <c r="G816" s="191"/>
      <c r="H816" s="191"/>
      <c r="I816" s="191"/>
      <c r="J816" s="191"/>
      <c r="K816" s="191"/>
      <c r="L816" s="191"/>
      <c r="M816" s="191"/>
      <c r="N816" s="191"/>
      <c r="O816" s="191"/>
    </row>
    <row r="817">
      <c r="A817" s="191"/>
      <c r="B817" s="191"/>
      <c r="C817" s="191"/>
      <c r="D817" s="191"/>
      <c r="E817" s="191"/>
      <c r="F817" s="191"/>
      <c r="G817" s="191"/>
      <c r="H817" s="191"/>
      <c r="I817" s="191"/>
      <c r="J817" s="191"/>
      <c r="K817" s="191"/>
      <c r="L817" s="191"/>
      <c r="M817" s="191"/>
      <c r="N817" s="191"/>
      <c r="O817" s="191"/>
    </row>
    <row r="818">
      <c r="A818" s="191"/>
      <c r="B818" s="191"/>
      <c r="C818" s="191"/>
      <c r="D818" s="191"/>
      <c r="E818" s="191"/>
      <c r="F818" s="191"/>
      <c r="G818" s="191"/>
      <c r="H818" s="191"/>
      <c r="I818" s="191"/>
      <c r="J818" s="191"/>
      <c r="K818" s="191"/>
      <c r="L818" s="191"/>
      <c r="M818" s="191"/>
      <c r="N818" s="191"/>
      <c r="O818" s="191"/>
    </row>
    <row r="819">
      <c r="A819" s="191"/>
      <c r="B819" s="191"/>
      <c r="C819" s="191"/>
      <c r="D819" s="191"/>
      <c r="E819" s="191"/>
      <c r="F819" s="191"/>
      <c r="G819" s="191"/>
      <c r="H819" s="191"/>
      <c r="I819" s="191"/>
      <c r="J819" s="191"/>
      <c r="K819" s="191"/>
      <c r="L819" s="191"/>
      <c r="M819" s="191"/>
      <c r="N819" s="191"/>
      <c r="O819" s="191"/>
    </row>
    <row r="820">
      <c r="A820" s="191"/>
      <c r="B820" s="191"/>
      <c r="C820" s="191"/>
      <c r="D820" s="191"/>
      <c r="E820" s="191"/>
      <c r="F820" s="191"/>
      <c r="G820" s="191"/>
      <c r="H820" s="191"/>
      <c r="I820" s="191"/>
      <c r="J820" s="191"/>
      <c r="K820" s="191"/>
      <c r="L820" s="191"/>
      <c r="M820" s="191"/>
      <c r="N820" s="191"/>
      <c r="O820" s="191"/>
    </row>
    <row r="821">
      <c r="A821" s="191"/>
      <c r="B821" s="191"/>
      <c r="C821" s="191"/>
      <c r="D821" s="191"/>
      <c r="E821" s="191"/>
      <c r="F821" s="191"/>
      <c r="G821" s="191"/>
      <c r="H821" s="191"/>
      <c r="I821" s="191"/>
      <c r="J821" s="191"/>
      <c r="K821" s="191"/>
      <c r="L821" s="191"/>
      <c r="M821" s="191"/>
      <c r="N821" s="191"/>
      <c r="O821" s="191"/>
    </row>
    <row r="822">
      <c r="A822" s="191"/>
      <c r="B822" s="191"/>
      <c r="C822" s="191"/>
      <c r="D822" s="191"/>
      <c r="E822" s="191"/>
      <c r="F822" s="191"/>
      <c r="G822" s="191"/>
      <c r="H822" s="191"/>
      <c r="I822" s="191"/>
      <c r="J822" s="191"/>
      <c r="K822" s="191"/>
      <c r="L822" s="191"/>
      <c r="M822" s="191"/>
      <c r="N822" s="191"/>
      <c r="O822" s="191"/>
    </row>
    <row r="823">
      <c r="A823" s="191"/>
      <c r="B823" s="191"/>
      <c r="C823" s="191"/>
      <c r="D823" s="191"/>
      <c r="E823" s="191"/>
      <c r="F823" s="191"/>
      <c r="G823" s="191"/>
      <c r="H823" s="191"/>
      <c r="I823" s="191"/>
      <c r="J823" s="191"/>
      <c r="K823" s="191"/>
      <c r="L823" s="191"/>
      <c r="M823" s="191"/>
      <c r="N823" s="191"/>
      <c r="O823" s="191"/>
    </row>
    <row r="824">
      <c r="A824" s="191"/>
      <c r="B824" s="191"/>
      <c r="C824" s="191"/>
      <c r="D824" s="191"/>
      <c r="E824" s="191"/>
      <c r="F824" s="191"/>
      <c r="G824" s="191"/>
      <c r="H824" s="191"/>
      <c r="I824" s="191"/>
      <c r="J824" s="191"/>
      <c r="K824" s="191"/>
      <c r="L824" s="191"/>
      <c r="M824" s="191"/>
      <c r="N824" s="191"/>
      <c r="O824" s="191"/>
    </row>
    <row r="825">
      <c r="A825" s="191"/>
      <c r="B825" s="191"/>
      <c r="C825" s="191"/>
      <c r="D825" s="191"/>
      <c r="E825" s="191"/>
      <c r="F825" s="191"/>
      <c r="G825" s="191"/>
      <c r="H825" s="191"/>
      <c r="I825" s="191"/>
      <c r="J825" s="191"/>
      <c r="K825" s="191"/>
      <c r="L825" s="191"/>
      <c r="M825" s="191"/>
      <c r="N825" s="191"/>
      <c r="O825" s="191"/>
    </row>
    <row r="826">
      <c r="A826" s="191"/>
      <c r="B826" s="191"/>
      <c r="C826" s="191"/>
      <c r="D826" s="191"/>
      <c r="E826" s="191"/>
      <c r="F826" s="191"/>
      <c r="G826" s="191"/>
      <c r="H826" s="191"/>
      <c r="I826" s="191"/>
      <c r="J826" s="191"/>
      <c r="K826" s="191"/>
      <c r="L826" s="191"/>
      <c r="M826" s="191"/>
      <c r="N826" s="191"/>
      <c r="O826" s="191"/>
    </row>
    <row r="827">
      <c r="A827" s="191"/>
      <c r="B827" s="191"/>
      <c r="C827" s="191"/>
      <c r="D827" s="191"/>
      <c r="E827" s="191"/>
      <c r="F827" s="191"/>
      <c r="G827" s="191"/>
      <c r="H827" s="191"/>
      <c r="I827" s="191"/>
      <c r="J827" s="191"/>
      <c r="K827" s="191"/>
      <c r="L827" s="191"/>
      <c r="M827" s="191"/>
      <c r="N827" s="191"/>
      <c r="O827" s="191"/>
    </row>
    <row r="828">
      <c r="A828" s="191"/>
      <c r="B828" s="191"/>
      <c r="C828" s="191"/>
      <c r="D828" s="191"/>
      <c r="E828" s="191"/>
      <c r="F828" s="191"/>
      <c r="G828" s="191"/>
      <c r="H828" s="191"/>
      <c r="I828" s="191"/>
      <c r="J828" s="191"/>
      <c r="K828" s="191"/>
      <c r="L828" s="191"/>
      <c r="M828" s="191"/>
      <c r="N828" s="191"/>
      <c r="O828" s="191"/>
    </row>
    <row r="829">
      <c r="A829" s="191"/>
      <c r="B829" s="191"/>
      <c r="C829" s="191"/>
      <c r="D829" s="191"/>
      <c r="E829" s="191"/>
      <c r="F829" s="191"/>
      <c r="G829" s="191"/>
      <c r="H829" s="191"/>
      <c r="I829" s="191"/>
      <c r="J829" s="191"/>
      <c r="K829" s="191"/>
      <c r="L829" s="191"/>
      <c r="M829" s="191"/>
      <c r="N829" s="191"/>
      <c r="O829" s="191"/>
    </row>
    <row r="830">
      <c r="A830" s="191"/>
      <c r="B830" s="191"/>
      <c r="C830" s="191"/>
      <c r="D830" s="191"/>
      <c r="E830" s="191"/>
      <c r="F830" s="191"/>
      <c r="G830" s="191"/>
      <c r="H830" s="191"/>
      <c r="I830" s="191"/>
      <c r="J830" s="191"/>
      <c r="K830" s="191"/>
      <c r="L830" s="191"/>
      <c r="M830" s="191"/>
      <c r="N830" s="191"/>
      <c r="O830" s="191"/>
    </row>
    <row r="831">
      <c r="A831" s="191"/>
      <c r="B831" s="191"/>
      <c r="C831" s="191"/>
      <c r="D831" s="191"/>
      <c r="E831" s="191"/>
      <c r="F831" s="191"/>
      <c r="G831" s="191"/>
      <c r="H831" s="191"/>
      <c r="I831" s="191"/>
      <c r="J831" s="191"/>
      <c r="K831" s="191"/>
      <c r="L831" s="191"/>
      <c r="M831" s="191"/>
      <c r="N831" s="191"/>
      <c r="O831" s="191"/>
    </row>
    <row r="832">
      <c r="A832" s="191"/>
      <c r="B832" s="191"/>
      <c r="C832" s="191"/>
      <c r="D832" s="191"/>
      <c r="E832" s="191"/>
      <c r="F832" s="191"/>
      <c r="G832" s="191"/>
      <c r="H832" s="191"/>
      <c r="I832" s="191"/>
      <c r="J832" s="191"/>
      <c r="K832" s="191"/>
      <c r="L832" s="191"/>
      <c r="M832" s="191"/>
      <c r="N832" s="191"/>
      <c r="O832" s="191"/>
    </row>
    <row r="833">
      <c r="A833" s="191"/>
      <c r="B833" s="191"/>
      <c r="C833" s="191"/>
      <c r="D833" s="191"/>
      <c r="E833" s="191"/>
      <c r="F833" s="191"/>
      <c r="G833" s="191"/>
      <c r="H833" s="191"/>
      <c r="I833" s="191"/>
      <c r="J833" s="191"/>
      <c r="K833" s="191"/>
      <c r="L833" s="191"/>
      <c r="M833" s="191"/>
      <c r="N833" s="191"/>
      <c r="O833" s="191"/>
    </row>
    <row r="834">
      <c r="A834" s="191"/>
      <c r="B834" s="191"/>
      <c r="C834" s="191"/>
      <c r="D834" s="191"/>
      <c r="E834" s="191"/>
      <c r="F834" s="191"/>
      <c r="G834" s="191"/>
      <c r="H834" s="191"/>
      <c r="I834" s="191"/>
      <c r="J834" s="191"/>
      <c r="K834" s="191"/>
      <c r="L834" s="191"/>
      <c r="M834" s="191"/>
      <c r="N834" s="191"/>
      <c r="O834" s="191"/>
    </row>
    <row r="835">
      <c r="A835" s="191"/>
      <c r="B835" s="191"/>
      <c r="C835" s="191"/>
      <c r="D835" s="191"/>
      <c r="E835" s="191"/>
      <c r="F835" s="191"/>
      <c r="G835" s="191"/>
      <c r="H835" s="191"/>
      <c r="I835" s="191"/>
      <c r="J835" s="191"/>
      <c r="K835" s="191"/>
      <c r="L835" s="191"/>
      <c r="M835" s="191"/>
      <c r="N835" s="191"/>
      <c r="O835" s="191"/>
    </row>
    <row r="836">
      <c r="A836" s="191"/>
      <c r="B836" s="191"/>
      <c r="C836" s="191"/>
      <c r="D836" s="191"/>
      <c r="E836" s="191"/>
      <c r="F836" s="191"/>
      <c r="G836" s="191"/>
      <c r="H836" s="191"/>
      <c r="I836" s="191"/>
      <c r="J836" s="191"/>
      <c r="K836" s="191"/>
      <c r="L836" s="191"/>
      <c r="M836" s="191"/>
      <c r="N836" s="191"/>
      <c r="O836" s="191"/>
    </row>
    <row r="837">
      <c r="A837" s="191"/>
      <c r="B837" s="191"/>
      <c r="C837" s="191"/>
      <c r="D837" s="191"/>
      <c r="E837" s="191"/>
      <c r="F837" s="191"/>
      <c r="G837" s="191"/>
      <c r="H837" s="191"/>
      <c r="I837" s="191"/>
      <c r="J837" s="191"/>
      <c r="K837" s="191"/>
      <c r="L837" s="191"/>
      <c r="M837" s="191"/>
      <c r="N837" s="191"/>
      <c r="O837" s="191"/>
    </row>
    <row r="838">
      <c r="A838" s="191"/>
      <c r="B838" s="191"/>
      <c r="C838" s="191"/>
      <c r="D838" s="191"/>
      <c r="E838" s="191"/>
      <c r="F838" s="191"/>
      <c r="G838" s="191"/>
      <c r="H838" s="191"/>
      <c r="I838" s="191"/>
      <c r="J838" s="191"/>
      <c r="K838" s="191"/>
      <c r="L838" s="191"/>
      <c r="M838" s="191"/>
      <c r="N838" s="191"/>
      <c r="O838" s="191"/>
    </row>
    <row r="839">
      <c r="A839" s="191"/>
      <c r="B839" s="191"/>
      <c r="C839" s="191"/>
      <c r="D839" s="191"/>
      <c r="E839" s="191"/>
      <c r="F839" s="191"/>
      <c r="G839" s="191"/>
      <c r="H839" s="191"/>
      <c r="I839" s="191"/>
      <c r="J839" s="191"/>
      <c r="K839" s="191"/>
      <c r="L839" s="191"/>
      <c r="M839" s="191"/>
      <c r="N839" s="191"/>
      <c r="O839" s="191"/>
    </row>
    <row r="840">
      <c r="A840" s="191"/>
      <c r="B840" s="191"/>
      <c r="C840" s="191"/>
      <c r="D840" s="191"/>
      <c r="E840" s="191"/>
      <c r="F840" s="191"/>
      <c r="G840" s="191"/>
      <c r="H840" s="191"/>
      <c r="I840" s="191"/>
      <c r="J840" s="191"/>
      <c r="K840" s="191"/>
      <c r="L840" s="191"/>
      <c r="M840" s="191"/>
      <c r="N840" s="191"/>
      <c r="O840" s="191"/>
    </row>
    <row r="841">
      <c r="A841" s="191"/>
      <c r="B841" s="191"/>
      <c r="C841" s="191"/>
      <c r="D841" s="191"/>
      <c r="E841" s="191"/>
      <c r="F841" s="191"/>
      <c r="G841" s="191"/>
      <c r="H841" s="191"/>
      <c r="I841" s="191"/>
      <c r="J841" s="191"/>
      <c r="K841" s="191"/>
      <c r="L841" s="191"/>
      <c r="M841" s="191"/>
      <c r="N841" s="191"/>
      <c r="O841" s="191"/>
    </row>
    <row r="842">
      <c r="A842" s="191"/>
      <c r="B842" s="191"/>
      <c r="C842" s="191"/>
      <c r="D842" s="191"/>
      <c r="E842" s="191"/>
      <c r="F842" s="191"/>
      <c r="G842" s="191"/>
      <c r="H842" s="191"/>
      <c r="I842" s="191"/>
      <c r="J842" s="191"/>
      <c r="K842" s="191"/>
      <c r="L842" s="191"/>
      <c r="M842" s="191"/>
      <c r="N842" s="191"/>
      <c r="O842" s="191"/>
    </row>
    <row r="843">
      <c r="A843" s="191"/>
      <c r="B843" s="191"/>
      <c r="C843" s="191"/>
      <c r="D843" s="191"/>
      <c r="E843" s="191"/>
      <c r="F843" s="191"/>
      <c r="G843" s="191"/>
      <c r="H843" s="191"/>
      <c r="I843" s="191"/>
      <c r="J843" s="191"/>
      <c r="K843" s="191"/>
      <c r="L843" s="191"/>
      <c r="M843" s="191"/>
      <c r="N843" s="191"/>
      <c r="O843" s="191"/>
    </row>
    <row r="844">
      <c r="A844" s="191"/>
      <c r="B844" s="191"/>
      <c r="C844" s="191"/>
      <c r="D844" s="191"/>
      <c r="E844" s="191"/>
      <c r="F844" s="191"/>
      <c r="G844" s="191"/>
      <c r="H844" s="191"/>
      <c r="I844" s="191"/>
      <c r="J844" s="191"/>
      <c r="K844" s="191"/>
      <c r="L844" s="191"/>
      <c r="M844" s="191"/>
      <c r="N844" s="191"/>
      <c r="O844" s="191"/>
    </row>
    <row r="845">
      <c r="A845" s="191"/>
      <c r="B845" s="191"/>
      <c r="C845" s="191"/>
      <c r="D845" s="191"/>
      <c r="E845" s="191"/>
      <c r="F845" s="191"/>
      <c r="G845" s="191"/>
      <c r="H845" s="191"/>
      <c r="I845" s="191"/>
      <c r="J845" s="191"/>
      <c r="K845" s="191"/>
      <c r="L845" s="191"/>
      <c r="M845" s="191"/>
      <c r="N845" s="191"/>
      <c r="O845" s="191"/>
    </row>
    <row r="846">
      <c r="A846" s="191"/>
      <c r="B846" s="191"/>
      <c r="C846" s="191"/>
      <c r="D846" s="191"/>
      <c r="E846" s="191"/>
      <c r="F846" s="191"/>
      <c r="G846" s="191"/>
      <c r="H846" s="191"/>
      <c r="I846" s="191"/>
      <c r="J846" s="191"/>
      <c r="K846" s="191"/>
      <c r="L846" s="191"/>
      <c r="M846" s="191"/>
      <c r="N846" s="191"/>
      <c r="O846" s="191"/>
    </row>
    <row r="847">
      <c r="A847" s="191"/>
      <c r="B847" s="191"/>
      <c r="C847" s="191"/>
      <c r="D847" s="191"/>
      <c r="E847" s="191"/>
      <c r="F847" s="191"/>
      <c r="G847" s="191"/>
      <c r="H847" s="191"/>
      <c r="I847" s="191"/>
      <c r="J847" s="191"/>
      <c r="K847" s="191"/>
      <c r="L847" s="191"/>
      <c r="M847" s="191"/>
      <c r="N847" s="191"/>
      <c r="O847" s="191"/>
    </row>
    <row r="848">
      <c r="A848" s="191"/>
      <c r="B848" s="191"/>
      <c r="C848" s="191"/>
      <c r="D848" s="191"/>
      <c r="E848" s="191"/>
      <c r="F848" s="191"/>
      <c r="G848" s="191"/>
      <c r="H848" s="191"/>
      <c r="I848" s="191"/>
      <c r="J848" s="191"/>
      <c r="K848" s="191"/>
      <c r="L848" s="191"/>
      <c r="M848" s="191"/>
      <c r="N848" s="191"/>
      <c r="O848" s="191"/>
    </row>
    <row r="849">
      <c r="A849" s="191"/>
      <c r="B849" s="191"/>
      <c r="C849" s="191"/>
      <c r="D849" s="191"/>
      <c r="E849" s="191"/>
      <c r="F849" s="191"/>
      <c r="G849" s="191"/>
      <c r="H849" s="191"/>
      <c r="I849" s="191"/>
      <c r="J849" s="191"/>
      <c r="K849" s="191"/>
      <c r="L849" s="191"/>
      <c r="M849" s="191"/>
      <c r="N849" s="191"/>
      <c r="O849" s="191"/>
    </row>
    <row r="850">
      <c r="A850" s="191"/>
      <c r="B850" s="191"/>
      <c r="C850" s="191"/>
      <c r="D850" s="191"/>
      <c r="E850" s="191"/>
      <c r="F850" s="191"/>
      <c r="G850" s="191"/>
      <c r="H850" s="191"/>
      <c r="I850" s="191"/>
      <c r="J850" s="191"/>
      <c r="K850" s="191"/>
      <c r="L850" s="191"/>
      <c r="M850" s="191"/>
      <c r="N850" s="191"/>
      <c r="O850" s="191"/>
    </row>
    <row r="851">
      <c r="A851" s="191"/>
      <c r="B851" s="191"/>
      <c r="C851" s="191"/>
      <c r="D851" s="191"/>
      <c r="E851" s="191"/>
      <c r="F851" s="191"/>
      <c r="G851" s="191"/>
      <c r="H851" s="191"/>
      <c r="I851" s="191"/>
      <c r="J851" s="191"/>
      <c r="K851" s="191"/>
      <c r="L851" s="191"/>
      <c r="M851" s="191"/>
      <c r="N851" s="191"/>
      <c r="O851" s="191"/>
    </row>
    <row r="852">
      <c r="A852" s="191"/>
      <c r="B852" s="191"/>
      <c r="C852" s="191"/>
      <c r="D852" s="191"/>
      <c r="E852" s="191"/>
      <c r="F852" s="191"/>
      <c r="G852" s="191"/>
      <c r="H852" s="191"/>
      <c r="I852" s="191"/>
      <c r="J852" s="191"/>
      <c r="K852" s="191"/>
      <c r="L852" s="191"/>
      <c r="M852" s="191"/>
      <c r="N852" s="191"/>
      <c r="O852" s="191"/>
    </row>
    <row r="853">
      <c r="A853" s="191"/>
      <c r="B853" s="191"/>
      <c r="C853" s="191"/>
      <c r="D853" s="191"/>
      <c r="E853" s="191"/>
      <c r="F853" s="191"/>
      <c r="G853" s="191"/>
      <c r="H853" s="191"/>
      <c r="I853" s="191"/>
      <c r="J853" s="191"/>
      <c r="K853" s="191"/>
      <c r="L853" s="191"/>
      <c r="M853" s="191"/>
      <c r="N853" s="191"/>
      <c r="O853" s="191"/>
    </row>
    <row r="854">
      <c r="A854" s="191"/>
      <c r="B854" s="191"/>
      <c r="C854" s="191"/>
      <c r="D854" s="191"/>
      <c r="E854" s="191"/>
      <c r="F854" s="191"/>
      <c r="G854" s="191"/>
      <c r="H854" s="191"/>
      <c r="I854" s="191"/>
      <c r="J854" s="191"/>
      <c r="K854" s="191"/>
      <c r="L854" s="191"/>
      <c r="M854" s="191"/>
      <c r="N854" s="191"/>
      <c r="O854" s="191"/>
    </row>
    <row r="855">
      <c r="A855" s="191"/>
      <c r="B855" s="191"/>
      <c r="C855" s="191"/>
      <c r="D855" s="191"/>
      <c r="E855" s="191"/>
      <c r="F855" s="191"/>
      <c r="G855" s="191"/>
      <c r="H855" s="191"/>
      <c r="I855" s="191"/>
      <c r="J855" s="191"/>
      <c r="K855" s="191"/>
      <c r="L855" s="191"/>
      <c r="M855" s="191"/>
      <c r="N855" s="191"/>
      <c r="O855" s="191"/>
    </row>
    <row r="856">
      <c r="A856" s="191"/>
      <c r="B856" s="191"/>
      <c r="C856" s="191"/>
      <c r="D856" s="191"/>
      <c r="E856" s="191"/>
      <c r="F856" s="191"/>
      <c r="G856" s="191"/>
      <c r="H856" s="191"/>
      <c r="I856" s="191"/>
      <c r="J856" s="191"/>
      <c r="K856" s="191"/>
      <c r="L856" s="191"/>
      <c r="M856" s="191"/>
      <c r="N856" s="191"/>
      <c r="O856" s="191"/>
    </row>
    <row r="857">
      <c r="A857" s="191"/>
      <c r="B857" s="191"/>
      <c r="C857" s="191"/>
      <c r="D857" s="191"/>
      <c r="E857" s="191"/>
      <c r="F857" s="191"/>
      <c r="G857" s="191"/>
      <c r="H857" s="191"/>
      <c r="I857" s="191"/>
      <c r="J857" s="191"/>
      <c r="K857" s="191"/>
      <c r="L857" s="191"/>
      <c r="M857" s="191"/>
      <c r="N857" s="191"/>
      <c r="O857" s="191"/>
    </row>
    <row r="858">
      <c r="A858" s="191"/>
      <c r="B858" s="191"/>
      <c r="C858" s="191"/>
      <c r="D858" s="191"/>
      <c r="E858" s="191"/>
      <c r="F858" s="191"/>
      <c r="G858" s="191"/>
      <c r="H858" s="191"/>
      <c r="I858" s="191"/>
      <c r="J858" s="191"/>
      <c r="K858" s="191"/>
      <c r="L858" s="191"/>
      <c r="M858" s="191"/>
      <c r="N858" s="191"/>
      <c r="O858" s="191"/>
    </row>
    <row r="859">
      <c r="A859" s="191"/>
      <c r="B859" s="191"/>
      <c r="C859" s="191"/>
      <c r="D859" s="191"/>
      <c r="E859" s="191"/>
      <c r="F859" s="191"/>
      <c r="G859" s="191"/>
      <c r="H859" s="191"/>
      <c r="I859" s="191"/>
      <c r="J859" s="191"/>
      <c r="K859" s="191"/>
      <c r="L859" s="191"/>
      <c r="M859" s="191"/>
      <c r="N859" s="191"/>
      <c r="O859" s="191"/>
    </row>
    <row r="860">
      <c r="A860" s="191"/>
      <c r="B860" s="191"/>
      <c r="C860" s="191"/>
      <c r="D860" s="191"/>
      <c r="E860" s="191"/>
      <c r="F860" s="191"/>
      <c r="G860" s="191"/>
      <c r="H860" s="191"/>
      <c r="I860" s="191"/>
      <c r="J860" s="191"/>
      <c r="K860" s="191"/>
      <c r="L860" s="191"/>
      <c r="M860" s="191"/>
      <c r="N860" s="191"/>
      <c r="O860" s="191"/>
    </row>
    <row r="861">
      <c r="A861" s="191"/>
      <c r="B861" s="191"/>
      <c r="C861" s="191"/>
      <c r="D861" s="191"/>
      <c r="E861" s="191"/>
      <c r="F861" s="191"/>
      <c r="G861" s="191"/>
      <c r="H861" s="191"/>
      <c r="I861" s="191"/>
      <c r="J861" s="191"/>
      <c r="K861" s="191"/>
      <c r="L861" s="191"/>
      <c r="M861" s="191"/>
      <c r="N861" s="191"/>
      <c r="O861" s="191"/>
    </row>
    <row r="862">
      <c r="A862" s="191"/>
      <c r="B862" s="191"/>
      <c r="C862" s="191"/>
      <c r="D862" s="191"/>
      <c r="E862" s="191"/>
      <c r="F862" s="191"/>
      <c r="G862" s="191"/>
      <c r="H862" s="191"/>
      <c r="I862" s="191"/>
      <c r="J862" s="191"/>
      <c r="K862" s="191"/>
      <c r="L862" s="191"/>
      <c r="M862" s="191"/>
      <c r="N862" s="191"/>
      <c r="O862" s="191"/>
    </row>
    <row r="863">
      <c r="A863" s="191"/>
      <c r="B863" s="191"/>
      <c r="C863" s="191"/>
      <c r="D863" s="191"/>
      <c r="E863" s="191"/>
      <c r="F863" s="191"/>
      <c r="G863" s="191"/>
      <c r="H863" s="191"/>
      <c r="I863" s="191"/>
      <c r="J863" s="191"/>
      <c r="K863" s="191"/>
      <c r="L863" s="191"/>
      <c r="M863" s="191"/>
      <c r="N863" s="191"/>
      <c r="O863" s="191"/>
    </row>
    <row r="864">
      <c r="A864" s="191"/>
      <c r="B864" s="191"/>
      <c r="C864" s="191"/>
      <c r="D864" s="191"/>
      <c r="E864" s="191"/>
      <c r="F864" s="191"/>
      <c r="G864" s="191"/>
      <c r="H864" s="191"/>
      <c r="I864" s="191"/>
      <c r="J864" s="191"/>
      <c r="K864" s="191"/>
      <c r="L864" s="191"/>
      <c r="M864" s="191"/>
      <c r="N864" s="191"/>
      <c r="O864" s="191"/>
    </row>
    <row r="865">
      <c r="A865" s="191"/>
      <c r="B865" s="191"/>
      <c r="C865" s="191"/>
      <c r="D865" s="191"/>
      <c r="E865" s="191"/>
      <c r="F865" s="191"/>
      <c r="G865" s="191"/>
      <c r="H865" s="191"/>
      <c r="I865" s="191"/>
      <c r="J865" s="191"/>
      <c r="K865" s="191"/>
      <c r="L865" s="191"/>
      <c r="M865" s="191"/>
      <c r="N865" s="191"/>
      <c r="O865" s="191"/>
    </row>
    <row r="866">
      <c r="A866" s="191"/>
      <c r="B866" s="191"/>
      <c r="C866" s="191"/>
      <c r="D866" s="191"/>
      <c r="E866" s="191"/>
      <c r="F866" s="191"/>
      <c r="G866" s="191"/>
      <c r="H866" s="191"/>
      <c r="I866" s="191"/>
      <c r="J866" s="191"/>
      <c r="K866" s="191"/>
      <c r="L866" s="191"/>
      <c r="M866" s="191"/>
      <c r="N866" s="191"/>
      <c r="O866" s="191"/>
    </row>
    <row r="867">
      <c r="A867" s="191"/>
      <c r="B867" s="191"/>
      <c r="C867" s="191"/>
      <c r="D867" s="191"/>
      <c r="E867" s="191"/>
      <c r="F867" s="191"/>
      <c r="G867" s="191"/>
      <c r="H867" s="191"/>
      <c r="I867" s="191"/>
      <c r="J867" s="191"/>
      <c r="K867" s="191"/>
      <c r="L867" s="191"/>
      <c r="M867" s="191"/>
      <c r="N867" s="191"/>
      <c r="O867" s="191"/>
    </row>
    <row r="868">
      <c r="A868" s="191"/>
      <c r="B868" s="191"/>
      <c r="C868" s="191"/>
      <c r="D868" s="191"/>
      <c r="E868" s="191"/>
      <c r="F868" s="191"/>
      <c r="G868" s="191"/>
      <c r="H868" s="191"/>
      <c r="I868" s="191"/>
      <c r="J868" s="191"/>
      <c r="K868" s="191"/>
      <c r="L868" s="191"/>
      <c r="M868" s="191"/>
      <c r="N868" s="191"/>
      <c r="O868" s="191"/>
    </row>
    <row r="869">
      <c r="A869" s="191"/>
      <c r="B869" s="191"/>
      <c r="C869" s="191"/>
      <c r="D869" s="191"/>
      <c r="E869" s="191"/>
      <c r="F869" s="191"/>
      <c r="G869" s="191"/>
      <c r="H869" s="191"/>
      <c r="I869" s="191"/>
      <c r="J869" s="191"/>
      <c r="K869" s="191"/>
      <c r="L869" s="191"/>
      <c r="M869" s="191"/>
      <c r="N869" s="191"/>
      <c r="O869" s="191"/>
    </row>
    <row r="870">
      <c r="A870" s="191"/>
      <c r="B870" s="191"/>
      <c r="C870" s="191"/>
      <c r="D870" s="191"/>
      <c r="E870" s="191"/>
      <c r="F870" s="191"/>
      <c r="G870" s="191"/>
      <c r="H870" s="191"/>
      <c r="I870" s="191"/>
      <c r="J870" s="191"/>
      <c r="K870" s="191"/>
      <c r="L870" s="191"/>
      <c r="M870" s="191"/>
      <c r="N870" s="191"/>
      <c r="O870" s="191"/>
    </row>
    <row r="871">
      <c r="A871" s="191"/>
      <c r="B871" s="191"/>
      <c r="C871" s="191"/>
      <c r="D871" s="191"/>
      <c r="E871" s="191"/>
      <c r="F871" s="191"/>
      <c r="G871" s="191"/>
      <c r="H871" s="191"/>
      <c r="I871" s="191"/>
      <c r="J871" s="191"/>
      <c r="K871" s="191"/>
      <c r="L871" s="191"/>
      <c r="M871" s="191"/>
      <c r="N871" s="191"/>
      <c r="O871" s="191"/>
    </row>
    <row r="872">
      <c r="A872" s="191"/>
      <c r="B872" s="191"/>
      <c r="C872" s="191"/>
      <c r="D872" s="191"/>
      <c r="E872" s="191"/>
      <c r="F872" s="191"/>
      <c r="G872" s="191"/>
      <c r="H872" s="191"/>
      <c r="I872" s="191"/>
      <c r="J872" s="191"/>
      <c r="K872" s="191"/>
      <c r="L872" s="191"/>
      <c r="M872" s="191"/>
      <c r="N872" s="191"/>
      <c r="O872" s="191"/>
    </row>
    <row r="873">
      <c r="A873" s="191"/>
      <c r="B873" s="191"/>
      <c r="C873" s="191"/>
      <c r="D873" s="191"/>
      <c r="E873" s="191"/>
      <c r="F873" s="191"/>
      <c r="G873" s="191"/>
      <c r="H873" s="191"/>
      <c r="I873" s="191"/>
      <c r="J873" s="191"/>
      <c r="K873" s="191"/>
      <c r="L873" s="191"/>
      <c r="M873" s="191"/>
      <c r="N873" s="191"/>
      <c r="O873" s="191"/>
    </row>
    <row r="874">
      <c r="A874" s="191"/>
      <c r="B874" s="191"/>
      <c r="C874" s="191"/>
      <c r="D874" s="191"/>
      <c r="E874" s="191"/>
      <c r="F874" s="191"/>
      <c r="G874" s="191"/>
      <c r="H874" s="191"/>
      <c r="I874" s="191"/>
      <c r="J874" s="191"/>
      <c r="K874" s="191"/>
      <c r="L874" s="191"/>
      <c r="M874" s="191"/>
      <c r="N874" s="191"/>
      <c r="O874" s="191"/>
    </row>
    <row r="875">
      <c r="A875" s="191"/>
      <c r="B875" s="191"/>
      <c r="C875" s="191"/>
      <c r="D875" s="191"/>
      <c r="E875" s="191"/>
      <c r="F875" s="191"/>
      <c r="G875" s="191"/>
      <c r="H875" s="191"/>
      <c r="I875" s="191"/>
      <c r="J875" s="191"/>
      <c r="K875" s="191"/>
      <c r="L875" s="191"/>
      <c r="M875" s="191"/>
      <c r="N875" s="191"/>
      <c r="O875" s="191"/>
    </row>
    <row r="876">
      <c r="A876" s="191"/>
      <c r="B876" s="191"/>
      <c r="C876" s="191"/>
      <c r="D876" s="191"/>
      <c r="E876" s="191"/>
      <c r="F876" s="191"/>
      <c r="G876" s="191"/>
      <c r="H876" s="191"/>
      <c r="I876" s="191"/>
      <c r="J876" s="191"/>
      <c r="K876" s="191"/>
      <c r="L876" s="191"/>
      <c r="M876" s="191"/>
      <c r="N876" s="191"/>
      <c r="O876" s="191"/>
    </row>
    <row r="877">
      <c r="A877" s="191"/>
      <c r="B877" s="191"/>
      <c r="C877" s="191"/>
      <c r="D877" s="191"/>
      <c r="E877" s="191"/>
      <c r="F877" s="191"/>
      <c r="G877" s="191"/>
      <c r="H877" s="191"/>
      <c r="I877" s="191"/>
      <c r="J877" s="191"/>
      <c r="K877" s="191"/>
      <c r="L877" s="191"/>
      <c r="M877" s="191"/>
      <c r="N877" s="191"/>
      <c r="O877" s="191"/>
    </row>
    <row r="878">
      <c r="A878" s="191"/>
      <c r="B878" s="191"/>
      <c r="C878" s="191"/>
      <c r="D878" s="191"/>
      <c r="E878" s="191"/>
      <c r="F878" s="191"/>
      <c r="G878" s="191"/>
      <c r="H878" s="191"/>
      <c r="I878" s="191"/>
      <c r="J878" s="191"/>
      <c r="K878" s="191"/>
      <c r="L878" s="191"/>
      <c r="M878" s="191"/>
      <c r="N878" s="191"/>
      <c r="O878" s="191"/>
    </row>
    <row r="879">
      <c r="A879" s="191"/>
      <c r="B879" s="191"/>
      <c r="C879" s="191"/>
      <c r="D879" s="191"/>
      <c r="E879" s="191"/>
      <c r="F879" s="191"/>
      <c r="G879" s="191"/>
      <c r="H879" s="191"/>
      <c r="I879" s="191"/>
      <c r="J879" s="191"/>
      <c r="K879" s="191"/>
      <c r="L879" s="191"/>
      <c r="M879" s="191"/>
      <c r="N879" s="191"/>
      <c r="O879" s="191"/>
    </row>
    <row r="880">
      <c r="A880" s="191"/>
      <c r="B880" s="191"/>
      <c r="C880" s="191"/>
      <c r="D880" s="191"/>
      <c r="E880" s="191"/>
      <c r="F880" s="191"/>
      <c r="G880" s="191"/>
      <c r="H880" s="191"/>
      <c r="I880" s="191"/>
      <c r="J880" s="191"/>
      <c r="K880" s="191"/>
      <c r="L880" s="191"/>
      <c r="M880" s="191"/>
      <c r="N880" s="191"/>
      <c r="O880" s="191"/>
    </row>
    <row r="881">
      <c r="A881" s="191"/>
      <c r="B881" s="191"/>
      <c r="C881" s="191"/>
      <c r="D881" s="191"/>
      <c r="E881" s="191"/>
      <c r="F881" s="191"/>
      <c r="G881" s="191"/>
      <c r="H881" s="191"/>
      <c r="I881" s="191"/>
      <c r="J881" s="191"/>
      <c r="K881" s="191"/>
      <c r="L881" s="191"/>
      <c r="M881" s="191"/>
      <c r="N881" s="191"/>
      <c r="O881" s="191"/>
    </row>
    <row r="882">
      <c r="A882" s="191"/>
      <c r="B882" s="191"/>
      <c r="C882" s="191"/>
      <c r="D882" s="191"/>
      <c r="E882" s="191"/>
      <c r="F882" s="191"/>
      <c r="G882" s="191"/>
      <c r="H882" s="191"/>
      <c r="I882" s="191"/>
      <c r="J882" s="191"/>
      <c r="K882" s="191"/>
      <c r="L882" s="191"/>
      <c r="M882" s="191"/>
      <c r="N882" s="191"/>
      <c r="O882" s="191"/>
    </row>
    <row r="883">
      <c r="A883" s="191"/>
      <c r="B883" s="191"/>
      <c r="C883" s="191"/>
      <c r="D883" s="191"/>
      <c r="E883" s="191"/>
      <c r="F883" s="191"/>
      <c r="G883" s="191"/>
      <c r="H883" s="191"/>
      <c r="I883" s="191"/>
      <c r="J883" s="191"/>
      <c r="K883" s="191"/>
      <c r="L883" s="191"/>
      <c r="M883" s="191"/>
      <c r="N883" s="191"/>
      <c r="O883" s="191"/>
    </row>
    <row r="884">
      <c r="A884" s="191"/>
      <c r="B884" s="191"/>
      <c r="C884" s="191"/>
      <c r="D884" s="191"/>
      <c r="E884" s="191"/>
      <c r="F884" s="191"/>
      <c r="G884" s="191"/>
      <c r="H884" s="191"/>
      <c r="I884" s="191"/>
      <c r="J884" s="191"/>
      <c r="K884" s="191"/>
      <c r="L884" s="191"/>
      <c r="M884" s="191"/>
      <c r="N884" s="191"/>
      <c r="O884" s="191"/>
    </row>
    <row r="885">
      <c r="A885" s="191"/>
      <c r="B885" s="191"/>
      <c r="C885" s="191"/>
      <c r="D885" s="191"/>
      <c r="E885" s="191"/>
      <c r="F885" s="191"/>
      <c r="G885" s="191"/>
      <c r="H885" s="191"/>
      <c r="I885" s="191"/>
      <c r="J885" s="191"/>
      <c r="K885" s="191"/>
      <c r="L885" s="191"/>
      <c r="M885" s="191"/>
      <c r="N885" s="191"/>
      <c r="O885" s="191"/>
    </row>
    <row r="886">
      <c r="A886" s="191"/>
      <c r="B886" s="191"/>
      <c r="C886" s="191"/>
      <c r="D886" s="191"/>
      <c r="E886" s="191"/>
      <c r="F886" s="191"/>
      <c r="G886" s="191"/>
      <c r="H886" s="191"/>
      <c r="I886" s="191"/>
      <c r="J886" s="191"/>
      <c r="K886" s="191"/>
      <c r="L886" s="191"/>
      <c r="M886" s="191"/>
      <c r="N886" s="191"/>
      <c r="O886" s="191"/>
    </row>
    <row r="887">
      <c r="A887" s="191"/>
      <c r="B887" s="191"/>
      <c r="C887" s="191"/>
      <c r="D887" s="191"/>
      <c r="E887" s="191"/>
      <c r="F887" s="191"/>
      <c r="G887" s="191"/>
      <c r="H887" s="191"/>
      <c r="I887" s="191"/>
      <c r="J887" s="191"/>
      <c r="K887" s="191"/>
      <c r="L887" s="191"/>
      <c r="M887" s="191"/>
      <c r="N887" s="191"/>
      <c r="O887" s="191"/>
    </row>
    <row r="888">
      <c r="A888" s="191"/>
      <c r="B888" s="191"/>
      <c r="C888" s="191"/>
      <c r="D888" s="191"/>
      <c r="E888" s="191"/>
      <c r="F888" s="191"/>
      <c r="G888" s="191"/>
      <c r="H888" s="191"/>
      <c r="I888" s="191"/>
      <c r="J888" s="191"/>
      <c r="K888" s="191"/>
      <c r="L888" s="191"/>
      <c r="M888" s="191"/>
      <c r="N888" s="191"/>
      <c r="O888" s="191"/>
    </row>
    <row r="889">
      <c r="A889" s="191"/>
      <c r="B889" s="191"/>
      <c r="C889" s="191"/>
      <c r="D889" s="191"/>
      <c r="E889" s="191"/>
      <c r="F889" s="191"/>
      <c r="G889" s="191"/>
      <c r="H889" s="191"/>
      <c r="I889" s="191"/>
      <c r="J889" s="191"/>
      <c r="K889" s="191"/>
      <c r="L889" s="191"/>
      <c r="M889" s="191"/>
      <c r="N889" s="191"/>
      <c r="O889" s="191"/>
    </row>
    <row r="890">
      <c r="A890" s="191"/>
      <c r="B890" s="191"/>
      <c r="C890" s="191"/>
      <c r="D890" s="191"/>
      <c r="E890" s="191"/>
      <c r="F890" s="191"/>
      <c r="G890" s="191"/>
      <c r="H890" s="191"/>
      <c r="I890" s="191"/>
      <c r="J890" s="191"/>
      <c r="K890" s="191"/>
      <c r="L890" s="191"/>
      <c r="M890" s="191"/>
      <c r="N890" s="191"/>
      <c r="O890" s="191"/>
    </row>
    <row r="891">
      <c r="A891" s="191"/>
      <c r="B891" s="191"/>
      <c r="C891" s="191"/>
      <c r="D891" s="191"/>
      <c r="E891" s="191"/>
      <c r="F891" s="191"/>
      <c r="G891" s="191"/>
      <c r="H891" s="191"/>
      <c r="I891" s="191"/>
      <c r="J891" s="191"/>
      <c r="K891" s="191"/>
      <c r="L891" s="191"/>
      <c r="M891" s="191"/>
      <c r="N891" s="191"/>
      <c r="O891" s="191"/>
    </row>
    <row r="892">
      <c r="A892" s="191"/>
      <c r="B892" s="191"/>
      <c r="C892" s="191"/>
      <c r="D892" s="191"/>
      <c r="E892" s="191"/>
      <c r="F892" s="191"/>
      <c r="G892" s="191"/>
      <c r="H892" s="191"/>
      <c r="I892" s="191"/>
      <c r="J892" s="191"/>
      <c r="K892" s="191"/>
      <c r="L892" s="191"/>
      <c r="M892" s="191"/>
      <c r="N892" s="191"/>
      <c r="O892" s="191"/>
    </row>
    <row r="893">
      <c r="A893" s="191"/>
      <c r="B893" s="191"/>
      <c r="C893" s="191"/>
      <c r="D893" s="191"/>
      <c r="E893" s="191"/>
      <c r="F893" s="191"/>
      <c r="G893" s="191"/>
      <c r="H893" s="191"/>
      <c r="I893" s="191"/>
      <c r="J893" s="191"/>
      <c r="K893" s="191"/>
      <c r="L893" s="191"/>
      <c r="M893" s="191"/>
      <c r="N893" s="191"/>
      <c r="O893" s="191"/>
    </row>
    <row r="894">
      <c r="A894" s="191"/>
      <c r="B894" s="191"/>
      <c r="C894" s="191"/>
      <c r="D894" s="191"/>
      <c r="E894" s="191"/>
      <c r="F894" s="191"/>
      <c r="G894" s="191"/>
      <c r="H894" s="191"/>
      <c r="I894" s="191"/>
      <c r="J894" s="191"/>
      <c r="K894" s="191"/>
      <c r="L894" s="191"/>
      <c r="M894" s="191"/>
      <c r="N894" s="191"/>
      <c r="O894" s="191"/>
    </row>
    <row r="895">
      <c r="A895" s="191"/>
      <c r="B895" s="191"/>
      <c r="C895" s="191"/>
      <c r="D895" s="191"/>
      <c r="E895" s="191"/>
      <c r="F895" s="191"/>
      <c r="G895" s="191"/>
      <c r="H895" s="191"/>
      <c r="I895" s="191"/>
      <c r="J895" s="191"/>
      <c r="K895" s="191"/>
      <c r="L895" s="191"/>
      <c r="M895" s="191"/>
      <c r="N895" s="191"/>
      <c r="O895" s="191"/>
    </row>
    <row r="896">
      <c r="A896" s="191"/>
      <c r="B896" s="191"/>
      <c r="C896" s="191"/>
      <c r="D896" s="191"/>
      <c r="E896" s="191"/>
      <c r="F896" s="191"/>
      <c r="G896" s="191"/>
      <c r="H896" s="191"/>
      <c r="I896" s="191"/>
      <c r="J896" s="191"/>
      <c r="K896" s="191"/>
      <c r="L896" s="191"/>
      <c r="M896" s="191"/>
      <c r="N896" s="191"/>
      <c r="O896" s="191"/>
    </row>
    <row r="897">
      <c r="A897" s="191"/>
      <c r="B897" s="191"/>
      <c r="C897" s="191"/>
      <c r="D897" s="191"/>
      <c r="E897" s="191"/>
      <c r="F897" s="191"/>
      <c r="G897" s="191"/>
      <c r="H897" s="191"/>
      <c r="I897" s="191"/>
      <c r="J897" s="191"/>
      <c r="K897" s="191"/>
      <c r="L897" s="191"/>
      <c r="M897" s="191"/>
      <c r="N897" s="191"/>
      <c r="O897" s="191"/>
    </row>
    <row r="898">
      <c r="A898" s="191"/>
      <c r="B898" s="191"/>
      <c r="C898" s="191"/>
      <c r="D898" s="191"/>
      <c r="E898" s="191"/>
      <c r="F898" s="191"/>
      <c r="G898" s="191"/>
      <c r="H898" s="191"/>
      <c r="I898" s="191"/>
      <c r="J898" s="191"/>
      <c r="K898" s="191"/>
      <c r="L898" s="191"/>
      <c r="M898" s="191"/>
      <c r="N898" s="191"/>
      <c r="O898" s="191"/>
    </row>
    <row r="899">
      <c r="A899" s="191"/>
      <c r="B899" s="191"/>
      <c r="C899" s="191"/>
      <c r="D899" s="191"/>
      <c r="E899" s="191"/>
      <c r="F899" s="191"/>
      <c r="G899" s="191"/>
      <c r="H899" s="191"/>
      <c r="I899" s="191"/>
      <c r="J899" s="191"/>
      <c r="K899" s="191"/>
      <c r="L899" s="191"/>
      <c r="M899" s="191"/>
      <c r="N899" s="191"/>
      <c r="O899" s="191"/>
    </row>
    <row r="900">
      <c r="A900" s="191"/>
      <c r="B900" s="191"/>
      <c r="C900" s="191"/>
      <c r="D900" s="191"/>
      <c r="E900" s="191"/>
      <c r="F900" s="191"/>
      <c r="G900" s="191"/>
      <c r="H900" s="191"/>
      <c r="I900" s="191"/>
      <c r="J900" s="191"/>
      <c r="K900" s="191"/>
      <c r="L900" s="191"/>
      <c r="M900" s="191"/>
      <c r="N900" s="191"/>
      <c r="O900" s="191"/>
    </row>
    <row r="901">
      <c r="A901" s="191"/>
      <c r="B901" s="191"/>
      <c r="C901" s="191"/>
      <c r="D901" s="191"/>
      <c r="E901" s="191"/>
      <c r="F901" s="191"/>
      <c r="G901" s="191"/>
      <c r="H901" s="191"/>
      <c r="I901" s="191"/>
      <c r="J901" s="191"/>
      <c r="K901" s="191"/>
      <c r="L901" s="191"/>
      <c r="M901" s="191"/>
      <c r="N901" s="191"/>
      <c r="O901" s="191"/>
    </row>
    <row r="902">
      <c r="A902" s="191"/>
      <c r="B902" s="191"/>
      <c r="C902" s="191"/>
      <c r="D902" s="191"/>
      <c r="E902" s="191"/>
      <c r="F902" s="191"/>
      <c r="G902" s="191"/>
      <c r="H902" s="191"/>
      <c r="I902" s="191"/>
      <c r="J902" s="191"/>
      <c r="K902" s="191"/>
      <c r="L902" s="191"/>
      <c r="M902" s="191"/>
      <c r="N902" s="191"/>
      <c r="O902" s="191"/>
    </row>
    <row r="903">
      <c r="A903" s="191"/>
      <c r="B903" s="191"/>
      <c r="C903" s="191"/>
      <c r="D903" s="191"/>
      <c r="E903" s="191"/>
      <c r="F903" s="191"/>
      <c r="G903" s="191"/>
      <c r="H903" s="191"/>
      <c r="I903" s="191"/>
      <c r="J903" s="191"/>
      <c r="K903" s="191"/>
      <c r="L903" s="191"/>
      <c r="M903" s="191"/>
      <c r="N903" s="191"/>
      <c r="O903" s="191"/>
    </row>
    <row r="904">
      <c r="A904" s="191"/>
      <c r="B904" s="191"/>
      <c r="C904" s="191"/>
      <c r="D904" s="191"/>
      <c r="E904" s="191"/>
      <c r="F904" s="191"/>
      <c r="G904" s="191"/>
      <c r="H904" s="191"/>
      <c r="I904" s="191"/>
      <c r="J904" s="191"/>
      <c r="K904" s="191"/>
      <c r="L904" s="191"/>
      <c r="M904" s="191"/>
      <c r="N904" s="191"/>
      <c r="O904" s="191"/>
    </row>
    <row r="905">
      <c r="A905" s="191"/>
      <c r="B905" s="191"/>
      <c r="C905" s="191"/>
      <c r="D905" s="191"/>
      <c r="E905" s="191"/>
      <c r="F905" s="191"/>
      <c r="G905" s="191"/>
      <c r="H905" s="191"/>
      <c r="I905" s="191"/>
      <c r="J905" s="191"/>
      <c r="K905" s="191"/>
      <c r="L905" s="191"/>
      <c r="M905" s="191"/>
      <c r="N905" s="191"/>
      <c r="O905" s="191"/>
    </row>
    <row r="906">
      <c r="A906" s="191"/>
      <c r="B906" s="191"/>
      <c r="C906" s="191"/>
      <c r="D906" s="191"/>
      <c r="E906" s="191"/>
      <c r="F906" s="191"/>
      <c r="G906" s="191"/>
      <c r="H906" s="191"/>
      <c r="I906" s="191"/>
      <c r="J906" s="191"/>
      <c r="K906" s="191"/>
      <c r="L906" s="191"/>
      <c r="M906" s="191"/>
      <c r="N906" s="191"/>
      <c r="O906" s="191"/>
    </row>
    <row r="907">
      <c r="A907" s="191"/>
      <c r="B907" s="191"/>
      <c r="C907" s="191"/>
      <c r="D907" s="191"/>
      <c r="E907" s="191"/>
      <c r="F907" s="191"/>
      <c r="G907" s="191"/>
      <c r="H907" s="191"/>
      <c r="I907" s="191"/>
      <c r="J907" s="191"/>
      <c r="K907" s="191"/>
      <c r="L907" s="191"/>
      <c r="M907" s="191"/>
      <c r="N907" s="191"/>
      <c r="O907" s="191"/>
    </row>
    <row r="908">
      <c r="A908" s="191"/>
      <c r="B908" s="191"/>
      <c r="C908" s="191"/>
      <c r="D908" s="191"/>
      <c r="E908" s="191"/>
      <c r="F908" s="191"/>
      <c r="G908" s="191"/>
      <c r="H908" s="191"/>
      <c r="I908" s="191"/>
      <c r="J908" s="191"/>
      <c r="K908" s="191"/>
      <c r="L908" s="191"/>
      <c r="M908" s="191"/>
      <c r="N908" s="191"/>
      <c r="O908" s="191"/>
    </row>
    <row r="909">
      <c r="A909" s="191"/>
      <c r="B909" s="191"/>
      <c r="C909" s="191"/>
      <c r="D909" s="191"/>
      <c r="E909" s="191"/>
      <c r="F909" s="191"/>
      <c r="G909" s="191"/>
      <c r="H909" s="191"/>
      <c r="I909" s="191"/>
      <c r="J909" s="191"/>
      <c r="K909" s="191"/>
      <c r="L909" s="191"/>
      <c r="M909" s="191"/>
      <c r="N909" s="191"/>
      <c r="O909" s="191"/>
    </row>
    <row r="910">
      <c r="A910" s="191"/>
      <c r="B910" s="191"/>
      <c r="C910" s="191"/>
      <c r="D910" s="191"/>
      <c r="E910" s="191"/>
      <c r="F910" s="191"/>
      <c r="G910" s="191"/>
      <c r="H910" s="191"/>
      <c r="I910" s="191"/>
      <c r="J910" s="191"/>
      <c r="K910" s="191"/>
      <c r="L910" s="191"/>
      <c r="M910" s="191"/>
      <c r="N910" s="191"/>
      <c r="O910" s="191"/>
    </row>
    <row r="911">
      <c r="A911" s="191"/>
      <c r="B911" s="191"/>
      <c r="C911" s="191"/>
      <c r="D911" s="191"/>
      <c r="E911" s="191"/>
      <c r="F911" s="191"/>
      <c r="G911" s="191"/>
      <c r="H911" s="191"/>
      <c r="I911" s="191"/>
      <c r="J911" s="191"/>
      <c r="K911" s="191"/>
      <c r="L911" s="191"/>
      <c r="M911" s="191"/>
      <c r="N911" s="191"/>
      <c r="O911" s="191"/>
    </row>
    <row r="912">
      <c r="A912" s="191"/>
      <c r="B912" s="191"/>
      <c r="C912" s="191"/>
      <c r="D912" s="191"/>
      <c r="E912" s="191"/>
      <c r="F912" s="191"/>
      <c r="G912" s="191"/>
      <c r="H912" s="191"/>
      <c r="I912" s="191"/>
      <c r="J912" s="191"/>
      <c r="K912" s="191"/>
      <c r="L912" s="191"/>
      <c r="M912" s="191"/>
      <c r="N912" s="191"/>
      <c r="O912" s="191"/>
    </row>
    <row r="913">
      <c r="A913" s="191"/>
      <c r="B913" s="191"/>
      <c r="C913" s="191"/>
      <c r="D913" s="191"/>
      <c r="E913" s="191"/>
      <c r="F913" s="191"/>
      <c r="G913" s="191"/>
      <c r="H913" s="191"/>
      <c r="I913" s="191"/>
      <c r="J913" s="191"/>
      <c r="K913" s="191"/>
      <c r="L913" s="191"/>
      <c r="M913" s="191"/>
      <c r="N913" s="191"/>
      <c r="O913" s="191"/>
    </row>
    <row r="914">
      <c r="A914" s="191"/>
      <c r="B914" s="191"/>
      <c r="C914" s="191"/>
      <c r="D914" s="191"/>
      <c r="E914" s="191"/>
      <c r="F914" s="191"/>
      <c r="G914" s="191"/>
      <c r="H914" s="191"/>
      <c r="I914" s="191"/>
      <c r="J914" s="191"/>
      <c r="K914" s="191"/>
      <c r="L914" s="191"/>
      <c r="M914" s="191"/>
      <c r="N914" s="191"/>
      <c r="O914" s="191"/>
    </row>
    <row r="915">
      <c r="A915" s="191"/>
      <c r="B915" s="191"/>
      <c r="C915" s="191"/>
      <c r="D915" s="191"/>
      <c r="E915" s="191"/>
      <c r="F915" s="191"/>
      <c r="G915" s="191"/>
      <c r="H915" s="191"/>
      <c r="I915" s="191"/>
      <c r="J915" s="191"/>
      <c r="K915" s="191"/>
      <c r="L915" s="191"/>
      <c r="M915" s="191"/>
      <c r="N915" s="191"/>
      <c r="O915" s="191"/>
    </row>
    <row r="916">
      <c r="A916" s="191"/>
      <c r="B916" s="191"/>
      <c r="C916" s="191"/>
      <c r="D916" s="191"/>
      <c r="E916" s="191"/>
      <c r="F916" s="191"/>
      <c r="G916" s="191"/>
      <c r="H916" s="191"/>
      <c r="I916" s="191"/>
      <c r="J916" s="191"/>
      <c r="K916" s="191"/>
      <c r="L916" s="191"/>
      <c r="M916" s="191"/>
      <c r="N916" s="191"/>
      <c r="O916" s="191"/>
    </row>
    <row r="917">
      <c r="A917" s="191"/>
      <c r="B917" s="191"/>
      <c r="C917" s="191"/>
      <c r="D917" s="191"/>
      <c r="E917" s="191"/>
      <c r="F917" s="191"/>
      <c r="G917" s="191"/>
      <c r="H917" s="191"/>
      <c r="I917" s="191"/>
      <c r="J917" s="191"/>
      <c r="K917" s="191"/>
      <c r="L917" s="191"/>
      <c r="M917" s="191"/>
      <c r="N917" s="191"/>
      <c r="O917" s="191"/>
    </row>
    <row r="918">
      <c r="A918" s="191"/>
      <c r="B918" s="191"/>
      <c r="C918" s="191"/>
      <c r="D918" s="191"/>
      <c r="E918" s="191"/>
      <c r="F918" s="191"/>
      <c r="G918" s="191"/>
      <c r="H918" s="191"/>
      <c r="I918" s="191"/>
      <c r="J918" s="191"/>
      <c r="K918" s="191"/>
      <c r="L918" s="191"/>
      <c r="M918" s="191"/>
      <c r="N918" s="191"/>
      <c r="O918" s="191"/>
    </row>
    <row r="919">
      <c r="A919" s="191"/>
      <c r="B919" s="191"/>
      <c r="C919" s="191"/>
      <c r="D919" s="191"/>
      <c r="E919" s="191"/>
      <c r="F919" s="191"/>
      <c r="G919" s="191"/>
      <c r="H919" s="191"/>
      <c r="I919" s="191"/>
      <c r="J919" s="191"/>
      <c r="K919" s="191"/>
      <c r="L919" s="191"/>
      <c r="M919" s="191"/>
      <c r="N919" s="191"/>
      <c r="O919" s="191"/>
    </row>
    <row r="920">
      <c r="A920" s="191"/>
      <c r="B920" s="191"/>
      <c r="C920" s="191"/>
      <c r="D920" s="191"/>
      <c r="E920" s="191"/>
      <c r="F920" s="191"/>
      <c r="G920" s="191"/>
      <c r="H920" s="191"/>
      <c r="I920" s="191"/>
      <c r="J920" s="191"/>
      <c r="K920" s="191"/>
      <c r="L920" s="191"/>
      <c r="M920" s="191"/>
      <c r="N920" s="191"/>
      <c r="O920" s="191"/>
    </row>
    <row r="921">
      <c r="A921" s="191"/>
      <c r="B921" s="191"/>
      <c r="C921" s="191"/>
      <c r="D921" s="191"/>
      <c r="E921" s="191"/>
      <c r="F921" s="191"/>
      <c r="G921" s="191"/>
      <c r="H921" s="191"/>
      <c r="I921" s="191"/>
      <c r="J921" s="191"/>
      <c r="K921" s="191"/>
      <c r="L921" s="191"/>
      <c r="M921" s="191"/>
      <c r="N921" s="191"/>
      <c r="O921" s="191"/>
    </row>
    <row r="922">
      <c r="A922" s="191"/>
      <c r="B922" s="191"/>
      <c r="C922" s="191"/>
      <c r="D922" s="191"/>
      <c r="E922" s="191"/>
      <c r="F922" s="191"/>
      <c r="G922" s="191"/>
      <c r="H922" s="191"/>
      <c r="I922" s="191"/>
      <c r="J922" s="191"/>
      <c r="K922" s="191"/>
      <c r="L922" s="191"/>
      <c r="M922" s="191"/>
      <c r="N922" s="191"/>
      <c r="O922" s="191"/>
    </row>
    <row r="923">
      <c r="A923" s="191"/>
      <c r="B923" s="191"/>
      <c r="C923" s="191"/>
      <c r="D923" s="191"/>
      <c r="E923" s="191"/>
      <c r="F923" s="191"/>
      <c r="G923" s="191"/>
      <c r="H923" s="191"/>
      <c r="I923" s="191"/>
      <c r="J923" s="191"/>
      <c r="K923" s="191"/>
      <c r="L923" s="191"/>
      <c r="M923" s="191"/>
      <c r="N923" s="191"/>
      <c r="O923" s="191"/>
    </row>
    <row r="924">
      <c r="A924" s="191"/>
      <c r="B924" s="191"/>
      <c r="C924" s="191"/>
      <c r="D924" s="191"/>
      <c r="E924" s="191"/>
      <c r="F924" s="191"/>
      <c r="G924" s="191"/>
      <c r="H924" s="191"/>
      <c r="I924" s="191"/>
      <c r="J924" s="191"/>
      <c r="K924" s="191"/>
      <c r="L924" s="191"/>
      <c r="M924" s="191"/>
      <c r="N924" s="191"/>
      <c r="O924" s="191"/>
    </row>
    <row r="925">
      <c r="A925" s="191"/>
      <c r="B925" s="191"/>
      <c r="C925" s="191"/>
      <c r="D925" s="191"/>
      <c r="E925" s="191"/>
      <c r="F925" s="191"/>
      <c r="G925" s="191"/>
      <c r="H925" s="191"/>
      <c r="I925" s="191"/>
      <c r="J925" s="191"/>
      <c r="K925" s="191"/>
      <c r="L925" s="191"/>
      <c r="M925" s="191"/>
      <c r="N925" s="191"/>
      <c r="O925" s="191"/>
    </row>
    <row r="926">
      <c r="A926" s="191"/>
      <c r="B926" s="191"/>
      <c r="C926" s="191"/>
      <c r="D926" s="191"/>
      <c r="E926" s="191"/>
      <c r="F926" s="191"/>
      <c r="G926" s="191"/>
      <c r="H926" s="191"/>
      <c r="I926" s="191"/>
      <c r="J926" s="191"/>
      <c r="K926" s="191"/>
      <c r="L926" s="191"/>
      <c r="M926" s="191"/>
      <c r="N926" s="191"/>
      <c r="O926" s="191"/>
    </row>
    <row r="927">
      <c r="A927" s="191"/>
      <c r="B927" s="191"/>
      <c r="C927" s="191"/>
      <c r="D927" s="191"/>
      <c r="E927" s="191"/>
      <c r="F927" s="191"/>
      <c r="G927" s="191"/>
      <c r="H927" s="191"/>
      <c r="I927" s="191"/>
      <c r="J927" s="191"/>
      <c r="K927" s="191"/>
      <c r="L927" s="191"/>
      <c r="M927" s="191"/>
      <c r="N927" s="191"/>
      <c r="O927" s="191"/>
    </row>
    <row r="928">
      <c r="A928" s="191"/>
      <c r="B928" s="191"/>
      <c r="C928" s="191"/>
      <c r="D928" s="191"/>
      <c r="E928" s="191"/>
      <c r="F928" s="191"/>
      <c r="G928" s="191"/>
      <c r="H928" s="191"/>
      <c r="I928" s="191"/>
      <c r="J928" s="191"/>
      <c r="K928" s="191"/>
      <c r="L928" s="191"/>
      <c r="M928" s="191"/>
      <c r="N928" s="191"/>
      <c r="O928" s="191"/>
    </row>
    <row r="929">
      <c r="A929" s="191"/>
      <c r="B929" s="191"/>
      <c r="C929" s="191"/>
      <c r="D929" s="191"/>
      <c r="E929" s="191"/>
      <c r="F929" s="191"/>
      <c r="G929" s="191"/>
      <c r="H929" s="191"/>
      <c r="I929" s="191"/>
      <c r="J929" s="191"/>
      <c r="K929" s="191"/>
      <c r="L929" s="191"/>
      <c r="M929" s="191"/>
      <c r="N929" s="191"/>
      <c r="O929" s="191"/>
    </row>
    <row r="930">
      <c r="A930" s="191"/>
      <c r="B930" s="191"/>
      <c r="C930" s="191"/>
      <c r="D930" s="191"/>
      <c r="E930" s="191"/>
      <c r="F930" s="191"/>
      <c r="G930" s="191"/>
      <c r="H930" s="191"/>
      <c r="I930" s="191"/>
      <c r="J930" s="191"/>
      <c r="K930" s="191"/>
      <c r="L930" s="191"/>
      <c r="M930" s="191"/>
      <c r="N930" s="191"/>
      <c r="O930" s="191"/>
    </row>
    <row r="931">
      <c r="A931" s="191"/>
      <c r="B931" s="191"/>
      <c r="C931" s="191"/>
      <c r="D931" s="191"/>
      <c r="E931" s="191"/>
      <c r="F931" s="191"/>
      <c r="G931" s="191"/>
      <c r="H931" s="191"/>
      <c r="I931" s="191"/>
      <c r="J931" s="191"/>
      <c r="K931" s="191"/>
      <c r="L931" s="191"/>
      <c r="M931" s="191"/>
      <c r="N931" s="191"/>
      <c r="O931" s="191"/>
    </row>
    <row r="932">
      <c r="A932" s="191"/>
      <c r="B932" s="191"/>
      <c r="C932" s="191"/>
      <c r="D932" s="191"/>
      <c r="E932" s="191"/>
      <c r="F932" s="191"/>
      <c r="G932" s="191"/>
      <c r="H932" s="191"/>
      <c r="I932" s="191"/>
      <c r="J932" s="191"/>
      <c r="K932" s="191"/>
      <c r="L932" s="191"/>
      <c r="M932" s="191"/>
      <c r="N932" s="191"/>
      <c r="O932" s="191"/>
    </row>
    <row r="933">
      <c r="A933" s="191"/>
      <c r="B933" s="191"/>
      <c r="C933" s="191"/>
      <c r="D933" s="191"/>
      <c r="E933" s="191"/>
      <c r="F933" s="191"/>
      <c r="G933" s="191"/>
      <c r="H933" s="191"/>
      <c r="I933" s="191"/>
      <c r="J933" s="191"/>
      <c r="K933" s="191"/>
      <c r="L933" s="191"/>
      <c r="M933" s="191"/>
      <c r="N933" s="191"/>
      <c r="O933" s="191"/>
    </row>
    <row r="934">
      <c r="A934" s="191"/>
      <c r="B934" s="191"/>
      <c r="C934" s="191"/>
      <c r="D934" s="191"/>
      <c r="E934" s="191"/>
      <c r="F934" s="191"/>
      <c r="G934" s="191"/>
      <c r="H934" s="191"/>
      <c r="I934" s="191"/>
      <c r="J934" s="191"/>
      <c r="K934" s="191"/>
      <c r="L934" s="191"/>
      <c r="M934" s="191"/>
      <c r="N934" s="191"/>
      <c r="O934" s="191"/>
    </row>
    <row r="935">
      <c r="A935" s="191"/>
      <c r="B935" s="191"/>
      <c r="C935" s="191"/>
      <c r="D935" s="191"/>
      <c r="E935" s="191"/>
      <c r="F935" s="191"/>
      <c r="G935" s="191"/>
      <c r="H935" s="191"/>
      <c r="I935" s="191"/>
      <c r="J935" s="191"/>
      <c r="K935" s="191"/>
      <c r="L935" s="191"/>
      <c r="M935" s="191"/>
      <c r="N935" s="191"/>
      <c r="O935" s="191"/>
    </row>
    <row r="936">
      <c r="A936" s="191"/>
      <c r="B936" s="191"/>
      <c r="C936" s="191"/>
      <c r="D936" s="191"/>
      <c r="E936" s="191"/>
      <c r="F936" s="191"/>
      <c r="G936" s="191"/>
      <c r="H936" s="191"/>
      <c r="I936" s="191"/>
      <c r="J936" s="191"/>
      <c r="K936" s="191"/>
      <c r="L936" s="191"/>
      <c r="M936" s="191"/>
      <c r="N936" s="191"/>
      <c r="O936" s="191"/>
    </row>
    <row r="937">
      <c r="A937" s="191"/>
      <c r="B937" s="191"/>
      <c r="C937" s="191"/>
      <c r="D937" s="191"/>
      <c r="E937" s="191"/>
      <c r="F937" s="191"/>
      <c r="G937" s="191"/>
      <c r="H937" s="191"/>
      <c r="I937" s="191"/>
      <c r="J937" s="191"/>
      <c r="K937" s="191"/>
      <c r="L937" s="191"/>
      <c r="M937" s="191"/>
      <c r="N937" s="191"/>
      <c r="O937" s="191"/>
    </row>
    <row r="938">
      <c r="A938" s="191"/>
      <c r="B938" s="191"/>
      <c r="C938" s="191"/>
      <c r="D938" s="191"/>
      <c r="E938" s="191"/>
      <c r="F938" s="191"/>
      <c r="G938" s="191"/>
      <c r="H938" s="191"/>
      <c r="I938" s="191"/>
      <c r="J938" s="191"/>
      <c r="K938" s="191"/>
      <c r="L938" s="191"/>
      <c r="M938" s="191"/>
      <c r="N938" s="191"/>
      <c r="O938" s="191"/>
    </row>
    <row r="939">
      <c r="A939" s="191"/>
      <c r="B939" s="191"/>
      <c r="C939" s="191"/>
      <c r="D939" s="191"/>
      <c r="E939" s="191"/>
      <c r="F939" s="191"/>
      <c r="G939" s="191"/>
      <c r="H939" s="191"/>
      <c r="I939" s="191"/>
      <c r="J939" s="191"/>
      <c r="K939" s="191"/>
      <c r="L939" s="191"/>
      <c r="M939" s="191"/>
      <c r="N939" s="191"/>
      <c r="O939" s="191"/>
    </row>
    <row r="940">
      <c r="A940" s="191"/>
      <c r="B940" s="191"/>
      <c r="C940" s="191"/>
      <c r="D940" s="191"/>
      <c r="E940" s="191"/>
      <c r="F940" s="191"/>
      <c r="G940" s="191"/>
      <c r="H940" s="191"/>
      <c r="I940" s="191"/>
      <c r="J940" s="191"/>
      <c r="K940" s="191"/>
      <c r="L940" s="191"/>
      <c r="M940" s="191"/>
      <c r="N940" s="191"/>
      <c r="O940" s="191"/>
    </row>
    <row r="941">
      <c r="A941" s="191"/>
      <c r="B941" s="191"/>
      <c r="C941" s="191"/>
      <c r="D941" s="191"/>
      <c r="E941" s="191"/>
      <c r="F941" s="191"/>
      <c r="G941" s="191"/>
      <c r="H941" s="191"/>
      <c r="I941" s="191"/>
      <c r="J941" s="191"/>
      <c r="K941" s="191"/>
      <c r="L941" s="191"/>
      <c r="M941" s="191"/>
      <c r="N941" s="191"/>
      <c r="O941" s="191"/>
    </row>
    <row r="942">
      <c r="A942" s="191"/>
      <c r="B942" s="191"/>
      <c r="C942" s="191"/>
      <c r="D942" s="191"/>
      <c r="E942" s="191"/>
      <c r="F942" s="191"/>
      <c r="G942" s="191"/>
      <c r="H942" s="191"/>
      <c r="I942" s="191"/>
      <c r="J942" s="191"/>
      <c r="K942" s="191"/>
      <c r="L942" s="191"/>
      <c r="M942" s="191"/>
      <c r="N942" s="191"/>
      <c r="O942" s="191"/>
    </row>
    <row r="943">
      <c r="A943" s="191"/>
      <c r="B943" s="191"/>
      <c r="C943" s="191"/>
      <c r="D943" s="191"/>
      <c r="E943" s="191"/>
      <c r="F943" s="191"/>
      <c r="G943" s="191"/>
      <c r="H943" s="191"/>
      <c r="I943" s="191"/>
      <c r="J943" s="191"/>
      <c r="K943" s="191"/>
      <c r="L943" s="191"/>
      <c r="M943" s="191"/>
      <c r="N943" s="191"/>
      <c r="O943" s="191"/>
    </row>
    <row r="944">
      <c r="A944" s="191"/>
      <c r="B944" s="191"/>
      <c r="C944" s="191"/>
      <c r="D944" s="191"/>
      <c r="E944" s="191"/>
      <c r="F944" s="191"/>
      <c r="G944" s="191"/>
      <c r="H944" s="191"/>
      <c r="I944" s="191"/>
      <c r="J944" s="191"/>
      <c r="K944" s="191"/>
      <c r="L944" s="191"/>
      <c r="M944" s="191"/>
      <c r="N944" s="191"/>
      <c r="O944" s="191"/>
    </row>
    <row r="945">
      <c r="A945" s="191"/>
      <c r="B945" s="191"/>
      <c r="C945" s="191"/>
      <c r="D945" s="191"/>
      <c r="E945" s="191"/>
      <c r="F945" s="191"/>
      <c r="G945" s="191"/>
      <c r="H945" s="191"/>
      <c r="I945" s="191"/>
      <c r="J945" s="191"/>
      <c r="K945" s="191"/>
      <c r="L945" s="191"/>
      <c r="M945" s="191"/>
      <c r="N945" s="191"/>
      <c r="O945" s="191"/>
    </row>
    <row r="946">
      <c r="A946" s="191"/>
      <c r="B946" s="191"/>
      <c r="C946" s="191"/>
      <c r="D946" s="191"/>
      <c r="E946" s="191"/>
      <c r="F946" s="191"/>
      <c r="G946" s="191"/>
      <c r="H946" s="191"/>
      <c r="I946" s="191"/>
      <c r="J946" s="191"/>
      <c r="K946" s="191"/>
      <c r="L946" s="191"/>
      <c r="M946" s="191"/>
      <c r="N946" s="191"/>
      <c r="O946" s="191"/>
    </row>
    <row r="947">
      <c r="A947" s="191"/>
      <c r="B947" s="191"/>
      <c r="C947" s="191"/>
      <c r="D947" s="191"/>
      <c r="E947" s="191"/>
      <c r="F947" s="191"/>
      <c r="G947" s="191"/>
      <c r="H947" s="191"/>
      <c r="I947" s="191"/>
      <c r="J947" s="191"/>
      <c r="K947" s="191"/>
      <c r="L947" s="191"/>
      <c r="M947" s="191"/>
      <c r="N947" s="191"/>
      <c r="O947" s="191"/>
    </row>
    <row r="948">
      <c r="A948" s="191"/>
      <c r="B948" s="191"/>
      <c r="C948" s="191"/>
      <c r="D948" s="191"/>
      <c r="E948" s="191"/>
      <c r="F948" s="191"/>
      <c r="G948" s="191"/>
      <c r="H948" s="191"/>
      <c r="I948" s="191"/>
      <c r="J948" s="191"/>
      <c r="K948" s="191"/>
      <c r="L948" s="191"/>
      <c r="M948" s="191"/>
      <c r="N948" s="191"/>
      <c r="O948" s="191"/>
    </row>
    <row r="949">
      <c r="A949" s="191"/>
      <c r="B949" s="191"/>
      <c r="C949" s="191"/>
      <c r="D949" s="191"/>
      <c r="E949" s="191"/>
      <c r="F949" s="191"/>
      <c r="G949" s="191"/>
      <c r="H949" s="191"/>
      <c r="I949" s="191"/>
      <c r="J949" s="191"/>
      <c r="K949" s="191"/>
      <c r="L949" s="191"/>
      <c r="M949" s="191"/>
      <c r="N949" s="191"/>
      <c r="O949" s="191"/>
    </row>
    <row r="950">
      <c r="A950" s="191"/>
      <c r="B950" s="191"/>
      <c r="C950" s="191"/>
      <c r="D950" s="191"/>
      <c r="E950" s="191"/>
      <c r="F950" s="191"/>
      <c r="G950" s="191"/>
      <c r="H950" s="191"/>
      <c r="I950" s="191"/>
      <c r="J950" s="191"/>
      <c r="K950" s="191"/>
      <c r="L950" s="191"/>
      <c r="M950" s="191"/>
      <c r="N950" s="191"/>
      <c r="O950" s="191"/>
    </row>
    <row r="951">
      <c r="A951" s="191"/>
      <c r="B951" s="191"/>
      <c r="C951" s="191"/>
      <c r="D951" s="191"/>
      <c r="E951" s="191"/>
      <c r="F951" s="191"/>
      <c r="G951" s="191"/>
      <c r="H951" s="191"/>
      <c r="I951" s="191"/>
      <c r="J951" s="191"/>
      <c r="K951" s="191"/>
      <c r="L951" s="191"/>
      <c r="M951" s="191"/>
      <c r="N951" s="191"/>
      <c r="O951" s="191"/>
    </row>
    <row r="952">
      <c r="A952" s="191"/>
      <c r="B952" s="191"/>
      <c r="C952" s="191"/>
      <c r="D952" s="191"/>
      <c r="E952" s="191"/>
      <c r="F952" s="191"/>
      <c r="G952" s="191"/>
      <c r="H952" s="191"/>
      <c r="I952" s="191"/>
      <c r="J952" s="191"/>
      <c r="K952" s="191"/>
      <c r="L952" s="191"/>
      <c r="M952" s="191"/>
      <c r="N952" s="191"/>
      <c r="O952" s="191"/>
    </row>
    <row r="953">
      <c r="A953" s="191"/>
      <c r="B953" s="191"/>
      <c r="C953" s="191"/>
      <c r="D953" s="191"/>
      <c r="E953" s="191"/>
      <c r="F953" s="191"/>
      <c r="G953" s="191"/>
      <c r="H953" s="191"/>
      <c r="I953" s="191"/>
      <c r="J953" s="191"/>
      <c r="K953" s="191"/>
      <c r="L953" s="191"/>
      <c r="M953" s="191"/>
      <c r="N953" s="191"/>
      <c r="O953" s="191"/>
    </row>
    <row r="954">
      <c r="A954" s="191"/>
      <c r="B954" s="191"/>
      <c r="C954" s="191"/>
      <c r="D954" s="191"/>
      <c r="E954" s="191"/>
      <c r="F954" s="191"/>
      <c r="G954" s="191"/>
      <c r="H954" s="191"/>
      <c r="I954" s="191"/>
      <c r="J954" s="191"/>
      <c r="K954" s="191"/>
      <c r="L954" s="191"/>
      <c r="M954" s="191"/>
      <c r="N954" s="191"/>
      <c r="O954" s="191"/>
    </row>
    <row r="955">
      <c r="A955" s="191"/>
      <c r="B955" s="191"/>
      <c r="C955" s="191"/>
      <c r="D955" s="191"/>
      <c r="E955" s="191"/>
      <c r="F955" s="191"/>
      <c r="G955" s="191"/>
      <c r="H955" s="191"/>
      <c r="I955" s="191"/>
      <c r="J955" s="191"/>
      <c r="K955" s="191"/>
      <c r="L955" s="191"/>
      <c r="M955" s="191"/>
      <c r="N955" s="191"/>
      <c r="O955" s="191"/>
    </row>
    <row r="956">
      <c r="A956" s="191"/>
      <c r="B956" s="191"/>
      <c r="C956" s="191"/>
      <c r="D956" s="191"/>
      <c r="E956" s="191"/>
      <c r="F956" s="191"/>
      <c r="G956" s="191"/>
      <c r="H956" s="191"/>
      <c r="I956" s="191"/>
      <c r="J956" s="191"/>
      <c r="K956" s="191"/>
      <c r="L956" s="191"/>
      <c r="M956" s="191"/>
      <c r="N956" s="191"/>
      <c r="O956" s="191"/>
    </row>
    <row r="957">
      <c r="A957" s="191"/>
      <c r="B957" s="191"/>
      <c r="C957" s="191"/>
      <c r="D957" s="191"/>
      <c r="E957" s="191"/>
      <c r="F957" s="191"/>
      <c r="G957" s="191"/>
      <c r="H957" s="191"/>
      <c r="I957" s="191"/>
      <c r="J957" s="191"/>
      <c r="K957" s="191"/>
      <c r="L957" s="191"/>
      <c r="M957" s="191"/>
      <c r="N957" s="191"/>
      <c r="O957" s="191"/>
    </row>
    <row r="958">
      <c r="A958" s="191"/>
      <c r="B958" s="191"/>
      <c r="C958" s="191"/>
      <c r="D958" s="191"/>
      <c r="E958" s="191"/>
      <c r="F958" s="191"/>
      <c r="G958" s="191"/>
      <c r="H958" s="191"/>
      <c r="I958" s="191"/>
      <c r="J958" s="191"/>
      <c r="K958" s="191"/>
      <c r="L958" s="191"/>
      <c r="M958" s="191"/>
      <c r="N958" s="191"/>
      <c r="O958" s="191"/>
    </row>
    <row r="959">
      <c r="A959" s="191"/>
      <c r="B959" s="191"/>
      <c r="C959" s="191"/>
      <c r="D959" s="191"/>
      <c r="E959" s="191"/>
      <c r="F959" s="191"/>
      <c r="G959" s="191"/>
      <c r="H959" s="191"/>
      <c r="I959" s="191"/>
      <c r="J959" s="191"/>
      <c r="K959" s="191"/>
      <c r="L959" s="191"/>
      <c r="M959" s="191"/>
      <c r="N959" s="191"/>
      <c r="O959" s="191"/>
    </row>
    <row r="960">
      <c r="A960" s="191"/>
      <c r="B960" s="191"/>
      <c r="C960" s="191"/>
      <c r="D960" s="191"/>
      <c r="E960" s="191"/>
      <c r="F960" s="191"/>
      <c r="G960" s="191"/>
      <c r="H960" s="191"/>
      <c r="I960" s="191"/>
      <c r="J960" s="191"/>
      <c r="K960" s="191"/>
      <c r="L960" s="191"/>
      <c r="M960" s="191"/>
      <c r="N960" s="191"/>
      <c r="O960" s="191"/>
    </row>
    <row r="961">
      <c r="A961" s="191"/>
      <c r="B961" s="191"/>
      <c r="C961" s="191"/>
      <c r="D961" s="191"/>
      <c r="E961" s="191"/>
      <c r="F961" s="191"/>
      <c r="G961" s="191"/>
      <c r="H961" s="191"/>
      <c r="I961" s="191"/>
      <c r="J961" s="191"/>
      <c r="K961" s="191"/>
      <c r="L961" s="191"/>
      <c r="M961" s="191"/>
      <c r="N961" s="191"/>
      <c r="O961" s="191"/>
    </row>
    <row r="962">
      <c r="A962" s="191"/>
      <c r="B962" s="191"/>
      <c r="C962" s="191"/>
      <c r="D962" s="191"/>
      <c r="E962" s="191"/>
      <c r="F962" s="191"/>
      <c r="G962" s="191"/>
      <c r="H962" s="191"/>
      <c r="I962" s="191"/>
      <c r="J962" s="191"/>
      <c r="K962" s="191"/>
      <c r="L962" s="191"/>
      <c r="M962" s="191"/>
      <c r="N962" s="191"/>
      <c r="O962" s="191"/>
    </row>
    <row r="963">
      <c r="A963" s="191"/>
      <c r="B963" s="191"/>
      <c r="C963" s="191"/>
      <c r="D963" s="191"/>
      <c r="E963" s="191"/>
      <c r="F963" s="191"/>
      <c r="G963" s="191"/>
      <c r="H963" s="191"/>
      <c r="I963" s="191"/>
      <c r="J963" s="191"/>
      <c r="K963" s="191"/>
      <c r="L963" s="191"/>
      <c r="M963" s="191"/>
      <c r="N963" s="191"/>
      <c r="O963" s="191"/>
    </row>
    <row r="964">
      <c r="A964" s="191"/>
      <c r="B964" s="191"/>
      <c r="C964" s="191"/>
      <c r="D964" s="191"/>
      <c r="E964" s="191"/>
      <c r="F964" s="191"/>
      <c r="G964" s="191"/>
      <c r="H964" s="191"/>
      <c r="I964" s="191"/>
      <c r="J964" s="191"/>
      <c r="K964" s="191"/>
      <c r="L964" s="191"/>
      <c r="M964" s="191"/>
      <c r="N964" s="191"/>
      <c r="O964" s="191"/>
    </row>
    <row r="965">
      <c r="A965" s="191"/>
      <c r="B965" s="191"/>
      <c r="C965" s="191"/>
      <c r="D965" s="191"/>
      <c r="E965" s="191"/>
      <c r="F965" s="191"/>
      <c r="G965" s="191"/>
      <c r="H965" s="191"/>
      <c r="I965" s="191"/>
      <c r="J965" s="191"/>
      <c r="K965" s="191"/>
      <c r="L965" s="191"/>
      <c r="M965" s="191"/>
      <c r="N965" s="191"/>
      <c r="O965" s="191"/>
    </row>
    <row r="966">
      <c r="A966" s="191"/>
      <c r="B966" s="191"/>
      <c r="C966" s="191"/>
      <c r="D966" s="191"/>
      <c r="E966" s="191"/>
      <c r="F966" s="191"/>
      <c r="G966" s="191"/>
      <c r="H966" s="191"/>
      <c r="I966" s="191"/>
      <c r="J966" s="191"/>
      <c r="K966" s="191"/>
      <c r="L966" s="191"/>
      <c r="M966" s="191"/>
      <c r="N966" s="191"/>
      <c r="O966" s="191"/>
    </row>
    <row r="967">
      <c r="A967" s="191"/>
      <c r="B967" s="191"/>
      <c r="C967" s="191"/>
      <c r="D967" s="191"/>
      <c r="E967" s="191"/>
      <c r="F967" s="191"/>
      <c r="G967" s="191"/>
      <c r="H967" s="191"/>
      <c r="I967" s="191"/>
      <c r="J967" s="191"/>
      <c r="K967" s="191"/>
      <c r="L967" s="191"/>
      <c r="M967" s="191"/>
      <c r="N967" s="191"/>
      <c r="O967" s="191"/>
    </row>
    <row r="968">
      <c r="A968" s="191"/>
      <c r="B968" s="191"/>
      <c r="C968" s="191"/>
      <c r="D968" s="191"/>
      <c r="E968" s="191"/>
      <c r="F968" s="191"/>
      <c r="G968" s="191"/>
      <c r="H968" s="191"/>
      <c r="I968" s="191"/>
      <c r="J968" s="191"/>
      <c r="K968" s="191"/>
      <c r="L968" s="191"/>
      <c r="M968" s="191"/>
      <c r="N968" s="191"/>
      <c r="O968" s="191"/>
    </row>
    <row r="969">
      <c r="A969" s="191"/>
      <c r="B969" s="191"/>
      <c r="C969" s="191"/>
      <c r="D969" s="191"/>
      <c r="E969" s="191"/>
      <c r="F969" s="191"/>
      <c r="G969" s="191"/>
      <c r="H969" s="191"/>
      <c r="I969" s="191"/>
      <c r="J969" s="191"/>
      <c r="K969" s="191"/>
      <c r="L969" s="191"/>
      <c r="M969" s="191"/>
      <c r="N969" s="191"/>
      <c r="O969" s="191"/>
    </row>
    <row r="970">
      <c r="A970" s="191"/>
      <c r="B970" s="191"/>
      <c r="C970" s="191"/>
      <c r="D970" s="191"/>
      <c r="E970" s="191"/>
      <c r="F970" s="191"/>
      <c r="G970" s="191"/>
      <c r="H970" s="191"/>
      <c r="I970" s="191"/>
      <c r="J970" s="191"/>
      <c r="K970" s="191"/>
      <c r="L970" s="191"/>
      <c r="M970" s="191"/>
      <c r="N970" s="191"/>
      <c r="O970" s="191"/>
    </row>
    <row r="971">
      <c r="A971" s="191"/>
      <c r="B971" s="191"/>
      <c r="C971" s="191"/>
      <c r="D971" s="191"/>
      <c r="E971" s="191"/>
      <c r="F971" s="191"/>
      <c r="G971" s="191"/>
      <c r="H971" s="191"/>
      <c r="I971" s="191"/>
      <c r="J971" s="191"/>
      <c r="K971" s="191"/>
      <c r="L971" s="191"/>
      <c r="M971" s="191"/>
      <c r="N971" s="191"/>
      <c r="O971" s="191"/>
    </row>
    <row r="972">
      <c r="A972" s="191"/>
      <c r="B972" s="191"/>
      <c r="C972" s="191"/>
      <c r="D972" s="191"/>
      <c r="E972" s="191"/>
      <c r="F972" s="191"/>
      <c r="G972" s="191"/>
      <c r="H972" s="191"/>
      <c r="I972" s="191"/>
      <c r="J972" s="191"/>
      <c r="K972" s="191"/>
      <c r="L972" s="191"/>
      <c r="M972" s="191"/>
      <c r="N972" s="191"/>
      <c r="O972" s="191"/>
    </row>
    <row r="973">
      <c r="A973" s="191"/>
      <c r="B973" s="191"/>
      <c r="C973" s="191"/>
      <c r="D973" s="191"/>
      <c r="E973" s="191"/>
      <c r="F973" s="191"/>
      <c r="G973" s="191"/>
      <c r="H973" s="191"/>
      <c r="I973" s="191"/>
      <c r="J973" s="191"/>
      <c r="K973" s="191"/>
      <c r="L973" s="191"/>
      <c r="M973" s="191"/>
      <c r="N973" s="191"/>
      <c r="O973" s="191"/>
    </row>
    <row r="974">
      <c r="A974" s="191"/>
      <c r="B974" s="191"/>
      <c r="C974" s="191"/>
      <c r="D974" s="191"/>
      <c r="E974" s="191"/>
      <c r="F974" s="191"/>
      <c r="G974" s="191"/>
      <c r="H974" s="191"/>
      <c r="I974" s="191"/>
      <c r="J974" s="191"/>
      <c r="K974" s="191"/>
      <c r="L974" s="191"/>
      <c r="M974" s="191"/>
      <c r="N974" s="191"/>
      <c r="O974" s="191"/>
    </row>
    <row r="975">
      <c r="A975" s="191"/>
      <c r="B975" s="191"/>
      <c r="C975" s="191"/>
      <c r="D975" s="191"/>
      <c r="E975" s="191"/>
      <c r="F975" s="191"/>
      <c r="G975" s="191"/>
      <c r="H975" s="191"/>
      <c r="I975" s="191"/>
      <c r="J975" s="191"/>
      <c r="K975" s="191"/>
      <c r="L975" s="191"/>
      <c r="M975" s="191"/>
      <c r="N975" s="191"/>
      <c r="O975" s="191"/>
    </row>
    <row r="976">
      <c r="A976" s="191"/>
      <c r="B976" s="191"/>
      <c r="C976" s="191"/>
      <c r="D976" s="191"/>
      <c r="E976" s="191"/>
      <c r="F976" s="191"/>
      <c r="G976" s="191"/>
      <c r="H976" s="191"/>
      <c r="I976" s="191"/>
      <c r="J976" s="191"/>
      <c r="K976" s="191"/>
      <c r="L976" s="191"/>
      <c r="M976" s="191"/>
      <c r="N976" s="191"/>
      <c r="O976" s="191"/>
    </row>
    <row r="977">
      <c r="A977" s="191"/>
      <c r="B977" s="191"/>
      <c r="C977" s="191"/>
      <c r="D977" s="191"/>
      <c r="E977" s="191"/>
      <c r="F977" s="191"/>
      <c r="G977" s="191"/>
      <c r="H977" s="191"/>
      <c r="I977" s="191"/>
      <c r="J977" s="191"/>
      <c r="K977" s="191"/>
      <c r="L977" s="191"/>
      <c r="M977" s="191"/>
      <c r="N977" s="191"/>
      <c r="O977" s="191"/>
    </row>
    <row r="978">
      <c r="A978" s="191"/>
      <c r="B978" s="191"/>
      <c r="C978" s="191"/>
      <c r="D978" s="191"/>
      <c r="E978" s="191"/>
      <c r="F978" s="191"/>
      <c r="G978" s="191"/>
      <c r="H978" s="191"/>
      <c r="I978" s="191"/>
      <c r="J978" s="191"/>
      <c r="K978" s="191"/>
      <c r="L978" s="191"/>
      <c r="M978" s="191"/>
      <c r="N978" s="191"/>
      <c r="O978" s="191"/>
    </row>
    <row r="979">
      <c r="A979" s="191"/>
      <c r="B979" s="191"/>
      <c r="C979" s="191"/>
      <c r="D979" s="191"/>
      <c r="E979" s="191"/>
      <c r="F979" s="191"/>
      <c r="G979" s="191"/>
      <c r="H979" s="191"/>
      <c r="I979" s="191"/>
      <c r="J979" s="191"/>
      <c r="K979" s="191"/>
      <c r="L979" s="191"/>
      <c r="M979" s="191"/>
      <c r="N979" s="191"/>
      <c r="O979" s="191"/>
    </row>
    <row r="980">
      <c r="A980" s="191"/>
      <c r="B980" s="191"/>
      <c r="C980" s="191"/>
      <c r="D980" s="191"/>
      <c r="E980" s="191"/>
      <c r="F980" s="191"/>
      <c r="G980" s="191"/>
      <c r="H980" s="191"/>
      <c r="I980" s="191"/>
      <c r="J980" s="191"/>
      <c r="K980" s="191"/>
      <c r="L980" s="191"/>
      <c r="M980" s="191"/>
      <c r="N980" s="191"/>
      <c r="O980" s="191"/>
    </row>
    <row r="981">
      <c r="A981" s="191"/>
      <c r="B981" s="191"/>
      <c r="C981" s="191"/>
      <c r="D981" s="191"/>
      <c r="E981" s="191"/>
      <c r="F981" s="191"/>
      <c r="G981" s="191"/>
      <c r="H981" s="191"/>
      <c r="I981" s="191"/>
      <c r="J981" s="191"/>
      <c r="K981" s="191"/>
      <c r="L981" s="191"/>
      <c r="M981" s="191"/>
      <c r="N981" s="191"/>
      <c r="O981" s="191"/>
    </row>
    <row r="982">
      <c r="A982" s="191"/>
      <c r="B982" s="191"/>
      <c r="C982" s="191"/>
      <c r="D982" s="191"/>
      <c r="E982" s="191"/>
      <c r="F982" s="191"/>
      <c r="G982" s="191"/>
      <c r="H982" s="191"/>
      <c r="I982" s="191"/>
      <c r="J982" s="191"/>
      <c r="K982" s="191"/>
      <c r="L982" s="191"/>
      <c r="M982" s="191"/>
      <c r="N982" s="191"/>
      <c r="O982" s="191"/>
    </row>
    <row r="983">
      <c r="A983" s="191"/>
      <c r="B983" s="191"/>
      <c r="C983" s="191"/>
      <c r="D983" s="191"/>
      <c r="E983" s="191"/>
      <c r="F983" s="191"/>
      <c r="G983" s="191"/>
      <c r="H983" s="191"/>
      <c r="I983" s="191"/>
      <c r="J983" s="191"/>
      <c r="K983" s="191"/>
      <c r="L983" s="191"/>
      <c r="M983" s="191"/>
      <c r="N983" s="191"/>
      <c r="O983" s="191"/>
    </row>
    <row r="984">
      <c r="A984" s="191"/>
      <c r="B984" s="191"/>
      <c r="C984" s="191"/>
      <c r="D984" s="191"/>
      <c r="E984" s="191"/>
      <c r="F984" s="191"/>
      <c r="G984" s="191"/>
      <c r="H984" s="191"/>
      <c r="I984" s="191"/>
      <c r="J984" s="191"/>
      <c r="K984" s="191"/>
      <c r="L984" s="191"/>
      <c r="M984" s="191"/>
      <c r="N984" s="191"/>
      <c r="O984" s="191"/>
    </row>
    <row r="985">
      <c r="A985" s="191"/>
      <c r="B985" s="191"/>
      <c r="C985" s="191"/>
      <c r="D985" s="191"/>
      <c r="E985" s="191"/>
      <c r="F985" s="191"/>
      <c r="G985" s="191"/>
      <c r="H985" s="191"/>
      <c r="I985" s="191"/>
      <c r="J985" s="191"/>
      <c r="K985" s="191"/>
      <c r="L985" s="191"/>
      <c r="M985" s="191"/>
      <c r="N985" s="191"/>
      <c r="O985" s="191"/>
    </row>
    <row r="986">
      <c r="A986" s="191"/>
      <c r="B986" s="191"/>
      <c r="C986" s="191"/>
      <c r="D986" s="191"/>
      <c r="E986" s="191"/>
      <c r="F986" s="191"/>
      <c r="G986" s="191"/>
      <c r="H986" s="191"/>
      <c r="I986" s="191"/>
      <c r="J986" s="191"/>
      <c r="K986" s="191"/>
      <c r="L986" s="191"/>
      <c r="M986" s="191"/>
      <c r="N986" s="191"/>
      <c r="O986" s="191"/>
    </row>
    <row r="987">
      <c r="A987" s="191"/>
      <c r="B987" s="191"/>
      <c r="C987" s="191"/>
      <c r="D987" s="191"/>
      <c r="E987" s="191"/>
      <c r="F987" s="191"/>
      <c r="G987" s="191"/>
      <c r="H987" s="191"/>
      <c r="I987" s="191"/>
      <c r="J987" s="191"/>
      <c r="K987" s="191"/>
      <c r="L987" s="191"/>
      <c r="M987" s="191"/>
      <c r="N987" s="191"/>
      <c r="O987" s="191"/>
    </row>
    <row r="988">
      <c r="A988" s="191"/>
      <c r="B988" s="191"/>
      <c r="C988" s="191"/>
      <c r="D988" s="191"/>
      <c r="E988" s="191"/>
      <c r="F988" s="191"/>
      <c r="G988" s="191"/>
      <c r="H988" s="191"/>
      <c r="I988" s="191"/>
      <c r="J988" s="191"/>
      <c r="K988" s="191"/>
      <c r="L988" s="191"/>
      <c r="M988" s="191"/>
      <c r="N988" s="191"/>
      <c r="O988" s="191"/>
    </row>
    <row r="989">
      <c r="A989" s="191"/>
      <c r="B989" s="191"/>
      <c r="C989" s="191"/>
      <c r="D989" s="191"/>
      <c r="E989" s="191"/>
      <c r="F989" s="191"/>
      <c r="G989" s="191"/>
      <c r="H989" s="191"/>
      <c r="I989" s="191"/>
      <c r="J989" s="191"/>
      <c r="K989" s="191"/>
      <c r="L989" s="191"/>
      <c r="M989" s="191"/>
      <c r="N989" s="191"/>
      <c r="O989" s="191"/>
    </row>
    <row r="990">
      <c r="A990" s="191"/>
      <c r="B990" s="191"/>
      <c r="C990" s="191"/>
      <c r="D990" s="191"/>
      <c r="E990" s="191"/>
      <c r="F990" s="191"/>
      <c r="G990" s="191"/>
      <c r="H990" s="191"/>
      <c r="I990" s="191"/>
      <c r="J990" s="191"/>
      <c r="K990" s="191"/>
      <c r="L990" s="191"/>
      <c r="M990" s="191"/>
      <c r="N990" s="191"/>
      <c r="O990" s="191"/>
    </row>
    <row r="991">
      <c r="A991" s="146"/>
      <c r="B991" s="146"/>
      <c r="C991" s="146"/>
      <c r="D991" s="146"/>
      <c r="E991" s="146"/>
      <c r="F991" s="146"/>
      <c r="G991" s="146"/>
      <c r="H991" s="146"/>
      <c r="I991" s="146"/>
      <c r="J991" s="146"/>
      <c r="K991" s="146"/>
      <c r="L991" s="146"/>
      <c r="M991" s="146"/>
      <c r="N991" s="146"/>
      <c r="O991" s="146"/>
    </row>
    <row r="992">
      <c r="A992" s="146"/>
      <c r="B992" s="146"/>
      <c r="C992" s="146"/>
      <c r="D992" s="146"/>
      <c r="E992" s="146"/>
      <c r="F992" s="146"/>
      <c r="G992" s="146"/>
      <c r="H992" s="146"/>
      <c r="I992" s="146"/>
      <c r="J992" s="146"/>
      <c r="K992" s="146"/>
      <c r="L992" s="146"/>
      <c r="M992" s="146"/>
      <c r="N992" s="146"/>
      <c r="O992" s="146"/>
    </row>
    <row r="993">
      <c r="A993" s="146"/>
      <c r="B993" s="146"/>
      <c r="C993" s="146"/>
      <c r="D993" s="146"/>
      <c r="E993" s="146"/>
      <c r="F993" s="146"/>
      <c r="G993" s="146"/>
      <c r="H993" s="146"/>
      <c r="I993" s="146"/>
      <c r="J993" s="146"/>
      <c r="K993" s="146"/>
      <c r="L993" s="146"/>
      <c r="M993" s="146"/>
      <c r="N993" s="146"/>
      <c r="O993" s="146"/>
    </row>
    <row r="994">
      <c r="A994" s="146"/>
      <c r="B994" s="146"/>
      <c r="C994" s="146"/>
      <c r="D994" s="146"/>
      <c r="E994" s="146"/>
      <c r="F994" s="146"/>
      <c r="G994" s="146"/>
      <c r="H994" s="146"/>
      <c r="I994" s="146"/>
      <c r="J994" s="146"/>
      <c r="K994" s="146"/>
      <c r="L994" s="146"/>
      <c r="M994" s="146"/>
      <c r="N994" s="146"/>
      <c r="O994" s="146"/>
    </row>
    <row r="995">
      <c r="A995" s="146"/>
      <c r="B995" s="146"/>
      <c r="C995" s="146"/>
      <c r="D995" s="146"/>
      <c r="E995" s="146"/>
      <c r="F995" s="146"/>
      <c r="G995" s="146"/>
      <c r="H995" s="146"/>
      <c r="I995" s="146"/>
      <c r="J995" s="146"/>
      <c r="K995" s="146"/>
      <c r="L995" s="146"/>
      <c r="M995" s="146"/>
      <c r="N995" s="146"/>
      <c r="O995" s="146"/>
    </row>
    <row r="996">
      <c r="A996" s="146"/>
      <c r="B996" s="146"/>
      <c r="C996" s="146"/>
      <c r="D996" s="146"/>
      <c r="E996" s="146"/>
      <c r="F996" s="146"/>
      <c r="G996" s="146"/>
      <c r="H996" s="146"/>
      <c r="I996" s="146"/>
      <c r="J996" s="146"/>
      <c r="K996" s="146"/>
      <c r="L996" s="146"/>
      <c r="M996" s="146"/>
      <c r="N996" s="146"/>
      <c r="O996" s="146"/>
    </row>
    <row r="997">
      <c r="A997" s="146"/>
      <c r="B997" s="146"/>
      <c r="C997" s="146"/>
      <c r="D997" s="146"/>
      <c r="E997" s="146"/>
      <c r="F997" s="146"/>
      <c r="G997" s="146"/>
      <c r="H997" s="146"/>
      <c r="I997" s="146"/>
      <c r="J997" s="146"/>
      <c r="K997" s="146"/>
      <c r="L997" s="146"/>
      <c r="M997" s="146"/>
      <c r="N997" s="146"/>
      <c r="O997" s="146"/>
    </row>
    <row r="998">
      <c r="A998" s="146"/>
      <c r="B998" s="146"/>
      <c r="C998" s="146"/>
      <c r="D998" s="146"/>
      <c r="E998" s="146"/>
      <c r="F998" s="146"/>
      <c r="G998" s="146"/>
      <c r="H998" s="146"/>
      <c r="I998" s="146"/>
      <c r="J998" s="146"/>
      <c r="K998" s="146"/>
      <c r="L998" s="146"/>
      <c r="M998" s="146"/>
      <c r="N998" s="146"/>
      <c r="O998" s="146"/>
    </row>
    <row r="999">
      <c r="A999" s="146"/>
      <c r="B999" s="146"/>
      <c r="C999" s="146"/>
      <c r="D999" s="146"/>
      <c r="E999" s="146"/>
      <c r="F999" s="146"/>
      <c r="G999" s="146"/>
      <c r="H999" s="146"/>
      <c r="I999" s="146"/>
      <c r="J999" s="146"/>
      <c r="K999" s="146"/>
      <c r="L999" s="146"/>
      <c r="M999" s="146"/>
      <c r="N999" s="146"/>
      <c r="O999" s="146"/>
    </row>
    <row r="1000">
      <c r="A1000" s="146"/>
      <c r="B1000" s="146"/>
      <c r="C1000" s="146"/>
      <c r="D1000" s="146"/>
      <c r="E1000" s="146"/>
      <c r="F1000" s="146"/>
      <c r="G1000" s="146"/>
      <c r="H1000" s="146"/>
      <c r="I1000" s="146"/>
      <c r="J1000" s="146"/>
      <c r="K1000" s="146"/>
      <c r="L1000" s="146"/>
      <c r="M1000" s="146"/>
      <c r="N1000" s="146"/>
      <c r="O1000" s="146"/>
    </row>
  </sheetData>
  <mergeCells count="11">
    <mergeCell ref="M1:M2"/>
    <mergeCell ref="M3:M12"/>
    <mergeCell ref="L16:L18"/>
    <mergeCell ref="L19:L21"/>
    <mergeCell ref="A1:A2"/>
    <mergeCell ref="B1:B2"/>
    <mergeCell ref="C1:D1"/>
    <mergeCell ref="E1:F1"/>
    <mergeCell ref="G1:H1"/>
    <mergeCell ref="I1:J1"/>
    <mergeCell ref="K1:L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75"/>
    <col customWidth="1" min="2" max="2" width="64.0"/>
    <col customWidth="1" min="3" max="3" width="77.38"/>
  </cols>
  <sheetData>
    <row r="1" ht="34.5" customHeight="1">
      <c r="A1" s="194" t="s">
        <v>311</v>
      </c>
      <c r="B1" s="195" t="s">
        <v>312</v>
      </c>
      <c r="C1" s="6"/>
      <c r="D1" s="196"/>
    </row>
    <row r="2" ht="41.25" customHeight="1">
      <c r="A2" s="106" t="s">
        <v>313</v>
      </c>
      <c r="B2" s="197" t="s">
        <v>314</v>
      </c>
      <c r="C2" s="6"/>
      <c r="D2" s="196"/>
      <c r="E2" s="198"/>
      <c r="F2" s="198"/>
      <c r="G2" s="198"/>
      <c r="H2" s="198"/>
      <c r="I2" s="198"/>
      <c r="J2" s="198"/>
      <c r="K2" s="198"/>
      <c r="L2" s="198"/>
      <c r="M2" s="198"/>
      <c r="N2" s="198"/>
      <c r="O2" s="198"/>
      <c r="P2" s="198"/>
      <c r="Q2" s="198"/>
      <c r="R2" s="198"/>
      <c r="S2" s="198"/>
      <c r="T2" s="198"/>
      <c r="U2" s="198"/>
      <c r="V2" s="198"/>
      <c r="W2" s="198"/>
      <c r="X2" s="198"/>
      <c r="Y2" s="198"/>
      <c r="Z2" s="198"/>
    </row>
    <row r="3" ht="41.25" customHeight="1">
      <c r="A3" s="106" t="s">
        <v>315</v>
      </c>
      <c r="B3" s="199" t="s">
        <v>316</v>
      </c>
      <c r="C3" s="6"/>
      <c r="D3" s="200"/>
      <c r="G3" s="201"/>
      <c r="H3" s="201"/>
      <c r="I3" s="201"/>
      <c r="J3" s="198"/>
      <c r="K3" s="198"/>
      <c r="L3" s="198"/>
      <c r="M3" s="198"/>
      <c r="N3" s="198"/>
      <c r="O3" s="198"/>
      <c r="P3" s="198"/>
      <c r="Q3" s="198"/>
      <c r="R3" s="198"/>
      <c r="S3" s="198"/>
      <c r="T3" s="198"/>
      <c r="U3" s="198"/>
      <c r="V3" s="198"/>
      <c r="W3" s="198"/>
      <c r="X3" s="198"/>
      <c r="Y3" s="198"/>
      <c r="Z3" s="198"/>
    </row>
    <row r="4" ht="42.0" customHeight="1">
      <c r="A4" s="202" t="s">
        <v>317</v>
      </c>
      <c r="B4" s="203" t="s">
        <v>318</v>
      </c>
      <c r="C4" s="203" t="s">
        <v>319</v>
      </c>
      <c r="D4" s="204"/>
      <c r="E4" s="204"/>
      <c r="F4" s="204"/>
      <c r="G4" s="204"/>
      <c r="H4" s="204"/>
      <c r="I4" s="204"/>
    </row>
    <row r="5" ht="78.75" customHeight="1">
      <c r="A5" s="11"/>
      <c r="B5" s="205" t="s">
        <v>320</v>
      </c>
      <c r="C5" s="205" t="s">
        <v>321</v>
      </c>
    </row>
    <row r="6" ht="117.0" customHeight="1">
      <c r="A6" s="11"/>
      <c r="B6" s="205" t="s">
        <v>322</v>
      </c>
      <c r="C6" s="205" t="s">
        <v>323</v>
      </c>
    </row>
    <row r="7" ht="123.0" customHeight="1">
      <c r="A7" s="16"/>
      <c r="B7" s="205" t="s">
        <v>324</v>
      </c>
      <c r="C7" s="205" t="s">
        <v>325</v>
      </c>
    </row>
  </sheetData>
  <mergeCells count="5">
    <mergeCell ref="B1:C1"/>
    <mergeCell ref="B2:C2"/>
    <mergeCell ref="B3:C3"/>
    <mergeCell ref="D3:F3"/>
    <mergeCell ref="A4:A7"/>
  </mergeCells>
  <hyperlinks>
    <hyperlink r:id="rId1" ref="B2"/>
    <hyperlink r:id="rId2" ref="B3"/>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7.75"/>
    <col customWidth="1" min="2" max="2" width="95.5"/>
  </cols>
  <sheetData>
    <row r="1" ht="45.0" customHeight="1">
      <c r="A1" s="206" t="s">
        <v>326</v>
      </c>
      <c r="B1" s="206" t="s">
        <v>327</v>
      </c>
    </row>
    <row r="2" ht="72.0" customHeight="1">
      <c r="A2" s="207" t="s">
        <v>328</v>
      </c>
      <c r="B2" s="207" t="s">
        <v>329</v>
      </c>
    </row>
    <row r="3" ht="72.0" customHeight="1">
      <c r="A3" s="207" t="s">
        <v>330</v>
      </c>
      <c r="B3" s="207" t="s">
        <v>331</v>
      </c>
    </row>
    <row r="4" ht="72.0" customHeight="1">
      <c r="A4" s="207" t="s">
        <v>332</v>
      </c>
      <c r="B4" s="207" t="s">
        <v>333</v>
      </c>
    </row>
    <row r="5" ht="72.0" customHeight="1">
      <c r="A5" s="207" t="s">
        <v>334</v>
      </c>
      <c r="B5" s="207" t="s">
        <v>335</v>
      </c>
    </row>
    <row r="6" ht="72.0" customHeight="1">
      <c r="A6" s="207" t="s">
        <v>336</v>
      </c>
      <c r="B6" s="207" t="s">
        <v>337</v>
      </c>
    </row>
    <row r="7" ht="59.25" customHeight="1">
      <c r="A7" s="208" t="s">
        <v>338</v>
      </c>
      <c r="B7" s="208" t="s">
        <v>339</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55.5"/>
    <col customWidth="1" min="2" max="26" width="11.0"/>
  </cols>
  <sheetData>
    <row r="1" ht="15.75" customHeight="1">
      <c r="A1" s="209" t="s">
        <v>340</v>
      </c>
      <c r="B1" s="210"/>
    </row>
    <row r="2" ht="15.75" customHeight="1">
      <c r="A2" s="211" t="s">
        <v>341</v>
      </c>
      <c r="B2" s="210"/>
    </row>
    <row r="3" ht="15.75" customHeight="1">
      <c r="A3" s="211" t="s">
        <v>342</v>
      </c>
      <c r="B3" s="210"/>
    </row>
    <row r="4" ht="15.75" customHeight="1">
      <c r="A4" s="211" t="s">
        <v>343</v>
      </c>
      <c r="B4" s="210"/>
    </row>
    <row r="5" ht="15.75" customHeight="1">
      <c r="A5" s="211" t="s">
        <v>344</v>
      </c>
      <c r="B5" s="210"/>
    </row>
    <row r="6" ht="15.75" customHeight="1">
      <c r="A6" s="211" t="s">
        <v>345</v>
      </c>
      <c r="B6" s="210"/>
    </row>
    <row r="7" ht="15.75" customHeight="1">
      <c r="A7" s="212" t="s">
        <v>346</v>
      </c>
      <c r="B7" s="210"/>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8.63"/>
    <col customWidth="1" min="2" max="2" width="41.75"/>
    <col customWidth="1" min="3" max="7" width="18.63"/>
    <col customWidth="1" min="8" max="8" width="20.0"/>
    <col customWidth="1" min="9" max="9" width="25.13"/>
    <col customWidth="1" min="10" max="10" width="20.0"/>
    <col customWidth="1" min="11" max="27" width="18.63"/>
  </cols>
  <sheetData>
    <row r="1" ht="40.5" customHeight="1">
      <c r="A1" s="213" t="s">
        <v>347</v>
      </c>
      <c r="B1" s="5"/>
      <c r="C1" s="5"/>
      <c r="D1" s="5"/>
      <c r="E1" s="5"/>
      <c r="F1" s="5"/>
      <c r="G1" s="5"/>
      <c r="H1" s="5"/>
      <c r="I1" s="6"/>
      <c r="J1" s="214"/>
      <c r="K1" s="215" t="s">
        <v>348</v>
      </c>
      <c r="P1" s="214"/>
      <c r="Q1" s="214"/>
      <c r="R1" s="214"/>
      <c r="S1" s="214"/>
      <c r="T1" s="214"/>
      <c r="U1" s="214"/>
      <c r="V1" s="214"/>
      <c r="W1" s="214"/>
      <c r="X1" s="214"/>
      <c r="Y1" s="214"/>
      <c r="Z1" s="214"/>
      <c r="AA1" s="214"/>
    </row>
    <row r="2" ht="15.75" customHeight="1">
      <c r="A2" s="216" t="s">
        <v>0</v>
      </c>
      <c r="B2" s="216" t="s">
        <v>349</v>
      </c>
      <c r="C2" s="216" t="s">
        <v>350</v>
      </c>
      <c r="D2" s="216" t="s">
        <v>351</v>
      </c>
      <c r="E2" s="216" t="s">
        <v>352</v>
      </c>
      <c r="F2" s="216" t="s">
        <v>353</v>
      </c>
      <c r="G2" s="216" t="s">
        <v>354</v>
      </c>
      <c r="H2" s="217" t="s">
        <v>355</v>
      </c>
      <c r="I2" s="217" t="s">
        <v>356</v>
      </c>
      <c r="J2" s="218" t="s">
        <v>357</v>
      </c>
      <c r="K2" s="219"/>
      <c r="L2" s="219"/>
      <c r="M2" s="220"/>
      <c r="N2" s="219"/>
      <c r="O2" s="220"/>
      <c r="P2" s="214"/>
      <c r="Q2" s="214"/>
      <c r="R2" s="214"/>
      <c r="S2" s="214"/>
      <c r="T2" s="214"/>
      <c r="U2" s="214"/>
      <c r="V2" s="214"/>
      <c r="W2" s="214"/>
      <c r="X2" s="214"/>
      <c r="Y2" s="214"/>
      <c r="Z2" s="214"/>
      <c r="AA2" s="214"/>
    </row>
    <row r="3" ht="15.75" customHeight="1">
      <c r="A3" s="221">
        <v>1.0</v>
      </c>
      <c r="B3" s="222" t="s">
        <v>358</v>
      </c>
      <c r="C3" s="223">
        <v>2.7181006999E10</v>
      </c>
      <c r="D3" s="224">
        <v>44743.0</v>
      </c>
      <c r="E3" s="221" t="s">
        <v>359</v>
      </c>
      <c r="F3" s="221" t="s">
        <v>360</v>
      </c>
      <c r="G3" s="221" t="s">
        <v>361</v>
      </c>
      <c r="H3" s="225" t="s">
        <v>362</v>
      </c>
      <c r="I3" s="225" t="s">
        <v>363</v>
      </c>
      <c r="J3" s="214" t="s">
        <v>363</v>
      </c>
      <c r="K3" s="217" t="s">
        <v>0</v>
      </c>
      <c r="L3" s="226" t="s">
        <v>364</v>
      </c>
      <c r="M3" s="227" t="s">
        <v>365</v>
      </c>
      <c r="N3" s="226" t="s">
        <v>366</v>
      </c>
      <c r="O3" s="227" t="s">
        <v>21</v>
      </c>
      <c r="P3" s="214"/>
      <c r="Q3" s="214"/>
      <c r="R3" s="214"/>
      <c r="S3" s="214"/>
      <c r="T3" s="214"/>
      <c r="U3" s="214"/>
      <c r="V3" s="214"/>
      <c r="W3" s="214"/>
      <c r="X3" s="214"/>
      <c r="Y3" s="214"/>
      <c r="Z3" s="214"/>
      <c r="AA3" s="214"/>
    </row>
    <row r="4" ht="15.75" customHeight="1">
      <c r="A4" s="221">
        <v>2.0</v>
      </c>
      <c r="B4" s="222" t="s">
        <v>367</v>
      </c>
      <c r="C4" s="221">
        <v>1.42621196E8</v>
      </c>
      <c r="D4" s="224">
        <v>44317.0</v>
      </c>
      <c r="E4" s="221" t="s">
        <v>368</v>
      </c>
      <c r="F4" s="221" t="s">
        <v>360</v>
      </c>
      <c r="G4" s="221" t="s">
        <v>369</v>
      </c>
      <c r="H4" s="225" t="s">
        <v>370</v>
      </c>
      <c r="I4" s="225" t="s">
        <v>363</v>
      </c>
      <c r="J4" s="214" t="s">
        <v>371</v>
      </c>
      <c r="K4" s="228">
        <v>1.0</v>
      </c>
      <c r="L4" s="229" t="s">
        <v>372</v>
      </c>
      <c r="M4" s="230" t="s">
        <v>373</v>
      </c>
      <c r="N4" s="231">
        <v>53.0</v>
      </c>
      <c r="O4" s="232"/>
      <c r="P4" s="214"/>
      <c r="Q4" s="214"/>
      <c r="R4" s="214"/>
      <c r="S4" s="214"/>
      <c r="T4" s="214"/>
      <c r="U4" s="214"/>
      <c r="V4" s="214"/>
      <c r="W4" s="214"/>
      <c r="X4" s="214"/>
      <c r="Y4" s="214"/>
      <c r="Z4" s="214"/>
      <c r="AA4" s="214"/>
    </row>
    <row r="5" ht="15.75" customHeight="1">
      <c r="A5" s="221">
        <v>3.0</v>
      </c>
      <c r="B5" s="222" t="s">
        <v>374</v>
      </c>
      <c r="C5" s="221">
        <v>3.4179014152E10</v>
      </c>
      <c r="D5" s="224">
        <v>45139.0</v>
      </c>
      <c r="E5" s="221" t="s">
        <v>359</v>
      </c>
      <c r="F5" s="221" t="s">
        <v>360</v>
      </c>
      <c r="G5" s="221" t="s">
        <v>361</v>
      </c>
      <c r="H5" s="222" t="s">
        <v>375</v>
      </c>
      <c r="I5" s="222" t="s">
        <v>376</v>
      </c>
      <c r="J5" s="214" t="s">
        <v>377</v>
      </c>
      <c r="K5" s="228">
        <v>2.0</v>
      </c>
      <c r="L5" s="233"/>
      <c r="M5" s="234" t="s">
        <v>378</v>
      </c>
      <c r="N5" s="235">
        <v>46.0</v>
      </c>
      <c r="O5" s="232" t="s">
        <v>379</v>
      </c>
      <c r="P5" s="214"/>
      <c r="Q5" s="214"/>
      <c r="R5" s="214"/>
      <c r="S5" s="214"/>
      <c r="T5" s="214"/>
      <c r="U5" s="214"/>
      <c r="V5" s="214"/>
      <c r="W5" s="214"/>
      <c r="X5" s="214"/>
      <c r="Y5" s="214"/>
      <c r="Z5" s="214"/>
      <c r="AA5" s="214"/>
    </row>
    <row r="6" ht="15.75" customHeight="1">
      <c r="A6" s="221">
        <v>4.0</v>
      </c>
      <c r="B6" s="222" t="s">
        <v>380</v>
      </c>
      <c r="C6" s="221">
        <v>3.7093011402E10</v>
      </c>
      <c r="D6" s="224">
        <v>44805.0</v>
      </c>
      <c r="E6" s="221" t="s">
        <v>359</v>
      </c>
      <c r="F6" s="221" t="s">
        <v>360</v>
      </c>
      <c r="G6" s="221" t="s">
        <v>361</v>
      </c>
      <c r="H6" s="222" t="s">
        <v>381</v>
      </c>
      <c r="I6" s="222" t="s">
        <v>382</v>
      </c>
      <c r="J6" s="214"/>
      <c r="K6" s="228">
        <v>3.0</v>
      </c>
      <c r="L6" s="233"/>
      <c r="M6" s="234" t="s">
        <v>383</v>
      </c>
      <c r="N6" s="235">
        <v>7.0</v>
      </c>
      <c r="O6" s="232" t="s">
        <v>384</v>
      </c>
      <c r="P6" s="214"/>
      <c r="Q6" s="214"/>
      <c r="R6" s="214"/>
      <c r="S6" s="214"/>
      <c r="T6" s="214"/>
      <c r="U6" s="214"/>
      <c r="V6" s="214"/>
      <c r="W6" s="214"/>
      <c r="X6" s="214"/>
      <c r="Y6" s="214"/>
      <c r="Z6" s="214"/>
      <c r="AA6" s="214"/>
    </row>
    <row r="7" ht="15.75" customHeight="1">
      <c r="A7" s="221">
        <v>5.0</v>
      </c>
      <c r="B7" s="222" t="s">
        <v>385</v>
      </c>
      <c r="C7" s="221">
        <v>1.186024666E9</v>
      </c>
      <c r="D7" s="224">
        <v>45170.0</v>
      </c>
      <c r="E7" s="221" t="s">
        <v>359</v>
      </c>
      <c r="F7" s="221" t="s">
        <v>360</v>
      </c>
      <c r="G7" s="221" t="s">
        <v>361</v>
      </c>
      <c r="H7" s="225" t="s">
        <v>362</v>
      </c>
      <c r="I7" s="225" t="s">
        <v>386</v>
      </c>
      <c r="J7" s="214"/>
      <c r="K7" s="228">
        <v>4.0</v>
      </c>
      <c r="L7" s="233"/>
      <c r="M7" s="230" t="s">
        <v>387</v>
      </c>
      <c r="N7" s="231">
        <v>5.0</v>
      </c>
      <c r="O7" s="232"/>
      <c r="P7" s="214"/>
      <c r="Q7" s="214"/>
      <c r="R7" s="214"/>
      <c r="S7" s="214"/>
      <c r="T7" s="214"/>
      <c r="U7" s="214"/>
      <c r="V7" s="214"/>
      <c r="W7" s="214"/>
      <c r="X7" s="214"/>
      <c r="Y7" s="214"/>
      <c r="Z7" s="214"/>
      <c r="AA7" s="214"/>
    </row>
    <row r="8" ht="15.75" customHeight="1">
      <c r="A8" s="221">
        <v>6.0</v>
      </c>
      <c r="B8" s="222" t="s">
        <v>388</v>
      </c>
      <c r="C8" s="221">
        <v>4.0352073E7</v>
      </c>
      <c r="D8" s="224">
        <v>44470.0</v>
      </c>
      <c r="E8" s="221" t="s">
        <v>368</v>
      </c>
      <c r="F8" s="221" t="s">
        <v>360</v>
      </c>
      <c r="G8" s="221" t="s">
        <v>369</v>
      </c>
      <c r="H8" s="222" t="s">
        <v>389</v>
      </c>
      <c r="I8" s="222" t="s">
        <v>390</v>
      </c>
      <c r="J8" s="214"/>
      <c r="K8" s="228">
        <v>5.0</v>
      </c>
      <c r="L8" s="233"/>
      <c r="M8" s="234" t="s">
        <v>378</v>
      </c>
      <c r="N8" s="235">
        <v>5.0</v>
      </c>
      <c r="O8" s="232" t="s">
        <v>391</v>
      </c>
      <c r="P8" s="214"/>
      <c r="Q8" s="214"/>
      <c r="R8" s="214"/>
      <c r="S8" s="214"/>
      <c r="T8" s="214"/>
      <c r="U8" s="214"/>
      <c r="V8" s="214"/>
      <c r="W8" s="214"/>
      <c r="X8" s="214"/>
      <c r="Y8" s="214"/>
      <c r="Z8" s="214"/>
      <c r="AA8" s="214"/>
    </row>
    <row r="9" ht="15.75" customHeight="1">
      <c r="A9" s="221">
        <v>7.0</v>
      </c>
      <c r="B9" s="222" t="s">
        <v>392</v>
      </c>
      <c r="C9" s="221">
        <v>2.5082000642E10</v>
      </c>
      <c r="D9" s="221" t="s">
        <v>393</v>
      </c>
      <c r="E9" s="221" t="s">
        <v>359</v>
      </c>
      <c r="F9" s="221" t="s">
        <v>360</v>
      </c>
      <c r="G9" s="221" t="s">
        <v>361</v>
      </c>
      <c r="H9" s="222" t="s">
        <v>389</v>
      </c>
      <c r="I9" s="222" t="s">
        <v>363</v>
      </c>
      <c r="J9" s="214"/>
      <c r="K9" s="228">
        <v>6.0</v>
      </c>
      <c r="L9" s="236" t="s">
        <v>394</v>
      </c>
      <c r="M9" s="230" t="s">
        <v>373</v>
      </c>
      <c r="N9" s="231">
        <v>3.0</v>
      </c>
      <c r="O9" s="232"/>
      <c r="P9" s="214"/>
      <c r="Q9" s="214"/>
      <c r="R9" s="214"/>
      <c r="S9" s="214"/>
      <c r="T9" s="214"/>
      <c r="U9" s="214"/>
      <c r="V9" s="214"/>
      <c r="W9" s="214"/>
      <c r="X9" s="214"/>
      <c r="Y9" s="214"/>
      <c r="Z9" s="214"/>
      <c r="AA9" s="214"/>
    </row>
    <row r="10" ht="15.75" customHeight="1">
      <c r="A10" s="221">
        <v>8.0</v>
      </c>
      <c r="B10" s="222" t="s">
        <v>395</v>
      </c>
      <c r="C10" s="221">
        <v>2.5199282E7</v>
      </c>
      <c r="D10" s="224">
        <v>44663.0</v>
      </c>
      <c r="E10" s="221" t="s">
        <v>368</v>
      </c>
      <c r="F10" s="221" t="s">
        <v>360</v>
      </c>
      <c r="G10" s="221" t="s">
        <v>369</v>
      </c>
      <c r="H10" s="222" t="s">
        <v>396</v>
      </c>
      <c r="I10" s="222"/>
      <c r="J10" s="214"/>
      <c r="K10" s="228">
        <v>7.0</v>
      </c>
      <c r="L10" s="233"/>
      <c r="M10" s="234" t="s">
        <v>378</v>
      </c>
      <c r="N10" s="235">
        <v>1.0</v>
      </c>
      <c r="O10" s="232" t="s">
        <v>379</v>
      </c>
      <c r="P10" s="214"/>
      <c r="Q10" s="214"/>
      <c r="R10" s="214"/>
      <c r="S10" s="214"/>
      <c r="T10" s="214"/>
      <c r="U10" s="214"/>
      <c r="V10" s="214"/>
      <c r="W10" s="214"/>
      <c r="X10" s="214"/>
      <c r="Y10" s="214"/>
      <c r="Z10" s="214"/>
      <c r="AA10" s="214"/>
    </row>
    <row r="11" ht="15.75" customHeight="1">
      <c r="A11" s="221">
        <v>9.0</v>
      </c>
      <c r="B11" s="222" t="s">
        <v>397</v>
      </c>
      <c r="C11" s="221">
        <v>1.3338949E7</v>
      </c>
      <c r="D11" s="224">
        <v>44301.0</v>
      </c>
      <c r="E11" s="221" t="s">
        <v>368</v>
      </c>
      <c r="F11" s="221" t="s">
        <v>360</v>
      </c>
      <c r="G11" s="221" t="s">
        <v>369</v>
      </c>
      <c r="H11" s="222" t="s">
        <v>398</v>
      </c>
      <c r="I11" s="222" t="s">
        <v>399</v>
      </c>
      <c r="J11" s="214"/>
      <c r="K11" s="228">
        <v>8.0</v>
      </c>
      <c r="L11" s="233"/>
      <c r="M11" s="234" t="s">
        <v>383</v>
      </c>
      <c r="N11" s="235">
        <v>2.0</v>
      </c>
      <c r="O11" s="232" t="s">
        <v>384</v>
      </c>
      <c r="P11" s="214"/>
      <c r="Q11" s="214"/>
      <c r="R11" s="214"/>
      <c r="S11" s="214"/>
      <c r="T11" s="214"/>
      <c r="U11" s="214"/>
      <c r="V11" s="214"/>
      <c r="W11" s="214"/>
      <c r="X11" s="214"/>
      <c r="Y11" s="214"/>
      <c r="Z11" s="214"/>
      <c r="AA11" s="214"/>
    </row>
    <row r="12" ht="15.75" customHeight="1">
      <c r="A12" s="221">
        <v>10.0</v>
      </c>
      <c r="B12" s="222" t="s">
        <v>400</v>
      </c>
      <c r="C12" s="221">
        <v>2.5315702E7</v>
      </c>
      <c r="D12" s="224">
        <v>44301.0</v>
      </c>
      <c r="E12" s="221" t="s">
        <v>368</v>
      </c>
      <c r="F12" s="221" t="s">
        <v>360</v>
      </c>
      <c r="G12" s="221" t="s">
        <v>369</v>
      </c>
      <c r="H12" s="222" t="s">
        <v>401</v>
      </c>
      <c r="I12" s="222"/>
      <c r="J12" s="214"/>
      <c r="K12" s="228">
        <v>9.0</v>
      </c>
      <c r="L12" s="233"/>
      <c r="M12" s="230" t="s">
        <v>387</v>
      </c>
      <c r="N12" s="231">
        <v>2.0</v>
      </c>
      <c r="O12" s="232"/>
      <c r="P12" s="214"/>
      <c r="Q12" s="214"/>
      <c r="R12" s="214"/>
      <c r="S12" s="214"/>
      <c r="T12" s="214"/>
      <c r="U12" s="214"/>
      <c r="V12" s="214"/>
      <c r="W12" s="214"/>
      <c r="X12" s="214"/>
      <c r="Y12" s="214"/>
      <c r="Z12" s="214"/>
      <c r="AA12" s="214"/>
    </row>
    <row r="13" ht="15.75" customHeight="1">
      <c r="A13" s="237">
        <v>11.0</v>
      </c>
      <c r="B13" s="222" t="s">
        <v>402</v>
      </c>
      <c r="C13" s="221">
        <v>1.12005739E8</v>
      </c>
      <c r="D13" s="224">
        <v>44331.0</v>
      </c>
      <c r="E13" s="221" t="s">
        <v>368</v>
      </c>
      <c r="F13" s="221" t="s">
        <v>360</v>
      </c>
      <c r="G13" s="221" t="s">
        <v>369</v>
      </c>
      <c r="H13" s="222"/>
      <c r="I13" s="222" t="s">
        <v>403</v>
      </c>
      <c r="J13" s="214"/>
      <c r="K13" s="228">
        <v>10.0</v>
      </c>
      <c r="L13" s="238"/>
      <c r="M13" s="234" t="s">
        <v>378</v>
      </c>
      <c r="N13" s="235">
        <v>2.0</v>
      </c>
      <c r="O13" s="232" t="s">
        <v>391</v>
      </c>
      <c r="P13" s="214"/>
      <c r="Q13" s="214"/>
      <c r="R13" s="214"/>
      <c r="S13" s="214"/>
      <c r="T13" s="214"/>
      <c r="U13" s="214"/>
      <c r="V13" s="214"/>
      <c r="W13" s="214"/>
      <c r="X13" s="214"/>
      <c r="Y13" s="214"/>
      <c r="Z13" s="214"/>
      <c r="AA13" s="214"/>
    </row>
    <row r="14" ht="15.75" customHeight="1">
      <c r="A14" s="237">
        <v>12.0</v>
      </c>
      <c r="B14" s="222" t="s">
        <v>404</v>
      </c>
      <c r="C14" s="221">
        <v>3.182617E7</v>
      </c>
      <c r="D14" s="224">
        <v>44671.0</v>
      </c>
      <c r="E14" s="221" t="s">
        <v>368</v>
      </c>
      <c r="F14" s="221" t="s">
        <v>360</v>
      </c>
      <c r="G14" s="221" t="s">
        <v>369</v>
      </c>
      <c r="H14" s="222" t="s">
        <v>405</v>
      </c>
      <c r="I14" s="222" t="s">
        <v>406</v>
      </c>
      <c r="J14" s="214"/>
      <c r="K14" s="214"/>
      <c r="L14" s="214"/>
      <c r="M14" s="214"/>
      <c r="N14" s="214"/>
      <c r="O14" s="214"/>
      <c r="P14" s="214"/>
      <c r="Q14" s="214"/>
      <c r="R14" s="214"/>
      <c r="S14" s="214"/>
      <c r="T14" s="214"/>
      <c r="U14" s="214"/>
      <c r="V14" s="214"/>
      <c r="W14" s="214"/>
      <c r="X14" s="214"/>
      <c r="Y14" s="214"/>
      <c r="Z14" s="214"/>
      <c r="AA14" s="214"/>
    </row>
    <row r="15" ht="15.75" customHeight="1">
      <c r="A15" s="221">
        <v>13.0</v>
      </c>
      <c r="B15" s="222" t="s">
        <v>407</v>
      </c>
      <c r="C15" s="221">
        <v>3.1089009039E10</v>
      </c>
      <c r="D15" s="239">
        <v>44859.0</v>
      </c>
      <c r="E15" s="221" t="s">
        <v>359</v>
      </c>
      <c r="F15" s="221" t="s">
        <v>360</v>
      </c>
      <c r="G15" s="221" t="s">
        <v>361</v>
      </c>
      <c r="H15" s="222" t="s">
        <v>381</v>
      </c>
      <c r="I15" s="222" t="s">
        <v>408</v>
      </c>
      <c r="J15" s="214"/>
      <c r="K15" s="214"/>
      <c r="L15" s="214"/>
      <c r="M15" s="214"/>
      <c r="N15" s="214"/>
      <c r="O15" s="214"/>
      <c r="P15" s="214"/>
      <c r="Q15" s="214"/>
      <c r="R15" s="214"/>
      <c r="S15" s="214"/>
      <c r="T15" s="214"/>
      <c r="U15" s="214"/>
      <c r="V15" s="214"/>
      <c r="W15" s="214"/>
      <c r="X15" s="214"/>
      <c r="Y15" s="214"/>
      <c r="Z15" s="214"/>
      <c r="AA15" s="214"/>
    </row>
    <row r="16" ht="15.75" customHeight="1">
      <c r="A16" s="221">
        <v>14.0</v>
      </c>
      <c r="B16" s="222" t="s">
        <v>409</v>
      </c>
      <c r="C16" s="221" t="s">
        <v>410</v>
      </c>
      <c r="D16" s="224">
        <v>44958.0</v>
      </c>
      <c r="E16" s="221" t="s">
        <v>359</v>
      </c>
      <c r="F16" s="221" t="s">
        <v>360</v>
      </c>
      <c r="G16" s="221" t="s">
        <v>361</v>
      </c>
      <c r="H16" s="222" t="s">
        <v>411</v>
      </c>
      <c r="I16" s="225" t="s">
        <v>363</v>
      </c>
      <c r="J16" s="214"/>
      <c r="K16" s="214"/>
      <c r="L16" s="214"/>
      <c r="M16" s="214"/>
      <c r="N16" s="214"/>
      <c r="O16" s="214"/>
      <c r="P16" s="214"/>
      <c r="Q16" s="214"/>
      <c r="R16" s="214"/>
      <c r="S16" s="214"/>
      <c r="T16" s="214"/>
      <c r="U16" s="214"/>
      <c r="V16" s="214"/>
      <c r="W16" s="214"/>
      <c r="X16" s="214"/>
      <c r="Y16" s="214"/>
      <c r="Z16" s="214"/>
      <c r="AA16" s="214"/>
    </row>
    <row r="17" ht="15.75" customHeight="1">
      <c r="A17" s="221">
        <v>15.0</v>
      </c>
      <c r="B17" s="222" t="s">
        <v>412</v>
      </c>
      <c r="C17" s="221" t="s">
        <v>413</v>
      </c>
      <c r="D17" s="224">
        <v>45366.0</v>
      </c>
      <c r="E17" s="221" t="s">
        <v>359</v>
      </c>
      <c r="F17" s="221" t="s">
        <v>360</v>
      </c>
      <c r="G17" s="221" t="s">
        <v>361</v>
      </c>
      <c r="H17" s="222" t="s">
        <v>411</v>
      </c>
      <c r="I17" s="222" t="s">
        <v>414</v>
      </c>
      <c r="J17" s="214"/>
      <c r="K17" s="214"/>
      <c r="L17" s="214"/>
      <c r="M17" s="214"/>
      <c r="N17" s="214"/>
      <c r="O17" s="214"/>
      <c r="P17" s="214"/>
      <c r="Q17" s="214"/>
      <c r="R17" s="214"/>
      <c r="S17" s="214"/>
      <c r="T17" s="214"/>
      <c r="U17" s="214"/>
      <c r="V17" s="214"/>
      <c r="W17" s="214"/>
      <c r="X17" s="214"/>
      <c r="Y17" s="214"/>
      <c r="Z17" s="214"/>
      <c r="AA17" s="214"/>
    </row>
    <row r="18" ht="15.75" customHeight="1">
      <c r="A18" s="221">
        <v>16.0</v>
      </c>
      <c r="B18" s="222" t="s">
        <v>415</v>
      </c>
      <c r="C18" s="221">
        <v>3.6194011307E10</v>
      </c>
      <c r="D18" s="224">
        <v>45348.0</v>
      </c>
      <c r="E18" s="221" t="s">
        <v>359</v>
      </c>
      <c r="F18" s="221" t="s">
        <v>360</v>
      </c>
      <c r="G18" s="221" t="s">
        <v>361</v>
      </c>
      <c r="H18" s="222" t="s">
        <v>416</v>
      </c>
      <c r="I18" s="222"/>
      <c r="J18" s="214"/>
      <c r="K18" s="214"/>
      <c r="L18" s="214"/>
      <c r="M18" s="214"/>
      <c r="N18" s="214"/>
      <c r="O18" s="214"/>
      <c r="P18" s="214"/>
      <c r="Q18" s="214"/>
      <c r="R18" s="214"/>
      <c r="S18" s="214"/>
      <c r="T18" s="214"/>
      <c r="U18" s="214"/>
      <c r="V18" s="214"/>
      <c r="W18" s="214"/>
      <c r="X18" s="214"/>
      <c r="Y18" s="214"/>
      <c r="Z18" s="214"/>
      <c r="AA18" s="214"/>
    </row>
    <row r="19" ht="15.75" customHeight="1">
      <c r="A19" s="221">
        <v>17.0</v>
      </c>
      <c r="B19" s="222" t="s">
        <v>417</v>
      </c>
      <c r="C19" s="221">
        <v>9.0868119E7</v>
      </c>
      <c r="D19" s="224">
        <v>45139.0</v>
      </c>
      <c r="E19" s="221" t="s">
        <v>359</v>
      </c>
      <c r="F19" s="221" t="s">
        <v>360</v>
      </c>
      <c r="G19" s="221" t="s">
        <v>361</v>
      </c>
      <c r="H19" s="222" t="s">
        <v>418</v>
      </c>
      <c r="I19" s="222" t="s">
        <v>419</v>
      </c>
      <c r="J19" s="214"/>
      <c r="K19" s="214"/>
      <c r="L19" s="214"/>
      <c r="M19" s="214"/>
      <c r="N19" s="214"/>
      <c r="O19" s="214"/>
      <c r="P19" s="214"/>
      <c r="Q19" s="214"/>
      <c r="R19" s="214"/>
      <c r="S19" s="214"/>
      <c r="T19" s="214"/>
      <c r="U19" s="214"/>
      <c r="V19" s="214"/>
      <c r="W19" s="214"/>
      <c r="X19" s="214"/>
      <c r="Y19" s="214"/>
      <c r="Z19" s="214"/>
      <c r="AA19" s="214"/>
    </row>
    <row r="20" ht="15.75" customHeight="1">
      <c r="A20" s="221">
        <v>18.0</v>
      </c>
      <c r="B20" s="222" t="s">
        <v>420</v>
      </c>
      <c r="C20" s="221">
        <v>6.9094003472E10</v>
      </c>
      <c r="D20" s="224">
        <v>45348.0</v>
      </c>
      <c r="E20" s="221" t="s">
        <v>359</v>
      </c>
      <c r="F20" s="221" t="s">
        <v>360</v>
      </c>
      <c r="G20" s="221" t="s">
        <v>361</v>
      </c>
      <c r="H20" s="240" t="s">
        <v>421</v>
      </c>
      <c r="I20" s="222"/>
      <c r="J20" s="214"/>
      <c r="K20" s="214"/>
      <c r="L20" s="214"/>
      <c r="M20" s="214"/>
      <c r="N20" s="214"/>
      <c r="O20" s="214"/>
      <c r="P20" s="214"/>
      <c r="Q20" s="214"/>
      <c r="R20" s="214"/>
      <c r="S20" s="214"/>
      <c r="T20" s="214"/>
      <c r="U20" s="214"/>
      <c r="V20" s="214"/>
      <c r="W20" s="214"/>
      <c r="X20" s="214"/>
      <c r="Y20" s="214"/>
      <c r="Z20" s="214"/>
      <c r="AA20" s="214"/>
    </row>
    <row r="21" ht="15.75" customHeight="1">
      <c r="A21" s="221">
        <v>19.0</v>
      </c>
      <c r="B21" s="222" t="s">
        <v>422</v>
      </c>
      <c r="C21" s="221">
        <v>2.609001104E10</v>
      </c>
      <c r="D21" s="224">
        <v>45231.0</v>
      </c>
      <c r="E21" s="221" t="s">
        <v>359</v>
      </c>
      <c r="F21" s="221" t="s">
        <v>360</v>
      </c>
      <c r="G21" s="221" t="s">
        <v>361</v>
      </c>
      <c r="H21" s="240" t="s">
        <v>421</v>
      </c>
      <c r="I21" s="222"/>
      <c r="J21" s="214"/>
      <c r="K21" s="214"/>
      <c r="L21" s="214"/>
      <c r="M21" s="214"/>
      <c r="N21" s="214"/>
      <c r="O21" s="214"/>
      <c r="P21" s="214"/>
      <c r="Q21" s="214"/>
      <c r="R21" s="214"/>
      <c r="S21" s="214"/>
      <c r="T21" s="214"/>
      <c r="U21" s="214"/>
      <c r="V21" s="214"/>
      <c r="W21" s="214"/>
      <c r="X21" s="214"/>
      <c r="Y21" s="214"/>
      <c r="Z21" s="214"/>
      <c r="AA21" s="214"/>
    </row>
    <row r="22" ht="15.75" customHeight="1">
      <c r="A22" s="221">
        <v>20.0</v>
      </c>
      <c r="B22" s="222" t="s">
        <v>423</v>
      </c>
      <c r="C22" s="221">
        <v>1.089002519E10</v>
      </c>
      <c r="D22" s="224">
        <v>45003.0</v>
      </c>
      <c r="E22" s="221" t="s">
        <v>359</v>
      </c>
      <c r="F22" s="221" t="s">
        <v>424</v>
      </c>
      <c r="G22" s="221" t="s">
        <v>361</v>
      </c>
      <c r="H22" s="222" t="s">
        <v>425</v>
      </c>
      <c r="I22" s="222" t="s">
        <v>426</v>
      </c>
      <c r="J22" s="214"/>
      <c r="K22" s="214"/>
      <c r="L22" s="214"/>
      <c r="M22" s="214"/>
      <c r="N22" s="214"/>
      <c r="O22" s="214"/>
      <c r="P22" s="214"/>
      <c r="Q22" s="214"/>
      <c r="R22" s="214"/>
      <c r="S22" s="214"/>
      <c r="T22" s="214"/>
      <c r="U22" s="214"/>
      <c r="V22" s="214"/>
      <c r="W22" s="214"/>
      <c r="X22" s="214"/>
      <c r="Y22" s="214"/>
      <c r="Z22" s="214"/>
      <c r="AA22" s="214"/>
    </row>
    <row r="23" ht="15.75" customHeight="1">
      <c r="A23" s="237">
        <v>21.0</v>
      </c>
      <c r="B23" s="222" t="s">
        <v>427</v>
      </c>
      <c r="C23" s="221">
        <v>4.219900058E10</v>
      </c>
      <c r="D23" s="224">
        <v>45292.0</v>
      </c>
      <c r="E23" s="221" t="s">
        <v>359</v>
      </c>
      <c r="F23" s="221" t="s">
        <v>360</v>
      </c>
      <c r="G23" s="221" t="s">
        <v>361</v>
      </c>
      <c r="H23" s="222" t="s">
        <v>428</v>
      </c>
      <c r="I23" s="222" t="s">
        <v>429</v>
      </c>
      <c r="J23" s="214"/>
      <c r="K23" s="214"/>
      <c r="L23" s="214"/>
      <c r="M23" s="214"/>
      <c r="N23" s="214"/>
      <c r="O23" s="214"/>
      <c r="P23" s="214"/>
      <c r="Q23" s="214"/>
      <c r="R23" s="214"/>
      <c r="S23" s="214"/>
      <c r="T23" s="214"/>
      <c r="U23" s="214"/>
      <c r="V23" s="214"/>
      <c r="W23" s="214"/>
      <c r="X23" s="214"/>
      <c r="Y23" s="214"/>
      <c r="Z23" s="214"/>
      <c r="AA23" s="214"/>
    </row>
    <row r="24" ht="15.75" customHeight="1">
      <c r="A24" s="221">
        <v>22.0</v>
      </c>
      <c r="B24" s="222" t="s">
        <v>430</v>
      </c>
      <c r="C24" s="221">
        <v>3.817400777E10</v>
      </c>
      <c r="D24" s="224">
        <v>45139.0</v>
      </c>
      <c r="E24" s="221" t="s">
        <v>359</v>
      </c>
      <c r="F24" s="221" t="s">
        <v>360</v>
      </c>
      <c r="G24" s="221" t="s">
        <v>361</v>
      </c>
      <c r="H24" s="225" t="s">
        <v>362</v>
      </c>
      <c r="I24" s="225" t="s">
        <v>431</v>
      </c>
      <c r="J24" s="214"/>
      <c r="K24" s="214"/>
      <c r="L24" s="214"/>
      <c r="M24" s="214"/>
      <c r="N24" s="214"/>
      <c r="O24" s="214"/>
      <c r="P24" s="214"/>
      <c r="Q24" s="214"/>
      <c r="R24" s="214"/>
      <c r="S24" s="214"/>
      <c r="T24" s="214"/>
      <c r="U24" s="214"/>
      <c r="V24" s="214"/>
      <c r="W24" s="214"/>
      <c r="X24" s="214"/>
      <c r="Y24" s="214"/>
      <c r="Z24" s="214"/>
      <c r="AA24" s="214"/>
    </row>
    <row r="25" ht="15.75" customHeight="1">
      <c r="A25" s="221">
        <v>23.0</v>
      </c>
      <c r="B25" s="222" t="s">
        <v>432</v>
      </c>
      <c r="C25" s="221" t="s">
        <v>433</v>
      </c>
      <c r="D25" s="239">
        <v>44925.0</v>
      </c>
      <c r="E25" s="221" t="s">
        <v>359</v>
      </c>
      <c r="F25" s="221" t="s">
        <v>360</v>
      </c>
      <c r="G25" s="221" t="s">
        <v>361</v>
      </c>
      <c r="H25" s="222" t="s">
        <v>411</v>
      </c>
      <c r="I25" s="225" t="s">
        <v>363</v>
      </c>
      <c r="J25" s="214"/>
      <c r="K25" s="214"/>
      <c r="L25" s="214"/>
      <c r="M25" s="214"/>
      <c r="N25" s="214"/>
      <c r="O25" s="214"/>
      <c r="P25" s="214"/>
      <c r="Q25" s="214"/>
      <c r="R25" s="214"/>
      <c r="S25" s="214"/>
      <c r="T25" s="214"/>
      <c r="U25" s="214"/>
      <c r="V25" s="214"/>
      <c r="W25" s="214"/>
      <c r="X25" s="214"/>
      <c r="Y25" s="214"/>
      <c r="Z25" s="214"/>
      <c r="AA25" s="214"/>
    </row>
    <row r="26" ht="15.75" customHeight="1">
      <c r="A26" s="221">
        <v>24.0</v>
      </c>
      <c r="B26" s="222" t="s">
        <v>434</v>
      </c>
      <c r="C26" s="221">
        <v>1.63247501E8</v>
      </c>
      <c r="D26" s="224">
        <v>45168.0</v>
      </c>
      <c r="E26" s="221" t="s">
        <v>359</v>
      </c>
      <c r="F26" s="221" t="s">
        <v>360</v>
      </c>
      <c r="G26" s="221" t="s">
        <v>361</v>
      </c>
      <c r="H26" s="222" t="s">
        <v>381</v>
      </c>
      <c r="I26" s="222" t="s">
        <v>408</v>
      </c>
      <c r="J26" s="214"/>
      <c r="K26" s="214"/>
      <c r="L26" s="214"/>
      <c r="M26" s="214"/>
      <c r="N26" s="214"/>
      <c r="O26" s="214"/>
      <c r="P26" s="214"/>
      <c r="Q26" s="214"/>
      <c r="R26" s="214"/>
      <c r="S26" s="214"/>
      <c r="T26" s="214"/>
      <c r="U26" s="214"/>
      <c r="V26" s="214"/>
      <c r="W26" s="214"/>
      <c r="X26" s="214"/>
      <c r="Y26" s="214"/>
      <c r="Z26" s="214"/>
      <c r="AA26" s="214"/>
    </row>
    <row r="27" ht="15.75" customHeight="1">
      <c r="A27" s="221">
        <v>25.0</v>
      </c>
      <c r="B27" s="222" t="s">
        <v>435</v>
      </c>
      <c r="C27" s="221">
        <v>2.7088000186E10</v>
      </c>
      <c r="D27" s="224">
        <v>45323.0</v>
      </c>
      <c r="E27" s="221" t="s">
        <v>359</v>
      </c>
      <c r="F27" s="221" t="s">
        <v>360</v>
      </c>
      <c r="G27" s="221" t="s">
        <v>361</v>
      </c>
      <c r="H27" s="225" t="s">
        <v>362</v>
      </c>
      <c r="I27" s="225" t="s">
        <v>363</v>
      </c>
      <c r="J27" s="214"/>
      <c r="K27" s="214"/>
      <c r="L27" s="214"/>
      <c r="M27" s="214"/>
      <c r="N27" s="214"/>
      <c r="O27" s="214"/>
      <c r="P27" s="214"/>
      <c r="Q27" s="214"/>
      <c r="R27" s="214"/>
      <c r="S27" s="214"/>
      <c r="T27" s="214"/>
      <c r="U27" s="214"/>
      <c r="V27" s="214"/>
      <c r="W27" s="214"/>
      <c r="X27" s="214"/>
      <c r="Y27" s="214"/>
      <c r="Z27" s="214"/>
      <c r="AA27" s="214"/>
    </row>
    <row r="28" ht="15.75" customHeight="1">
      <c r="A28" s="221">
        <v>26.0</v>
      </c>
      <c r="B28" s="222" t="s">
        <v>436</v>
      </c>
      <c r="C28" s="221">
        <v>1.9188007644E10</v>
      </c>
      <c r="D28" s="224">
        <v>44972.0</v>
      </c>
      <c r="E28" s="221" t="s">
        <v>359</v>
      </c>
      <c r="F28" s="221" t="s">
        <v>360</v>
      </c>
      <c r="G28" s="221" t="s">
        <v>361</v>
      </c>
      <c r="H28" s="222" t="s">
        <v>437</v>
      </c>
      <c r="I28" s="222" t="s">
        <v>438</v>
      </c>
      <c r="J28" s="214"/>
      <c r="K28" s="214"/>
      <c r="L28" s="214"/>
      <c r="M28" s="214"/>
      <c r="N28" s="214"/>
      <c r="O28" s="214"/>
      <c r="P28" s="214"/>
      <c r="Q28" s="214"/>
      <c r="R28" s="214"/>
      <c r="S28" s="214"/>
      <c r="T28" s="214"/>
      <c r="U28" s="214"/>
      <c r="V28" s="214"/>
      <c r="W28" s="214"/>
      <c r="X28" s="214"/>
      <c r="Y28" s="214"/>
      <c r="Z28" s="214"/>
      <c r="AA28" s="214"/>
    </row>
    <row r="29" ht="15.75" customHeight="1">
      <c r="A29" s="221">
        <v>27.0</v>
      </c>
      <c r="B29" s="222" t="s">
        <v>439</v>
      </c>
      <c r="C29" s="221">
        <v>2.7077012437E10</v>
      </c>
      <c r="D29" s="224">
        <v>44987.0</v>
      </c>
      <c r="E29" s="221" t="s">
        <v>359</v>
      </c>
      <c r="F29" s="221" t="s">
        <v>360</v>
      </c>
      <c r="G29" s="221" t="s">
        <v>361</v>
      </c>
      <c r="H29" s="222" t="s">
        <v>389</v>
      </c>
      <c r="I29" s="222" t="s">
        <v>440</v>
      </c>
      <c r="J29" s="214"/>
      <c r="K29" s="214"/>
      <c r="L29" s="214"/>
      <c r="M29" s="214"/>
      <c r="N29" s="214"/>
      <c r="O29" s="214"/>
      <c r="P29" s="214"/>
      <c r="Q29" s="214"/>
      <c r="R29" s="214"/>
      <c r="S29" s="214"/>
      <c r="T29" s="214"/>
      <c r="U29" s="214"/>
      <c r="V29" s="214"/>
      <c r="W29" s="214"/>
      <c r="X29" s="214"/>
      <c r="Y29" s="214"/>
      <c r="Z29" s="214"/>
      <c r="AA29" s="214"/>
    </row>
    <row r="30" ht="15.75" customHeight="1">
      <c r="A30" s="221">
        <v>28.0</v>
      </c>
      <c r="B30" s="222" t="s">
        <v>441</v>
      </c>
      <c r="C30" s="221">
        <v>1.2162797E7</v>
      </c>
      <c r="D30" s="224">
        <v>44939.0</v>
      </c>
      <c r="E30" s="221" t="s">
        <v>359</v>
      </c>
      <c r="F30" s="221" t="s">
        <v>360</v>
      </c>
      <c r="G30" s="221" t="s">
        <v>361</v>
      </c>
      <c r="H30" s="222" t="s">
        <v>442</v>
      </c>
      <c r="I30" s="222"/>
      <c r="J30" s="214"/>
      <c r="K30" s="214"/>
      <c r="L30" s="214"/>
      <c r="M30" s="214"/>
      <c r="N30" s="214"/>
      <c r="O30" s="214"/>
      <c r="P30" s="214"/>
      <c r="Q30" s="214"/>
      <c r="R30" s="214"/>
      <c r="S30" s="214"/>
      <c r="T30" s="214"/>
      <c r="U30" s="214"/>
      <c r="V30" s="214"/>
      <c r="W30" s="214"/>
      <c r="X30" s="214"/>
      <c r="Y30" s="214"/>
      <c r="Z30" s="214"/>
      <c r="AA30" s="214"/>
    </row>
    <row r="31" ht="15.75" customHeight="1">
      <c r="A31" s="221">
        <v>29.0</v>
      </c>
      <c r="B31" s="222" t="s">
        <v>443</v>
      </c>
      <c r="C31" s="221">
        <v>2.2191010065E10</v>
      </c>
      <c r="D31" s="224">
        <v>44928.0</v>
      </c>
      <c r="E31" s="221" t="s">
        <v>359</v>
      </c>
      <c r="F31" s="221" t="s">
        <v>360</v>
      </c>
      <c r="G31" s="221" t="s">
        <v>361</v>
      </c>
      <c r="H31" s="222" t="s">
        <v>389</v>
      </c>
      <c r="I31" s="222" t="s">
        <v>444</v>
      </c>
      <c r="J31" s="214"/>
      <c r="K31" s="214"/>
      <c r="L31" s="214"/>
      <c r="M31" s="214"/>
      <c r="N31" s="214"/>
      <c r="O31" s="214"/>
      <c r="P31" s="214"/>
      <c r="Q31" s="214"/>
      <c r="R31" s="214"/>
      <c r="S31" s="214"/>
      <c r="T31" s="214"/>
      <c r="U31" s="214"/>
      <c r="V31" s="214"/>
      <c r="W31" s="214"/>
      <c r="X31" s="214"/>
      <c r="Y31" s="214"/>
      <c r="Z31" s="214"/>
      <c r="AA31" s="214"/>
    </row>
    <row r="32" ht="15.75" customHeight="1">
      <c r="A32" s="221">
        <v>30.0</v>
      </c>
      <c r="B32" s="222" t="s">
        <v>445</v>
      </c>
      <c r="C32" s="221">
        <v>3.7184006632E10</v>
      </c>
      <c r="D32" s="224">
        <v>45048.0</v>
      </c>
      <c r="E32" s="221" t="s">
        <v>359</v>
      </c>
      <c r="F32" s="221" t="s">
        <v>360</v>
      </c>
      <c r="G32" s="221" t="s">
        <v>361</v>
      </c>
      <c r="H32" s="222" t="s">
        <v>446</v>
      </c>
      <c r="I32" s="222" t="s">
        <v>447</v>
      </c>
      <c r="J32" s="214"/>
      <c r="K32" s="214"/>
      <c r="L32" s="214"/>
      <c r="M32" s="214"/>
      <c r="N32" s="214"/>
      <c r="O32" s="214"/>
      <c r="P32" s="214"/>
      <c r="Q32" s="214"/>
      <c r="R32" s="214"/>
      <c r="S32" s="214"/>
      <c r="T32" s="214"/>
      <c r="U32" s="214"/>
      <c r="V32" s="214"/>
      <c r="W32" s="214"/>
      <c r="X32" s="214"/>
      <c r="Y32" s="214"/>
      <c r="Z32" s="214"/>
      <c r="AA32" s="214"/>
    </row>
    <row r="33" ht="15.75" customHeight="1">
      <c r="A33" s="221">
        <v>31.0</v>
      </c>
      <c r="B33" s="222" t="s">
        <v>448</v>
      </c>
      <c r="C33" s="221">
        <v>3.0303008945E10</v>
      </c>
      <c r="D33" s="224">
        <v>44928.0</v>
      </c>
      <c r="E33" s="221" t="s">
        <v>359</v>
      </c>
      <c r="F33" s="221" t="s">
        <v>360</v>
      </c>
      <c r="G33" s="221" t="s">
        <v>361</v>
      </c>
      <c r="H33" s="222" t="s">
        <v>389</v>
      </c>
      <c r="I33" s="222" t="s">
        <v>449</v>
      </c>
      <c r="J33" s="214"/>
      <c r="K33" s="214"/>
      <c r="L33" s="214"/>
      <c r="M33" s="214"/>
      <c r="N33" s="214"/>
      <c r="O33" s="214"/>
      <c r="P33" s="214"/>
      <c r="Q33" s="214"/>
      <c r="R33" s="214"/>
      <c r="S33" s="214"/>
      <c r="T33" s="214"/>
      <c r="U33" s="214"/>
      <c r="V33" s="214"/>
      <c r="W33" s="214"/>
      <c r="X33" s="214"/>
      <c r="Y33" s="214"/>
      <c r="Z33" s="214"/>
      <c r="AA33" s="214"/>
    </row>
    <row r="34" ht="15.75" customHeight="1">
      <c r="A34" s="221">
        <v>32.0</v>
      </c>
      <c r="B34" s="222" t="s">
        <v>450</v>
      </c>
      <c r="C34" s="221">
        <v>8.2086014799E10</v>
      </c>
      <c r="D34" s="224">
        <v>44939.0</v>
      </c>
      <c r="E34" s="221" t="s">
        <v>359</v>
      </c>
      <c r="F34" s="221" t="s">
        <v>360</v>
      </c>
      <c r="G34" s="221" t="s">
        <v>361</v>
      </c>
      <c r="H34" s="222" t="s">
        <v>401</v>
      </c>
      <c r="I34" s="222"/>
      <c r="J34" s="214"/>
      <c r="K34" s="214"/>
      <c r="L34" s="214"/>
      <c r="M34" s="214"/>
      <c r="N34" s="214"/>
      <c r="O34" s="214"/>
      <c r="P34" s="214"/>
      <c r="Q34" s="214"/>
      <c r="R34" s="214"/>
      <c r="S34" s="214"/>
      <c r="T34" s="214"/>
      <c r="U34" s="214"/>
      <c r="V34" s="214"/>
      <c r="W34" s="214"/>
      <c r="X34" s="214"/>
      <c r="Y34" s="214"/>
      <c r="Z34" s="214"/>
      <c r="AA34" s="214"/>
    </row>
    <row r="35" ht="15.75" customHeight="1">
      <c r="A35" s="221">
        <v>33.0</v>
      </c>
      <c r="B35" s="222" t="s">
        <v>451</v>
      </c>
      <c r="C35" s="221">
        <v>1.25619431E8</v>
      </c>
      <c r="D35" s="224">
        <v>44972.0</v>
      </c>
      <c r="E35" s="221" t="s">
        <v>359</v>
      </c>
      <c r="F35" s="221" t="s">
        <v>360</v>
      </c>
      <c r="G35" s="221" t="s">
        <v>361</v>
      </c>
      <c r="H35" s="225" t="s">
        <v>362</v>
      </c>
      <c r="I35" s="225" t="s">
        <v>363</v>
      </c>
      <c r="J35" s="214"/>
      <c r="K35" s="214"/>
      <c r="L35" s="214"/>
      <c r="M35" s="214"/>
      <c r="N35" s="214"/>
      <c r="O35" s="214"/>
      <c r="P35" s="214"/>
      <c r="Q35" s="214"/>
      <c r="R35" s="214"/>
      <c r="S35" s="214"/>
      <c r="T35" s="214"/>
      <c r="U35" s="214"/>
      <c r="V35" s="214"/>
      <c r="W35" s="214"/>
      <c r="X35" s="214"/>
      <c r="Y35" s="214"/>
      <c r="Z35" s="214"/>
      <c r="AA35" s="214"/>
    </row>
    <row r="36" ht="15.75" customHeight="1">
      <c r="A36" s="221">
        <v>34.0</v>
      </c>
      <c r="B36" s="222" t="s">
        <v>452</v>
      </c>
      <c r="C36" s="221">
        <v>1.094004866E9</v>
      </c>
      <c r="D36" s="224">
        <v>45035.0</v>
      </c>
      <c r="E36" s="221" t="s">
        <v>359</v>
      </c>
      <c r="F36" s="221" t="s">
        <v>360</v>
      </c>
      <c r="G36" s="221" t="s">
        <v>361</v>
      </c>
      <c r="H36" s="222" t="s">
        <v>411</v>
      </c>
      <c r="I36" s="225" t="s">
        <v>363</v>
      </c>
      <c r="J36" s="214"/>
      <c r="K36" s="214"/>
      <c r="L36" s="214"/>
      <c r="M36" s="214"/>
      <c r="N36" s="214"/>
      <c r="O36" s="214"/>
      <c r="P36" s="214"/>
      <c r="Q36" s="214"/>
      <c r="R36" s="214"/>
      <c r="S36" s="214"/>
      <c r="T36" s="214"/>
      <c r="U36" s="214"/>
      <c r="V36" s="214"/>
      <c r="W36" s="214"/>
      <c r="X36" s="214"/>
      <c r="Y36" s="214"/>
      <c r="Z36" s="214"/>
      <c r="AA36" s="214"/>
    </row>
    <row r="37" ht="15.75" customHeight="1">
      <c r="A37" s="237">
        <v>35.0</v>
      </c>
      <c r="B37" s="222" t="s">
        <v>453</v>
      </c>
      <c r="C37" s="221">
        <v>7.5093015013E10</v>
      </c>
      <c r="D37" s="224">
        <v>44987.0</v>
      </c>
      <c r="E37" s="221" t="s">
        <v>359</v>
      </c>
      <c r="F37" s="221" t="s">
        <v>360</v>
      </c>
      <c r="G37" s="221" t="s">
        <v>361</v>
      </c>
      <c r="H37" s="222" t="s">
        <v>428</v>
      </c>
      <c r="I37" s="222" t="s">
        <v>454</v>
      </c>
      <c r="J37" s="214"/>
      <c r="K37" s="214"/>
      <c r="L37" s="214"/>
      <c r="M37" s="214"/>
      <c r="N37" s="214"/>
      <c r="O37" s="214"/>
      <c r="P37" s="214"/>
      <c r="Q37" s="214"/>
      <c r="R37" s="214"/>
      <c r="S37" s="214"/>
      <c r="T37" s="214"/>
      <c r="U37" s="214"/>
      <c r="V37" s="214"/>
      <c r="W37" s="214"/>
      <c r="X37" s="214"/>
      <c r="Y37" s="214"/>
      <c r="Z37" s="214"/>
      <c r="AA37" s="214"/>
    </row>
    <row r="38" ht="15.75" customHeight="1">
      <c r="A38" s="237">
        <v>36.0</v>
      </c>
      <c r="B38" s="222" t="s">
        <v>455</v>
      </c>
      <c r="C38" s="221">
        <v>1.094006517E9</v>
      </c>
      <c r="D38" s="224">
        <v>45048.0</v>
      </c>
      <c r="E38" s="221" t="s">
        <v>359</v>
      </c>
      <c r="F38" s="221" t="s">
        <v>360</v>
      </c>
      <c r="G38" s="221" t="s">
        <v>361</v>
      </c>
      <c r="H38" s="222" t="s">
        <v>428</v>
      </c>
      <c r="I38" s="222" t="s">
        <v>363</v>
      </c>
      <c r="J38" s="214"/>
      <c r="K38" s="214"/>
      <c r="L38" s="214"/>
      <c r="M38" s="214"/>
      <c r="N38" s="214"/>
      <c r="O38" s="214"/>
      <c r="P38" s="214"/>
      <c r="Q38" s="214"/>
      <c r="R38" s="214"/>
      <c r="S38" s="214"/>
      <c r="T38" s="214"/>
      <c r="U38" s="214"/>
      <c r="V38" s="214"/>
      <c r="W38" s="214"/>
      <c r="X38" s="214"/>
      <c r="Y38" s="214"/>
      <c r="Z38" s="214"/>
      <c r="AA38" s="214"/>
    </row>
    <row r="39" ht="15.75" customHeight="1">
      <c r="A39" s="237">
        <v>37.0</v>
      </c>
      <c r="B39" s="222" t="s">
        <v>456</v>
      </c>
      <c r="C39" s="221">
        <v>1.9183011368E10</v>
      </c>
      <c r="D39" s="224">
        <v>45048.0</v>
      </c>
      <c r="E39" s="221" t="s">
        <v>359</v>
      </c>
      <c r="F39" s="221" t="s">
        <v>360</v>
      </c>
      <c r="G39" s="221" t="s">
        <v>361</v>
      </c>
      <c r="H39" s="222" t="s">
        <v>428</v>
      </c>
      <c r="I39" s="222" t="s">
        <v>454</v>
      </c>
      <c r="J39" s="214"/>
      <c r="K39" s="214"/>
      <c r="L39" s="214"/>
      <c r="M39" s="214"/>
      <c r="N39" s="214"/>
      <c r="O39" s="214"/>
      <c r="P39" s="214"/>
      <c r="Q39" s="214"/>
      <c r="R39" s="214"/>
      <c r="S39" s="214"/>
      <c r="T39" s="214"/>
      <c r="U39" s="214"/>
      <c r="V39" s="214"/>
      <c r="W39" s="214"/>
      <c r="X39" s="214"/>
      <c r="Y39" s="214"/>
      <c r="Z39" s="214"/>
      <c r="AA39" s="214"/>
    </row>
    <row r="40" ht="15.75" customHeight="1">
      <c r="A40" s="221">
        <v>38.0</v>
      </c>
      <c r="B40" s="222" t="s">
        <v>457</v>
      </c>
      <c r="C40" s="221">
        <v>4.2191000127E10</v>
      </c>
      <c r="D40" s="224">
        <v>44987.0</v>
      </c>
      <c r="E40" s="221" t="s">
        <v>359</v>
      </c>
      <c r="F40" s="221" t="s">
        <v>360</v>
      </c>
      <c r="G40" s="221" t="s">
        <v>361</v>
      </c>
      <c r="H40" s="225" t="s">
        <v>362</v>
      </c>
      <c r="I40" s="225" t="s">
        <v>363</v>
      </c>
      <c r="J40" s="214"/>
      <c r="K40" s="214"/>
      <c r="L40" s="214"/>
      <c r="M40" s="214"/>
      <c r="N40" s="214"/>
      <c r="O40" s="214"/>
      <c r="P40" s="214"/>
      <c r="Q40" s="214"/>
      <c r="R40" s="214"/>
      <c r="S40" s="214"/>
      <c r="T40" s="214"/>
      <c r="U40" s="214"/>
      <c r="V40" s="214"/>
      <c r="W40" s="214"/>
      <c r="X40" s="214"/>
      <c r="Y40" s="214"/>
      <c r="Z40" s="214"/>
      <c r="AA40" s="214"/>
    </row>
    <row r="41" ht="15.75" customHeight="1">
      <c r="A41" s="221">
        <v>39.0</v>
      </c>
      <c r="B41" s="222" t="s">
        <v>458</v>
      </c>
      <c r="C41" s="221">
        <v>2.418202026E10</v>
      </c>
      <c r="D41" s="224">
        <v>45078.0</v>
      </c>
      <c r="E41" s="221" t="s">
        <v>359</v>
      </c>
      <c r="F41" s="221" t="s">
        <v>360</v>
      </c>
      <c r="G41" s="221" t="s">
        <v>361</v>
      </c>
      <c r="H41" s="222" t="s">
        <v>418</v>
      </c>
      <c r="I41" s="225" t="s">
        <v>363</v>
      </c>
      <c r="J41" s="214"/>
      <c r="K41" s="214"/>
      <c r="L41" s="214"/>
      <c r="M41" s="214"/>
      <c r="N41" s="214"/>
      <c r="O41" s="214"/>
      <c r="P41" s="214"/>
      <c r="Q41" s="214"/>
      <c r="R41" s="214"/>
      <c r="S41" s="214"/>
      <c r="T41" s="214"/>
      <c r="U41" s="214"/>
      <c r="V41" s="214"/>
      <c r="W41" s="214"/>
      <c r="X41" s="214"/>
      <c r="Y41" s="214"/>
      <c r="Z41" s="214"/>
      <c r="AA41" s="214"/>
    </row>
    <row r="42" ht="15.75" customHeight="1">
      <c r="A42" s="221">
        <v>40.0</v>
      </c>
      <c r="B42" s="222" t="s">
        <v>459</v>
      </c>
      <c r="C42" s="221">
        <v>4.2189020407E10</v>
      </c>
      <c r="D42" s="224">
        <v>44972.0</v>
      </c>
      <c r="E42" s="221" t="s">
        <v>359</v>
      </c>
      <c r="F42" s="221" t="s">
        <v>360</v>
      </c>
      <c r="G42" s="221" t="s">
        <v>361</v>
      </c>
      <c r="H42" s="222" t="s">
        <v>460</v>
      </c>
      <c r="I42" s="222"/>
      <c r="J42" s="214"/>
      <c r="K42" s="214"/>
      <c r="L42" s="214"/>
      <c r="M42" s="214"/>
      <c r="N42" s="214"/>
      <c r="O42" s="214"/>
      <c r="P42" s="214"/>
      <c r="Q42" s="214"/>
      <c r="R42" s="214"/>
      <c r="S42" s="214"/>
      <c r="T42" s="214"/>
      <c r="U42" s="214"/>
      <c r="V42" s="214"/>
      <c r="W42" s="214"/>
      <c r="X42" s="214"/>
      <c r="Y42" s="214"/>
      <c r="Z42" s="214"/>
      <c r="AA42" s="214"/>
    </row>
    <row r="43" ht="15.75" customHeight="1">
      <c r="A43" s="221">
        <v>41.0</v>
      </c>
      <c r="B43" s="222" t="s">
        <v>461</v>
      </c>
      <c r="C43" s="221">
        <v>1.176045866E9</v>
      </c>
      <c r="D43" s="224">
        <v>45048.0</v>
      </c>
      <c r="E43" s="221" t="s">
        <v>359</v>
      </c>
      <c r="F43" s="221" t="s">
        <v>360</v>
      </c>
      <c r="G43" s="221" t="s">
        <v>361</v>
      </c>
      <c r="H43" s="222" t="s">
        <v>389</v>
      </c>
      <c r="I43" s="222" t="s">
        <v>363</v>
      </c>
      <c r="J43" s="214"/>
      <c r="K43" s="214"/>
      <c r="L43" s="214"/>
      <c r="M43" s="214"/>
      <c r="N43" s="214"/>
      <c r="O43" s="214"/>
      <c r="P43" s="214"/>
      <c r="Q43" s="214"/>
      <c r="R43" s="214"/>
      <c r="S43" s="214"/>
      <c r="T43" s="214"/>
      <c r="U43" s="214"/>
      <c r="V43" s="214"/>
      <c r="W43" s="214"/>
      <c r="X43" s="214"/>
      <c r="Y43" s="214"/>
      <c r="Z43" s="214"/>
      <c r="AA43" s="214"/>
    </row>
    <row r="44" ht="15.75" customHeight="1">
      <c r="A44" s="221">
        <v>42.0</v>
      </c>
      <c r="B44" s="222" t="s">
        <v>462</v>
      </c>
      <c r="C44" s="221">
        <v>9.0774099E7</v>
      </c>
      <c r="D44" s="224">
        <v>44972.0</v>
      </c>
      <c r="E44" s="221" t="s">
        <v>359</v>
      </c>
      <c r="F44" s="221" t="s">
        <v>360</v>
      </c>
      <c r="G44" s="221" t="s">
        <v>361</v>
      </c>
      <c r="H44" s="222" t="s">
        <v>389</v>
      </c>
      <c r="I44" s="222" t="s">
        <v>363</v>
      </c>
      <c r="J44" s="214"/>
      <c r="K44" s="214"/>
      <c r="L44" s="214"/>
      <c r="M44" s="214"/>
      <c r="N44" s="214"/>
      <c r="O44" s="214"/>
      <c r="P44" s="214"/>
      <c r="Q44" s="214"/>
      <c r="R44" s="214"/>
      <c r="S44" s="214"/>
      <c r="T44" s="214"/>
      <c r="U44" s="214"/>
      <c r="V44" s="214"/>
      <c r="W44" s="214"/>
      <c r="X44" s="214"/>
      <c r="Y44" s="214"/>
      <c r="Z44" s="214"/>
      <c r="AA44" s="214"/>
    </row>
    <row r="45" ht="15.75" customHeight="1">
      <c r="A45" s="221">
        <v>43.0</v>
      </c>
      <c r="B45" s="222" t="s">
        <v>463</v>
      </c>
      <c r="C45" s="221">
        <v>3.6190001911E10</v>
      </c>
      <c r="D45" s="224">
        <v>44939.0</v>
      </c>
      <c r="E45" s="221" t="s">
        <v>359</v>
      </c>
      <c r="F45" s="221" t="s">
        <v>360</v>
      </c>
      <c r="G45" s="221" t="s">
        <v>361</v>
      </c>
      <c r="H45" s="222" t="s">
        <v>389</v>
      </c>
      <c r="I45" s="222" t="s">
        <v>363</v>
      </c>
      <c r="J45" s="214"/>
      <c r="K45" s="214"/>
      <c r="L45" s="214"/>
      <c r="M45" s="214"/>
      <c r="N45" s="214"/>
      <c r="O45" s="214"/>
      <c r="P45" s="214"/>
      <c r="Q45" s="214"/>
      <c r="R45" s="214"/>
      <c r="S45" s="214"/>
      <c r="T45" s="214"/>
      <c r="U45" s="214"/>
      <c r="V45" s="214"/>
      <c r="W45" s="214"/>
      <c r="X45" s="214"/>
      <c r="Y45" s="214"/>
      <c r="Z45" s="214"/>
      <c r="AA45" s="214"/>
    </row>
    <row r="46" ht="15.75" customHeight="1">
      <c r="A46" s="221">
        <v>44.0</v>
      </c>
      <c r="B46" s="222" t="s">
        <v>464</v>
      </c>
      <c r="C46" s="221">
        <v>2.4175005985E10</v>
      </c>
      <c r="D46" s="224">
        <v>44972.0</v>
      </c>
      <c r="E46" s="221" t="s">
        <v>359</v>
      </c>
      <c r="F46" s="221" t="s">
        <v>360</v>
      </c>
      <c r="G46" s="221" t="s">
        <v>361</v>
      </c>
      <c r="H46" s="222" t="s">
        <v>465</v>
      </c>
      <c r="I46" s="222"/>
      <c r="J46" s="214"/>
      <c r="K46" s="214"/>
      <c r="L46" s="214"/>
      <c r="M46" s="214"/>
      <c r="N46" s="214"/>
      <c r="O46" s="214"/>
      <c r="P46" s="214"/>
      <c r="Q46" s="214"/>
      <c r="R46" s="214"/>
      <c r="S46" s="214"/>
      <c r="T46" s="214"/>
      <c r="U46" s="214"/>
      <c r="V46" s="214"/>
      <c r="W46" s="214"/>
      <c r="X46" s="214"/>
      <c r="Y46" s="214"/>
      <c r="Z46" s="214"/>
      <c r="AA46" s="214"/>
    </row>
    <row r="47" ht="15.75" customHeight="1">
      <c r="A47" s="221">
        <v>45.0</v>
      </c>
      <c r="B47" s="222" t="s">
        <v>466</v>
      </c>
      <c r="C47" s="221">
        <v>9.1071121E7</v>
      </c>
      <c r="D47" s="224">
        <v>44939.0</v>
      </c>
      <c r="E47" s="221" t="s">
        <v>359</v>
      </c>
      <c r="F47" s="221" t="s">
        <v>360</v>
      </c>
      <c r="G47" s="221" t="s">
        <v>361</v>
      </c>
      <c r="H47" s="222" t="s">
        <v>442</v>
      </c>
      <c r="I47" s="222"/>
      <c r="J47" s="214"/>
      <c r="K47" s="214"/>
      <c r="L47" s="214"/>
      <c r="M47" s="214"/>
      <c r="N47" s="214"/>
      <c r="O47" s="214"/>
      <c r="P47" s="214"/>
      <c r="Q47" s="214"/>
      <c r="R47" s="214"/>
      <c r="S47" s="214"/>
      <c r="T47" s="214"/>
      <c r="U47" s="214"/>
      <c r="V47" s="214"/>
      <c r="W47" s="214"/>
      <c r="X47" s="214"/>
      <c r="Y47" s="214"/>
      <c r="Z47" s="214"/>
      <c r="AA47" s="214"/>
    </row>
    <row r="48" ht="15.75" customHeight="1">
      <c r="A48" s="221">
        <v>46.0</v>
      </c>
      <c r="B48" s="222" t="s">
        <v>467</v>
      </c>
      <c r="C48" s="221">
        <v>3.6187007688E10</v>
      </c>
      <c r="D48" s="224">
        <v>45132.0</v>
      </c>
      <c r="E48" s="221" t="s">
        <v>359</v>
      </c>
      <c r="F48" s="221" t="s">
        <v>360</v>
      </c>
      <c r="G48" s="221" t="s">
        <v>361</v>
      </c>
      <c r="H48" s="222" t="s">
        <v>468</v>
      </c>
      <c r="I48" s="222" t="s">
        <v>363</v>
      </c>
      <c r="J48" s="214"/>
      <c r="K48" s="214"/>
      <c r="L48" s="214"/>
      <c r="M48" s="214"/>
      <c r="N48" s="214"/>
      <c r="O48" s="214"/>
      <c r="P48" s="214"/>
      <c r="Q48" s="214"/>
      <c r="R48" s="214"/>
      <c r="S48" s="214"/>
      <c r="T48" s="214"/>
      <c r="U48" s="214"/>
      <c r="V48" s="214"/>
      <c r="W48" s="214"/>
      <c r="X48" s="214"/>
      <c r="Y48" s="214"/>
      <c r="Z48" s="214"/>
      <c r="AA48" s="214"/>
    </row>
    <row r="49" ht="15.75" customHeight="1">
      <c r="A49" s="221">
        <v>47.0</v>
      </c>
      <c r="B49" s="222" t="s">
        <v>469</v>
      </c>
      <c r="C49" s="221">
        <v>3.0302001736E10</v>
      </c>
      <c r="D49" s="224">
        <v>45041.0</v>
      </c>
      <c r="E49" s="221" t="s">
        <v>359</v>
      </c>
      <c r="F49" s="221" t="s">
        <v>360</v>
      </c>
      <c r="G49" s="221" t="s">
        <v>361</v>
      </c>
      <c r="H49" s="222" t="s">
        <v>396</v>
      </c>
      <c r="I49" s="222"/>
      <c r="J49" s="214"/>
      <c r="K49" s="214"/>
      <c r="L49" s="214"/>
      <c r="M49" s="214"/>
      <c r="N49" s="214"/>
      <c r="O49" s="214"/>
      <c r="P49" s="214"/>
      <c r="Q49" s="214"/>
      <c r="R49" s="214"/>
      <c r="S49" s="214"/>
      <c r="T49" s="214"/>
      <c r="U49" s="214"/>
      <c r="V49" s="214"/>
      <c r="W49" s="214"/>
      <c r="X49" s="214"/>
      <c r="Y49" s="214"/>
      <c r="Z49" s="214"/>
      <c r="AA49" s="214"/>
    </row>
    <row r="50" ht="15.75" customHeight="1">
      <c r="A50" s="221">
        <v>48.0</v>
      </c>
      <c r="B50" s="222" t="s">
        <v>470</v>
      </c>
      <c r="C50" s="221">
        <v>1.090025122E9</v>
      </c>
      <c r="D50" s="224">
        <v>44939.0</v>
      </c>
      <c r="E50" s="221" t="s">
        <v>359</v>
      </c>
      <c r="F50" s="221" t="s">
        <v>360</v>
      </c>
      <c r="G50" s="221" t="s">
        <v>361</v>
      </c>
      <c r="H50" s="222" t="s">
        <v>396</v>
      </c>
      <c r="I50" s="222"/>
      <c r="J50" s="214"/>
      <c r="K50" s="214"/>
      <c r="L50" s="214"/>
      <c r="M50" s="214"/>
      <c r="N50" s="214"/>
      <c r="O50" s="214"/>
      <c r="P50" s="214"/>
      <c r="Q50" s="214"/>
      <c r="R50" s="214"/>
      <c r="S50" s="214"/>
      <c r="T50" s="214"/>
      <c r="U50" s="214"/>
      <c r="V50" s="214"/>
      <c r="W50" s="214"/>
      <c r="X50" s="214"/>
      <c r="Y50" s="214"/>
      <c r="Z50" s="214"/>
      <c r="AA50" s="214"/>
    </row>
    <row r="51" ht="15.75" customHeight="1">
      <c r="A51" s="237">
        <v>49.0</v>
      </c>
      <c r="B51" s="222" t="s">
        <v>471</v>
      </c>
      <c r="C51" s="221">
        <v>1.3220073E7</v>
      </c>
      <c r="D51" s="224">
        <v>45048.0</v>
      </c>
      <c r="E51" s="221" t="s">
        <v>359</v>
      </c>
      <c r="F51" s="221" t="s">
        <v>360</v>
      </c>
      <c r="G51" s="221" t="s">
        <v>361</v>
      </c>
      <c r="H51" s="222" t="s">
        <v>428</v>
      </c>
      <c r="I51" s="222" t="s">
        <v>429</v>
      </c>
      <c r="J51" s="214"/>
      <c r="K51" s="214"/>
      <c r="L51" s="214"/>
      <c r="M51" s="214"/>
      <c r="N51" s="214"/>
      <c r="O51" s="214"/>
      <c r="P51" s="214"/>
      <c r="Q51" s="214"/>
      <c r="R51" s="214"/>
      <c r="S51" s="214"/>
      <c r="T51" s="214"/>
      <c r="U51" s="214"/>
      <c r="V51" s="214"/>
      <c r="W51" s="214"/>
      <c r="X51" s="214"/>
      <c r="Y51" s="214"/>
      <c r="Z51" s="214"/>
      <c r="AA51" s="214"/>
    </row>
    <row r="52" ht="15.75" customHeight="1">
      <c r="A52" s="221">
        <v>50.0</v>
      </c>
      <c r="B52" s="222" t="s">
        <v>472</v>
      </c>
      <c r="C52" s="221">
        <v>2.608700566E10</v>
      </c>
      <c r="D52" s="224">
        <v>45132.0</v>
      </c>
      <c r="E52" s="221" t="s">
        <v>359</v>
      </c>
      <c r="F52" s="221" t="s">
        <v>360</v>
      </c>
      <c r="G52" s="221" t="s">
        <v>361</v>
      </c>
      <c r="H52" s="225" t="s">
        <v>362</v>
      </c>
      <c r="I52" s="225" t="s">
        <v>363</v>
      </c>
      <c r="J52" s="214"/>
      <c r="K52" s="214"/>
      <c r="L52" s="214"/>
      <c r="M52" s="214"/>
      <c r="N52" s="214"/>
      <c r="O52" s="214"/>
      <c r="P52" s="214"/>
      <c r="Q52" s="214"/>
      <c r="R52" s="214"/>
      <c r="S52" s="214"/>
      <c r="T52" s="214"/>
      <c r="U52" s="214"/>
      <c r="V52" s="214"/>
      <c r="W52" s="214"/>
      <c r="X52" s="214"/>
      <c r="Y52" s="214"/>
      <c r="Z52" s="214"/>
      <c r="AA52" s="214"/>
    </row>
    <row r="53" ht="15.75" customHeight="1">
      <c r="A53" s="221">
        <v>51.0</v>
      </c>
      <c r="B53" s="222" t="s">
        <v>473</v>
      </c>
      <c r="C53" s="221">
        <v>3.4081015423E10</v>
      </c>
      <c r="D53" s="224">
        <v>45153.0</v>
      </c>
      <c r="E53" s="221" t="s">
        <v>359</v>
      </c>
      <c r="F53" s="221" t="s">
        <v>360</v>
      </c>
      <c r="G53" s="221" t="s">
        <v>361</v>
      </c>
      <c r="H53" s="222"/>
      <c r="I53" s="225" t="s">
        <v>363</v>
      </c>
      <c r="J53" s="214"/>
      <c r="K53" s="214"/>
      <c r="L53" s="214"/>
      <c r="M53" s="214"/>
      <c r="N53" s="214"/>
      <c r="O53" s="214"/>
      <c r="P53" s="214"/>
      <c r="Q53" s="214"/>
      <c r="R53" s="214"/>
      <c r="S53" s="214"/>
      <c r="T53" s="214"/>
      <c r="U53" s="214"/>
      <c r="V53" s="214"/>
      <c r="W53" s="214"/>
      <c r="X53" s="214"/>
      <c r="Y53" s="214"/>
      <c r="Z53" s="214"/>
      <c r="AA53" s="214"/>
    </row>
    <row r="54" ht="15.75" customHeight="1">
      <c r="A54" s="221">
        <v>52.0</v>
      </c>
      <c r="B54" s="222" t="s">
        <v>474</v>
      </c>
      <c r="C54" s="221">
        <v>3.8193000044E10</v>
      </c>
      <c r="D54" s="224">
        <v>44987.0</v>
      </c>
      <c r="E54" s="221" t="s">
        <v>359</v>
      </c>
      <c r="F54" s="221" t="s">
        <v>360</v>
      </c>
      <c r="G54" s="221" t="s">
        <v>361</v>
      </c>
      <c r="H54" s="222" t="s">
        <v>442</v>
      </c>
      <c r="I54" s="222"/>
      <c r="J54" s="214"/>
      <c r="K54" s="214"/>
      <c r="L54" s="214"/>
      <c r="M54" s="214"/>
      <c r="N54" s="214"/>
      <c r="O54" s="214"/>
      <c r="P54" s="214"/>
      <c r="Q54" s="214"/>
      <c r="R54" s="214"/>
      <c r="S54" s="214"/>
      <c r="T54" s="214"/>
      <c r="U54" s="214"/>
      <c r="V54" s="214"/>
      <c r="W54" s="214"/>
      <c r="X54" s="214"/>
      <c r="Y54" s="214"/>
      <c r="Z54" s="214"/>
      <c r="AA54" s="214"/>
    </row>
    <row r="55" ht="15.75" customHeight="1">
      <c r="A55" s="221">
        <v>53.0</v>
      </c>
      <c r="B55" s="222" t="s">
        <v>475</v>
      </c>
      <c r="C55" s="221">
        <v>3.0300009517E10</v>
      </c>
      <c r="D55" s="224">
        <v>44939.0</v>
      </c>
      <c r="E55" s="221" t="s">
        <v>359</v>
      </c>
      <c r="F55" s="221" t="s">
        <v>360</v>
      </c>
      <c r="G55" s="221" t="s">
        <v>361</v>
      </c>
      <c r="H55" s="222" t="s">
        <v>465</v>
      </c>
      <c r="I55" s="222"/>
      <c r="J55" s="214"/>
      <c r="K55" s="214"/>
      <c r="L55" s="214"/>
      <c r="M55" s="214"/>
      <c r="N55" s="214"/>
      <c r="O55" s="214"/>
      <c r="P55" s="214"/>
      <c r="Q55" s="214"/>
      <c r="R55" s="214"/>
      <c r="S55" s="214"/>
      <c r="T55" s="214"/>
      <c r="U55" s="214"/>
      <c r="V55" s="214"/>
      <c r="W55" s="214"/>
      <c r="X55" s="214"/>
      <c r="Y55" s="214"/>
      <c r="Z55" s="214"/>
      <c r="AA55" s="214"/>
    </row>
    <row r="56" ht="15.75" customHeight="1">
      <c r="A56" s="221">
        <v>54.0</v>
      </c>
      <c r="B56" s="222" t="s">
        <v>476</v>
      </c>
      <c r="C56" s="221">
        <v>3.4079030061E10</v>
      </c>
      <c r="D56" s="239">
        <v>45642.0</v>
      </c>
      <c r="E56" s="221" t="s">
        <v>359</v>
      </c>
      <c r="F56" s="221" t="s">
        <v>477</v>
      </c>
      <c r="G56" s="221" t="s">
        <v>361</v>
      </c>
      <c r="H56" s="222"/>
      <c r="I56" s="222"/>
      <c r="J56" s="214"/>
      <c r="K56" s="214"/>
      <c r="L56" s="214"/>
      <c r="M56" s="214"/>
      <c r="N56" s="214"/>
      <c r="O56" s="214"/>
      <c r="P56" s="214"/>
      <c r="Q56" s="214"/>
      <c r="R56" s="214"/>
      <c r="S56" s="214"/>
      <c r="T56" s="214"/>
      <c r="U56" s="214"/>
      <c r="V56" s="214"/>
      <c r="W56" s="214"/>
      <c r="X56" s="214"/>
      <c r="Y56" s="214"/>
      <c r="Z56" s="214"/>
      <c r="AA56" s="214"/>
    </row>
    <row r="57" ht="15.75" customHeight="1">
      <c r="A57" s="221">
        <v>55.0</v>
      </c>
      <c r="B57" s="222" t="s">
        <v>478</v>
      </c>
      <c r="C57" s="221">
        <v>2.7183005051E10</v>
      </c>
      <c r="D57" s="239">
        <v>45580.0</v>
      </c>
      <c r="E57" s="221" t="s">
        <v>359</v>
      </c>
      <c r="F57" s="221" t="s">
        <v>477</v>
      </c>
      <c r="G57" s="221" t="s">
        <v>361</v>
      </c>
      <c r="H57" s="222"/>
      <c r="I57" s="222"/>
      <c r="J57" s="214"/>
      <c r="K57" s="214"/>
      <c r="L57" s="214"/>
      <c r="M57" s="214"/>
      <c r="N57" s="214"/>
      <c r="O57" s="214"/>
      <c r="P57" s="214"/>
      <c r="Q57" s="214"/>
      <c r="R57" s="214"/>
      <c r="S57" s="214"/>
      <c r="T57" s="214"/>
      <c r="U57" s="214"/>
      <c r="V57" s="214"/>
      <c r="W57" s="214"/>
      <c r="X57" s="214"/>
      <c r="Y57" s="214"/>
      <c r="Z57" s="214"/>
      <c r="AA57" s="214"/>
    </row>
    <row r="58" ht="15.75" customHeight="1">
      <c r="A58" s="221">
        <v>56.0</v>
      </c>
      <c r="B58" s="222" t="s">
        <v>479</v>
      </c>
      <c r="C58" s="221">
        <v>1.9188008479E10</v>
      </c>
      <c r="D58" s="224">
        <v>45432.0</v>
      </c>
      <c r="E58" s="221" t="s">
        <v>359</v>
      </c>
      <c r="F58" s="221" t="s">
        <v>477</v>
      </c>
      <c r="G58" s="221" t="s">
        <v>361</v>
      </c>
      <c r="H58" s="222"/>
      <c r="I58" s="222"/>
      <c r="J58" s="214"/>
      <c r="K58" s="214"/>
      <c r="L58" s="214"/>
      <c r="M58" s="214"/>
      <c r="N58" s="214"/>
      <c r="O58" s="214"/>
      <c r="P58" s="214"/>
      <c r="Q58" s="214"/>
      <c r="R58" s="214"/>
      <c r="S58" s="214"/>
      <c r="T58" s="214"/>
      <c r="U58" s="214"/>
      <c r="V58" s="214"/>
      <c r="W58" s="214"/>
      <c r="X58" s="214"/>
      <c r="Y58" s="214"/>
      <c r="Z58" s="214"/>
      <c r="AA58" s="214"/>
    </row>
    <row r="59" ht="15.75" customHeight="1">
      <c r="A59" s="221">
        <v>57.0</v>
      </c>
      <c r="B59" s="222" t="s">
        <v>480</v>
      </c>
      <c r="C59" s="221">
        <v>5.4188004734E10</v>
      </c>
      <c r="D59" s="224">
        <v>45414.0</v>
      </c>
      <c r="E59" s="221" t="s">
        <v>359</v>
      </c>
      <c r="F59" s="221" t="s">
        <v>477</v>
      </c>
      <c r="G59" s="221" t="s">
        <v>361</v>
      </c>
      <c r="H59" s="222"/>
      <c r="I59" s="222"/>
      <c r="J59" s="214"/>
      <c r="K59" s="214"/>
      <c r="L59" s="214"/>
      <c r="M59" s="214"/>
      <c r="N59" s="214"/>
      <c r="O59" s="214"/>
      <c r="P59" s="214"/>
      <c r="Q59" s="214"/>
      <c r="R59" s="214"/>
      <c r="S59" s="214"/>
      <c r="T59" s="214"/>
      <c r="U59" s="214"/>
      <c r="V59" s="214"/>
      <c r="W59" s="214"/>
      <c r="X59" s="214"/>
      <c r="Y59" s="214"/>
      <c r="Z59" s="214"/>
      <c r="AA59" s="214"/>
    </row>
    <row r="60" ht="15.75" customHeight="1">
      <c r="A60" s="221">
        <v>58.0</v>
      </c>
      <c r="B60" s="222" t="s">
        <v>481</v>
      </c>
      <c r="C60" s="221">
        <v>2.5082017602E10</v>
      </c>
      <c r="D60" s="224">
        <v>45597.0</v>
      </c>
      <c r="E60" s="221" t="s">
        <v>359</v>
      </c>
      <c r="F60" s="221" t="s">
        <v>477</v>
      </c>
      <c r="G60" s="221" t="s">
        <v>361</v>
      </c>
      <c r="H60" s="222"/>
      <c r="I60" s="222"/>
      <c r="J60" s="214"/>
      <c r="K60" s="214"/>
      <c r="L60" s="214"/>
      <c r="M60" s="214"/>
      <c r="N60" s="214"/>
      <c r="O60" s="214"/>
      <c r="P60" s="214"/>
      <c r="Q60" s="214"/>
      <c r="R60" s="214"/>
      <c r="S60" s="214"/>
      <c r="T60" s="214"/>
      <c r="U60" s="214"/>
      <c r="V60" s="214"/>
      <c r="W60" s="214"/>
      <c r="X60" s="214"/>
      <c r="Y60" s="214"/>
      <c r="Z60" s="214"/>
      <c r="AA60" s="214"/>
    </row>
    <row r="61" ht="35.25" customHeight="1">
      <c r="A61" s="241" t="s">
        <v>482</v>
      </c>
      <c r="B61" s="5"/>
      <c r="C61" s="5"/>
      <c r="D61" s="5"/>
      <c r="E61" s="5"/>
      <c r="F61" s="5"/>
      <c r="G61" s="5"/>
      <c r="H61" s="5"/>
      <c r="I61" s="6"/>
      <c r="J61" s="214"/>
      <c r="K61" s="214"/>
      <c r="L61" s="214"/>
      <c r="M61" s="214"/>
      <c r="N61" s="214"/>
      <c r="O61" s="214"/>
      <c r="P61" s="214"/>
      <c r="Q61" s="214"/>
      <c r="R61" s="214"/>
      <c r="S61" s="214"/>
      <c r="T61" s="214"/>
      <c r="U61" s="214"/>
      <c r="V61" s="214"/>
      <c r="W61" s="214"/>
      <c r="X61" s="214"/>
      <c r="Y61" s="214"/>
      <c r="Z61" s="214"/>
      <c r="AA61" s="214"/>
    </row>
    <row r="62" ht="15.75" customHeight="1">
      <c r="A62" s="217" t="s">
        <v>0</v>
      </c>
      <c r="B62" s="217" t="s">
        <v>349</v>
      </c>
      <c r="C62" s="217" t="s">
        <v>483</v>
      </c>
      <c r="D62" s="217" t="s">
        <v>351</v>
      </c>
      <c r="E62" s="217" t="s">
        <v>352</v>
      </c>
      <c r="F62" s="217" t="s">
        <v>353</v>
      </c>
      <c r="G62" s="217" t="s">
        <v>484</v>
      </c>
      <c r="H62" s="217"/>
      <c r="I62" s="217" t="s">
        <v>356</v>
      </c>
      <c r="J62" s="214"/>
      <c r="K62" s="214"/>
      <c r="L62" s="214"/>
      <c r="M62" s="214"/>
      <c r="N62" s="214"/>
      <c r="O62" s="214"/>
      <c r="P62" s="214"/>
      <c r="Q62" s="214"/>
      <c r="R62" s="214"/>
      <c r="S62" s="214"/>
      <c r="T62" s="214"/>
      <c r="U62" s="214"/>
      <c r="V62" s="214"/>
      <c r="W62" s="214"/>
      <c r="X62" s="214"/>
      <c r="Y62" s="214"/>
      <c r="Z62" s="214"/>
      <c r="AA62" s="214"/>
    </row>
    <row r="63" ht="15.75" customHeight="1">
      <c r="A63" s="242">
        <v>1.0</v>
      </c>
      <c r="B63" s="243" t="s">
        <v>485</v>
      </c>
      <c r="C63" s="243" t="s">
        <v>486</v>
      </c>
      <c r="D63" s="244">
        <v>44757.0</v>
      </c>
      <c r="E63" s="243" t="s">
        <v>487</v>
      </c>
      <c r="F63" s="243" t="s">
        <v>360</v>
      </c>
      <c r="G63" s="243" t="s">
        <v>369</v>
      </c>
      <c r="H63" s="222" t="s">
        <v>396</v>
      </c>
      <c r="I63" s="243"/>
      <c r="J63" s="214"/>
      <c r="K63" s="214"/>
      <c r="L63" s="214"/>
      <c r="M63" s="214"/>
      <c r="N63" s="214"/>
      <c r="O63" s="214"/>
      <c r="P63" s="214"/>
      <c r="Q63" s="214"/>
      <c r="R63" s="214"/>
      <c r="S63" s="214"/>
      <c r="T63" s="214"/>
      <c r="U63" s="214"/>
      <c r="V63" s="214"/>
      <c r="W63" s="214"/>
      <c r="X63" s="214"/>
      <c r="Y63" s="214"/>
      <c r="Z63" s="214"/>
      <c r="AA63" s="214"/>
    </row>
    <row r="64" ht="15.75" customHeight="1">
      <c r="A64" s="242">
        <v>2.0</v>
      </c>
      <c r="B64" s="243" t="s">
        <v>488</v>
      </c>
      <c r="C64" s="243" t="s">
        <v>489</v>
      </c>
      <c r="D64" s="244">
        <v>45017.0</v>
      </c>
      <c r="E64" s="243" t="s">
        <v>487</v>
      </c>
      <c r="F64" s="243" t="s">
        <v>360</v>
      </c>
      <c r="G64" s="243" t="s">
        <v>369</v>
      </c>
      <c r="H64" s="222" t="s">
        <v>411</v>
      </c>
      <c r="I64" s="243" t="s">
        <v>490</v>
      </c>
      <c r="J64" s="214"/>
      <c r="K64" s="214"/>
      <c r="L64" s="214"/>
      <c r="M64" s="214"/>
      <c r="N64" s="214"/>
      <c r="O64" s="214"/>
      <c r="P64" s="214"/>
      <c r="Q64" s="214"/>
      <c r="R64" s="214"/>
      <c r="S64" s="214"/>
      <c r="T64" s="214"/>
      <c r="U64" s="214"/>
      <c r="V64" s="214"/>
      <c r="W64" s="214"/>
      <c r="X64" s="214"/>
      <c r="Y64" s="214"/>
      <c r="Z64" s="214"/>
      <c r="AA64" s="214"/>
    </row>
    <row r="65" ht="15.75" customHeight="1">
      <c r="A65" s="242">
        <v>3.0</v>
      </c>
      <c r="B65" s="243" t="s">
        <v>491</v>
      </c>
      <c r="C65" s="243" t="s">
        <v>492</v>
      </c>
      <c r="D65" s="244">
        <v>44652.0</v>
      </c>
      <c r="E65" s="243" t="s">
        <v>487</v>
      </c>
      <c r="F65" s="243" t="s">
        <v>360</v>
      </c>
      <c r="G65" s="243" t="s">
        <v>361</v>
      </c>
      <c r="H65" s="222" t="s">
        <v>411</v>
      </c>
      <c r="I65" s="243" t="s">
        <v>493</v>
      </c>
      <c r="J65" s="214"/>
      <c r="K65" s="214"/>
      <c r="L65" s="214"/>
      <c r="M65" s="214"/>
      <c r="N65" s="214"/>
      <c r="O65" s="214"/>
      <c r="P65" s="214"/>
      <c r="Q65" s="214"/>
      <c r="R65" s="214"/>
      <c r="S65" s="214"/>
      <c r="T65" s="214"/>
      <c r="U65" s="214"/>
      <c r="V65" s="214"/>
      <c r="W65" s="214"/>
      <c r="X65" s="214"/>
      <c r="Y65" s="214"/>
      <c r="Z65" s="214"/>
      <c r="AA65" s="214"/>
    </row>
    <row r="66" ht="15.75" customHeight="1">
      <c r="A66" s="242">
        <v>4.0</v>
      </c>
      <c r="B66" s="243" t="s">
        <v>494</v>
      </c>
      <c r="C66" s="243" t="s">
        <v>495</v>
      </c>
      <c r="D66" s="244">
        <v>45505.0</v>
      </c>
      <c r="E66" s="243" t="s">
        <v>487</v>
      </c>
      <c r="F66" s="243" t="s">
        <v>477</v>
      </c>
      <c r="G66" s="243" t="s">
        <v>361</v>
      </c>
      <c r="H66" s="243"/>
      <c r="I66" s="243"/>
      <c r="J66" s="214"/>
      <c r="K66" s="214"/>
      <c r="L66" s="214"/>
      <c r="M66" s="214"/>
      <c r="N66" s="214"/>
      <c r="O66" s="214"/>
      <c r="P66" s="214"/>
      <c r="Q66" s="214"/>
      <c r="R66" s="214"/>
      <c r="S66" s="214"/>
      <c r="T66" s="214"/>
      <c r="U66" s="214"/>
      <c r="V66" s="214"/>
      <c r="W66" s="214"/>
      <c r="X66" s="214"/>
      <c r="Y66" s="214"/>
      <c r="Z66" s="214"/>
      <c r="AA66" s="214"/>
    </row>
    <row r="67" ht="15.75" customHeight="1">
      <c r="A67" s="242">
        <v>5.0</v>
      </c>
      <c r="B67" s="243" t="s">
        <v>496</v>
      </c>
      <c r="C67" s="243" t="s">
        <v>497</v>
      </c>
      <c r="D67" s="244">
        <v>45505.0</v>
      </c>
      <c r="E67" s="243" t="s">
        <v>487</v>
      </c>
      <c r="F67" s="243" t="s">
        <v>477</v>
      </c>
      <c r="G67" s="243" t="s">
        <v>361</v>
      </c>
      <c r="H67" s="243"/>
      <c r="I67" s="243"/>
      <c r="J67" s="214"/>
      <c r="K67" s="214"/>
      <c r="L67" s="214"/>
      <c r="M67" s="214"/>
      <c r="N67" s="214"/>
      <c r="O67" s="214"/>
      <c r="P67" s="214"/>
      <c r="Q67" s="214"/>
      <c r="R67" s="214"/>
      <c r="S67" s="214"/>
      <c r="T67" s="214"/>
      <c r="U67" s="214"/>
      <c r="V67" s="214"/>
      <c r="W67" s="214"/>
      <c r="X67" s="214"/>
      <c r="Y67" s="214"/>
      <c r="Z67" s="214"/>
      <c r="AA67" s="214"/>
    </row>
    <row r="68" ht="15.75" customHeight="1">
      <c r="A68" s="245"/>
      <c r="B68" s="214"/>
      <c r="C68" s="214"/>
      <c r="D68" s="214"/>
      <c r="E68" s="214"/>
      <c r="F68" s="214"/>
      <c r="G68" s="214"/>
      <c r="H68" s="214"/>
      <c r="I68" s="214"/>
      <c r="J68" s="214"/>
      <c r="K68" s="214"/>
      <c r="L68" s="214"/>
      <c r="M68" s="214"/>
      <c r="N68" s="214"/>
      <c r="O68" s="214"/>
      <c r="P68" s="214"/>
      <c r="Q68" s="214"/>
      <c r="R68" s="214"/>
      <c r="S68" s="214"/>
      <c r="T68" s="214"/>
      <c r="U68" s="214"/>
      <c r="V68" s="214"/>
      <c r="W68" s="214"/>
      <c r="X68" s="214"/>
      <c r="Y68" s="214"/>
      <c r="Z68" s="214"/>
      <c r="AA68" s="214"/>
    </row>
    <row r="69" ht="15.75" customHeight="1">
      <c r="A69" s="245"/>
      <c r="B69" s="214"/>
      <c r="C69" s="214"/>
      <c r="D69" s="214"/>
      <c r="E69" s="214"/>
      <c r="F69" s="214"/>
      <c r="G69" s="214"/>
      <c r="H69" s="214"/>
      <c r="I69" s="214"/>
      <c r="J69" s="214"/>
      <c r="K69" s="214"/>
      <c r="L69" s="214"/>
      <c r="M69" s="214"/>
      <c r="N69" s="214"/>
      <c r="O69" s="214"/>
      <c r="P69" s="214"/>
      <c r="Q69" s="214"/>
      <c r="R69" s="214"/>
      <c r="S69" s="214"/>
      <c r="T69" s="214"/>
      <c r="U69" s="214"/>
      <c r="V69" s="214"/>
      <c r="W69" s="214"/>
      <c r="X69" s="214"/>
      <c r="Y69" s="214"/>
      <c r="Z69" s="214"/>
      <c r="AA69" s="214"/>
    </row>
    <row r="70" ht="15.75" customHeight="1">
      <c r="A70" s="245"/>
      <c r="B70" s="214"/>
      <c r="C70" s="214"/>
      <c r="D70" s="214"/>
      <c r="E70" s="214"/>
      <c r="F70" s="214"/>
      <c r="G70" s="214"/>
      <c r="H70" s="214"/>
      <c r="I70" s="214"/>
      <c r="J70" s="214"/>
      <c r="K70" s="214"/>
      <c r="L70" s="214"/>
      <c r="M70" s="214"/>
      <c r="N70" s="214"/>
      <c r="O70" s="214"/>
      <c r="P70" s="214"/>
      <c r="Q70" s="214"/>
      <c r="R70" s="214"/>
      <c r="S70" s="214"/>
      <c r="T70" s="214"/>
      <c r="U70" s="214"/>
      <c r="V70" s="214"/>
      <c r="W70" s="214"/>
      <c r="X70" s="214"/>
      <c r="Y70" s="214"/>
      <c r="Z70" s="214"/>
      <c r="AA70" s="214"/>
    </row>
    <row r="71" ht="15.75" customHeight="1">
      <c r="A71" s="245"/>
      <c r="B71" s="214"/>
      <c r="C71" s="214"/>
      <c r="D71" s="214"/>
      <c r="E71" s="214"/>
      <c r="F71" s="214"/>
      <c r="G71" s="214"/>
      <c r="H71" s="214"/>
      <c r="I71" s="214"/>
      <c r="J71" s="214"/>
      <c r="K71" s="214"/>
      <c r="L71" s="214"/>
      <c r="M71" s="214"/>
      <c r="N71" s="214"/>
      <c r="O71" s="214"/>
      <c r="P71" s="214"/>
      <c r="Q71" s="214"/>
      <c r="R71" s="214"/>
      <c r="S71" s="214"/>
      <c r="T71" s="214"/>
      <c r="U71" s="214"/>
      <c r="V71" s="214"/>
      <c r="W71" s="214"/>
      <c r="X71" s="214"/>
      <c r="Y71" s="214"/>
      <c r="Z71" s="214"/>
      <c r="AA71" s="214"/>
    </row>
    <row r="72" ht="15.75" customHeight="1">
      <c r="A72" s="245"/>
      <c r="B72" s="214"/>
      <c r="C72" s="214"/>
      <c r="D72" s="214"/>
      <c r="E72" s="214"/>
      <c r="F72" s="214"/>
      <c r="G72" s="214"/>
      <c r="H72" s="214"/>
      <c r="I72" s="214"/>
      <c r="J72" s="214"/>
      <c r="K72" s="214"/>
      <c r="L72" s="214"/>
      <c r="M72" s="214"/>
      <c r="N72" s="214"/>
      <c r="O72" s="214"/>
      <c r="P72" s="214"/>
      <c r="Q72" s="214"/>
      <c r="R72" s="214"/>
      <c r="S72" s="214"/>
      <c r="T72" s="214"/>
      <c r="U72" s="214"/>
      <c r="V72" s="214"/>
      <c r="W72" s="214"/>
      <c r="X72" s="214"/>
      <c r="Y72" s="214"/>
      <c r="Z72" s="214"/>
      <c r="AA72" s="214"/>
    </row>
    <row r="73" ht="15.75" customHeight="1">
      <c r="A73" s="245"/>
      <c r="B73" s="214"/>
      <c r="C73" s="214"/>
      <c r="D73" s="214"/>
      <c r="E73" s="214"/>
      <c r="F73" s="214"/>
      <c r="G73" s="214"/>
      <c r="H73" s="214"/>
      <c r="I73" s="214"/>
      <c r="J73" s="214"/>
      <c r="K73" s="214"/>
      <c r="L73" s="214"/>
      <c r="M73" s="214"/>
      <c r="N73" s="214"/>
      <c r="O73" s="214"/>
      <c r="P73" s="214"/>
      <c r="Q73" s="214"/>
      <c r="R73" s="214"/>
      <c r="S73" s="214"/>
      <c r="T73" s="214"/>
      <c r="U73" s="214"/>
      <c r="V73" s="214"/>
      <c r="W73" s="214"/>
      <c r="X73" s="214"/>
      <c r="Y73" s="214"/>
      <c r="Z73" s="214"/>
      <c r="AA73" s="214"/>
    </row>
    <row r="74" ht="15.75" customHeight="1">
      <c r="A74" s="245"/>
      <c r="B74" s="214"/>
      <c r="C74" s="214"/>
      <c r="D74" s="214"/>
      <c r="E74" s="214"/>
      <c r="F74" s="214"/>
      <c r="G74" s="214"/>
      <c r="H74" s="214"/>
      <c r="I74" s="214"/>
      <c r="J74" s="214"/>
      <c r="K74" s="214"/>
      <c r="L74" s="214"/>
      <c r="M74" s="214"/>
      <c r="N74" s="214"/>
      <c r="O74" s="214"/>
      <c r="P74" s="214"/>
      <c r="Q74" s="214"/>
      <c r="R74" s="214"/>
      <c r="S74" s="214"/>
      <c r="T74" s="214"/>
      <c r="U74" s="214"/>
      <c r="V74" s="214"/>
      <c r="W74" s="214"/>
      <c r="X74" s="214"/>
      <c r="Y74" s="214"/>
      <c r="Z74" s="214"/>
      <c r="AA74" s="214"/>
    </row>
    <row r="75" ht="15.75" customHeight="1">
      <c r="A75" s="245"/>
      <c r="B75" s="214"/>
      <c r="C75" s="214"/>
      <c r="D75" s="214"/>
      <c r="E75" s="214"/>
      <c r="F75" s="214"/>
      <c r="G75" s="214"/>
      <c r="H75" s="214"/>
      <c r="I75" s="214"/>
      <c r="J75" s="214"/>
      <c r="K75" s="214"/>
      <c r="L75" s="214"/>
      <c r="M75" s="214"/>
      <c r="N75" s="214"/>
      <c r="O75" s="214"/>
      <c r="P75" s="214"/>
      <c r="Q75" s="214"/>
      <c r="R75" s="214"/>
      <c r="S75" s="214"/>
      <c r="T75" s="214"/>
      <c r="U75" s="214"/>
      <c r="V75" s="214"/>
      <c r="W75" s="214"/>
      <c r="X75" s="214"/>
      <c r="Y75" s="214"/>
      <c r="Z75" s="214"/>
      <c r="AA75" s="214"/>
    </row>
    <row r="76" ht="15.75" customHeight="1">
      <c r="A76" s="245"/>
      <c r="B76" s="214"/>
      <c r="C76" s="214"/>
      <c r="D76" s="214"/>
      <c r="E76" s="214"/>
      <c r="F76" s="214"/>
      <c r="G76" s="214"/>
      <c r="H76" s="214"/>
      <c r="I76" s="214"/>
      <c r="J76" s="214"/>
      <c r="K76" s="214"/>
      <c r="L76" s="214"/>
      <c r="M76" s="214"/>
      <c r="N76" s="214"/>
      <c r="O76" s="214"/>
      <c r="P76" s="214"/>
      <c r="Q76" s="214"/>
      <c r="R76" s="214"/>
      <c r="S76" s="214"/>
      <c r="T76" s="214"/>
      <c r="U76" s="214"/>
      <c r="V76" s="214"/>
      <c r="W76" s="214"/>
      <c r="X76" s="214"/>
      <c r="Y76" s="214"/>
      <c r="Z76" s="214"/>
      <c r="AA76" s="214"/>
    </row>
    <row r="77" ht="15.75" customHeight="1">
      <c r="A77" s="245"/>
      <c r="B77" s="214"/>
      <c r="C77" s="214"/>
      <c r="D77" s="214"/>
      <c r="E77" s="214"/>
      <c r="F77" s="214"/>
      <c r="G77" s="214"/>
      <c r="H77" s="214"/>
      <c r="I77" s="214"/>
      <c r="J77" s="214"/>
      <c r="K77" s="214"/>
      <c r="L77" s="214"/>
      <c r="M77" s="214"/>
      <c r="N77" s="214"/>
      <c r="O77" s="214"/>
      <c r="P77" s="214"/>
      <c r="Q77" s="214"/>
      <c r="R77" s="214"/>
      <c r="S77" s="214"/>
      <c r="T77" s="214"/>
      <c r="U77" s="214"/>
      <c r="V77" s="214"/>
      <c r="W77" s="214"/>
      <c r="X77" s="214"/>
      <c r="Y77" s="214"/>
      <c r="Z77" s="214"/>
      <c r="AA77" s="214"/>
    </row>
    <row r="78" ht="15.75" customHeight="1">
      <c r="A78" s="245"/>
      <c r="B78" s="214"/>
      <c r="C78" s="214"/>
      <c r="D78" s="214"/>
      <c r="E78" s="214"/>
      <c r="F78" s="214"/>
      <c r="G78" s="214"/>
      <c r="H78" s="214"/>
      <c r="I78" s="214"/>
      <c r="J78" s="214"/>
      <c r="K78" s="214"/>
      <c r="L78" s="214"/>
      <c r="M78" s="214"/>
      <c r="N78" s="214"/>
      <c r="O78" s="214"/>
      <c r="P78" s="214"/>
      <c r="Q78" s="214"/>
      <c r="R78" s="214"/>
      <c r="S78" s="214"/>
      <c r="T78" s="214"/>
      <c r="U78" s="214"/>
      <c r="V78" s="214"/>
      <c r="W78" s="214"/>
      <c r="X78" s="214"/>
      <c r="Y78" s="214"/>
      <c r="Z78" s="214"/>
      <c r="AA78" s="214"/>
    </row>
    <row r="79" ht="15.75" customHeight="1">
      <c r="A79" s="245"/>
      <c r="B79" s="214"/>
      <c r="C79" s="214"/>
      <c r="D79" s="214"/>
      <c r="E79" s="214"/>
      <c r="F79" s="214"/>
      <c r="G79" s="214"/>
      <c r="H79" s="214"/>
      <c r="I79" s="214"/>
      <c r="J79" s="214"/>
      <c r="K79" s="214"/>
      <c r="L79" s="214"/>
      <c r="M79" s="214"/>
      <c r="N79" s="214"/>
      <c r="O79" s="214"/>
      <c r="P79" s="214"/>
      <c r="Q79" s="214"/>
      <c r="R79" s="214"/>
      <c r="S79" s="214"/>
      <c r="T79" s="214"/>
      <c r="U79" s="214"/>
      <c r="V79" s="214"/>
      <c r="W79" s="214"/>
      <c r="X79" s="214"/>
      <c r="Y79" s="214"/>
      <c r="Z79" s="214"/>
      <c r="AA79" s="214"/>
    </row>
    <row r="80" ht="15.75" customHeight="1">
      <c r="A80" s="245"/>
      <c r="B80" s="214"/>
      <c r="C80" s="214"/>
      <c r="D80" s="214"/>
      <c r="E80" s="214"/>
      <c r="F80" s="214"/>
      <c r="G80" s="214"/>
      <c r="H80" s="214"/>
      <c r="I80" s="214"/>
      <c r="J80" s="214"/>
      <c r="K80" s="214"/>
      <c r="L80" s="214"/>
      <c r="M80" s="214"/>
      <c r="N80" s="214"/>
      <c r="O80" s="214"/>
      <c r="P80" s="214"/>
      <c r="Q80" s="214"/>
      <c r="R80" s="214"/>
      <c r="S80" s="214"/>
      <c r="T80" s="214"/>
      <c r="U80" s="214"/>
      <c r="V80" s="214"/>
      <c r="W80" s="214"/>
      <c r="X80" s="214"/>
      <c r="Y80" s="214"/>
      <c r="Z80" s="214"/>
      <c r="AA80" s="214"/>
    </row>
    <row r="81" ht="15.75" customHeight="1">
      <c r="A81" s="245"/>
      <c r="B81" s="214"/>
      <c r="C81" s="214"/>
      <c r="D81" s="214"/>
      <c r="E81" s="214"/>
      <c r="F81" s="214"/>
      <c r="G81" s="214"/>
      <c r="H81" s="214"/>
      <c r="I81" s="214"/>
      <c r="J81" s="214"/>
      <c r="K81" s="214"/>
      <c r="L81" s="214"/>
      <c r="M81" s="214"/>
      <c r="N81" s="214"/>
      <c r="O81" s="214"/>
      <c r="P81" s="214"/>
      <c r="Q81" s="214"/>
      <c r="R81" s="214"/>
      <c r="S81" s="214"/>
      <c r="T81" s="214"/>
      <c r="U81" s="214"/>
      <c r="V81" s="214"/>
      <c r="W81" s="214"/>
      <c r="X81" s="214"/>
      <c r="Y81" s="214"/>
      <c r="Z81" s="214"/>
      <c r="AA81" s="214"/>
    </row>
    <row r="82" ht="15.75" customHeight="1">
      <c r="A82" s="245"/>
      <c r="B82" s="214"/>
      <c r="C82" s="214"/>
      <c r="D82" s="214"/>
      <c r="E82" s="214"/>
      <c r="F82" s="214"/>
      <c r="G82" s="214"/>
      <c r="H82" s="214"/>
      <c r="I82" s="214"/>
      <c r="J82" s="214"/>
      <c r="K82" s="214"/>
      <c r="L82" s="214"/>
      <c r="M82" s="214"/>
      <c r="N82" s="214"/>
      <c r="O82" s="214"/>
      <c r="P82" s="214"/>
      <c r="Q82" s="214"/>
      <c r="R82" s="214"/>
      <c r="S82" s="214"/>
      <c r="T82" s="214"/>
      <c r="U82" s="214"/>
      <c r="V82" s="214"/>
      <c r="W82" s="214"/>
      <c r="X82" s="214"/>
      <c r="Y82" s="214"/>
      <c r="Z82" s="214"/>
      <c r="AA82" s="214"/>
    </row>
    <row r="83" ht="15.75" customHeight="1">
      <c r="A83" s="245"/>
      <c r="B83" s="214"/>
      <c r="C83" s="214"/>
      <c r="D83" s="214"/>
      <c r="E83" s="214"/>
      <c r="F83" s="214"/>
      <c r="G83" s="214"/>
      <c r="H83" s="214"/>
      <c r="I83" s="214"/>
      <c r="J83" s="214"/>
      <c r="K83" s="214"/>
      <c r="L83" s="214"/>
      <c r="M83" s="214"/>
      <c r="N83" s="214"/>
      <c r="O83" s="214"/>
      <c r="P83" s="214"/>
      <c r="Q83" s="214"/>
      <c r="R83" s="214"/>
      <c r="S83" s="214"/>
      <c r="T83" s="214"/>
      <c r="U83" s="214"/>
      <c r="V83" s="214"/>
      <c r="W83" s="214"/>
      <c r="X83" s="214"/>
      <c r="Y83" s="214"/>
      <c r="Z83" s="214"/>
      <c r="AA83" s="214"/>
    </row>
    <row r="84" ht="15.75" customHeight="1">
      <c r="A84" s="245"/>
      <c r="B84" s="214"/>
      <c r="C84" s="214"/>
      <c r="D84" s="214"/>
      <c r="E84" s="214"/>
      <c r="F84" s="214"/>
      <c r="G84" s="214"/>
      <c r="H84" s="214"/>
      <c r="I84" s="214"/>
      <c r="J84" s="214"/>
      <c r="K84" s="214"/>
      <c r="L84" s="214"/>
      <c r="M84" s="214"/>
      <c r="N84" s="214"/>
      <c r="O84" s="214"/>
      <c r="P84" s="214"/>
      <c r="Q84" s="214"/>
      <c r="R84" s="214"/>
      <c r="S84" s="214"/>
      <c r="T84" s="214"/>
      <c r="U84" s="214"/>
      <c r="V84" s="214"/>
      <c r="W84" s="214"/>
      <c r="X84" s="214"/>
      <c r="Y84" s="214"/>
      <c r="Z84" s="214"/>
      <c r="AA84" s="214"/>
    </row>
    <row r="85" ht="15.75" customHeight="1">
      <c r="A85" s="245"/>
      <c r="B85" s="214"/>
      <c r="C85" s="214"/>
      <c r="D85" s="214"/>
      <c r="E85" s="214"/>
      <c r="F85" s="214"/>
      <c r="G85" s="214"/>
      <c r="H85" s="214"/>
      <c r="I85" s="214"/>
      <c r="J85" s="214"/>
      <c r="K85" s="214"/>
      <c r="L85" s="214"/>
      <c r="M85" s="214"/>
      <c r="N85" s="214"/>
      <c r="O85" s="214"/>
      <c r="P85" s="214"/>
      <c r="Q85" s="214"/>
      <c r="R85" s="214"/>
      <c r="S85" s="214"/>
      <c r="T85" s="214"/>
      <c r="U85" s="214"/>
      <c r="V85" s="214"/>
      <c r="W85" s="214"/>
      <c r="X85" s="214"/>
      <c r="Y85" s="214"/>
      <c r="Z85" s="214"/>
      <c r="AA85" s="214"/>
    </row>
    <row r="86" ht="15.75" customHeight="1">
      <c r="A86" s="245"/>
      <c r="B86" s="214"/>
      <c r="C86" s="214"/>
      <c r="D86" s="214"/>
      <c r="E86" s="214"/>
      <c r="F86" s="214"/>
      <c r="G86" s="214"/>
      <c r="H86" s="214"/>
      <c r="I86" s="214"/>
      <c r="J86" s="214"/>
      <c r="K86" s="214"/>
      <c r="L86" s="214"/>
      <c r="M86" s="214"/>
      <c r="N86" s="214"/>
      <c r="O86" s="214"/>
      <c r="P86" s="214"/>
      <c r="Q86" s="214"/>
      <c r="R86" s="214"/>
      <c r="S86" s="214"/>
      <c r="T86" s="214"/>
      <c r="U86" s="214"/>
      <c r="V86" s="214"/>
      <c r="W86" s="214"/>
      <c r="X86" s="214"/>
      <c r="Y86" s="214"/>
      <c r="Z86" s="214"/>
      <c r="AA86" s="214"/>
    </row>
    <row r="87" ht="15.75" customHeight="1">
      <c r="A87" s="245"/>
      <c r="B87" s="214"/>
      <c r="C87" s="214"/>
      <c r="D87" s="214"/>
      <c r="E87" s="214"/>
      <c r="F87" s="214"/>
      <c r="G87" s="214"/>
      <c r="H87" s="214"/>
      <c r="I87" s="214"/>
      <c r="J87" s="214"/>
      <c r="K87" s="214"/>
      <c r="L87" s="214"/>
      <c r="M87" s="214"/>
      <c r="N87" s="214"/>
      <c r="O87" s="214"/>
      <c r="P87" s="214"/>
      <c r="Q87" s="214"/>
      <c r="R87" s="214"/>
      <c r="S87" s="214"/>
      <c r="T87" s="214"/>
      <c r="U87" s="214"/>
      <c r="V87" s="214"/>
      <c r="W87" s="214"/>
      <c r="X87" s="214"/>
      <c r="Y87" s="214"/>
      <c r="Z87" s="214"/>
      <c r="AA87" s="214"/>
    </row>
    <row r="88" ht="15.75" customHeight="1">
      <c r="A88" s="245"/>
      <c r="B88" s="214"/>
      <c r="C88" s="214"/>
      <c r="D88" s="214"/>
      <c r="E88" s="214"/>
      <c r="F88" s="214"/>
      <c r="G88" s="214"/>
      <c r="H88" s="214"/>
      <c r="I88" s="214"/>
      <c r="J88" s="214"/>
      <c r="K88" s="214"/>
      <c r="L88" s="214"/>
      <c r="M88" s="214"/>
      <c r="N88" s="214"/>
      <c r="O88" s="214"/>
      <c r="P88" s="214"/>
      <c r="Q88" s="214"/>
      <c r="R88" s="214"/>
      <c r="S88" s="214"/>
      <c r="T88" s="214"/>
      <c r="U88" s="214"/>
      <c r="V88" s="214"/>
      <c r="W88" s="214"/>
      <c r="X88" s="214"/>
      <c r="Y88" s="214"/>
      <c r="Z88" s="214"/>
      <c r="AA88" s="214"/>
    </row>
    <row r="89" ht="15.75" customHeight="1">
      <c r="A89" s="245"/>
      <c r="B89" s="214"/>
      <c r="C89" s="214"/>
      <c r="D89" s="214"/>
      <c r="E89" s="214"/>
      <c r="F89" s="214"/>
      <c r="G89" s="214"/>
      <c r="H89" s="214"/>
      <c r="I89" s="214"/>
      <c r="J89" s="214"/>
      <c r="K89" s="214"/>
      <c r="L89" s="214"/>
      <c r="M89" s="214"/>
      <c r="N89" s="214"/>
      <c r="O89" s="214"/>
      <c r="P89" s="214"/>
      <c r="Q89" s="214"/>
      <c r="R89" s="214"/>
      <c r="S89" s="214"/>
      <c r="T89" s="214"/>
      <c r="U89" s="214"/>
      <c r="V89" s="214"/>
      <c r="W89" s="214"/>
      <c r="X89" s="214"/>
      <c r="Y89" s="214"/>
      <c r="Z89" s="214"/>
      <c r="AA89" s="214"/>
    </row>
    <row r="90" ht="15.75" customHeight="1">
      <c r="A90" s="245"/>
      <c r="B90" s="214"/>
      <c r="C90" s="214"/>
      <c r="D90" s="214"/>
      <c r="E90" s="214"/>
      <c r="F90" s="214"/>
      <c r="G90" s="214"/>
      <c r="H90" s="214"/>
      <c r="I90" s="214"/>
      <c r="J90" s="214"/>
      <c r="K90" s="214"/>
      <c r="L90" s="214"/>
      <c r="M90" s="214"/>
      <c r="N90" s="214"/>
      <c r="O90" s="214"/>
      <c r="P90" s="214"/>
      <c r="Q90" s="214"/>
      <c r="R90" s="214"/>
      <c r="S90" s="214"/>
      <c r="T90" s="214"/>
      <c r="U90" s="214"/>
      <c r="V90" s="214"/>
      <c r="W90" s="214"/>
      <c r="X90" s="214"/>
      <c r="Y90" s="214"/>
      <c r="Z90" s="214"/>
      <c r="AA90" s="214"/>
    </row>
    <row r="91" ht="15.75" customHeight="1">
      <c r="A91" s="245"/>
      <c r="B91" s="214"/>
      <c r="C91" s="214"/>
      <c r="D91" s="214"/>
      <c r="E91" s="214"/>
      <c r="F91" s="214"/>
      <c r="G91" s="214"/>
      <c r="H91" s="214"/>
      <c r="I91" s="214"/>
      <c r="J91" s="214"/>
      <c r="K91" s="214"/>
      <c r="L91" s="214"/>
      <c r="M91" s="214"/>
      <c r="N91" s="214"/>
      <c r="O91" s="214"/>
      <c r="P91" s="214"/>
      <c r="Q91" s="214"/>
      <c r="R91" s="214"/>
      <c r="S91" s="214"/>
      <c r="T91" s="214"/>
      <c r="U91" s="214"/>
      <c r="V91" s="214"/>
      <c r="W91" s="214"/>
      <c r="X91" s="214"/>
      <c r="Y91" s="214"/>
      <c r="Z91" s="214"/>
      <c r="AA91" s="214"/>
    </row>
    <row r="92" ht="15.75" customHeight="1">
      <c r="A92" s="245"/>
      <c r="B92" s="214"/>
      <c r="C92" s="214"/>
      <c r="D92" s="214"/>
      <c r="E92" s="214"/>
      <c r="F92" s="214"/>
      <c r="G92" s="214"/>
      <c r="H92" s="214"/>
      <c r="I92" s="214"/>
      <c r="J92" s="214"/>
      <c r="K92" s="214"/>
      <c r="L92" s="214"/>
      <c r="M92" s="214"/>
      <c r="N92" s="214"/>
      <c r="O92" s="214"/>
      <c r="P92" s="214"/>
      <c r="Q92" s="214"/>
      <c r="R92" s="214"/>
      <c r="S92" s="214"/>
      <c r="T92" s="214"/>
      <c r="U92" s="214"/>
      <c r="V92" s="214"/>
      <c r="W92" s="214"/>
      <c r="X92" s="214"/>
      <c r="Y92" s="214"/>
      <c r="Z92" s="214"/>
      <c r="AA92" s="214"/>
    </row>
    <row r="93" ht="15.75" customHeight="1">
      <c r="A93" s="245"/>
      <c r="B93" s="214"/>
      <c r="C93" s="214"/>
      <c r="D93" s="214"/>
      <c r="E93" s="214"/>
      <c r="F93" s="214"/>
      <c r="G93" s="214"/>
      <c r="H93" s="214"/>
      <c r="I93" s="214"/>
      <c r="J93" s="214"/>
      <c r="K93" s="214"/>
      <c r="L93" s="214"/>
      <c r="M93" s="214"/>
      <c r="N93" s="214"/>
      <c r="O93" s="214"/>
      <c r="P93" s="214"/>
      <c r="Q93" s="214"/>
      <c r="R93" s="214"/>
      <c r="S93" s="214"/>
      <c r="T93" s="214"/>
      <c r="U93" s="214"/>
      <c r="V93" s="214"/>
      <c r="W93" s="214"/>
      <c r="X93" s="214"/>
      <c r="Y93" s="214"/>
      <c r="Z93" s="214"/>
      <c r="AA93" s="214"/>
    </row>
    <row r="94" ht="15.75" customHeight="1">
      <c r="A94" s="245"/>
      <c r="B94" s="214"/>
      <c r="C94" s="214"/>
      <c r="D94" s="214"/>
      <c r="E94" s="214"/>
      <c r="F94" s="214"/>
      <c r="G94" s="214"/>
      <c r="H94" s="214"/>
      <c r="I94" s="214"/>
      <c r="J94" s="214"/>
      <c r="K94" s="214"/>
      <c r="L94" s="214"/>
      <c r="M94" s="214"/>
      <c r="N94" s="214"/>
      <c r="O94" s="214"/>
      <c r="P94" s="214"/>
      <c r="Q94" s="214"/>
      <c r="R94" s="214"/>
      <c r="S94" s="214"/>
      <c r="T94" s="214"/>
      <c r="U94" s="214"/>
      <c r="V94" s="214"/>
      <c r="W94" s="214"/>
      <c r="X94" s="214"/>
      <c r="Y94" s="214"/>
      <c r="Z94" s="214"/>
      <c r="AA94" s="214"/>
    </row>
    <row r="95" ht="15.75" customHeight="1">
      <c r="A95" s="245"/>
      <c r="B95" s="214"/>
      <c r="C95" s="214"/>
      <c r="D95" s="214"/>
      <c r="E95" s="214"/>
      <c r="F95" s="214"/>
      <c r="G95" s="214"/>
      <c r="H95" s="214"/>
      <c r="I95" s="214"/>
      <c r="J95" s="214"/>
      <c r="K95" s="214"/>
      <c r="L95" s="214"/>
      <c r="M95" s="214"/>
      <c r="N95" s="214"/>
      <c r="O95" s="214"/>
      <c r="P95" s="214"/>
      <c r="Q95" s="214"/>
      <c r="R95" s="214"/>
      <c r="S95" s="214"/>
      <c r="T95" s="214"/>
      <c r="U95" s="214"/>
      <c r="V95" s="214"/>
      <c r="W95" s="214"/>
      <c r="X95" s="214"/>
      <c r="Y95" s="214"/>
      <c r="Z95" s="214"/>
      <c r="AA95" s="214"/>
    </row>
    <row r="96" ht="15.75" customHeight="1">
      <c r="A96" s="245"/>
      <c r="B96" s="214"/>
      <c r="C96" s="214"/>
      <c r="D96" s="214"/>
      <c r="E96" s="214"/>
      <c r="F96" s="214"/>
      <c r="G96" s="214"/>
      <c r="H96" s="214"/>
      <c r="I96" s="214"/>
      <c r="J96" s="214"/>
      <c r="K96" s="214"/>
      <c r="L96" s="214"/>
      <c r="M96" s="214"/>
      <c r="N96" s="214"/>
      <c r="O96" s="214"/>
      <c r="P96" s="214"/>
      <c r="Q96" s="214"/>
      <c r="R96" s="214"/>
      <c r="S96" s="214"/>
      <c r="T96" s="214"/>
      <c r="U96" s="214"/>
      <c r="V96" s="214"/>
      <c r="W96" s="214"/>
      <c r="X96" s="214"/>
      <c r="Y96" s="214"/>
      <c r="Z96" s="214"/>
      <c r="AA96" s="214"/>
    </row>
    <row r="97" ht="15.75" customHeight="1">
      <c r="A97" s="245"/>
      <c r="B97" s="214"/>
      <c r="C97" s="214"/>
      <c r="D97" s="214"/>
      <c r="E97" s="214"/>
      <c r="F97" s="214"/>
      <c r="G97" s="214"/>
      <c r="H97" s="214"/>
      <c r="I97" s="214"/>
      <c r="J97" s="214"/>
      <c r="K97" s="214"/>
      <c r="L97" s="214"/>
      <c r="M97" s="214"/>
      <c r="N97" s="214"/>
      <c r="O97" s="214"/>
      <c r="P97" s="214"/>
      <c r="Q97" s="214"/>
      <c r="R97" s="214"/>
      <c r="S97" s="214"/>
      <c r="T97" s="214"/>
      <c r="U97" s="214"/>
      <c r="V97" s="214"/>
      <c r="W97" s="214"/>
      <c r="X97" s="214"/>
      <c r="Y97" s="214"/>
      <c r="Z97" s="214"/>
      <c r="AA97" s="214"/>
    </row>
    <row r="98" ht="15.75" customHeight="1">
      <c r="A98" s="245"/>
      <c r="B98" s="214"/>
      <c r="C98" s="214"/>
      <c r="D98" s="214"/>
      <c r="E98" s="214"/>
      <c r="F98" s="214"/>
      <c r="G98" s="214"/>
      <c r="H98" s="214"/>
      <c r="I98" s="214"/>
      <c r="J98" s="214"/>
      <c r="K98" s="214"/>
      <c r="L98" s="214"/>
      <c r="M98" s="214"/>
      <c r="N98" s="214"/>
      <c r="O98" s="214"/>
      <c r="P98" s="214"/>
      <c r="Q98" s="214"/>
      <c r="R98" s="214"/>
      <c r="S98" s="214"/>
      <c r="T98" s="214"/>
      <c r="U98" s="214"/>
      <c r="V98" s="214"/>
      <c r="W98" s="214"/>
      <c r="X98" s="214"/>
      <c r="Y98" s="214"/>
      <c r="Z98" s="214"/>
      <c r="AA98" s="214"/>
    </row>
    <row r="99" ht="15.75" customHeight="1">
      <c r="A99" s="245"/>
      <c r="B99" s="214"/>
      <c r="C99" s="214"/>
      <c r="D99" s="214"/>
      <c r="E99" s="214"/>
      <c r="F99" s="214"/>
      <c r="G99" s="214"/>
      <c r="H99" s="214"/>
      <c r="I99" s="214"/>
      <c r="J99" s="214"/>
      <c r="K99" s="214"/>
      <c r="L99" s="214"/>
      <c r="M99" s="214"/>
      <c r="N99" s="214"/>
      <c r="O99" s="214"/>
      <c r="P99" s="214"/>
      <c r="Q99" s="214"/>
      <c r="R99" s="214"/>
      <c r="S99" s="214"/>
      <c r="T99" s="214"/>
      <c r="U99" s="214"/>
      <c r="V99" s="214"/>
      <c r="W99" s="214"/>
      <c r="X99" s="214"/>
      <c r="Y99" s="214"/>
      <c r="Z99" s="214"/>
      <c r="AA99" s="214"/>
    </row>
    <row r="100" ht="15.75" customHeight="1">
      <c r="A100" s="245"/>
      <c r="B100" s="214"/>
      <c r="C100" s="214"/>
      <c r="D100" s="214"/>
      <c r="E100" s="214"/>
      <c r="F100" s="214"/>
      <c r="G100" s="214"/>
      <c r="H100" s="214"/>
      <c r="I100" s="214"/>
      <c r="J100" s="214"/>
      <c r="K100" s="214"/>
      <c r="L100" s="214"/>
      <c r="M100" s="214"/>
      <c r="N100" s="214"/>
      <c r="O100" s="214"/>
      <c r="P100" s="214"/>
      <c r="Q100" s="214"/>
      <c r="R100" s="214"/>
      <c r="S100" s="214"/>
      <c r="T100" s="214"/>
      <c r="U100" s="214"/>
      <c r="V100" s="214"/>
      <c r="W100" s="214"/>
      <c r="X100" s="214"/>
      <c r="Y100" s="214"/>
      <c r="Z100" s="214"/>
      <c r="AA100" s="214"/>
    </row>
    <row r="101" ht="15.75" customHeight="1">
      <c r="A101" s="245"/>
      <c r="B101" s="214"/>
      <c r="C101" s="214"/>
      <c r="D101" s="214"/>
      <c r="E101" s="214"/>
      <c r="F101" s="214"/>
      <c r="G101" s="214"/>
      <c r="H101" s="214"/>
      <c r="I101" s="214"/>
      <c r="J101" s="214"/>
      <c r="K101" s="214"/>
      <c r="L101" s="214"/>
      <c r="M101" s="214"/>
      <c r="N101" s="214"/>
      <c r="O101" s="214"/>
      <c r="P101" s="214"/>
      <c r="Q101" s="214"/>
      <c r="R101" s="214"/>
      <c r="S101" s="214"/>
      <c r="T101" s="214"/>
      <c r="U101" s="214"/>
      <c r="V101" s="214"/>
      <c r="W101" s="214"/>
      <c r="X101" s="214"/>
      <c r="Y101" s="214"/>
      <c r="Z101" s="214"/>
      <c r="AA101" s="214"/>
    </row>
    <row r="102" ht="15.75" customHeight="1">
      <c r="A102" s="245"/>
      <c r="B102" s="214"/>
      <c r="C102" s="214"/>
      <c r="D102" s="214"/>
      <c r="E102" s="214"/>
      <c r="F102" s="214"/>
      <c r="G102" s="214"/>
      <c r="H102" s="214"/>
      <c r="I102" s="214"/>
      <c r="J102" s="214"/>
      <c r="K102" s="214"/>
      <c r="L102" s="214"/>
      <c r="M102" s="214"/>
      <c r="N102" s="214"/>
      <c r="O102" s="214"/>
      <c r="P102" s="214"/>
      <c r="Q102" s="214"/>
      <c r="R102" s="214"/>
      <c r="S102" s="214"/>
      <c r="T102" s="214"/>
      <c r="U102" s="214"/>
      <c r="V102" s="214"/>
      <c r="W102" s="214"/>
      <c r="X102" s="214"/>
      <c r="Y102" s="214"/>
      <c r="Z102" s="214"/>
      <c r="AA102" s="214"/>
    </row>
    <row r="103" ht="15.75" customHeight="1">
      <c r="A103" s="245"/>
      <c r="B103" s="214"/>
      <c r="C103" s="214"/>
      <c r="D103" s="214"/>
      <c r="E103" s="214"/>
      <c r="F103" s="214"/>
      <c r="G103" s="214"/>
      <c r="H103" s="214"/>
      <c r="I103" s="214"/>
      <c r="J103" s="214"/>
      <c r="K103" s="214"/>
      <c r="L103" s="214"/>
      <c r="M103" s="214"/>
      <c r="N103" s="214"/>
      <c r="O103" s="214"/>
      <c r="P103" s="214"/>
      <c r="Q103" s="214"/>
      <c r="R103" s="214"/>
      <c r="S103" s="214"/>
      <c r="T103" s="214"/>
      <c r="U103" s="214"/>
      <c r="V103" s="214"/>
      <c r="W103" s="214"/>
      <c r="X103" s="214"/>
      <c r="Y103" s="214"/>
      <c r="Z103" s="214"/>
      <c r="AA103" s="214"/>
    </row>
    <row r="104" ht="15.75" customHeight="1">
      <c r="A104" s="245"/>
      <c r="B104" s="214"/>
      <c r="C104" s="214"/>
      <c r="D104" s="214"/>
      <c r="E104" s="214"/>
      <c r="F104" s="214"/>
      <c r="G104" s="214"/>
      <c r="H104" s="214"/>
      <c r="I104" s="214"/>
      <c r="J104" s="214"/>
      <c r="K104" s="214"/>
      <c r="L104" s="214"/>
      <c r="M104" s="214"/>
      <c r="N104" s="214"/>
      <c r="O104" s="214"/>
      <c r="P104" s="214"/>
      <c r="Q104" s="214"/>
      <c r="R104" s="214"/>
      <c r="S104" s="214"/>
      <c r="T104" s="214"/>
      <c r="U104" s="214"/>
      <c r="V104" s="214"/>
      <c r="W104" s="214"/>
      <c r="X104" s="214"/>
      <c r="Y104" s="214"/>
      <c r="Z104" s="214"/>
      <c r="AA104" s="214"/>
    </row>
    <row r="105" ht="15.75" customHeight="1">
      <c r="A105" s="245"/>
      <c r="B105" s="214"/>
      <c r="C105" s="214"/>
      <c r="D105" s="214"/>
      <c r="E105" s="214"/>
      <c r="F105" s="214"/>
      <c r="G105" s="214"/>
      <c r="H105" s="214"/>
      <c r="I105" s="214"/>
      <c r="J105" s="214"/>
      <c r="K105" s="214"/>
      <c r="L105" s="214"/>
      <c r="M105" s="214"/>
      <c r="N105" s="214"/>
      <c r="O105" s="214"/>
      <c r="P105" s="214"/>
      <c r="Q105" s="214"/>
      <c r="R105" s="214"/>
      <c r="S105" s="214"/>
      <c r="T105" s="214"/>
      <c r="U105" s="214"/>
      <c r="V105" s="214"/>
      <c r="W105" s="214"/>
      <c r="X105" s="214"/>
      <c r="Y105" s="214"/>
      <c r="Z105" s="214"/>
      <c r="AA105" s="214"/>
    </row>
    <row r="106" ht="15.75" customHeight="1">
      <c r="A106" s="245"/>
      <c r="B106" s="214"/>
      <c r="C106" s="214"/>
      <c r="D106" s="214"/>
      <c r="E106" s="214"/>
      <c r="F106" s="214"/>
      <c r="G106" s="214"/>
      <c r="H106" s="214"/>
      <c r="I106" s="214"/>
      <c r="J106" s="214"/>
      <c r="K106" s="214"/>
      <c r="L106" s="214"/>
      <c r="M106" s="214"/>
      <c r="N106" s="214"/>
      <c r="O106" s="214"/>
      <c r="P106" s="214"/>
      <c r="Q106" s="214"/>
      <c r="R106" s="214"/>
      <c r="S106" s="214"/>
      <c r="T106" s="214"/>
      <c r="U106" s="214"/>
      <c r="V106" s="214"/>
      <c r="W106" s="214"/>
      <c r="X106" s="214"/>
      <c r="Y106" s="214"/>
      <c r="Z106" s="214"/>
      <c r="AA106" s="214"/>
    </row>
    <row r="107" ht="15.75" customHeight="1">
      <c r="A107" s="245"/>
      <c r="B107" s="214"/>
      <c r="C107" s="214"/>
      <c r="D107" s="214"/>
      <c r="E107" s="214"/>
      <c r="F107" s="214"/>
      <c r="G107" s="214"/>
      <c r="H107" s="214"/>
      <c r="I107" s="214"/>
      <c r="J107" s="214"/>
      <c r="K107" s="214"/>
      <c r="L107" s="214"/>
      <c r="M107" s="214"/>
      <c r="N107" s="214"/>
      <c r="O107" s="214"/>
      <c r="P107" s="214"/>
      <c r="Q107" s="214"/>
      <c r="R107" s="214"/>
      <c r="S107" s="214"/>
      <c r="T107" s="214"/>
      <c r="U107" s="214"/>
      <c r="V107" s="214"/>
      <c r="W107" s="214"/>
      <c r="X107" s="214"/>
      <c r="Y107" s="214"/>
      <c r="Z107" s="214"/>
      <c r="AA107" s="214"/>
    </row>
    <row r="108" ht="15.75" customHeight="1">
      <c r="A108" s="245"/>
      <c r="B108" s="214"/>
      <c r="C108" s="214"/>
      <c r="D108" s="214"/>
      <c r="E108" s="214"/>
      <c r="F108" s="214"/>
      <c r="G108" s="214"/>
      <c r="H108" s="214"/>
      <c r="I108" s="214"/>
      <c r="J108" s="214"/>
      <c r="K108" s="214"/>
      <c r="L108" s="214"/>
      <c r="M108" s="214"/>
      <c r="N108" s="214"/>
      <c r="O108" s="214"/>
      <c r="P108" s="214"/>
      <c r="Q108" s="214"/>
      <c r="R108" s="214"/>
      <c r="S108" s="214"/>
      <c r="T108" s="214"/>
      <c r="U108" s="214"/>
      <c r="V108" s="214"/>
      <c r="W108" s="214"/>
      <c r="X108" s="214"/>
      <c r="Y108" s="214"/>
      <c r="Z108" s="214"/>
      <c r="AA108" s="214"/>
    </row>
    <row r="109" ht="15.75" customHeight="1">
      <c r="A109" s="245"/>
      <c r="B109" s="214"/>
      <c r="C109" s="214"/>
      <c r="D109" s="214"/>
      <c r="E109" s="214"/>
      <c r="F109" s="214"/>
      <c r="G109" s="214"/>
      <c r="H109" s="214"/>
      <c r="I109" s="214"/>
      <c r="J109" s="214"/>
      <c r="K109" s="214"/>
      <c r="L109" s="214"/>
      <c r="M109" s="214"/>
      <c r="N109" s="214"/>
      <c r="O109" s="214"/>
      <c r="P109" s="214"/>
      <c r="Q109" s="214"/>
      <c r="R109" s="214"/>
      <c r="S109" s="214"/>
      <c r="T109" s="214"/>
      <c r="U109" s="214"/>
      <c r="V109" s="214"/>
      <c r="W109" s="214"/>
      <c r="X109" s="214"/>
      <c r="Y109" s="214"/>
      <c r="Z109" s="214"/>
      <c r="AA109" s="214"/>
    </row>
    <row r="110" ht="15.75" customHeight="1">
      <c r="A110" s="245"/>
      <c r="B110" s="214"/>
      <c r="C110" s="214"/>
      <c r="D110" s="214"/>
      <c r="E110" s="214"/>
      <c r="F110" s="214"/>
      <c r="G110" s="214"/>
      <c r="H110" s="214"/>
      <c r="I110" s="214"/>
      <c r="J110" s="214"/>
      <c r="K110" s="214"/>
      <c r="L110" s="214"/>
      <c r="M110" s="214"/>
      <c r="N110" s="214"/>
      <c r="O110" s="214"/>
      <c r="P110" s="214"/>
      <c r="Q110" s="214"/>
      <c r="R110" s="214"/>
      <c r="S110" s="214"/>
      <c r="T110" s="214"/>
      <c r="U110" s="214"/>
      <c r="V110" s="214"/>
      <c r="W110" s="214"/>
      <c r="X110" s="214"/>
      <c r="Y110" s="214"/>
      <c r="Z110" s="214"/>
      <c r="AA110" s="214"/>
    </row>
    <row r="111" ht="15.75" customHeight="1">
      <c r="A111" s="245"/>
      <c r="B111" s="214"/>
      <c r="C111" s="214"/>
      <c r="D111" s="214"/>
      <c r="E111" s="214"/>
      <c r="F111" s="214"/>
      <c r="G111" s="214"/>
      <c r="H111" s="214"/>
      <c r="I111" s="214"/>
      <c r="J111" s="214"/>
      <c r="K111" s="214"/>
      <c r="L111" s="214"/>
      <c r="M111" s="214"/>
      <c r="N111" s="214"/>
      <c r="O111" s="214"/>
      <c r="P111" s="214"/>
      <c r="Q111" s="214"/>
      <c r="R111" s="214"/>
      <c r="S111" s="214"/>
      <c r="T111" s="214"/>
      <c r="U111" s="214"/>
      <c r="V111" s="214"/>
      <c r="W111" s="214"/>
      <c r="X111" s="214"/>
      <c r="Y111" s="214"/>
      <c r="Z111" s="214"/>
      <c r="AA111" s="214"/>
    </row>
    <row r="112" ht="15.75" customHeight="1">
      <c r="A112" s="245"/>
      <c r="B112" s="214"/>
      <c r="C112" s="214"/>
      <c r="D112" s="214"/>
      <c r="E112" s="214"/>
      <c r="F112" s="214"/>
      <c r="G112" s="214"/>
      <c r="H112" s="214"/>
      <c r="I112" s="214"/>
      <c r="J112" s="214"/>
      <c r="K112" s="214"/>
      <c r="L112" s="214"/>
      <c r="M112" s="214"/>
      <c r="N112" s="214"/>
      <c r="O112" s="214"/>
      <c r="P112" s="214"/>
      <c r="Q112" s="214"/>
      <c r="R112" s="214"/>
      <c r="S112" s="214"/>
      <c r="T112" s="214"/>
      <c r="U112" s="214"/>
      <c r="V112" s="214"/>
      <c r="W112" s="214"/>
      <c r="X112" s="214"/>
      <c r="Y112" s="214"/>
      <c r="Z112" s="214"/>
      <c r="AA112" s="214"/>
    </row>
    <row r="113" ht="15.75" customHeight="1">
      <c r="A113" s="245"/>
      <c r="B113" s="214"/>
      <c r="C113" s="214"/>
      <c r="D113" s="214"/>
      <c r="E113" s="214"/>
      <c r="F113" s="214"/>
      <c r="G113" s="214"/>
      <c r="H113" s="214"/>
      <c r="I113" s="214"/>
      <c r="J113" s="214"/>
      <c r="K113" s="214"/>
      <c r="L113" s="214"/>
      <c r="M113" s="214"/>
      <c r="N113" s="214"/>
      <c r="O113" s="214"/>
      <c r="P113" s="214"/>
      <c r="Q113" s="214"/>
      <c r="R113" s="214"/>
      <c r="S113" s="214"/>
      <c r="T113" s="214"/>
      <c r="U113" s="214"/>
      <c r="V113" s="214"/>
      <c r="W113" s="214"/>
      <c r="X113" s="214"/>
      <c r="Y113" s="214"/>
      <c r="Z113" s="214"/>
      <c r="AA113" s="214"/>
    </row>
    <row r="114" ht="15.75" customHeight="1">
      <c r="A114" s="245"/>
      <c r="B114" s="214"/>
      <c r="C114" s="214"/>
      <c r="D114" s="214"/>
      <c r="E114" s="214"/>
      <c r="F114" s="214"/>
      <c r="G114" s="214"/>
      <c r="H114" s="214"/>
      <c r="I114" s="214"/>
      <c r="J114" s="214"/>
      <c r="K114" s="214"/>
      <c r="L114" s="214"/>
      <c r="M114" s="214"/>
      <c r="N114" s="214"/>
      <c r="O114" s="214"/>
      <c r="P114" s="214"/>
      <c r="Q114" s="214"/>
      <c r="R114" s="214"/>
      <c r="S114" s="214"/>
      <c r="T114" s="214"/>
      <c r="U114" s="214"/>
      <c r="V114" s="214"/>
      <c r="W114" s="214"/>
      <c r="X114" s="214"/>
      <c r="Y114" s="214"/>
      <c r="Z114" s="214"/>
      <c r="AA114" s="214"/>
    </row>
    <row r="115" ht="15.75" customHeight="1">
      <c r="A115" s="245"/>
      <c r="B115" s="214"/>
      <c r="C115" s="214"/>
      <c r="D115" s="214"/>
      <c r="E115" s="214"/>
      <c r="F115" s="214"/>
      <c r="G115" s="214"/>
      <c r="H115" s="214"/>
      <c r="I115" s="214"/>
      <c r="J115" s="214"/>
      <c r="K115" s="214"/>
      <c r="L115" s="214"/>
      <c r="M115" s="214"/>
      <c r="N115" s="214"/>
      <c r="O115" s="214"/>
      <c r="P115" s="214"/>
      <c r="Q115" s="214"/>
      <c r="R115" s="214"/>
      <c r="S115" s="214"/>
      <c r="T115" s="214"/>
      <c r="U115" s="214"/>
      <c r="V115" s="214"/>
      <c r="W115" s="214"/>
      <c r="X115" s="214"/>
      <c r="Y115" s="214"/>
      <c r="Z115" s="214"/>
      <c r="AA115" s="214"/>
    </row>
    <row r="116" ht="15.75" customHeight="1">
      <c r="A116" s="245"/>
      <c r="B116" s="214"/>
      <c r="C116" s="214"/>
      <c r="D116" s="214"/>
      <c r="E116" s="214"/>
      <c r="F116" s="214"/>
      <c r="G116" s="214"/>
      <c r="H116" s="214"/>
      <c r="I116" s="214"/>
      <c r="J116" s="214"/>
      <c r="K116" s="214"/>
      <c r="L116" s="214"/>
      <c r="M116" s="214"/>
      <c r="N116" s="214"/>
      <c r="O116" s="214"/>
      <c r="P116" s="214"/>
      <c r="Q116" s="214"/>
      <c r="R116" s="214"/>
      <c r="S116" s="214"/>
      <c r="T116" s="214"/>
      <c r="U116" s="214"/>
      <c r="V116" s="214"/>
      <c r="W116" s="214"/>
      <c r="X116" s="214"/>
      <c r="Y116" s="214"/>
      <c r="Z116" s="214"/>
      <c r="AA116" s="214"/>
    </row>
    <row r="117" ht="15.75" customHeight="1">
      <c r="A117" s="245"/>
      <c r="B117" s="214"/>
      <c r="C117" s="214"/>
      <c r="D117" s="214"/>
      <c r="E117" s="214"/>
      <c r="F117" s="214"/>
      <c r="G117" s="214"/>
      <c r="H117" s="214"/>
      <c r="I117" s="214"/>
      <c r="J117" s="214"/>
      <c r="K117" s="214"/>
      <c r="L117" s="214"/>
      <c r="M117" s="214"/>
      <c r="N117" s="214"/>
      <c r="O117" s="214"/>
      <c r="P117" s="214"/>
      <c r="Q117" s="214"/>
      <c r="R117" s="214"/>
      <c r="S117" s="214"/>
      <c r="T117" s="214"/>
      <c r="U117" s="214"/>
      <c r="V117" s="214"/>
      <c r="W117" s="214"/>
      <c r="X117" s="214"/>
      <c r="Y117" s="214"/>
      <c r="Z117" s="214"/>
      <c r="AA117" s="214"/>
    </row>
    <row r="118" ht="15.75" customHeight="1">
      <c r="A118" s="245"/>
      <c r="B118" s="214"/>
      <c r="C118" s="214"/>
      <c r="D118" s="214"/>
      <c r="E118" s="214"/>
      <c r="F118" s="214"/>
      <c r="G118" s="214"/>
      <c r="H118" s="214"/>
      <c r="I118" s="214"/>
      <c r="J118" s="214"/>
      <c r="K118" s="214"/>
      <c r="L118" s="214"/>
      <c r="M118" s="214"/>
      <c r="N118" s="214"/>
      <c r="O118" s="214"/>
      <c r="P118" s="214"/>
      <c r="Q118" s="214"/>
      <c r="R118" s="214"/>
      <c r="S118" s="214"/>
      <c r="T118" s="214"/>
      <c r="U118" s="214"/>
      <c r="V118" s="214"/>
      <c r="W118" s="214"/>
      <c r="X118" s="214"/>
      <c r="Y118" s="214"/>
      <c r="Z118" s="214"/>
      <c r="AA118" s="214"/>
    </row>
    <row r="119" ht="15.75" customHeight="1">
      <c r="A119" s="245"/>
      <c r="B119" s="214"/>
      <c r="C119" s="214"/>
      <c r="D119" s="214"/>
      <c r="E119" s="214"/>
      <c r="F119" s="214"/>
      <c r="G119" s="214"/>
      <c r="H119" s="214"/>
      <c r="I119" s="214"/>
      <c r="J119" s="214"/>
      <c r="K119" s="214"/>
      <c r="L119" s="214"/>
      <c r="M119" s="214"/>
      <c r="N119" s="214"/>
      <c r="O119" s="214"/>
      <c r="P119" s="214"/>
      <c r="Q119" s="214"/>
      <c r="R119" s="214"/>
      <c r="S119" s="214"/>
      <c r="T119" s="214"/>
      <c r="U119" s="214"/>
      <c r="V119" s="214"/>
      <c r="W119" s="214"/>
      <c r="X119" s="214"/>
      <c r="Y119" s="214"/>
      <c r="Z119" s="214"/>
      <c r="AA119" s="214"/>
    </row>
    <row r="120" ht="15.75" customHeight="1">
      <c r="A120" s="245"/>
      <c r="B120" s="214"/>
      <c r="C120" s="214"/>
      <c r="D120" s="214"/>
      <c r="E120" s="214"/>
      <c r="F120" s="214"/>
      <c r="G120" s="214"/>
      <c r="H120" s="214"/>
      <c r="I120" s="214"/>
      <c r="J120" s="214"/>
      <c r="K120" s="214"/>
      <c r="L120" s="214"/>
      <c r="M120" s="214"/>
      <c r="N120" s="214"/>
      <c r="O120" s="214"/>
      <c r="P120" s="214"/>
      <c r="Q120" s="214"/>
      <c r="R120" s="214"/>
      <c r="S120" s="214"/>
      <c r="T120" s="214"/>
      <c r="U120" s="214"/>
      <c r="V120" s="214"/>
      <c r="W120" s="214"/>
      <c r="X120" s="214"/>
      <c r="Y120" s="214"/>
      <c r="Z120" s="214"/>
      <c r="AA120" s="214"/>
    </row>
    <row r="121" ht="15.75" customHeight="1">
      <c r="A121" s="245"/>
      <c r="B121" s="214"/>
      <c r="C121" s="214"/>
      <c r="D121" s="214"/>
      <c r="E121" s="214"/>
      <c r="F121" s="214"/>
      <c r="G121" s="214"/>
      <c r="H121" s="214"/>
      <c r="I121" s="214"/>
      <c r="J121" s="214"/>
      <c r="K121" s="214"/>
      <c r="L121" s="214"/>
      <c r="M121" s="214"/>
      <c r="N121" s="214"/>
      <c r="O121" s="214"/>
      <c r="P121" s="214"/>
      <c r="Q121" s="214"/>
      <c r="R121" s="214"/>
      <c r="S121" s="214"/>
      <c r="T121" s="214"/>
      <c r="U121" s="214"/>
      <c r="V121" s="214"/>
      <c r="W121" s="214"/>
      <c r="X121" s="214"/>
      <c r="Y121" s="214"/>
      <c r="Z121" s="214"/>
      <c r="AA121" s="214"/>
    </row>
    <row r="122" ht="15.75" customHeight="1">
      <c r="A122" s="245"/>
      <c r="B122" s="214"/>
      <c r="C122" s="214"/>
      <c r="D122" s="214"/>
      <c r="E122" s="214"/>
      <c r="F122" s="214"/>
      <c r="G122" s="214"/>
      <c r="H122" s="214"/>
      <c r="I122" s="214"/>
      <c r="J122" s="214"/>
      <c r="K122" s="214"/>
      <c r="L122" s="214"/>
      <c r="M122" s="214"/>
      <c r="N122" s="214"/>
      <c r="O122" s="214"/>
      <c r="P122" s="214"/>
      <c r="Q122" s="214"/>
      <c r="R122" s="214"/>
      <c r="S122" s="214"/>
      <c r="T122" s="214"/>
      <c r="U122" s="214"/>
      <c r="V122" s="214"/>
      <c r="W122" s="214"/>
      <c r="X122" s="214"/>
      <c r="Y122" s="214"/>
      <c r="Z122" s="214"/>
      <c r="AA122" s="214"/>
    </row>
    <row r="123" ht="15.75" customHeight="1">
      <c r="A123" s="245"/>
      <c r="B123" s="214"/>
      <c r="C123" s="214"/>
      <c r="D123" s="214"/>
      <c r="E123" s="214"/>
      <c r="F123" s="214"/>
      <c r="G123" s="214"/>
      <c r="H123" s="214"/>
      <c r="I123" s="214"/>
      <c r="J123" s="214"/>
      <c r="K123" s="214"/>
      <c r="L123" s="214"/>
      <c r="M123" s="214"/>
      <c r="N123" s="214"/>
      <c r="O123" s="214"/>
      <c r="P123" s="214"/>
      <c r="Q123" s="214"/>
      <c r="R123" s="214"/>
      <c r="S123" s="214"/>
      <c r="T123" s="214"/>
      <c r="U123" s="214"/>
      <c r="V123" s="214"/>
      <c r="W123" s="214"/>
      <c r="X123" s="214"/>
      <c r="Y123" s="214"/>
      <c r="Z123" s="214"/>
      <c r="AA123" s="214"/>
    </row>
    <row r="124" ht="15.75" customHeight="1">
      <c r="A124" s="245"/>
      <c r="B124" s="214"/>
      <c r="C124" s="214"/>
      <c r="D124" s="214"/>
      <c r="E124" s="214"/>
      <c r="F124" s="214"/>
      <c r="G124" s="214"/>
      <c r="H124" s="214"/>
      <c r="I124" s="214"/>
      <c r="J124" s="214"/>
      <c r="K124" s="214"/>
      <c r="L124" s="214"/>
      <c r="M124" s="214"/>
      <c r="N124" s="214"/>
      <c r="O124" s="214"/>
      <c r="P124" s="214"/>
      <c r="Q124" s="214"/>
      <c r="R124" s="214"/>
      <c r="S124" s="214"/>
      <c r="T124" s="214"/>
      <c r="U124" s="214"/>
      <c r="V124" s="214"/>
      <c r="W124" s="214"/>
      <c r="X124" s="214"/>
      <c r="Y124" s="214"/>
      <c r="Z124" s="214"/>
      <c r="AA124" s="214"/>
    </row>
    <row r="125" ht="15.75" customHeight="1">
      <c r="A125" s="245"/>
      <c r="B125" s="214"/>
      <c r="C125" s="214"/>
      <c r="D125" s="214"/>
      <c r="E125" s="214"/>
      <c r="F125" s="214"/>
      <c r="G125" s="214"/>
      <c r="H125" s="214"/>
      <c r="I125" s="214"/>
      <c r="J125" s="214"/>
      <c r="K125" s="214"/>
      <c r="L125" s="214"/>
      <c r="M125" s="214"/>
      <c r="N125" s="214"/>
      <c r="O125" s="214"/>
      <c r="P125" s="214"/>
      <c r="Q125" s="214"/>
      <c r="R125" s="214"/>
      <c r="S125" s="214"/>
      <c r="T125" s="214"/>
      <c r="U125" s="214"/>
      <c r="V125" s="214"/>
      <c r="W125" s="214"/>
      <c r="X125" s="214"/>
      <c r="Y125" s="214"/>
      <c r="Z125" s="214"/>
      <c r="AA125" s="214"/>
    </row>
    <row r="126" ht="15.75" customHeight="1">
      <c r="A126" s="245"/>
      <c r="B126" s="214"/>
      <c r="C126" s="214"/>
      <c r="D126" s="214"/>
      <c r="E126" s="214"/>
      <c r="F126" s="214"/>
      <c r="G126" s="214"/>
      <c r="H126" s="214"/>
      <c r="I126" s="214"/>
      <c r="J126" s="214"/>
      <c r="K126" s="214"/>
      <c r="L126" s="214"/>
      <c r="M126" s="214"/>
      <c r="N126" s="214"/>
      <c r="O126" s="214"/>
      <c r="P126" s="214"/>
      <c r="Q126" s="214"/>
      <c r="R126" s="214"/>
      <c r="S126" s="214"/>
      <c r="T126" s="214"/>
      <c r="U126" s="214"/>
      <c r="V126" s="214"/>
      <c r="W126" s="214"/>
      <c r="X126" s="214"/>
      <c r="Y126" s="214"/>
      <c r="Z126" s="214"/>
      <c r="AA126" s="214"/>
    </row>
    <row r="127" ht="15.75" customHeight="1">
      <c r="A127" s="245"/>
      <c r="B127" s="214"/>
      <c r="C127" s="214"/>
      <c r="D127" s="214"/>
      <c r="E127" s="214"/>
      <c r="F127" s="214"/>
      <c r="G127" s="214"/>
      <c r="H127" s="214"/>
      <c r="I127" s="214"/>
      <c r="J127" s="214"/>
      <c r="K127" s="214"/>
      <c r="L127" s="214"/>
      <c r="M127" s="214"/>
      <c r="N127" s="214"/>
      <c r="O127" s="214"/>
      <c r="P127" s="214"/>
      <c r="Q127" s="214"/>
      <c r="R127" s="214"/>
      <c r="S127" s="214"/>
      <c r="T127" s="214"/>
      <c r="U127" s="214"/>
      <c r="V127" s="214"/>
      <c r="W127" s="214"/>
      <c r="X127" s="214"/>
      <c r="Y127" s="214"/>
      <c r="Z127" s="214"/>
      <c r="AA127" s="214"/>
    </row>
    <row r="128" ht="15.75" customHeight="1">
      <c r="A128" s="245"/>
      <c r="B128" s="214"/>
      <c r="C128" s="214"/>
      <c r="D128" s="214"/>
      <c r="E128" s="214"/>
      <c r="F128" s="214"/>
      <c r="G128" s="214"/>
      <c r="H128" s="214"/>
      <c r="I128" s="214"/>
      <c r="J128" s="214"/>
      <c r="K128" s="214"/>
      <c r="L128" s="214"/>
      <c r="M128" s="214"/>
      <c r="N128" s="214"/>
      <c r="O128" s="214"/>
      <c r="P128" s="214"/>
      <c r="Q128" s="214"/>
      <c r="R128" s="214"/>
      <c r="S128" s="214"/>
      <c r="T128" s="214"/>
      <c r="U128" s="214"/>
      <c r="V128" s="214"/>
      <c r="W128" s="214"/>
      <c r="X128" s="214"/>
      <c r="Y128" s="214"/>
      <c r="Z128" s="214"/>
      <c r="AA128" s="214"/>
    </row>
    <row r="129" ht="15.75" customHeight="1">
      <c r="A129" s="245"/>
      <c r="B129" s="214"/>
      <c r="C129" s="214"/>
      <c r="D129" s="214"/>
      <c r="E129" s="214"/>
      <c r="F129" s="214"/>
      <c r="G129" s="214"/>
      <c r="H129" s="214"/>
      <c r="I129" s="214"/>
      <c r="J129" s="214"/>
      <c r="K129" s="214"/>
      <c r="L129" s="214"/>
      <c r="M129" s="214"/>
      <c r="N129" s="214"/>
      <c r="O129" s="214"/>
      <c r="P129" s="214"/>
      <c r="Q129" s="214"/>
      <c r="R129" s="214"/>
      <c r="S129" s="214"/>
      <c r="T129" s="214"/>
      <c r="U129" s="214"/>
      <c r="V129" s="214"/>
      <c r="W129" s="214"/>
      <c r="X129" s="214"/>
      <c r="Y129" s="214"/>
      <c r="Z129" s="214"/>
      <c r="AA129" s="214"/>
    </row>
    <row r="130" ht="15.75" customHeight="1">
      <c r="A130" s="245"/>
      <c r="B130" s="214"/>
      <c r="C130" s="214"/>
      <c r="D130" s="214"/>
      <c r="E130" s="214"/>
      <c r="F130" s="214"/>
      <c r="G130" s="214"/>
      <c r="H130" s="214"/>
      <c r="I130" s="214"/>
      <c r="J130" s="214"/>
      <c r="K130" s="214"/>
      <c r="L130" s="214"/>
      <c r="M130" s="214"/>
      <c r="N130" s="214"/>
      <c r="O130" s="214"/>
      <c r="P130" s="214"/>
      <c r="Q130" s="214"/>
      <c r="R130" s="214"/>
      <c r="S130" s="214"/>
      <c r="T130" s="214"/>
      <c r="U130" s="214"/>
      <c r="V130" s="214"/>
      <c r="W130" s="214"/>
      <c r="X130" s="214"/>
      <c r="Y130" s="214"/>
      <c r="Z130" s="214"/>
      <c r="AA130" s="214"/>
    </row>
    <row r="131" ht="15.75" customHeight="1">
      <c r="A131" s="245"/>
      <c r="B131" s="214"/>
      <c r="C131" s="214"/>
      <c r="D131" s="214"/>
      <c r="E131" s="214"/>
      <c r="F131" s="214"/>
      <c r="G131" s="214"/>
      <c r="H131" s="214"/>
      <c r="I131" s="214"/>
      <c r="J131" s="214"/>
      <c r="K131" s="214"/>
      <c r="L131" s="214"/>
      <c r="M131" s="214"/>
      <c r="N131" s="214"/>
      <c r="O131" s="214"/>
      <c r="P131" s="214"/>
      <c r="Q131" s="214"/>
      <c r="R131" s="214"/>
      <c r="S131" s="214"/>
      <c r="T131" s="214"/>
      <c r="U131" s="214"/>
      <c r="V131" s="214"/>
      <c r="W131" s="214"/>
      <c r="X131" s="214"/>
      <c r="Y131" s="214"/>
      <c r="Z131" s="214"/>
      <c r="AA131" s="214"/>
    </row>
    <row r="132" ht="15.75" customHeight="1">
      <c r="A132" s="245"/>
      <c r="B132" s="214"/>
      <c r="C132" s="214"/>
      <c r="D132" s="214"/>
      <c r="E132" s="214"/>
      <c r="F132" s="214"/>
      <c r="G132" s="214"/>
      <c r="H132" s="214"/>
      <c r="I132" s="214"/>
      <c r="J132" s="214"/>
      <c r="K132" s="214"/>
      <c r="L132" s="214"/>
      <c r="M132" s="214"/>
      <c r="N132" s="214"/>
      <c r="O132" s="214"/>
      <c r="P132" s="214"/>
      <c r="Q132" s="214"/>
      <c r="R132" s="214"/>
      <c r="S132" s="214"/>
      <c r="T132" s="214"/>
      <c r="U132" s="214"/>
      <c r="V132" s="214"/>
      <c r="W132" s="214"/>
      <c r="X132" s="214"/>
      <c r="Y132" s="214"/>
      <c r="Z132" s="214"/>
      <c r="AA132" s="214"/>
    </row>
    <row r="133" ht="15.75" customHeight="1">
      <c r="A133" s="245"/>
      <c r="B133" s="214"/>
      <c r="C133" s="214"/>
      <c r="D133" s="214"/>
      <c r="E133" s="214"/>
      <c r="F133" s="214"/>
      <c r="G133" s="214"/>
      <c r="H133" s="214"/>
      <c r="I133" s="214"/>
      <c r="J133" s="214"/>
      <c r="K133" s="214"/>
      <c r="L133" s="214"/>
      <c r="M133" s="214"/>
      <c r="N133" s="214"/>
      <c r="O133" s="214"/>
      <c r="P133" s="214"/>
      <c r="Q133" s="214"/>
      <c r="R133" s="214"/>
      <c r="S133" s="214"/>
      <c r="T133" s="214"/>
      <c r="U133" s="214"/>
      <c r="V133" s="214"/>
      <c r="W133" s="214"/>
      <c r="X133" s="214"/>
      <c r="Y133" s="214"/>
      <c r="Z133" s="214"/>
      <c r="AA133" s="214"/>
    </row>
    <row r="134" ht="15.75" customHeight="1">
      <c r="A134" s="245"/>
      <c r="B134" s="214"/>
      <c r="C134" s="214"/>
      <c r="D134" s="214"/>
      <c r="E134" s="214"/>
      <c r="F134" s="214"/>
      <c r="G134" s="214"/>
      <c r="H134" s="214"/>
      <c r="I134" s="214"/>
      <c r="J134" s="214"/>
      <c r="K134" s="214"/>
      <c r="L134" s="214"/>
      <c r="M134" s="214"/>
      <c r="N134" s="214"/>
      <c r="O134" s="214"/>
      <c r="P134" s="214"/>
      <c r="Q134" s="214"/>
      <c r="R134" s="214"/>
      <c r="S134" s="214"/>
      <c r="T134" s="214"/>
      <c r="U134" s="214"/>
      <c r="V134" s="214"/>
      <c r="W134" s="214"/>
      <c r="X134" s="214"/>
      <c r="Y134" s="214"/>
      <c r="Z134" s="214"/>
      <c r="AA134" s="214"/>
    </row>
    <row r="135" ht="15.75" customHeight="1">
      <c r="A135" s="245"/>
      <c r="B135" s="214"/>
      <c r="C135" s="214"/>
      <c r="D135" s="214"/>
      <c r="E135" s="214"/>
      <c r="F135" s="214"/>
      <c r="G135" s="214"/>
      <c r="H135" s="214"/>
      <c r="I135" s="214"/>
      <c r="J135" s="214"/>
      <c r="K135" s="214"/>
      <c r="L135" s="214"/>
      <c r="M135" s="214"/>
      <c r="N135" s="214"/>
      <c r="O135" s="214"/>
      <c r="P135" s="214"/>
      <c r="Q135" s="214"/>
      <c r="R135" s="214"/>
      <c r="S135" s="214"/>
      <c r="T135" s="214"/>
      <c r="U135" s="214"/>
      <c r="V135" s="214"/>
      <c r="W135" s="214"/>
      <c r="X135" s="214"/>
      <c r="Y135" s="214"/>
      <c r="Z135" s="214"/>
      <c r="AA135" s="214"/>
    </row>
    <row r="136" ht="15.75" customHeight="1">
      <c r="A136" s="245"/>
      <c r="B136" s="214"/>
      <c r="C136" s="214"/>
      <c r="D136" s="214"/>
      <c r="E136" s="214"/>
      <c r="F136" s="214"/>
      <c r="G136" s="214"/>
      <c r="H136" s="214"/>
      <c r="I136" s="214"/>
      <c r="J136" s="214"/>
      <c r="K136" s="214"/>
      <c r="L136" s="214"/>
      <c r="M136" s="214"/>
      <c r="N136" s="214"/>
      <c r="O136" s="214"/>
      <c r="P136" s="214"/>
      <c r="Q136" s="214"/>
      <c r="R136" s="214"/>
      <c r="S136" s="214"/>
      <c r="T136" s="214"/>
      <c r="U136" s="214"/>
      <c r="V136" s="214"/>
      <c r="W136" s="214"/>
      <c r="X136" s="214"/>
      <c r="Y136" s="214"/>
      <c r="Z136" s="214"/>
      <c r="AA136" s="214"/>
    </row>
    <row r="137" ht="15.75" customHeight="1">
      <c r="A137" s="245"/>
      <c r="B137" s="214"/>
      <c r="C137" s="214"/>
      <c r="D137" s="214"/>
      <c r="E137" s="214"/>
      <c r="F137" s="214"/>
      <c r="G137" s="214"/>
      <c r="H137" s="214"/>
      <c r="I137" s="214"/>
      <c r="J137" s="214"/>
      <c r="K137" s="214"/>
      <c r="L137" s="214"/>
      <c r="M137" s="214"/>
      <c r="N137" s="214"/>
      <c r="O137" s="214"/>
      <c r="P137" s="214"/>
      <c r="Q137" s="214"/>
      <c r="R137" s="214"/>
      <c r="S137" s="214"/>
      <c r="T137" s="214"/>
      <c r="U137" s="214"/>
      <c r="V137" s="214"/>
      <c r="W137" s="214"/>
      <c r="X137" s="214"/>
      <c r="Y137" s="214"/>
      <c r="Z137" s="214"/>
      <c r="AA137" s="214"/>
    </row>
    <row r="138" ht="15.75" customHeight="1">
      <c r="A138" s="245"/>
      <c r="B138" s="214"/>
      <c r="C138" s="214"/>
      <c r="D138" s="214"/>
      <c r="E138" s="214"/>
      <c r="F138" s="214"/>
      <c r="G138" s="214"/>
      <c r="H138" s="214"/>
      <c r="I138" s="214"/>
      <c r="J138" s="214"/>
      <c r="K138" s="214"/>
      <c r="L138" s="214"/>
      <c r="M138" s="214"/>
      <c r="N138" s="214"/>
      <c r="O138" s="214"/>
      <c r="P138" s="214"/>
      <c r="Q138" s="214"/>
      <c r="R138" s="214"/>
      <c r="S138" s="214"/>
      <c r="T138" s="214"/>
      <c r="U138" s="214"/>
      <c r="V138" s="214"/>
      <c r="W138" s="214"/>
      <c r="X138" s="214"/>
      <c r="Y138" s="214"/>
      <c r="Z138" s="214"/>
      <c r="AA138" s="214"/>
    </row>
    <row r="139" ht="15.75" customHeight="1">
      <c r="A139" s="245"/>
      <c r="B139" s="214"/>
      <c r="C139" s="214"/>
      <c r="D139" s="214"/>
      <c r="E139" s="214"/>
      <c r="F139" s="214"/>
      <c r="G139" s="214"/>
      <c r="H139" s="214"/>
      <c r="I139" s="214"/>
      <c r="J139" s="214"/>
      <c r="K139" s="214"/>
      <c r="L139" s="214"/>
      <c r="M139" s="214"/>
      <c r="N139" s="214"/>
      <c r="O139" s="214"/>
      <c r="P139" s="214"/>
      <c r="Q139" s="214"/>
      <c r="R139" s="214"/>
      <c r="S139" s="214"/>
      <c r="T139" s="214"/>
      <c r="U139" s="214"/>
      <c r="V139" s="214"/>
      <c r="W139" s="214"/>
      <c r="X139" s="214"/>
      <c r="Y139" s="214"/>
      <c r="Z139" s="214"/>
      <c r="AA139" s="214"/>
    </row>
    <row r="140" ht="15.75" customHeight="1">
      <c r="A140" s="245"/>
      <c r="B140" s="214"/>
      <c r="C140" s="214"/>
      <c r="D140" s="214"/>
      <c r="E140" s="214"/>
      <c r="F140" s="214"/>
      <c r="G140" s="214"/>
      <c r="H140" s="214"/>
      <c r="I140" s="214"/>
      <c r="J140" s="214"/>
      <c r="K140" s="214"/>
      <c r="L140" s="214"/>
      <c r="M140" s="214"/>
      <c r="N140" s="214"/>
      <c r="O140" s="214"/>
      <c r="P140" s="214"/>
      <c r="Q140" s="214"/>
      <c r="R140" s="214"/>
      <c r="S140" s="214"/>
      <c r="T140" s="214"/>
      <c r="U140" s="214"/>
      <c r="V140" s="214"/>
      <c r="W140" s="214"/>
      <c r="X140" s="214"/>
      <c r="Y140" s="214"/>
      <c r="Z140" s="214"/>
      <c r="AA140" s="214"/>
    </row>
    <row r="141" ht="15.75" customHeight="1">
      <c r="A141" s="245"/>
      <c r="B141" s="214"/>
      <c r="C141" s="214"/>
      <c r="D141" s="214"/>
      <c r="E141" s="214"/>
      <c r="F141" s="214"/>
      <c r="G141" s="214"/>
      <c r="H141" s="214"/>
      <c r="I141" s="214"/>
      <c r="J141" s="214"/>
      <c r="K141" s="214"/>
      <c r="L141" s="214"/>
      <c r="M141" s="214"/>
      <c r="N141" s="214"/>
      <c r="O141" s="214"/>
      <c r="P141" s="214"/>
      <c r="Q141" s="214"/>
      <c r="R141" s="214"/>
      <c r="S141" s="214"/>
      <c r="T141" s="214"/>
      <c r="U141" s="214"/>
      <c r="V141" s="214"/>
      <c r="W141" s="214"/>
      <c r="X141" s="214"/>
      <c r="Y141" s="214"/>
      <c r="Z141" s="214"/>
      <c r="AA141" s="214"/>
    </row>
    <row r="142" ht="15.75" customHeight="1">
      <c r="A142" s="245"/>
      <c r="B142" s="214"/>
      <c r="C142" s="214"/>
      <c r="D142" s="214"/>
      <c r="E142" s="214"/>
      <c r="F142" s="214"/>
      <c r="G142" s="214"/>
      <c r="H142" s="214"/>
      <c r="I142" s="214"/>
      <c r="J142" s="214"/>
      <c r="K142" s="214"/>
      <c r="L142" s="214"/>
      <c r="M142" s="214"/>
      <c r="N142" s="214"/>
      <c r="O142" s="214"/>
      <c r="P142" s="214"/>
      <c r="Q142" s="214"/>
      <c r="R142" s="214"/>
      <c r="S142" s="214"/>
      <c r="T142" s="214"/>
      <c r="U142" s="214"/>
      <c r="V142" s="214"/>
      <c r="W142" s="214"/>
      <c r="X142" s="214"/>
      <c r="Y142" s="214"/>
      <c r="Z142" s="214"/>
      <c r="AA142" s="214"/>
    </row>
    <row r="143" ht="15.75" customHeight="1">
      <c r="A143" s="245"/>
      <c r="B143" s="214"/>
      <c r="C143" s="214"/>
      <c r="D143" s="214"/>
      <c r="E143" s="214"/>
      <c r="F143" s="214"/>
      <c r="G143" s="214"/>
      <c r="H143" s="214"/>
      <c r="I143" s="214"/>
      <c r="J143" s="214"/>
      <c r="K143" s="214"/>
      <c r="L143" s="214"/>
      <c r="M143" s="214"/>
      <c r="N143" s="214"/>
      <c r="O143" s="214"/>
      <c r="P143" s="214"/>
      <c r="Q143" s="214"/>
      <c r="R143" s="214"/>
      <c r="S143" s="214"/>
      <c r="T143" s="214"/>
      <c r="U143" s="214"/>
      <c r="V143" s="214"/>
      <c r="W143" s="214"/>
      <c r="X143" s="214"/>
      <c r="Y143" s="214"/>
      <c r="Z143" s="214"/>
      <c r="AA143" s="214"/>
    </row>
    <row r="144" ht="15.75" customHeight="1">
      <c r="A144" s="245"/>
      <c r="B144" s="214"/>
      <c r="C144" s="214"/>
      <c r="D144" s="214"/>
      <c r="E144" s="214"/>
      <c r="F144" s="214"/>
      <c r="G144" s="214"/>
      <c r="H144" s="214"/>
      <c r="I144" s="214"/>
      <c r="J144" s="214"/>
      <c r="K144" s="214"/>
      <c r="L144" s="214"/>
      <c r="M144" s="214"/>
      <c r="N144" s="214"/>
      <c r="O144" s="214"/>
      <c r="P144" s="214"/>
      <c r="Q144" s="214"/>
      <c r="R144" s="214"/>
      <c r="S144" s="214"/>
      <c r="T144" s="214"/>
      <c r="U144" s="214"/>
      <c r="V144" s="214"/>
      <c r="W144" s="214"/>
      <c r="X144" s="214"/>
      <c r="Y144" s="214"/>
      <c r="Z144" s="214"/>
      <c r="AA144" s="214"/>
    </row>
    <row r="145" ht="15.75" customHeight="1">
      <c r="A145" s="245"/>
      <c r="B145" s="214"/>
      <c r="C145" s="214"/>
      <c r="D145" s="214"/>
      <c r="E145" s="214"/>
      <c r="F145" s="214"/>
      <c r="G145" s="214"/>
      <c r="H145" s="214"/>
      <c r="I145" s="214"/>
      <c r="J145" s="214"/>
      <c r="K145" s="214"/>
      <c r="L145" s="214"/>
      <c r="M145" s="214"/>
      <c r="N145" s="214"/>
      <c r="O145" s="214"/>
      <c r="P145" s="214"/>
      <c r="Q145" s="214"/>
      <c r="R145" s="214"/>
      <c r="S145" s="214"/>
      <c r="T145" s="214"/>
      <c r="U145" s="214"/>
      <c r="V145" s="214"/>
      <c r="W145" s="214"/>
      <c r="X145" s="214"/>
      <c r="Y145" s="214"/>
      <c r="Z145" s="214"/>
      <c r="AA145" s="214"/>
    </row>
    <row r="146" ht="15.75" customHeight="1">
      <c r="A146" s="245"/>
      <c r="B146" s="214"/>
      <c r="C146" s="214"/>
      <c r="D146" s="214"/>
      <c r="E146" s="214"/>
      <c r="F146" s="214"/>
      <c r="G146" s="214"/>
      <c r="H146" s="214"/>
      <c r="I146" s="214"/>
      <c r="J146" s="214"/>
      <c r="K146" s="214"/>
      <c r="L146" s="214"/>
      <c r="M146" s="214"/>
      <c r="N146" s="214"/>
      <c r="O146" s="214"/>
      <c r="P146" s="214"/>
      <c r="Q146" s="214"/>
      <c r="R146" s="214"/>
      <c r="S146" s="214"/>
      <c r="T146" s="214"/>
      <c r="U146" s="214"/>
      <c r="V146" s="214"/>
      <c r="W146" s="214"/>
      <c r="X146" s="214"/>
      <c r="Y146" s="214"/>
      <c r="Z146" s="214"/>
      <c r="AA146" s="214"/>
    </row>
    <row r="147" ht="15.75" customHeight="1">
      <c r="A147" s="245"/>
      <c r="B147" s="214"/>
      <c r="C147" s="214"/>
      <c r="D147" s="214"/>
      <c r="E147" s="214"/>
      <c r="F147" s="214"/>
      <c r="G147" s="214"/>
      <c r="H147" s="214"/>
      <c r="I147" s="214"/>
      <c r="J147" s="214"/>
      <c r="K147" s="214"/>
      <c r="L147" s="214"/>
      <c r="M147" s="214"/>
      <c r="N147" s="214"/>
      <c r="O147" s="214"/>
      <c r="P147" s="214"/>
      <c r="Q147" s="214"/>
      <c r="R147" s="214"/>
      <c r="S147" s="214"/>
      <c r="T147" s="214"/>
      <c r="U147" s="214"/>
      <c r="V147" s="214"/>
      <c r="W147" s="214"/>
      <c r="X147" s="214"/>
      <c r="Y147" s="214"/>
      <c r="Z147" s="214"/>
      <c r="AA147" s="214"/>
    </row>
    <row r="148" ht="15.75" customHeight="1">
      <c r="A148" s="245"/>
      <c r="B148" s="214"/>
      <c r="C148" s="214"/>
      <c r="D148" s="214"/>
      <c r="E148" s="214"/>
      <c r="F148" s="214"/>
      <c r="G148" s="214"/>
      <c r="H148" s="214"/>
      <c r="I148" s="214"/>
      <c r="J148" s="214"/>
      <c r="K148" s="214"/>
      <c r="L148" s="214"/>
      <c r="M148" s="214"/>
      <c r="N148" s="214"/>
      <c r="O148" s="214"/>
      <c r="P148" s="214"/>
      <c r="Q148" s="214"/>
      <c r="R148" s="214"/>
      <c r="S148" s="214"/>
      <c r="T148" s="214"/>
      <c r="U148" s="214"/>
      <c r="V148" s="214"/>
      <c r="W148" s="214"/>
      <c r="X148" s="214"/>
      <c r="Y148" s="214"/>
      <c r="Z148" s="214"/>
      <c r="AA148" s="214"/>
    </row>
    <row r="149" ht="15.75" customHeight="1">
      <c r="A149" s="245"/>
      <c r="B149" s="214"/>
      <c r="C149" s="214"/>
      <c r="D149" s="214"/>
      <c r="E149" s="214"/>
      <c r="F149" s="214"/>
      <c r="G149" s="214"/>
      <c r="H149" s="214"/>
      <c r="I149" s="214"/>
      <c r="J149" s="214"/>
      <c r="K149" s="214"/>
      <c r="L149" s="214"/>
      <c r="M149" s="214"/>
      <c r="N149" s="214"/>
      <c r="O149" s="214"/>
      <c r="P149" s="214"/>
      <c r="Q149" s="214"/>
      <c r="R149" s="214"/>
      <c r="S149" s="214"/>
      <c r="T149" s="214"/>
      <c r="U149" s="214"/>
      <c r="V149" s="214"/>
      <c r="W149" s="214"/>
      <c r="X149" s="214"/>
      <c r="Y149" s="214"/>
      <c r="Z149" s="214"/>
      <c r="AA149" s="214"/>
    </row>
    <row r="150" ht="15.75" customHeight="1">
      <c r="A150" s="245"/>
      <c r="B150" s="214"/>
      <c r="C150" s="214"/>
      <c r="D150" s="214"/>
      <c r="E150" s="214"/>
      <c r="F150" s="214"/>
      <c r="G150" s="214"/>
      <c r="H150" s="214"/>
      <c r="I150" s="214"/>
      <c r="J150" s="214"/>
      <c r="K150" s="214"/>
      <c r="L150" s="214"/>
      <c r="M150" s="214"/>
      <c r="N150" s="214"/>
      <c r="O150" s="214"/>
      <c r="P150" s="214"/>
      <c r="Q150" s="214"/>
      <c r="R150" s="214"/>
      <c r="S150" s="214"/>
      <c r="T150" s="214"/>
      <c r="U150" s="214"/>
      <c r="V150" s="214"/>
      <c r="W150" s="214"/>
      <c r="X150" s="214"/>
      <c r="Y150" s="214"/>
      <c r="Z150" s="214"/>
      <c r="AA150" s="214"/>
    </row>
    <row r="151" ht="15.75" customHeight="1">
      <c r="A151" s="245"/>
      <c r="B151" s="214"/>
      <c r="C151" s="214"/>
      <c r="D151" s="214"/>
      <c r="E151" s="214"/>
      <c r="F151" s="214"/>
      <c r="G151" s="214"/>
      <c r="H151" s="214"/>
      <c r="I151" s="214"/>
      <c r="J151" s="214"/>
      <c r="K151" s="214"/>
      <c r="L151" s="214"/>
      <c r="M151" s="214"/>
      <c r="N151" s="214"/>
      <c r="O151" s="214"/>
      <c r="P151" s="214"/>
      <c r="Q151" s="214"/>
      <c r="R151" s="214"/>
      <c r="S151" s="214"/>
      <c r="T151" s="214"/>
      <c r="U151" s="214"/>
      <c r="V151" s="214"/>
      <c r="W151" s="214"/>
      <c r="X151" s="214"/>
      <c r="Y151" s="214"/>
      <c r="Z151" s="214"/>
      <c r="AA151" s="214"/>
    </row>
    <row r="152" ht="15.75" customHeight="1">
      <c r="A152" s="245"/>
      <c r="B152" s="214"/>
      <c r="C152" s="214"/>
      <c r="D152" s="214"/>
      <c r="E152" s="214"/>
      <c r="F152" s="214"/>
      <c r="G152" s="214"/>
      <c r="H152" s="214"/>
      <c r="I152" s="214"/>
      <c r="J152" s="214"/>
      <c r="K152" s="214"/>
      <c r="L152" s="214"/>
      <c r="M152" s="214"/>
      <c r="N152" s="214"/>
      <c r="O152" s="214"/>
      <c r="P152" s="214"/>
      <c r="Q152" s="214"/>
      <c r="R152" s="214"/>
      <c r="S152" s="214"/>
      <c r="T152" s="214"/>
      <c r="U152" s="214"/>
      <c r="V152" s="214"/>
      <c r="W152" s="214"/>
      <c r="X152" s="214"/>
      <c r="Y152" s="214"/>
      <c r="Z152" s="214"/>
      <c r="AA152" s="214"/>
    </row>
    <row r="153" ht="15.75" customHeight="1">
      <c r="A153" s="245"/>
      <c r="B153" s="214"/>
      <c r="C153" s="214"/>
      <c r="D153" s="214"/>
      <c r="E153" s="214"/>
      <c r="F153" s="214"/>
      <c r="G153" s="214"/>
      <c r="H153" s="214"/>
      <c r="I153" s="214"/>
      <c r="J153" s="214"/>
      <c r="K153" s="214"/>
      <c r="L153" s="214"/>
      <c r="M153" s="214"/>
      <c r="N153" s="214"/>
      <c r="O153" s="214"/>
      <c r="P153" s="214"/>
      <c r="Q153" s="214"/>
      <c r="R153" s="214"/>
      <c r="S153" s="214"/>
      <c r="T153" s="214"/>
      <c r="U153" s="214"/>
      <c r="V153" s="214"/>
      <c r="W153" s="214"/>
      <c r="X153" s="214"/>
      <c r="Y153" s="214"/>
      <c r="Z153" s="214"/>
      <c r="AA153" s="214"/>
    </row>
    <row r="154" ht="15.75" customHeight="1">
      <c r="A154" s="245"/>
      <c r="B154" s="214"/>
      <c r="C154" s="214"/>
      <c r="D154" s="214"/>
      <c r="E154" s="214"/>
      <c r="F154" s="214"/>
      <c r="G154" s="214"/>
      <c r="H154" s="214"/>
      <c r="I154" s="214"/>
      <c r="J154" s="214"/>
      <c r="K154" s="214"/>
      <c r="L154" s="214"/>
      <c r="M154" s="214"/>
      <c r="N154" s="214"/>
      <c r="O154" s="214"/>
      <c r="P154" s="214"/>
      <c r="Q154" s="214"/>
      <c r="R154" s="214"/>
      <c r="S154" s="214"/>
      <c r="T154" s="214"/>
      <c r="U154" s="214"/>
      <c r="V154" s="214"/>
      <c r="W154" s="214"/>
      <c r="X154" s="214"/>
      <c r="Y154" s="214"/>
      <c r="Z154" s="214"/>
      <c r="AA154" s="214"/>
    </row>
    <row r="155" ht="15.75" customHeight="1">
      <c r="A155" s="245"/>
      <c r="B155" s="214"/>
      <c r="C155" s="214"/>
      <c r="D155" s="214"/>
      <c r="E155" s="214"/>
      <c r="F155" s="214"/>
      <c r="G155" s="214"/>
      <c r="H155" s="214"/>
      <c r="I155" s="214"/>
      <c r="J155" s="214"/>
      <c r="K155" s="214"/>
      <c r="L155" s="214"/>
      <c r="M155" s="214"/>
      <c r="N155" s="214"/>
      <c r="O155" s="214"/>
      <c r="P155" s="214"/>
      <c r="Q155" s="214"/>
      <c r="R155" s="214"/>
      <c r="S155" s="214"/>
      <c r="T155" s="214"/>
      <c r="U155" s="214"/>
      <c r="V155" s="214"/>
      <c r="W155" s="214"/>
      <c r="X155" s="214"/>
      <c r="Y155" s="214"/>
      <c r="Z155" s="214"/>
      <c r="AA155" s="214"/>
    </row>
    <row r="156" ht="15.75" customHeight="1">
      <c r="A156" s="245"/>
      <c r="B156" s="214"/>
      <c r="C156" s="214"/>
      <c r="D156" s="214"/>
      <c r="E156" s="214"/>
      <c r="F156" s="214"/>
      <c r="G156" s="214"/>
      <c r="H156" s="214"/>
      <c r="I156" s="214"/>
      <c r="J156" s="214"/>
      <c r="K156" s="214"/>
      <c r="L156" s="214"/>
      <c r="M156" s="214"/>
      <c r="N156" s="214"/>
      <c r="O156" s="214"/>
      <c r="P156" s="214"/>
      <c r="Q156" s="214"/>
      <c r="R156" s="214"/>
      <c r="S156" s="214"/>
      <c r="T156" s="214"/>
      <c r="U156" s="214"/>
      <c r="V156" s="214"/>
      <c r="W156" s="214"/>
      <c r="X156" s="214"/>
      <c r="Y156" s="214"/>
      <c r="Z156" s="214"/>
      <c r="AA156" s="214"/>
    </row>
    <row r="157" ht="15.75" customHeight="1">
      <c r="A157" s="245"/>
      <c r="B157" s="214"/>
      <c r="C157" s="214"/>
      <c r="D157" s="214"/>
      <c r="E157" s="214"/>
      <c r="F157" s="214"/>
      <c r="G157" s="214"/>
      <c r="H157" s="214"/>
      <c r="I157" s="214"/>
      <c r="J157" s="214"/>
      <c r="K157" s="214"/>
      <c r="L157" s="214"/>
      <c r="M157" s="214"/>
      <c r="N157" s="214"/>
      <c r="O157" s="214"/>
      <c r="P157" s="214"/>
      <c r="Q157" s="214"/>
      <c r="R157" s="214"/>
      <c r="S157" s="214"/>
      <c r="T157" s="214"/>
      <c r="U157" s="214"/>
      <c r="V157" s="214"/>
      <c r="W157" s="214"/>
      <c r="X157" s="214"/>
      <c r="Y157" s="214"/>
      <c r="Z157" s="214"/>
      <c r="AA157" s="214"/>
    </row>
    <row r="158" ht="15.75" customHeight="1">
      <c r="A158" s="245"/>
      <c r="B158" s="214"/>
      <c r="C158" s="214"/>
      <c r="D158" s="214"/>
      <c r="E158" s="214"/>
      <c r="F158" s="214"/>
      <c r="G158" s="214"/>
      <c r="H158" s="214"/>
      <c r="I158" s="214"/>
      <c r="J158" s="214"/>
      <c r="K158" s="214"/>
      <c r="L158" s="214"/>
      <c r="M158" s="214"/>
      <c r="N158" s="214"/>
      <c r="O158" s="214"/>
      <c r="P158" s="214"/>
      <c r="Q158" s="214"/>
      <c r="R158" s="214"/>
      <c r="S158" s="214"/>
      <c r="T158" s="214"/>
      <c r="U158" s="214"/>
      <c r="V158" s="214"/>
      <c r="W158" s="214"/>
      <c r="X158" s="214"/>
      <c r="Y158" s="214"/>
      <c r="Z158" s="214"/>
      <c r="AA158" s="214"/>
    </row>
    <row r="159" ht="15.75" customHeight="1">
      <c r="A159" s="245"/>
      <c r="B159" s="214"/>
      <c r="C159" s="214"/>
      <c r="D159" s="214"/>
      <c r="E159" s="214"/>
      <c r="F159" s="214"/>
      <c r="G159" s="214"/>
      <c r="H159" s="214"/>
      <c r="I159" s="214"/>
      <c r="J159" s="214"/>
      <c r="K159" s="214"/>
      <c r="L159" s="214"/>
      <c r="M159" s="214"/>
      <c r="N159" s="214"/>
      <c r="O159" s="214"/>
      <c r="P159" s="214"/>
      <c r="Q159" s="214"/>
      <c r="R159" s="214"/>
      <c r="S159" s="214"/>
      <c r="T159" s="214"/>
      <c r="U159" s="214"/>
      <c r="V159" s="214"/>
      <c r="W159" s="214"/>
      <c r="X159" s="214"/>
      <c r="Y159" s="214"/>
      <c r="Z159" s="214"/>
      <c r="AA159" s="214"/>
    </row>
    <row r="160" ht="15.75" customHeight="1">
      <c r="A160" s="245"/>
      <c r="B160" s="214"/>
      <c r="C160" s="214"/>
      <c r="D160" s="214"/>
      <c r="E160" s="214"/>
      <c r="F160" s="214"/>
      <c r="G160" s="214"/>
      <c r="H160" s="214"/>
      <c r="I160" s="214"/>
      <c r="J160" s="214"/>
      <c r="K160" s="214"/>
      <c r="L160" s="214"/>
      <c r="M160" s="214"/>
      <c r="N160" s="214"/>
      <c r="O160" s="214"/>
      <c r="P160" s="214"/>
      <c r="Q160" s="214"/>
      <c r="R160" s="214"/>
      <c r="S160" s="214"/>
      <c r="T160" s="214"/>
      <c r="U160" s="214"/>
      <c r="V160" s="214"/>
      <c r="W160" s="214"/>
      <c r="X160" s="214"/>
      <c r="Y160" s="214"/>
      <c r="Z160" s="214"/>
      <c r="AA160" s="214"/>
    </row>
    <row r="161" ht="15.75" customHeight="1">
      <c r="A161" s="245"/>
      <c r="B161" s="214"/>
      <c r="C161" s="214"/>
      <c r="D161" s="214"/>
      <c r="E161" s="214"/>
      <c r="F161" s="214"/>
      <c r="G161" s="214"/>
      <c r="H161" s="214"/>
      <c r="I161" s="214"/>
      <c r="J161" s="214"/>
      <c r="K161" s="214"/>
      <c r="L161" s="214"/>
      <c r="M161" s="214"/>
      <c r="N161" s="214"/>
      <c r="O161" s="214"/>
      <c r="P161" s="214"/>
      <c r="Q161" s="214"/>
      <c r="R161" s="214"/>
      <c r="S161" s="214"/>
      <c r="T161" s="214"/>
      <c r="U161" s="214"/>
      <c r="V161" s="214"/>
      <c r="W161" s="214"/>
      <c r="X161" s="214"/>
      <c r="Y161" s="214"/>
      <c r="Z161" s="214"/>
      <c r="AA161" s="214"/>
    </row>
    <row r="162" ht="15.75" customHeight="1">
      <c r="A162" s="245"/>
      <c r="B162" s="214"/>
      <c r="C162" s="214"/>
      <c r="D162" s="214"/>
      <c r="E162" s="214"/>
      <c r="F162" s="214"/>
      <c r="G162" s="214"/>
      <c r="H162" s="214"/>
      <c r="I162" s="214"/>
      <c r="J162" s="214"/>
      <c r="K162" s="214"/>
      <c r="L162" s="214"/>
      <c r="M162" s="214"/>
      <c r="N162" s="214"/>
      <c r="O162" s="214"/>
      <c r="P162" s="214"/>
      <c r="Q162" s="214"/>
      <c r="R162" s="214"/>
      <c r="S162" s="214"/>
      <c r="T162" s="214"/>
      <c r="U162" s="214"/>
      <c r="V162" s="214"/>
      <c r="W162" s="214"/>
      <c r="X162" s="214"/>
      <c r="Y162" s="214"/>
      <c r="Z162" s="214"/>
      <c r="AA162" s="214"/>
    </row>
    <row r="163" ht="15.75" customHeight="1">
      <c r="A163" s="245"/>
      <c r="B163" s="214"/>
      <c r="C163" s="214"/>
      <c r="D163" s="214"/>
      <c r="E163" s="214"/>
      <c r="F163" s="214"/>
      <c r="G163" s="214"/>
      <c r="H163" s="214"/>
      <c r="I163" s="214"/>
      <c r="J163" s="214"/>
      <c r="K163" s="214"/>
      <c r="L163" s="214"/>
      <c r="M163" s="214"/>
      <c r="N163" s="214"/>
      <c r="O163" s="214"/>
      <c r="P163" s="214"/>
      <c r="Q163" s="214"/>
      <c r="R163" s="214"/>
      <c r="S163" s="214"/>
      <c r="T163" s="214"/>
      <c r="U163" s="214"/>
      <c r="V163" s="214"/>
      <c r="W163" s="214"/>
      <c r="X163" s="214"/>
      <c r="Y163" s="214"/>
      <c r="Z163" s="214"/>
      <c r="AA163" s="214"/>
    </row>
    <row r="164" ht="15.75" customHeight="1">
      <c r="A164" s="245"/>
      <c r="B164" s="214"/>
      <c r="C164" s="214"/>
      <c r="D164" s="214"/>
      <c r="E164" s="214"/>
      <c r="F164" s="214"/>
      <c r="G164" s="214"/>
      <c r="H164" s="214"/>
      <c r="I164" s="214"/>
      <c r="J164" s="214"/>
      <c r="K164" s="214"/>
      <c r="L164" s="214"/>
      <c r="M164" s="214"/>
      <c r="N164" s="214"/>
      <c r="O164" s="214"/>
      <c r="P164" s="214"/>
      <c r="Q164" s="214"/>
      <c r="R164" s="214"/>
      <c r="S164" s="214"/>
      <c r="T164" s="214"/>
      <c r="U164" s="214"/>
      <c r="V164" s="214"/>
      <c r="W164" s="214"/>
      <c r="X164" s="214"/>
      <c r="Y164" s="214"/>
      <c r="Z164" s="214"/>
      <c r="AA164" s="214"/>
    </row>
    <row r="165" ht="15.75" customHeight="1">
      <c r="A165" s="245"/>
      <c r="B165" s="214"/>
      <c r="C165" s="214"/>
      <c r="D165" s="214"/>
      <c r="E165" s="214"/>
      <c r="F165" s="214"/>
      <c r="G165" s="214"/>
      <c r="H165" s="214"/>
      <c r="I165" s="214"/>
      <c r="J165" s="214"/>
      <c r="K165" s="214"/>
      <c r="L165" s="214"/>
      <c r="M165" s="214"/>
      <c r="N165" s="214"/>
      <c r="O165" s="214"/>
      <c r="P165" s="214"/>
      <c r="Q165" s="214"/>
      <c r="R165" s="214"/>
      <c r="S165" s="214"/>
      <c r="T165" s="214"/>
      <c r="U165" s="214"/>
      <c r="V165" s="214"/>
      <c r="W165" s="214"/>
      <c r="X165" s="214"/>
      <c r="Y165" s="214"/>
      <c r="Z165" s="214"/>
      <c r="AA165" s="214"/>
    </row>
    <row r="166" ht="15.75" customHeight="1">
      <c r="A166" s="245"/>
      <c r="B166" s="214"/>
      <c r="C166" s="214"/>
      <c r="D166" s="214"/>
      <c r="E166" s="214"/>
      <c r="F166" s="214"/>
      <c r="G166" s="214"/>
      <c r="H166" s="214"/>
      <c r="I166" s="214"/>
      <c r="J166" s="214"/>
      <c r="K166" s="214"/>
      <c r="L166" s="214"/>
      <c r="M166" s="214"/>
      <c r="N166" s="214"/>
      <c r="O166" s="214"/>
      <c r="P166" s="214"/>
      <c r="Q166" s="214"/>
      <c r="R166" s="214"/>
      <c r="S166" s="214"/>
      <c r="T166" s="214"/>
      <c r="U166" s="214"/>
      <c r="V166" s="214"/>
      <c r="W166" s="214"/>
      <c r="X166" s="214"/>
      <c r="Y166" s="214"/>
      <c r="Z166" s="214"/>
      <c r="AA166" s="214"/>
    </row>
    <row r="167" ht="15.75" customHeight="1">
      <c r="A167" s="245"/>
      <c r="B167" s="214"/>
      <c r="C167" s="214"/>
      <c r="D167" s="214"/>
      <c r="E167" s="214"/>
      <c r="F167" s="214"/>
      <c r="G167" s="214"/>
      <c r="H167" s="214"/>
      <c r="I167" s="214"/>
      <c r="J167" s="214"/>
      <c r="K167" s="214"/>
      <c r="L167" s="214"/>
      <c r="M167" s="214"/>
      <c r="N167" s="214"/>
      <c r="O167" s="214"/>
      <c r="P167" s="214"/>
      <c r="Q167" s="214"/>
      <c r="R167" s="214"/>
      <c r="S167" s="214"/>
      <c r="T167" s="214"/>
      <c r="U167" s="214"/>
      <c r="V167" s="214"/>
      <c r="W167" s="214"/>
      <c r="X167" s="214"/>
      <c r="Y167" s="214"/>
      <c r="Z167" s="214"/>
      <c r="AA167" s="214"/>
    </row>
    <row r="168" ht="15.75" customHeight="1">
      <c r="A168" s="245"/>
      <c r="B168" s="214"/>
      <c r="C168" s="214"/>
      <c r="D168" s="214"/>
      <c r="E168" s="214"/>
      <c r="F168" s="214"/>
      <c r="G168" s="214"/>
      <c r="H168" s="214"/>
      <c r="I168" s="214"/>
      <c r="J168" s="214"/>
      <c r="K168" s="214"/>
      <c r="L168" s="214"/>
      <c r="M168" s="214"/>
      <c r="N168" s="214"/>
      <c r="O168" s="214"/>
      <c r="P168" s="214"/>
      <c r="Q168" s="214"/>
      <c r="R168" s="214"/>
      <c r="S168" s="214"/>
      <c r="T168" s="214"/>
      <c r="U168" s="214"/>
      <c r="V168" s="214"/>
      <c r="W168" s="214"/>
      <c r="X168" s="214"/>
      <c r="Y168" s="214"/>
      <c r="Z168" s="214"/>
      <c r="AA168" s="214"/>
    </row>
    <row r="169" ht="15.75" customHeight="1">
      <c r="A169" s="245"/>
      <c r="B169" s="214"/>
      <c r="C169" s="214"/>
      <c r="D169" s="214"/>
      <c r="E169" s="214"/>
      <c r="F169" s="214"/>
      <c r="G169" s="214"/>
      <c r="H169" s="214"/>
      <c r="I169" s="214"/>
      <c r="J169" s="214"/>
      <c r="K169" s="214"/>
      <c r="L169" s="214"/>
      <c r="M169" s="214"/>
      <c r="N169" s="214"/>
      <c r="O169" s="214"/>
      <c r="P169" s="214"/>
      <c r="Q169" s="214"/>
      <c r="R169" s="214"/>
      <c r="S169" s="214"/>
      <c r="T169" s="214"/>
      <c r="U169" s="214"/>
      <c r="V169" s="214"/>
      <c r="W169" s="214"/>
      <c r="X169" s="214"/>
      <c r="Y169" s="214"/>
      <c r="Z169" s="214"/>
      <c r="AA169" s="214"/>
    </row>
    <row r="170" ht="15.75" customHeight="1">
      <c r="A170" s="245"/>
      <c r="B170" s="214"/>
      <c r="C170" s="214"/>
      <c r="D170" s="214"/>
      <c r="E170" s="214"/>
      <c r="F170" s="214"/>
      <c r="G170" s="214"/>
      <c r="H170" s="214"/>
      <c r="I170" s="214"/>
      <c r="J170" s="214"/>
      <c r="K170" s="214"/>
      <c r="L170" s="214"/>
      <c r="M170" s="214"/>
      <c r="N170" s="214"/>
      <c r="O170" s="214"/>
      <c r="P170" s="214"/>
      <c r="Q170" s="214"/>
      <c r="R170" s="214"/>
      <c r="S170" s="214"/>
      <c r="T170" s="214"/>
      <c r="U170" s="214"/>
      <c r="V170" s="214"/>
      <c r="W170" s="214"/>
      <c r="X170" s="214"/>
      <c r="Y170" s="214"/>
      <c r="Z170" s="214"/>
      <c r="AA170" s="214"/>
    </row>
    <row r="171" ht="15.75" customHeight="1">
      <c r="A171" s="245"/>
      <c r="B171" s="214"/>
      <c r="C171" s="214"/>
      <c r="D171" s="214"/>
      <c r="E171" s="214"/>
      <c r="F171" s="214"/>
      <c r="G171" s="214"/>
      <c r="H171" s="214"/>
      <c r="I171" s="214"/>
      <c r="J171" s="214"/>
      <c r="K171" s="214"/>
      <c r="L171" s="214"/>
      <c r="M171" s="214"/>
      <c r="N171" s="214"/>
      <c r="O171" s="214"/>
      <c r="P171" s="214"/>
      <c r="Q171" s="214"/>
      <c r="R171" s="214"/>
      <c r="S171" s="214"/>
      <c r="T171" s="214"/>
      <c r="U171" s="214"/>
      <c r="V171" s="214"/>
      <c r="W171" s="214"/>
      <c r="X171" s="214"/>
      <c r="Y171" s="214"/>
      <c r="Z171" s="214"/>
      <c r="AA171" s="214"/>
    </row>
    <row r="172" ht="15.75" customHeight="1">
      <c r="A172" s="245"/>
      <c r="B172" s="214"/>
      <c r="C172" s="214"/>
      <c r="D172" s="214"/>
      <c r="E172" s="214"/>
      <c r="F172" s="214"/>
      <c r="G172" s="214"/>
      <c r="H172" s="214"/>
      <c r="I172" s="214"/>
      <c r="J172" s="214"/>
      <c r="K172" s="214"/>
      <c r="L172" s="214"/>
      <c r="M172" s="214"/>
      <c r="N172" s="214"/>
      <c r="O172" s="214"/>
      <c r="P172" s="214"/>
      <c r="Q172" s="214"/>
      <c r="R172" s="214"/>
      <c r="S172" s="214"/>
      <c r="T172" s="214"/>
      <c r="U172" s="214"/>
      <c r="V172" s="214"/>
      <c r="W172" s="214"/>
      <c r="X172" s="214"/>
      <c r="Y172" s="214"/>
      <c r="Z172" s="214"/>
      <c r="AA172" s="214"/>
    </row>
    <row r="173" ht="15.75" customHeight="1">
      <c r="A173" s="245"/>
      <c r="B173" s="214"/>
      <c r="C173" s="214"/>
      <c r="D173" s="214"/>
      <c r="E173" s="214"/>
      <c r="F173" s="214"/>
      <c r="G173" s="214"/>
      <c r="H173" s="214"/>
      <c r="I173" s="214"/>
      <c r="J173" s="214"/>
      <c r="K173" s="214"/>
      <c r="L173" s="214"/>
      <c r="M173" s="214"/>
      <c r="N173" s="214"/>
      <c r="O173" s="214"/>
      <c r="P173" s="214"/>
      <c r="Q173" s="214"/>
      <c r="R173" s="214"/>
      <c r="S173" s="214"/>
      <c r="T173" s="214"/>
      <c r="U173" s="214"/>
      <c r="V173" s="214"/>
      <c r="W173" s="214"/>
      <c r="X173" s="214"/>
      <c r="Y173" s="214"/>
      <c r="Z173" s="214"/>
      <c r="AA173" s="214"/>
    </row>
    <row r="174" ht="15.75" customHeight="1">
      <c r="A174" s="245"/>
      <c r="B174" s="214"/>
      <c r="C174" s="214"/>
      <c r="D174" s="214"/>
      <c r="E174" s="214"/>
      <c r="F174" s="214"/>
      <c r="G174" s="214"/>
      <c r="H174" s="214"/>
      <c r="I174" s="214"/>
      <c r="J174" s="214"/>
      <c r="K174" s="214"/>
      <c r="L174" s="214"/>
      <c r="M174" s="214"/>
      <c r="N174" s="214"/>
      <c r="O174" s="214"/>
      <c r="P174" s="214"/>
      <c r="Q174" s="214"/>
      <c r="R174" s="214"/>
      <c r="S174" s="214"/>
      <c r="T174" s="214"/>
      <c r="U174" s="214"/>
      <c r="V174" s="214"/>
      <c r="W174" s="214"/>
      <c r="X174" s="214"/>
      <c r="Y174" s="214"/>
      <c r="Z174" s="214"/>
      <c r="AA174" s="214"/>
    </row>
    <row r="175" ht="15.75" customHeight="1">
      <c r="A175" s="245"/>
      <c r="B175" s="214"/>
      <c r="C175" s="214"/>
      <c r="D175" s="214"/>
      <c r="E175" s="214"/>
      <c r="F175" s="214"/>
      <c r="G175" s="214"/>
      <c r="H175" s="214"/>
      <c r="I175" s="214"/>
      <c r="J175" s="214"/>
      <c r="K175" s="214"/>
      <c r="L175" s="214"/>
      <c r="M175" s="214"/>
      <c r="N175" s="214"/>
      <c r="O175" s="214"/>
      <c r="P175" s="214"/>
      <c r="Q175" s="214"/>
      <c r="R175" s="214"/>
      <c r="S175" s="214"/>
      <c r="T175" s="214"/>
      <c r="U175" s="214"/>
      <c r="V175" s="214"/>
      <c r="W175" s="214"/>
      <c r="X175" s="214"/>
      <c r="Y175" s="214"/>
      <c r="Z175" s="214"/>
      <c r="AA175" s="214"/>
    </row>
    <row r="176" ht="15.75" customHeight="1">
      <c r="A176" s="245"/>
      <c r="B176" s="214"/>
      <c r="C176" s="214"/>
      <c r="D176" s="214"/>
      <c r="E176" s="214"/>
      <c r="F176" s="214"/>
      <c r="G176" s="214"/>
      <c r="H176" s="214"/>
      <c r="I176" s="214"/>
      <c r="J176" s="214"/>
      <c r="K176" s="214"/>
      <c r="L176" s="214"/>
      <c r="M176" s="214"/>
      <c r="N176" s="214"/>
      <c r="O176" s="214"/>
      <c r="P176" s="214"/>
      <c r="Q176" s="214"/>
      <c r="R176" s="214"/>
      <c r="S176" s="214"/>
      <c r="T176" s="214"/>
      <c r="U176" s="214"/>
      <c r="V176" s="214"/>
      <c r="W176" s="214"/>
      <c r="X176" s="214"/>
      <c r="Y176" s="214"/>
      <c r="Z176" s="214"/>
      <c r="AA176" s="214"/>
    </row>
    <row r="177" ht="15.75" customHeight="1">
      <c r="A177" s="245"/>
      <c r="B177" s="214"/>
      <c r="C177" s="214"/>
      <c r="D177" s="214"/>
      <c r="E177" s="214"/>
      <c r="F177" s="214"/>
      <c r="G177" s="214"/>
      <c r="H177" s="214"/>
      <c r="I177" s="214"/>
      <c r="J177" s="214"/>
      <c r="K177" s="214"/>
      <c r="L177" s="214"/>
      <c r="M177" s="214"/>
      <c r="N177" s="214"/>
      <c r="O177" s="214"/>
      <c r="P177" s="214"/>
      <c r="Q177" s="214"/>
      <c r="R177" s="214"/>
      <c r="S177" s="214"/>
      <c r="T177" s="214"/>
      <c r="U177" s="214"/>
      <c r="V177" s="214"/>
      <c r="W177" s="214"/>
      <c r="X177" s="214"/>
      <c r="Y177" s="214"/>
      <c r="Z177" s="214"/>
      <c r="AA177" s="214"/>
    </row>
    <row r="178" ht="15.75" customHeight="1">
      <c r="A178" s="245"/>
      <c r="B178" s="214"/>
      <c r="C178" s="214"/>
      <c r="D178" s="214"/>
      <c r="E178" s="214"/>
      <c r="F178" s="214"/>
      <c r="G178" s="214"/>
      <c r="H178" s="214"/>
      <c r="I178" s="214"/>
      <c r="J178" s="214"/>
      <c r="K178" s="214"/>
      <c r="L178" s="214"/>
      <c r="M178" s="214"/>
      <c r="N178" s="214"/>
      <c r="O178" s="214"/>
      <c r="P178" s="214"/>
      <c r="Q178" s="214"/>
      <c r="R178" s="214"/>
      <c r="S178" s="214"/>
      <c r="T178" s="214"/>
      <c r="U178" s="214"/>
      <c r="V178" s="214"/>
      <c r="W178" s="214"/>
      <c r="X178" s="214"/>
      <c r="Y178" s="214"/>
      <c r="Z178" s="214"/>
      <c r="AA178" s="214"/>
    </row>
    <row r="179" ht="15.75" customHeight="1">
      <c r="A179" s="245"/>
      <c r="B179" s="214"/>
      <c r="C179" s="214"/>
      <c r="D179" s="214"/>
      <c r="E179" s="214"/>
      <c r="F179" s="214"/>
      <c r="G179" s="214"/>
      <c r="H179" s="214"/>
      <c r="I179" s="214"/>
      <c r="J179" s="214"/>
      <c r="K179" s="214"/>
      <c r="L179" s="214"/>
      <c r="M179" s="214"/>
      <c r="N179" s="214"/>
      <c r="O179" s="214"/>
      <c r="P179" s="214"/>
      <c r="Q179" s="214"/>
      <c r="R179" s="214"/>
      <c r="S179" s="214"/>
      <c r="T179" s="214"/>
      <c r="U179" s="214"/>
      <c r="V179" s="214"/>
      <c r="W179" s="214"/>
      <c r="X179" s="214"/>
      <c r="Y179" s="214"/>
      <c r="Z179" s="214"/>
      <c r="AA179" s="214"/>
    </row>
    <row r="180" ht="15.75" customHeight="1">
      <c r="A180" s="245"/>
      <c r="B180" s="214"/>
      <c r="C180" s="214"/>
      <c r="D180" s="214"/>
      <c r="E180" s="214"/>
      <c r="F180" s="214"/>
      <c r="G180" s="214"/>
      <c r="H180" s="214"/>
      <c r="I180" s="214"/>
      <c r="J180" s="214"/>
      <c r="K180" s="214"/>
      <c r="L180" s="214"/>
      <c r="M180" s="214"/>
      <c r="N180" s="214"/>
      <c r="O180" s="214"/>
      <c r="P180" s="214"/>
      <c r="Q180" s="214"/>
      <c r="R180" s="214"/>
      <c r="S180" s="214"/>
      <c r="T180" s="214"/>
      <c r="U180" s="214"/>
      <c r="V180" s="214"/>
      <c r="W180" s="214"/>
      <c r="X180" s="214"/>
      <c r="Y180" s="214"/>
      <c r="Z180" s="214"/>
      <c r="AA180" s="214"/>
    </row>
    <row r="181" ht="15.75" customHeight="1">
      <c r="A181" s="245"/>
      <c r="B181" s="214"/>
      <c r="C181" s="214"/>
      <c r="D181" s="214"/>
      <c r="E181" s="214"/>
      <c r="F181" s="214"/>
      <c r="G181" s="214"/>
      <c r="H181" s="214"/>
      <c r="I181" s="214"/>
      <c r="J181" s="214"/>
      <c r="K181" s="214"/>
      <c r="L181" s="214"/>
      <c r="M181" s="214"/>
      <c r="N181" s="214"/>
      <c r="O181" s="214"/>
      <c r="P181" s="214"/>
      <c r="Q181" s="214"/>
      <c r="R181" s="214"/>
      <c r="S181" s="214"/>
      <c r="T181" s="214"/>
      <c r="U181" s="214"/>
      <c r="V181" s="214"/>
      <c r="W181" s="214"/>
      <c r="X181" s="214"/>
      <c r="Y181" s="214"/>
      <c r="Z181" s="214"/>
      <c r="AA181" s="214"/>
    </row>
    <row r="182" ht="15.75" customHeight="1">
      <c r="A182" s="245"/>
      <c r="B182" s="214"/>
      <c r="C182" s="214"/>
      <c r="D182" s="214"/>
      <c r="E182" s="214"/>
      <c r="F182" s="214"/>
      <c r="G182" s="214"/>
      <c r="H182" s="214"/>
      <c r="I182" s="214"/>
      <c r="J182" s="214"/>
      <c r="K182" s="214"/>
      <c r="L182" s="214"/>
      <c r="M182" s="214"/>
      <c r="N182" s="214"/>
      <c r="O182" s="214"/>
      <c r="P182" s="214"/>
      <c r="Q182" s="214"/>
      <c r="R182" s="214"/>
      <c r="S182" s="214"/>
      <c r="T182" s="214"/>
      <c r="U182" s="214"/>
      <c r="V182" s="214"/>
      <c r="W182" s="214"/>
      <c r="X182" s="214"/>
      <c r="Y182" s="214"/>
      <c r="Z182" s="214"/>
      <c r="AA182" s="214"/>
    </row>
    <row r="183" ht="15.75" customHeight="1">
      <c r="A183" s="245"/>
      <c r="B183" s="214"/>
      <c r="C183" s="214"/>
      <c r="D183" s="214"/>
      <c r="E183" s="214"/>
      <c r="F183" s="214"/>
      <c r="G183" s="214"/>
      <c r="H183" s="214"/>
      <c r="I183" s="214"/>
      <c r="J183" s="214"/>
      <c r="K183" s="214"/>
      <c r="L183" s="214"/>
      <c r="M183" s="214"/>
      <c r="N183" s="214"/>
      <c r="O183" s="214"/>
      <c r="P183" s="214"/>
      <c r="Q183" s="214"/>
      <c r="R183" s="214"/>
      <c r="S183" s="214"/>
      <c r="T183" s="214"/>
      <c r="U183" s="214"/>
      <c r="V183" s="214"/>
      <c r="W183" s="214"/>
      <c r="X183" s="214"/>
      <c r="Y183" s="214"/>
      <c r="Z183" s="214"/>
      <c r="AA183" s="214"/>
    </row>
    <row r="184" ht="15.75" customHeight="1">
      <c r="A184" s="245"/>
      <c r="B184" s="214"/>
      <c r="C184" s="214"/>
      <c r="D184" s="214"/>
      <c r="E184" s="214"/>
      <c r="F184" s="214"/>
      <c r="G184" s="214"/>
      <c r="H184" s="214"/>
      <c r="I184" s="214"/>
      <c r="J184" s="214"/>
      <c r="K184" s="214"/>
      <c r="L184" s="214"/>
      <c r="M184" s="214"/>
      <c r="N184" s="214"/>
      <c r="O184" s="214"/>
      <c r="P184" s="214"/>
      <c r="Q184" s="214"/>
      <c r="R184" s="214"/>
      <c r="S184" s="214"/>
      <c r="T184" s="214"/>
      <c r="U184" s="214"/>
      <c r="V184" s="214"/>
      <c r="W184" s="214"/>
      <c r="X184" s="214"/>
      <c r="Y184" s="214"/>
      <c r="Z184" s="214"/>
      <c r="AA184" s="214"/>
    </row>
    <row r="185" ht="15.75" customHeight="1">
      <c r="A185" s="245"/>
      <c r="B185" s="214"/>
      <c r="C185" s="214"/>
      <c r="D185" s="214"/>
      <c r="E185" s="214"/>
      <c r="F185" s="214"/>
      <c r="G185" s="214"/>
      <c r="H185" s="214"/>
      <c r="I185" s="214"/>
      <c r="J185" s="214"/>
      <c r="K185" s="214"/>
      <c r="L185" s="214"/>
      <c r="M185" s="214"/>
      <c r="N185" s="214"/>
      <c r="O185" s="214"/>
      <c r="P185" s="214"/>
      <c r="Q185" s="214"/>
      <c r="R185" s="214"/>
      <c r="S185" s="214"/>
      <c r="T185" s="214"/>
      <c r="U185" s="214"/>
      <c r="V185" s="214"/>
      <c r="W185" s="214"/>
      <c r="X185" s="214"/>
      <c r="Y185" s="214"/>
      <c r="Z185" s="214"/>
      <c r="AA185" s="214"/>
    </row>
    <row r="186" ht="15.75" customHeight="1">
      <c r="A186" s="245"/>
      <c r="B186" s="214"/>
      <c r="C186" s="214"/>
      <c r="D186" s="214"/>
      <c r="E186" s="214"/>
      <c r="F186" s="214"/>
      <c r="G186" s="214"/>
      <c r="H186" s="214"/>
      <c r="I186" s="214"/>
      <c r="J186" s="214"/>
      <c r="K186" s="214"/>
      <c r="L186" s="214"/>
      <c r="M186" s="214"/>
      <c r="N186" s="214"/>
      <c r="O186" s="214"/>
      <c r="P186" s="214"/>
      <c r="Q186" s="214"/>
      <c r="R186" s="214"/>
      <c r="S186" s="214"/>
      <c r="T186" s="214"/>
      <c r="U186" s="214"/>
      <c r="V186" s="214"/>
      <c r="W186" s="214"/>
      <c r="X186" s="214"/>
      <c r="Y186" s="214"/>
      <c r="Z186" s="214"/>
      <c r="AA186" s="214"/>
    </row>
    <row r="187" ht="15.75" customHeight="1">
      <c r="A187" s="245"/>
      <c r="B187" s="214"/>
      <c r="C187" s="214"/>
      <c r="D187" s="214"/>
      <c r="E187" s="214"/>
      <c r="F187" s="214"/>
      <c r="G187" s="214"/>
      <c r="H187" s="214"/>
      <c r="I187" s="214"/>
      <c r="J187" s="214"/>
      <c r="K187" s="214"/>
      <c r="L187" s="214"/>
      <c r="M187" s="214"/>
      <c r="N187" s="214"/>
      <c r="O187" s="214"/>
      <c r="P187" s="214"/>
      <c r="Q187" s="214"/>
      <c r="R187" s="214"/>
      <c r="S187" s="214"/>
      <c r="T187" s="214"/>
      <c r="U187" s="214"/>
      <c r="V187" s="214"/>
      <c r="W187" s="214"/>
      <c r="X187" s="214"/>
      <c r="Y187" s="214"/>
      <c r="Z187" s="214"/>
      <c r="AA187" s="214"/>
    </row>
    <row r="188" ht="15.75" customHeight="1">
      <c r="A188" s="245"/>
      <c r="B188" s="214"/>
      <c r="C188" s="214"/>
      <c r="D188" s="214"/>
      <c r="E188" s="214"/>
      <c r="F188" s="214"/>
      <c r="G188" s="214"/>
      <c r="H188" s="214"/>
      <c r="I188" s="214"/>
      <c r="J188" s="214"/>
      <c r="K188" s="214"/>
      <c r="L188" s="214"/>
      <c r="M188" s="214"/>
      <c r="N188" s="214"/>
      <c r="O188" s="214"/>
      <c r="P188" s="214"/>
      <c r="Q188" s="214"/>
      <c r="R188" s="214"/>
      <c r="S188" s="214"/>
      <c r="T188" s="214"/>
      <c r="U188" s="214"/>
      <c r="V188" s="214"/>
      <c r="W188" s="214"/>
      <c r="X188" s="214"/>
      <c r="Y188" s="214"/>
      <c r="Z188" s="214"/>
      <c r="AA188" s="214"/>
    </row>
    <row r="189" ht="15.75" customHeight="1">
      <c r="A189" s="245"/>
      <c r="B189" s="214"/>
      <c r="C189" s="214"/>
      <c r="D189" s="214"/>
      <c r="E189" s="214"/>
      <c r="F189" s="214"/>
      <c r="G189" s="214"/>
      <c r="H189" s="214"/>
      <c r="I189" s="214"/>
      <c r="J189" s="214"/>
      <c r="K189" s="214"/>
      <c r="L189" s="214"/>
      <c r="M189" s="214"/>
      <c r="N189" s="214"/>
      <c r="O189" s="214"/>
      <c r="P189" s="214"/>
      <c r="Q189" s="214"/>
      <c r="R189" s="214"/>
      <c r="S189" s="214"/>
      <c r="T189" s="214"/>
      <c r="U189" s="214"/>
      <c r="V189" s="214"/>
      <c r="W189" s="214"/>
      <c r="X189" s="214"/>
      <c r="Y189" s="214"/>
      <c r="Z189" s="214"/>
      <c r="AA189" s="214"/>
    </row>
    <row r="190" ht="15.75" customHeight="1">
      <c r="A190" s="245"/>
      <c r="B190" s="214"/>
      <c r="C190" s="214"/>
      <c r="D190" s="214"/>
      <c r="E190" s="214"/>
      <c r="F190" s="214"/>
      <c r="G190" s="214"/>
      <c r="H190" s="214"/>
      <c r="I190" s="214"/>
      <c r="J190" s="214"/>
      <c r="K190" s="214"/>
      <c r="L190" s="214"/>
      <c r="M190" s="214"/>
      <c r="N190" s="214"/>
      <c r="O190" s="214"/>
      <c r="P190" s="214"/>
      <c r="Q190" s="214"/>
      <c r="R190" s="214"/>
      <c r="S190" s="214"/>
      <c r="T190" s="214"/>
      <c r="U190" s="214"/>
      <c r="V190" s="214"/>
      <c r="W190" s="214"/>
      <c r="X190" s="214"/>
      <c r="Y190" s="214"/>
      <c r="Z190" s="214"/>
      <c r="AA190" s="214"/>
    </row>
    <row r="191" ht="15.75" customHeight="1">
      <c r="A191" s="245"/>
      <c r="B191" s="214"/>
      <c r="C191" s="214"/>
      <c r="D191" s="214"/>
      <c r="E191" s="214"/>
      <c r="F191" s="214"/>
      <c r="G191" s="214"/>
      <c r="H191" s="214"/>
      <c r="I191" s="214"/>
      <c r="J191" s="214"/>
      <c r="K191" s="214"/>
      <c r="L191" s="214"/>
      <c r="M191" s="214"/>
      <c r="N191" s="214"/>
      <c r="O191" s="214"/>
      <c r="P191" s="214"/>
      <c r="Q191" s="214"/>
      <c r="R191" s="214"/>
      <c r="S191" s="214"/>
      <c r="T191" s="214"/>
      <c r="U191" s="214"/>
      <c r="V191" s="214"/>
      <c r="W191" s="214"/>
      <c r="X191" s="214"/>
      <c r="Y191" s="214"/>
      <c r="Z191" s="214"/>
      <c r="AA191" s="214"/>
    </row>
    <row r="192" ht="15.75" customHeight="1">
      <c r="A192" s="245"/>
      <c r="B192" s="214"/>
      <c r="C192" s="214"/>
      <c r="D192" s="214"/>
      <c r="E192" s="214"/>
      <c r="F192" s="214"/>
      <c r="G192" s="214"/>
      <c r="H192" s="214"/>
      <c r="I192" s="214"/>
      <c r="J192" s="214"/>
      <c r="K192" s="214"/>
      <c r="L192" s="214"/>
      <c r="M192" s="214"/>
      <c r="N192" s="214"/>
      <c r="O192" s="214"/>
      <c r="P192" s="214"/>
      <c r="Q192" s="214"/>
      <c r="R192" s="214"/>
      <c r="S192" s="214"/>
      <c r="T192" s="214"/>
      <c r="U192" s="214"/>
      <c r="V192" s="214"/>
      <c r="W192" s="214"/>
      <c r="X192" s="214"/>
      <c r="Y192" s="214"/>
      <c r="Z192" s="214"/>
      <c r="AA192" s="214"/>
    </row>
    <row r="193" ht="15.75" customHeight="1">
      <c r="A193" s="245"/>
      <c r="B193" s="214"/>
      <c r="C193" s="214"/>
      <c r="D193" s="214"/>
      <c r="E193" s="214"/>
      <c r="F193" s="214"/>
      <c r="G193" s="214"/>
      <c r="H193" s="214"/>
      <c r="I193" s="214"/>
      <c r="J193" s="214"/>
      <c r="K193" s="214"/>
      <c r="L193" s="214"/>
      <c r="M193" s="214"/>
      <c r="N193" s="214"/>
      <c r="O193" s="214"/>
      <c r="P193" s="214"/>
      <c r="Q193" s="214"/>
      <c r="R193" s="214"/>
      <c r="S193" s="214"/>
      <c r="T193" s="214"/>
      <c r="U193" s="214"/>
      <c r="V193" s="214"/>
      <c r="W193" s="214"/>
      <c r="X193" s="214"/>
      <c r="Y193" s="214"/>
      <c r="Z193" s="214"/>
      <c r="AA193" s="214"/>
    </row>
    <row r="194" ht="15.75" customHeight="1">
      <c r="A194" s="245"/>
      <c r="B194" s="214"/>
      <c r="C194" s="214"/>
      <c r="D194" s="214"/>
      <c r="E194" s="214"/>
      <c r="F194" s="214"/>
      <c r="G194" s="214"/>
      <c r="H194" s="214"/>
      <c r="I194" s="214"/>
      <c r="J194" s="214"/>
      <c r="K194" s="214"/>
      <c r="L194" s="214"/>
      <c r="M194" s="214"/>
      <c r="N194" s="214"/>
      <c r="O194" s="214"/>
      <c r="P194" s="214"/>
      <c r="Q194" s="214"/>
      <c r="R194" s="214"/>
      <c r="S194" s="214"/>
      <c r="T194" s="214"/>
      <c r="U194" s="214"/>
      <c r="V194" s="214"/>
      <c r="W194" s="214"/>
      <c r="X194" s="214"/>
      <c r="Y194" s="214"/>
      <c r="Z194" s="214"/>
      <c r="AA194" s="214"/>
    </row>
    <row r="195" ht="15.75" customHeight="1">
      <c r="A195" s="245"/>
      <c r="B195" s="214"/>
      <c r="C195" s="214"/>
      <c r="D195" s="214"/>
      <c r="E195" s="214"/>
      <c r="F195" s="214"/>
      <c r="G195" s="214"/>
      <c r="H195" s="214"/>
      <c r="I195" s="214"/>
      <c r="J195" s="214"/>
      <c r="K195" s="214"/>
      <c r="L195" s="214"/>
      <c r="M195" s="214"/>
      <c r="N195" s="214"/>
      <c r="O195" s="214"/>
      <c r="P195" s="214"/>
      <c r="Q195" s="214"/>
      <c r="R195" s="214"/>
      <c r="S195" s="214"/>
      <c r="T195" s="214"/>
      <c r="U195" s="214"/>
      <c r="V195" s="214"/>
      <c r="W195" s="214"/>
      <c r="X195" s="214"/>
      <c r="Y195" s="214"/>
      <c r="Z195" s="214"/>
      <c r="AA195" s="214"/>
    </row>
    <row r="196" ht="15.75" customHeight="1">
      <c r="A196" s="245"/>
      <c r="B196" s="214"/>
      <c r="C196" s="214"/>
      <c r="D196" s="214"/>
      <c r="E196" s="214"/>
      <c r="F196" s="214"/>
      <c r="G196" s="214"/>
      <c r="H196" s="214"/>
      <c r="I196" s="214"/>
      <c r="J196" s="214"/>
      <c r="K196" s="214"/>
      <c r="L196" s="214"/>
      <c r="M196" s="214"/>
      <c r="N196" s="214"/>
      <c r="O196" s="214"/>
      <c r="P196" s="214"/>
      <c r="Q196" s="214"/>
      <c r="R196" s="214"/>
      <c r="S196" s="214"/>
      <c r="T196" s="214"/>
      <c r="U196" s="214"/>
      <c r="V196" s="214"/>
      <c r="W196" s="214"/>
      <c r="X196" s="214"/>
      <c r="Y196" s="214"/>
      <c r="Z196" s="214"/>
      <c r="AA196" s="214"/>
    </row>
    <row r="197" ht="15.75" customHeight="1">
      <c r="A197" s="245"/>
      <c r="B197" s="214"/>
      <c r="C197" s="214"/>
      <c r="D197" s="214"/>
      <c r="E197" s="214"/>
      <c r="F197" s="214"/>
      <c r="G197" s="214"/>
      <c r="H197" s="214"/>
      <c r="I197" s="214"/>
      <c r="J197" s="214"/>
      <c r="K197" s="214"/>
      <c r="L197" s="214"/>
      <c r="M197" s="214"/>
      <c r="N197" s="214"/>
      <c r="O197" s="214"/>
      <c r="P197" s="214"/>
      <c r="Q197" s="214"/>
      <c r="R197" s="214"/>
      <c r="S197" s="214"/>
      <c r="T197" s="214"/>
      <c r="U197" s="214"/>
      <c r="V197" s="214"/>
      <c r="W197" s="214"/>
      <c r="X197" s="214"/>
      <c r="Y197" s="214"/>
      <c r="Z197" s="214"/>
      <c r="AA197" s="214"/>
    </row>
    <row r="198" ht="15.75" customHeight="1">
      <c r="A198" s="245"/>
      <c r="B198" s="214"/>
      <c r="C198" s="214"/>
      <c r="D198" s="214"/>
      <c r="E198" s="214"/>
      <c r="F198" s="214"/>
      <c r="G198" s="214"/>
      <c r="H198" s="214"/>
      <c r="I198" s="214"/>
      <c r="J198" s="214"/>
      <c r="K198" s="214"/>
      <c r="L198" s="214"/>
      <c r="M198" s="214"/>
      <c r="N198" s="214"/>
      <c r="O198" s="214"/>
      <c r="P198" s="214"/>
      <c r="Q198" s="214"/>
      <c r="R198" s="214"/>
      <c r="S198" s="214"/>
      <c r="T198" s="214"/>
      <c r="U198" s="214"/>
      <c r="V198" s="214"/>
      <c r="W198" s="214"/>
      <c r="X198" s="214"/>
      <c r="Y198" s="214"/>
      <c r="Z198" s="214"/>
      <c r="AA198" s="214"/>
    </row>
    <row r="199" ht="15.75" customHeight="1">
      <c r="A199" s="245"/>
      <c r="B199" s="214"/>
      <c r="C199" s="214"/>
      <c r="D199" s="214"/>
      <c r="E199" s="214"/>
      <c r="F199" s="214"/>
      <c r="G199" s="214"/>
      <c r="H199" s="214"/>
      <c r="I199" s="214"/>
      <c r="J199" s="214"/>
      <c r="K199" s="214"/>
      <c r="L199" s="214"/>
      <c r="M199" s="214"/>
      <c r="N199" s="214"/>
      <c r="O199" s="214"/>
      <c r="P199" s="214"/>
      <c r="Q199" s="214"/>
      <c r="R199" s="214"/>
      <c r="S199" s="214"/>
      <c r="T199" s="214"/>
      <c r="U199" s="214"/>
      <c r="V199" s="214"/>
      <c r="W199" s="214"/>
      <c r="X199" s="214"/>
      <c r="Y199" s="214"/>
      <c r="Z199" s="214"/>
      <c r="AA199" s="214"/>
    </row>
    <row r="200" ht="15.75" customHeight="1">
      <c r="A200" s="245"/>
      <c r="B200" s="214"/>
      <c r="C200" s="214"/>
      <c r="D200" s="214"/>
      <c r="E200" s="214"/>
      <c r="F200" s="214"/>
      <c r="G200" s="214"/>
      <c r="H200" s="214"/>
      <c r="I200" s="214"/>
      <c r="J200" s="214"/>
      <c r="K200" s="214"/>
      <c r="L200" s="214"/>
      <c r="M200" s="214"/>
      <c r="N200" s="214"/>
      <c r="O200" s="214"/>
      <c r="P200" s="214"/>
      <c r="Q200" s="214"/>
      <c r="R200" s="214"/>
      <c r="S200" s="214"/>
      <c r="T200" s="214"/>
      <c r="U200" s="214"/>
      <c r="V200" s="214"/>
      <c r="W200" s="214"/>
      <c r="X200" s="214"/>
      <c r="Y200" s="214"/>
      <c r="Z200" s="214"/>
      <c r="AA200" s="214"/>
    </row>
    <row r="201" ht="15.75" customHeight="1">
      <c r="A201" s="245"/>
      <c r="B201" s="214"/>
      <c r="C201" s="214"/>
      <c r="D201" s="214"/>
      <c r="E201" s="214"/>
      <c r="F201" s="214"/>
      <c r="G201" s="214"/>
      <c r="H201" s="214"/>
      <c r="I201" s="214"/>
      <c r="J201" s="214"/>
      <c r="K201" s="214"/>
      <c r="L201" s="214"/>
      <c r="M201" s="214"/>
      <c r="N201" s="214"/>
      <c r="O201" s="214"/>
      <c r="P201" s="214"/>
      <c r="Q201" s="214"/>
      <c r="R201" s="214"/>
      <c r="S201" s="214"/>
      <c r="T201" s="214"/>
      <c r="U201" s="214"/>
      <c r="V201" s="214"/>
      <c r="W201" s="214"/>
      <c r="X201" s="214"/>
      <c r="Y201" s="214"/>
      <c r="Z201" s="214"/>
      <c r="AA201" s="214"/>
    </row>
    <row r="202" ht="15.75" customHeight="1">
      <c r="A202" s="245"/>
      <c r="B202" s="214"/>
      <c r="C202" s="214"/>
      <c r="D202" s="214"/>
      <c r="E202" s="214"/>
      <c r="F202" s="214"/>
      <c r="G202" s="214"/>
      <c r="H202" s="214"/>
      <c r="I202" s="214"/>
      <c r="J202" s="214"/>
      <c r="K202" s="214"/>
      <c r="L202" s="214"/>
      <c r="M202" s="214"/>
      <c r="N202" s="214"/>
      <c r="O202" s="214"/>
      <c r="P202" s="214"/>
      <c r="Q202" s="214"/>
      <c r="R202" s="214"/>
      <c r="S202" s="214"/>
      <c r="T202" s="214"/>
      <c r="U202" s="214"/>
      <c r="V202" s="214"/>
      <c r="W202" s="214"/>
      <c r="X202" s="214"/>
      <c r="Y202" s="214"/>
      <c r="Z202" s="214"/>
      <c r="AA202" s="214"/>
    </row>
    <row r="203" ht="15.75" customHeight="1">
      <c r="A203" s="245"/>
      <c r="B203" s="214"/>
      <c r="C203" s="214"/>
      <c r="D203" s="214"/>
      <c r="E203" s="214"/>
      <c r="F203" s="214"/>
      <c r="G203" s="214"/>
      <c r="H203" s="214"/>
      <c r="I203" s="214"/>
      <c r="J203" s="214"/>
      <c r="K203" s="214"/>
      <c r="L203" s="214"/>
      <c r="M203" s="214"/>
      <c r="N203" s="214"/>
      <c r="O203" s="214"/>
      <c r="P203" s="214"/>
      <c r="Q203" s="214"/>
      <c r="R203" s="214"/>
      <c r="S203" s="214"/>
      <c r="T203" s="214"/>
      <c r="U203" s="214"/>
      <c r="V203" s="214"/>
      <c r="W203" s="214"/>
      <c r="X203" s="214"/>
      <c r="Y203" s="214"/>
      <c r="Z203" s="214"/>
      <c r="AA203" s="214"/>
    </row>
    <row r="204" ht="15.75" customHeight="1">
      <c r="A204" s="245"/>
      <c r="B204" s="214"/>
      <c r="C204" s="214"/>
      <c r="D204" s="214"/>
      <c r="E204" s="214"/>
      <c r="F204" s="214"/>
      <c r="G204" s="214"/>
      <c r="H204" s="214"/>
      <c r="I204" s="214"/>
      <c r="J204" s="214"/>
      <c r="K204" s="214"/>
      <c r="L204" s="214"/>
      <c r="M204" s="214"/>
      <c r="N204" s="214"/>
      <c r="O204" s="214"/>
      <c r="P204" s="214"/>
      <c r="Q204" s="214"/>
      <c r="R204" s="214"/>
      <c r="S204" s="214"/>
      <c r="T204" s="214"/>
      <c r="U204" s="214"/>
      <c r="V204" s="214"/>
      <c r="W204" s="214"/>
      <c r="X204" s="214"/>
      <c r="Y204" s="214"/>
      <c r="Z204" s="214"/>
      <c r="AA204" s="214"/>
    </row>
    <row r="205" ht="15.75" customHeight="1">
      <c r="A205" s="245"/>
      <c r="B205" s="214"/>
      <c r="C205" s="214"/>
      <c r="D205" s="214"/>
      <c r="E205" s="214"/>
      <c r="F205" s="214"/>
      <c r="G205" s="214"/>
      <c r="H205" s="214"/>
      <c r="I205" s="214"/>
      <c r="J205" s="214"/>
      <c r="K205" s="214"/>
      <c r="L205" s="214"/>
      <c r="M205" s="214"/>
      <c r="N205" s="214"/>
      <c r="O205" s="214"/>
      <c r="P205" s="214"/>
      <c r="Q205" s="214"/>
      <c r="R205" s="214"/>
      <c r="S205" s="214"/>
      <c r="T205" s="214"/>
      <c r="U205" s="214"/>
      <c r="V205" s="214"/>
      <c r="W205" s="214"/>
      <c r="X205" s="214"/>
      <c r="Y205" s="214"/>
      <c r="Z205" s="214"/>
      <c r="AA205" s="214"/>
    </row>
    <row r="206" ht="15.75" customHeight="1">
      <c r="A206" s="245"/>
      <c r="B206" s="214"/>
      <c r="C206" s="214"/>
      <c r="D206" s="214"/>
      <c r="E206" s="214"/>
      <c r="F206" s="214"/>
      <c r="G206" s="214"/>
      <c r="H206" s="214"/>
      <c r="I206" s="214"/>
      <c r="J206" s="214"/>
      <c r="K206" s="214"/>
      <c r="L206" s="214"/>
      <c r="M206" s="214"/>
      <c r="N206" s="214"/>
      <c r="O206" s="214"/>
      <c r="P206" s="214"/>
      <c r="Q206" s="214"/>
      <c r="R206" s="214"/>
      <c r="S206" s="214"/>
      <c r="T206" s="214"/>
      <c r="U206" s="214"/>
      <c r="V206" s="214"/>
      <c r="W206" s="214"/>
      <c r="X206" s="214"/>
      <c r="Y206" s="214"/>
      <c r="Z206" s="214"/>
      <c r="AA206" s="214"/>
    </row>
    <row r="207" ht="15.75" customHeight="1">
      <c r="A207" s="245"/>
      <c r="B207" s="214"/>
      <c r="C207" s="214"/>
      <c r="D207" s="214"/>
      <c r="E207" s="214"/>
      <c r="F207" s="214"/>
      <c r="G207" s="214"/>
      <c r="H207" s="214"/>
      <c r="I207" s="214"/>
      <c r="J207" s="214"/>
      <c r="K207" s="214"/>
      <c r="L207" s="214"/>
      <c r="M207" s="214"/>
      <c r="N207" s="214"/>
      <c r="O207" s="214"/>
      <c r="P207" s="214"/>
      <c r="Q207" s="214"/>
      <c r="R207" s="214"/>
      <c r="S207" s="214"/>
      <c r="T207" s="214"/>
      <c r="U207" s="214"/>
      <c r="V207" s="214"/>
      <c r="W207" s="214"/>
      <c r="X207" s="214"/>
      <c r="Y207" s="214"/>
      <c r="Z207" s="214"/>
      <c r="AA207" s="214"/>
    </row>
    <row r="208" ht="15.75" customHeight="1">
      <c r="A208" s="245"/>
      <c r="B208" s="214"/>
      <c r="C208" s="214"/>
      <c r="D208" s="214"/>
      <c r="E208" s="214"/>
      <c r="F208" s="214"/>
      <c r="G208" s="214"/>
      <c r="H208" s="214"/>
      <c r="I208" s="214"/>
      <c r="J208" s="214"/>
      <c r="K208" s="214"/>
      <c r="L208" s="214"/>
      <c r="M208" s="214"/>
      <c r="N208" s="214"/>
      <c r="O208" s="214"/>
      <c r="P208" s="214"/>
      <c r="Q208" s="214"/>
      <c r="R208" s="214"/>
      <c r="S208" s="214"/>
      <c r="T208" s="214"/>
      <c r="U208" s="214"/>
      <c r="V208" s="214"/>
      <c r="W208" s="214"/>
      <c r="X208" s="214"/>
      <c r="Y208" s="214"/>
      <c r="Z208" s="214"/>
      <c r="AA208" s="214"/>
    </row>
    <row r="209" ht="15.75" customHeight="1">
      <c r="A209" s="245"/>
      <c r="B209" s="214"/>
      <c r="C209" s="214"/>
      <c r="D209" s="214"/>
      <c r="E209" s="214"/>
      <c r="F209" s="214"/>
      <c r="G209" s="214"/>
      <c r="H209" s="214"/>
      <c r="I209" s="214"/>
      <c r="J209" s="214"/>
      <c r="K209" s="214"/>
      <c r="L209" s="214"/>
      <c r="M209" s="214"/>
      <c r="N209" s="214"/>
      <c r="O209" s="214"/>
      <c r="P209" s="214"/>
      <c r="Q209" s="214"/>
      <c r="R209" s="214"/>
      <c r="S209" s="214"/>
      <c r="T209" s="214"/>
      <c r="U209" s="214"/>
      <c r="V209" s="214"/>
      <c r="W209" s="214"/>
      <c r="X209" s="214"/>
      <c r="Y209" s="214"/>
      <c r="Z209" s="214"/>
      <c r="AA209" s="214"/>
    </row>
    <row r="210" ht="15.75" customHeight="1">
      <c r="A210" s="245"/>
      <c r="B210" s="214"/>
      <c r="C210" s="214"/>
      <c r="D210" s="214"/>
      <c r="E210" s="214"/>
      <c r="F210" s="214"/>
      <c r="G210" s="214"/>
      <c r="H210" s="214"/>
      <c r="I210" s="214"/>
      <c r="J210" s="214"/>
      <c r="K210" s="214"/>
      <c r="L210" s="214"/>
      <c r="M210" s="214"/>
      <c r="N210" s="214"/>
      <c r="O210" s="214"/>
      <c r="P210" s="214"/>
      <c r="Q210" s="214"/>
      <c r="R210" s="214"/>
      <c r="S210" s="214"/>
      <c r="T210" s="214"/>
      <c r="U210" s="214"/>
      <c r="V210" s="214"/>
      <c r="W210" s="214"/>
      <c r="X210" s="214"/>
      <c r="Y210" s="214"/>
      <c r="Z210" s="214"/>
      <c r="AA210" s="214"/>
    </row>
    <row r="211" ht="15.75" customHeight="1">
      <c r="A211" s="245"/>
      <c r="B211" s="214"/>
      <c r="C211" s="214"/>
      <c r="D211" s="214"/>
      <c r="E211" s="214"/>
      <c r="F211" s="214"/>
      <c r="G211" s="214"/>
      <c r="H211" s="214"/>
      <c r="I211" s="214"/>
      <c r="J211" s="214"/>
      <c r="K211" s="214"/>
      <c r="L211" s="214"/>
      <c r="M211" s="214"/>
      <c r="N211" s="214"/>
      <c r="O211" s="214"/>
      <c r="P211" s="214"/>
      <c r="Q211" s="214"/>
      <c r="R211" s="214"/>
      <c r="S211" s="214"/>
      <c r="T211" s="214"/>
      <c r="U211" s="214"/>
      <c r="V211" s="214"/>
      <c r="W211" s="214"/>
      <c r="X211" s="214"/>
      <c r="Y211" s="214"/>
      <c r="Z211" s="214"/>
      <c r="AA211" s="214"/>
    </row>
    <row r="212" ht="15.75" customHeight="1">
      <c r="A212" s="245"/>
      <c r="B212" s="214"/>
      <c r="C212" s="214"/>
      <c r="D212" s="214"/>
      <c r="E212" s="214"/>
      <c r="F212" s="214"/>
      <c r="G212" s="214"/>
      <c r="H212" s="214"/>
      <c r="I212" s="214"/>
      <c r="J212" s="214"/>
      <c r="K212" s="214"/>
      <c r="L212" s="214"/>
      <c r="M212" s="214"/>
      <c r="N212" s="214"/>
      <c r="O212" s="214"/>
      <c r="P212" s="214"/>
      <c r="Q212" s="214"/>
      <c r="R212" s="214"/>
      <c r="S212" s="214"/>
      <c r="T212" s="214"/>
      <c r="U212" s="214"/>
      <c r="V212" s="214"/>
      <c r="W212" s="214"/>
      <c r="X212" s="214"/>
      <c r="Y212" s="214"/>
      <c r="Z212" s="214"/>
      <c r="AA212" s="214"/>
    </row>
    <row r="213" ht="15.75" customHeight="1">
      <c r="A213" s="245"/>
      <c r="B213" s="214"/>
      <c r="C213" s="214"/>
      <c r="D213" s="214"/>
      <c r="E213" s="214"/>
      <c r="F213" s="214"/>
      <c r="G213" s="214"/>
      <c r="H213" s="214"/>
      <c r="I213" s="214"/>
      <c r="J213" s="214"/>
      <c r="K213" s="214"/>
      <c r="L213" s="214"/>
      <c r="M213" s="214"/>
      <c r="N213" s="214"/>
      <c r="O213" s="214"/>
      <c r="P213" s="214"/>
      <c r="Q213" s="214"/>
      <c r="R213" s="214"/>
      <c r="S213" s="214"/>
      <c r="T213" s="214"/>
      <c r="U213" s="214"/>
      <c r="V213" s="214"/>
      <c r="W213" s="214"/>
      <c r="X213" s="214"/>
      <c r="Y213" s="214"/>
      <c r="Z213" s="214"/>
      <c r="AA213" s="214"/>
    </row>
    <row r="214" ht="15.75" customHeight="1">
      <c r="A214" s="245"/>
      <c r="B214" s="214"/>
      <c r="C214" s="214"/>
      <c r="D214" s="214"/>
      <c r="E214" s="214"/>
      <c r="F214" s="214"/>
      <c r="G214" s="214"/>
      <c r="H214" s="214"/>
      <c r="I214" s="214"/>
      <c r="J214" s="214"/>
      <c r="K214" s="214"/>
      <c r="L214" s="214"/>
      <c r="M214" s="214"/>
      <c r="N214" s="214"/>
      <c r="O214" s="214"/>
      <c r="P214" s="214"/>
      <c r="Q214" s="214"/>
      <c r="R214" s="214"/>
      <c r="S214" s="214"/>
      <c r="T214" s="214"/>
      <c r="U214" s="214"/>
      <c r="V214" s="214"/>
      <c r="W214" s="214"/>
      <c r="X214" s="214"/>
      <c r="Y214" s="214"/>
      <c r="Z214" s="214"/>
      <c r="AA214" s="214"/>
    </row>
    <row r="215" ht="15.75" customHeight="1">
      <c r="A215" s="245"/>
      <c r="B215" s="214"/>
      <c r="C215" s="214"/>
      <c r="D215" s="214"/>
      <c r="E215" s="214"/>
      <c r="F215" s="214"/>
      <c r="G215" s="214"/>
      <c r="H215" s="214"/>
      <c r="I215" s="214"/>
      <c r="J215" s="214"/>
      <c r="K215" s="214"/>
      <c r="L215" s="214"/>
      <c r="M215" s="214"/>
      <c r="N215" s="214"/>
      <c r="O215" s="214"/>
      <c r="P215" s="214"/>
      <c r="Q215" s="214"/>
      <c r="R215" s="214"/>
      <c r="S215" s="214"/>
      <c r="T215" s="214"/>
      <c r="U215" s="214"/>
      <c r="V215" s="214"/>
      <c r="W215" s="214"/>
      <c r="X215" s="214"/>
      <c r="Y215" s="214"/>
      <c r="Z215" s="214"/>
      <c r="AA215" s="214"/>
    </row>
    <row r="216" ht="15.75" customHeight="1">
      <c r="A216" s="245"/>
      <c r="B216" s="214"/>
      <c r="C216" s="214"/>
      <c r="D216" s="214"/>
      <c r="E216" s="214"/>
      <c r="F216" s="214"/>
      <c r="G216" s="214"/>
      <c r="H216" s="214"/>
      <c r="I216" s="214"/>
      <c r="J216" s="214"/>
      <c r="K216" s="214"/>
      <c r="L216" s="214"/>
      <c r="M216" s="214"/>
      <c r="N216" s="214"/>
      <c r="O216" s="214"/>
      <c r="P216" s="214"/>
      <c r="Q216" s="214"/>
      <c r="R216" s="214"/>
      <c r="S216" s="214"/>
      <c r="T216" s="214"/>
      <c r="U216" s="214"/>
      <c r="V216" s="214"/>
      <c r="W216" s="214"/>
      <c r="X216" s="214"/>
      <c r="Y216" s="214"/>
      <c r="Z216" s="214"/>
      <c r="AA216" s="214"/>
    </row>
    <row r="217" ht="15.75" customHeight="1">
      <c r="A217" s="245"/>
      <c r="B217" s="214"/>
      <c r="C217" s="214"/>
      <c r="D217" s="214"/>
      <c r="E217" s="214"/>
      <c r="F217" s="214"/>
      <c r="G217" s="214"/>
      <c r="H217" s="214"/>
      <c r="I217" s="214"/>
      <c r="J217" s="214"/>
      <c r="K217" s="214"/>
      <c r="L217" s="214"/>
      <c r="M217" s="214"/>
      <c r="N217" s="214"/>
      <c r="O217" s="214"/>
      <c r="P217" s="214"/>
      <c r="Q217" s="214"/>
      <c r="R217" s="214"/>
      <c r="S217" s="214"/>
      <c r="T217" s="214"/>
      <c r="U217" s="214"/>
      <c r="V217" s="214"/>
      <c r="W217" s="214"/>
      <c r="X217" s="214"/>
      <c r="Y217" s="214"/>
      <c r="Z217" s="214"/>
      <c r="AA217" s="214"/>
    </row>
    <row r="218" ht="15.75" customHeight="1">
      <c r="A218" s="245"/>
      <c r="B218" s="214"/>
      <c r="C218" s="214"/>
      <c r="D218" s="214"/>
      <c r="E218" s="214"/>
      <c r="F218" s="214"/>
      <c r="G218" s="214"/>
      <c r="H218" s="214"/>
      <c r="I218" s="214"/>
      <c r="J218" s="214"/>
      <c r="K218" s="214"/>
      <c r="L218" s="214"/>
      <c r="M218" s="214"/>
      <c r="N218" s="214"/>
      <c r="O218" s="214"/>
      <c r="P218" s="214"/>
      <c r="Q218" s="214"/>
      <c r="R218" s="214"/>
      <c r="S218" s="214"/>
      <c r="T218" s="214"/>
      <c r="U218" s="214"/>
      <c r="V218" s="214"/>
      <c r="W218" s="214"/>
      <c r="X218" s="214"/>
      <c r="Y218" s="214"/>
      <c r="Z218" s="214"/>
      <c r="AA218" s="214"/>
    </row>
    <row r="219" ht="15.75" customHeight="1">
      <c r="A219" s="245"/>
      <c r="B219" s="214"/>
      <c r="C219" s="214"/>
      <c r="D219" s="214"/>
      <c r="E219" s="214"/>
      <c r="F219" s="214"/>
      <c r="G219" s="214"/>
      <c r="H219" s="214"/>
      <c r="I219" s="214"/>
      <c r="J219" s="214"/>
      <c r="K219" s="214"/>
      <c r="L219" s="214"/>
      <c r="M219" s="214"/>
      <c r="N219" s="214"/>
      <c r="O219" s="214"/>
      <c r="P219" s="214"/>
      <c r="Q219" s="214"/>
      <c r="R219" s="214"/>
      <c r="S219" s="214"/>
      <c r="T219" s="214"/>
      <c r="U219" s="214"/>
      <c r="V219" s="214"/>
      <c r="W219" s="214"/>
      <c r="X219" s="214"/>
      <c r="Y219" s="214"/>
      <c r="Z219" s="214"/>
      <c r="AA219" s="214"/>
    </row>
    <row r="220" ht="15.75" customHeight="1">
      <c r="A220" s="245"/>
      <c r="B220" s="214"/>
      <c r="C220" s="214"/>
      <c r="D220" s="214"/>
      <c r="E220" s="214"/>
      <c r="F220" s="214"/>
      <c r="G220" s="214"/>
      <c r="H220" s="214"/>
      <c r="I220" s="214"/>
      <c r="J220" s="214"/>
      <c r="K220" s="214"/>
      <c r="L220" s="214"/>
      <c r="M220" s="214"/>
      <c r="N220" s="214"/>
      <c r="O220" s="214"/>
      <c r="P220" s="214"/>
      <c r="Q220" s="214"/>
      <c r="R220" s="214"/>
      <c r="S220" s="214"/>
      <c r="T220" s="214"/>
      <c r="U220" s="214"/>
      <c r="V220" s="214"/>
      <c r="W220" s="214"/>
      <c r="X220" s="214"/>
      <c r="Y220" s="214"/>
      <c r="Z220" s="214"/>
      <c r="AA220" s="214"/>
    </row>
    <row r="221" ht="15.75" customHeight="1">
      <c r="A221" s="245"/>
      <c r="B221" s="214"/>
      <c r="C221" s="214"/>
      <c r="D221" s="214"/>
      <c r="E221" s="214"/>
      <c r="F221" s="214"/>
      <c r="G221" s="214"/>
      <c r="H221" s="214"/>
      <c r="I221" s="214"/>
      <c r="J221" s="214"/>
      <c r="K221" s="214"/>
      <c r="L221" s="214"/>
      <c r="M221" s="214"/>
      <c r="N221" s="214"/>
      <c r="O221" s="214"/>
      <c r="P221" s="214"/>
      <c r="Q221" s="214"/>
      <c r="R221" s="214"/>
      <c r="S221" s="214"/>
      <c r="T221" s="214"/>
      <c r="U221" s="214"/>
      <c r="V221" s="214"/>
      <c r="W221" s="214"/>
      <c r="X221" s="214"/>
      <c r="Y221" s="214"/>
      <c r="Z221" s="214"/>
      <c r="AA221" s="214"/>
    </row>
    <row r="222" ht="15.75" customHeight="1">
      <c r="A222" s="245"/>
      <c r="B222" s="214"/>
      <c r="C222" s="214"/>
      <c r="D222" s="214"/>
      <c r="E222" s="214"/>
      <c r="F222" s="214"/>
      <c r="G222" s="214"/>
      <c r="H222" s="214"/>
      <c r="I222" s="214"/>
      <c r="J222" s="214"/>
      <c r="K222" s="214"/>
      <c r="L222" s="214"/>
      <c r="M222" s="214"/>
      <c r="N222" s="214"/>
      <c r="O222" s="214"/>
      <c r="P222" s="214"/>
      <c r="Q222" s="214"/>
      <c r="R222" s="214"/>
      <c r="S222" s="214"/>
      <c r="T222" s="214"/>
      <c r="U222" s="214"/>
      <c r="V222" s="214"/>
      <c r="W222" s="214"/>
      <c r="X222" s="214"/>
      <c r="Y222" s="214"/>
      <c r="Z222" s="214"/>
      <c r="AA222" s="214"/>
    </row>
    <row r="223" ht="15.75" customHeight="1">
      <c r="A223" s="245"/>
      <c r="B223" s="214"/>
      <c r="C223" s="214"/>
      <c r="D223" s="214"/>
      <c r="E223" s="214"/>
      <c r="F223" s="214"/>
      <c r="G223" s="214"/>
      <c r="H223" s="214"/>
      <c r="I223" s="214"/>
      <c r="J223" s="214"/>
      <c r="K223" s="214"/>
      <c r="L223" s="214"/>
      <c r="M223" s="214"/>
      <c r="N223" s="214"/>
      <c r="O223" s="214"/>
      <c r="P223" s="214"/>
      <c r="Q223" s="214"/>
      <c r="R223" s="214"/>
      <c r="S223" s="214"/>
      <c r="T223" s="214"/>
      <c r="U223" s="214"/>
      <c r="V223" s="214"/>
      <c r="W223" s="214"/>
      <c r="X223" s="214"/>
      <c r="Y223" s="214"/>
      <c r="Z223" s="214"/>
      <c r="AA223" s="214"/>
    </row>
    <row r="224" ht="15.75" customHeight="1">
      <c r="A224" s="245"/>
      <c r="B224" s="214"/>
      <c r="C224" s="214"/>
      <c r="D224" s="214"/>
      <c r="E224" s="214"/>
      <c r="F224" s="214"/>
      <c r="G224" s="214"/>
      <c r="H224" s="214"/>
      <c r="I224" s="214"/>
      <c r="J224" s="214"/>
      <c r="K224" s="214"/>
      <c r="L224" s="214"/>
      <c r="M224" s="214"/>
      <c r="N224" s="214"/>
      <c r="O224" s="214"/>
      <c r="P224" s="214"/>
      <c r="Q224" s="214"/>
      <c r="R224" s="214"/>
      <c r="S224" s="214"/>
      <c r="T224" s="214"/>
      <c r="U224" s="214"/>
      <c r="V224" s="214"/>
      <c r="W224" s="214"/>
      <c r="X224" s="214"/>
      <c r="Y224" s="214"/>
      <c r="Z224" s="214"/>
      <c r="AA224" s="214"/>
    </row>
    <row r="225" ht="15.75" customHeight="1">
      <c r="A225" s="245"/>
      <c r="B225" s="214"/>
      <c r="C225" s="214"/>
      <c r="D225" s="214"/>
      <c r="E225" s="214"/>
      <c r="F225" s="214"/>
      <c r="G225" s="214"/>
      <c r="H225" s="214"/>
      <c r="I225" s="214"/>
      <c r="J225" s="214"/>
      <c r="K225" s="214"/>
      <c r="L225" s="214"/>
      <c r="M225" s="214"/>
      <c r="N225" s="214"/>
      <c r="O225" s="214"/>
      <c r="P225" s="214"/>
      <c r="Q225" s="214"/>
      <c r="R225" s="214"/>
      <c r="S225" s="214"/>
      <c r="T225" s="214"/>
      <c r="U225" s="214"/>
      <c r="V225" s="214"/>
      <c r="W225" s="214"/>
      <c r="X225" s="214"/>
      <c r="Y225" s="214"/>
      <c r="Z225" s="214"/>
      <c r="AA225" s="214"/>
    </row>
    <row r="226" ht="15.75" customHeight="1">
      <c r="A226" s="245"/>
      <c r="B226" s="214"/>
      <c r="C226" s="214"/>
      <c r="D226" s="214"/>
      <c r="E226" s="214"/>
      <c r="F226" s="214"/>
      <c r="G226" s="214"/>
      <c r="H226" s="214"/>
      <c r="I226" s="214"/>
      <c r="J226" s="214"/>
      <c r="K226" s="214"/>
      <c r="L226" s="214"/>
      <c r="M226" s="214"/>
      <c r="N226" s="214"/>
      <c r="O226" s="214"/>
      <c r="P226" s="214"/>
      <c r="Q226" s="214"/>
      <c r="R226" s="214"/>
      <c r="S226" s="214"/>
      <c r="T226" s="214"/>
      <c r="U226" s="214"/>
      <c r="V226" s="214"/>
      <c r="W226" s="214"/>
      <c r="X226" s="214"/>
      <c r="Y226" s="214"/>
      <c r="Z226" s="214"/>
      <c r="AA226" s="214"/>
    </row>
    <row r="227" ht="15.75" customHeight="1">
      <c r="A227" s="245"/>
      <c r="B227" s="214"/>
      <c r="C227" s="214"/>
      <c r="D227" s="214"/>
      <c r="E227" s="214"/>
      <c r="F227" s="214"/>
      <c r="G227" s="214"/>
      <c r="H227" s="214"/>
      <c r="I227" s="214"/>
      <c r="J227" s="214"/>
      <c r="K227" s="214"/>
      <c r="L227" s="214"/>
      <c r="M227" s="214"/>
      <c r="N227" s="214"/>
      <c r="O227" s="214"/>
      <c r="P227" s="214"/>
      <c r="Q227" s="214"/>
      <c r="R227" s="214"/>
      <c r="S227" s="214"/>
      <c r="T227" s="214"/>
      <c r="U227" s="214"/>
      <c r="V227" s="214"/>
      <c r="W227" s="214"/>
      <c r="X227" s="214"/>
      <c r="Y227" s="214"/>
      <c r="Z227" s="214"/>
      <c r="AA227" s="214"/>
    </row>
    <row r="228" ht="15.75" customHeight="1">
      <c r="A228" s="245"/>
      <c r="B228" s="214"/>
      <c r="C228" s="214"/>
      <c r="D228" s="214"/>
      <c r="E228" s="214"/>
      <c r="F228" s="214"/>
      <c r="G228" s="214"/>
      <c r="H228" s="214"/>
      <c r="I228" s="214"/>
      <c r="J228" s="214"/>
      <c r="K228" s="214"/>
      <c r="L228" s="214"/>
      <c r="M228" s="214"/>
      <c r="N228" s="214"/>
      <c r="O228" s="214"/>
      <c r="P228" s="214"/>
      <c r="Q228" s="214"/>
      <c r="R228" s="214"/>
      <c r="S228" s="214"/>
      <c r="T228" s="214"/>
      <c r="U228" s="214"/>
      <c r="V228" s="214"/>
      <c r="W228" s="214"/>
      <c r="X228" s="214"/>
      <c r="Y228" s="214"/>
      <c r="Z228" s="214"/>
      <c r="AA228" s="214"/>
    </row>
    <row r="229" ht="15.75" customHeight="1">
      <c r="A229" s="245"/>
      <c r="B229" s="214"/>
      <c r="C229" s="214"/>
      <c r="D229" s="214"/>
      <c r="E229" s="214"/>
      <c r="F229" s="214"/>
      <c r="G229" s="214"/>
      <c r="H229" s="214"/>
      <c r="I229" s="214"/>
      <c r="J229" s="214"/>
      <c r="K229" s="214"/>
      <c r="L229" s="214"/>
      <c r="M229" s="214"/>
      <c r="N229" s="214"/>
      <c r="O229" s="214"/>
      <c r="P229" s="214"/>
      <c r="Q229" s="214"/>
      <c r="R229" s="214"/>
      <c r="S229" s="214"/>
      <c r="T229" s="214"/>
      <c r="U229" s="214"/>
      <c r="V229" s="214"/>
      <c r="W229" s="214"/>
      <c r="X229" s="214"/>
      <c r="Y229" s="214"/>
      <c r="Z229" s="214"/>
      <c r="AA229" s="214"/>
    </row>
    <row r="230" ht="15.75" customHeight="1">
      <c r="A230" s="245"/>
      <c r="B230" s="214"/>
      <c r="C230" s="214"/>
      <c r="D230" s="214"/>
      <c r="E230" s="214"/>
      <c r="F230" s="214"/>
      <c r="G230" s="214"/>
      <c r="H230" s="214"/>
      <c r="I230" s="214"/>
      <c r="J230" s="214"/>
      <c r="K230" s="214"/>
      <c r="L230" s="214"/>
      <c r="M230" s="214"/>
      <c r="N230" s="214"/>
      <c r="O230" s="214"/>
      <c r="P230" s="214"/>
      <c r="Q230" s="214"/>
      <c r="R230" s="214"/>
      <c r="S230" s="214"/>
      <c r="T230" s="214"/>
      <c r="U230" s="214"/>
      <c r="V230" s="214"/>
      <c r="W230" s="214"/>
      <c r="X230" s="214"/>
      <c r="Y230" s="214"/>
      <c r="Z230" s="214"/>
      <c r="AA230" s="214"/>
    </row>
    <row r="231" ht="15.75" customHeight="1">
      <c r="A231" s="245"/>
      <c r="B231" s="214"/>
      <c r="C231" s="214"/>
      <c r="D231" s="214"/>
      <c r="E231" s="214"/>
      <c r="F231" s="214"/>
      <c r="G231" s="214"/>
      <c r="H231" s="214"/>
      <c r="I231" s="214"/>
      <c r="J231" s="214"/>
      <c r="K231" s="214"/>
      <c r="L231" s="214"/>
      <c r="M231" s="214"/>
      <c r="N231" s="214"/>
      <c r="O231" s="214"/>
      <c r="P231" s="214"/>
      <c r="Q231" s="214"/>
      <c r="R231" s="214"/>
      <c r="S231" s="214"/>
      <c r="T231" s="214"/>
      <c r="U231" s="214"/>
      <c r="V231" s="214"/>
      <c r="W231" s="214"/>
      <c r="X231" s="214"/>
      <c r="Y231" s="214"/>
      <c r="Z231" s="214"/>
      <c r="AA231" s="214"/>
    </row>
    <row r="232" ht="15.75" customHeight="1">
      <c r="A232" s="245"/>
      <c r="B232" s="214"/>
      <c r="C232" s="214"/>
      <c r="D232" s="214"/>
      <c r="E232" s="214"/>
      <c r="F232" s="214"/>
      <c r="G232" s="214"/>
      <c r="H232" s="214"/>
      <c r="I232" s="214"/>
      <c r="J232" s="214"/>
      <c r="K232" s="214"/>
      <c r="L232" s="214"/>
      <c r="M232" s="214"/>
      <c r="N232" s="214"/>
      <c r="O232" s="214"/>
      <c r="P232" s="214"/>
      <c r="Q232" s="214"/>
      <c r="R232" s="214"/>
      <c r="S232" s="214"/>
      <c r="T232" s="214"/>
      <c r="U232" s="214"/>
      <c r="V232" s="214"/>
      <c r="W232" s="214"/>
      <c r="X232" s="214"/>
      <c r="Y232" s="214"/>
      <c r="Z232" s="214"/>
      <c r="AA232" s="214"/>
    </row>
    <row r="233" ht="15.75" customHeight="1">
      <c r="A233" s="245"/>
      <c r="B233" s="214"/>
      <c r="C233" s="214"/>
      <c r="D233" s="214"/>
      <c r="E233" s="214"/>
      <c r="F233" s="214"/>
      <c r="G233" s="214"/>
      <c r="H233" s="214"/>
      <c r="I233" s="214"/>
      <c r="J233" s="214"/>
      <c r="K233" s="214"/>
      <c r="L233" s="214"/>
      <c r="M233" s="214"/>
      <c r="N233" s="214"/>
      <c r="O233" s="214"/>
      <c r="P233" s="214"/>
      <c r="Q233" s="214"/>
      <c r="R233" s="214"/>
      <c r="S233" s="214"/>
      <c r="T233" s="214"/>
      <c r="U233" s="214"/>
      <c r="V233" s="214"/>
      <c r="W233" s="214"/>
      <c r="X233" s="214"/>
      <c r="Y233" s="214"/>
      <c r="Z233" s="214"/>
      <c r="AA233" s="214"/>
    </row>
    <row r="234" ht="15.75" customHeight="1">
      <c r="A234" s="245"/>
      <c r="B234" s="214"/>
      <c r="C234" s="214"/>
      <c r="D234" s="214"/>
      <c r="E234" s="214"/>
      <c r="F234" s="214"/>
      <c r="G234" s="214"/>
      <c r="H234" s="214"/>
      <c r="I234" s="214"/>
      <c r="J234" s="214"/>
      <c r="K234" s="214"/>
      <c r="L234" s="214"/>
      <c r="M234" s="214"/>
      <c r="N234" s="214"/>
      <c r="O234" s="214"/>
      <c r="P234" s="214"/>
      <c r="Q234" s="214"/>
      <c r="R234" s="214"/>
      <c r="S234" s="214"/>
      <c r="T234" s="214"/>
      <c r="U234" s="214"/>
      <c r="V234" s="214"/>
      <c r="W234" s="214"/>
      <c r="X234" s="214"/>
      <c r="Y234" s="214"/>
      <c r="Z234" s="214"/>
      <c r="AA234" s="214"/>
    </row>
    <row r="235" ht="15.75" customHeight="1">
      <c r="A235" s="245"/>
      <c r="B235" s="214"/>
      <c r="C235" s="214"/>
      <c r="D235" s="214"/>
      <c r="E235" s="214"/>
      <c r="F235" s="214"/>
      <c r="G235" s="214"/>
      <c r="H235" s="214"/>
      <c r="I235" s="214"/>
      <c r="J235" s="214"/>
      <c r="K235" s="214"/>
      <c r="L235" s="214"/>
      <c r="M235" s="214"/>
      <c r="N235" s="214"/>
      <c r="O235" s="214"/>
      <c r="P235" s="214"/>
      <c r="Q235" s="214"/>
      <c r="R235" s="214"/>
      <c r="S235" s="214"/>
      <c r="T235" s="214"/>
      <c r="U235" s="214"/>
      <c r="V235" s="214"/>
      <c r="W235" s="214"/>
      <c r="X235" s="214"/>
      <c r="Y235" s="214"/>
      <c r="Z235" s="214"/>
      <c r="AA235" s="214"/>
    </row>
    <row r="236" ht="15.75" customHeight="1">
      <c r="A236" s="245"/>
      <c r="B236" s="214"/>
      <c r="C236" s="214"/>
      <c r="D236" s="214"/>
      <c r="E236" s="214"/>
      <c r="F236" s="214"/>
      <c r="G236" s="214"/>
      <c r="H236" s="214"/>
      <c r="I236" s="214"/>
      <c r="J236" s="214"/>
      <c r="K236" s="214"/>
      <c r="L236" s="214"/>
      <c r="M236" s="214"/>
      <c r="N236" s="214"/>
      <c r="O236" s="214"/>
      <c r="P236" s="214"/>
      <c r="Q236" s="214"/>
      <c r="R236" s="214"/>
      <c r="S236" s="214"/>
      <c r="T236" s="214"/>
      <c r="U236" s="214"/>
      <c r="V236" s="214"/>
      <c r="W236" s="214"/>
      <c r="X236" s="214"/>
      <c r="Y236" s="214"/>
      <c r="Z236" s="214"/>
      <c r="AA236" s="214"/>
    </row>
    <row r="237" ht="15.75" customHeight="1">
      <c r="A237" s="245"/>
      <c r="B237" s="214"/>
      <c r="C237" s="214"/>
      <c r="D237" s="214"/>
      <c r="E237" s="214"/>
      <c r="F237" s="214"/>
      <c r="G237" s="214"/>
      <c r="H237" s="214"/>
      <c r="I237" s="214"/>
      <c r="J237" s="214"/>
      <c r="K237" s="214"/>
      <c r="L237" s="214"/>
      <c r="M237" s="214"/>
      <c r="N237" s="214"/>
      <c r="O237" s="214"/>
      <c r="P237" s="214"/>
      <c r="Q237" s="214"/>
      <c r="R237" s="214"/>
      <c r="S237" s="214"/>
      <c r="T237" s="214"/>
      <c r="U237" s="214"/>
      <c r="V237" s="214"/>
      <c r="W237" s="214"/>
      <c r="X237" s="214"/>
      <c r="Y237" s="214"/>
      <c r="Z237" s="214"/>
      <c r="AA237" s="214"/>
    </row>
    <row r="238" ht="15.75" customHeight="1">
      <c r="A238" s="245"/>
      <c r="B238" s="214"/>
      <c r="C238" s="214"/>
      <c r="D238" s="214"/>
      <c r="E238" s="214"/>
      <c r="F238" s="214"/>
      <c r="G238" s="214"/>
      <c r="H238" s="214"/>
      <c r="I238" s="214"/>
      <c r="J238" s="214"/>
      <c r="K238" s="214"/>
      <c r="L238" s="214"/>
      <c r="M238" s="214"/>
      <c r="N238" s="214"/>
      <c r="O238" s="214"/>
      <c r="P238" s="214"/>
      <c r="Q238" s="214"/>
      <c r="R238" s="214"/>
      <c r="S238" s="214"/>
      <c r="T238" s="214"/>
      <c r="U238" s="214"/>
      <c r="V238" s="214"/>
      <c r="W238" s="214"/>
      <c r="X238" s="214"/>
      <c r="Y238" s="214"/>
      <c r="Z238" s="214"/>
      <c r="AA238" s="214"/>
    </row>
    <row r="239" ht="15.75" customHeight="1">
      <c r="A239" s="245"/>
      <c r="B239" s="214"/>
      <c r="C239" s="214"/>
      <c r="D239" s="214"/>
      <c r="E239" s="214"/>
      <c r="F239" s="214"/>
      <c r="G239" s="214"/>
      <c r="H239" s="214"/>
      <c r="I239" s="214"/>
      <c r="J239" s="214"/>
      <c r="K239" s="214"/>
      <c r="L239" s="214"/>
      <c r="M239" s="214"/>
      <c r="N239" s="214"/>
      <c r="O239" s="214"/>
      <c r="P239" s="214"/>
      <c r="Q239" s="214"/>
      <c r="R239" s="214"/>
      <c r="S239" s="214"/>
      <c r="T239" s="214"/>
      <c r="U239" s="214"/>
      <c r="V239" s="214"/>
      <c r="W239" s="214"/>
      <c r="X239" s="214"/>
      <c r="Y239" s="214"/>
      <c r="Z239" s="214"/>
      <c r="AA239" s="214"/>
    </row>
    <row r="240" ht="15.75" customHeight="1">
      <c r="A240" s="245"/>
      <c r="B240" s="214"/>
      <c r="C240" s="214"/>
      <c r="D240" s="214"/>
      <c r="E240" s="214"/>
      <c r="F240" s="214"/>
      <c r="G240" s="214"/>
      <c r="H240" s="214"/>
      <c r="I240" s="214"/>
      <c r="J240" s="214"/>
      <c r="K240" s="214"/>
      <c r="L240" s="214"/>
      <c r="M240" s="214"/>
      <c r="N240" s="214"/>
      <c r="O240" s="214"/>
      <c r="P240" s="214"/>
      <c r="Q240" s="214"/>
      <c r="R240" s="214"/>
      <c r="S240" s="214"/>
      <c r="T240" s="214"/>
      <c r="U240" s="214"/>
      <c r="V240" s="214"/>
      <c r="W240" s="214"/>
      <c r="X240" s="214"/>
      <c r="Y240" s="214"/>
      <c r="Z240" s="214"/>
      <c r="AA240" s="214"/>
    </row>
    <row r="241" ht="15.75" customHeight="1">
      <c r="A241" s="245"/>
      <c r="B241" s="214"/>
      <c r="C241" s="214"/>
      <c r="D241" s="214"/>
      <c r="E241" s="214"/>
      <c r="F241" s="214"/>
      <c r="G241" s="214"/>
      <c r="H241" s="214"/>
      <c r="I241" s="214"/>
      <c r="J241" s="214"/>
      <c r="K241" s="214"/>
      <c r="L241" s="214"/>
      <c r="M241" s="214"/>
      <c r="N241" s="214"/>
      <c r="O241" s="214"/>
      <c r="P241" s="214"/>
      <c r="Q241" s="214"/>
      <c r="R241" s="214"/>
      <c r="S241" s="214"/>
      <c r="T241" s="214"/>
      <c r="U241" s="214"/>
      <c r="V241" s="214"/>
      <c r="W241" s="214"/>
      <c r="X241" s="214"/>
      <c r="Y241" s="214"/>
      <c r="Z241" s="214"/>
      <c r="AA241" s="214"/>
    </row>
    <row r="242" ht="15.75" customHeight="1">
      <c r="A242" s="245"/>
      <c r="B242" s="214"/>
      <c r="C242" s="214"/>
      <c r="D242" s="214"/>
      <c r="E242" s="214"/>
      <c r="F242" s="214"/>
      <c r="G242" s="214"/>
      <c r="H242" s="214"/>
      <c r="I242" s="214"/>
      <c r="J242" s="214"/>
      <c r="K242" s="214"/>
      <c r="L242" s="214"/>
      <c r="M242" s="214"/>
      <c r="N242" s="214"/>
      <c r="O242" s="214"/>
      <c r="P242" s="214"/>
      <c r="Q242" s="214"/>
      <c r="R242" s="214"/>
      <c r="S242" s="214"/>
      <c r="T242" s="214"/>
      <c r="U242" s="214"/>
      <c r="V242" s="214"/>
      <c r="W242" s="214"/>
      <c r="X242" s="214"/>
      <c r="Y242" s="214"/>
      <c r="Z242" s="214"/>
      <c r="AA242" s="214"/>
    </row>
    <row r="243" ht="15.75" customHeight="1">
      <c r="A243" s="245"/>
      <c r="B243" s="214"/>
      <c r="C243" s="214"/>
      <c r="D243" s="214"/>
      <c r="E243" s="214"/>
      <c r="F243" s="214"/>
      <c r="G243" s="214"/>
      <c r="H243" s="214"/>
      <c r="I243" s="214"/>
      <c r="J243" s="214"/>
      <c r="K243" s="214"/>
      <c r="L243" s="214"/>
      <c r="M243" s="214"/>
      <c r="N243" s="214"/>
      <c r="O243" s="214"/>
      <c r="P243" s="214"/>
      <c r="Q243" s="214"/>
      <c r="R243" s="214"/>
      <c r="S243" s="214"/>
      <c r="T243" s="214"/>
      <c r="U243" s="214"/>
      <c r="V243" s="214"/>
      <c r="W243" s="214"/>
      <c r="X243" s="214"/>
      <c r="Y243" s="214"/>
      <c r="Z243" s="214"/>
      <c r="AA243" s="214"/>
    </row>
    <row r="244" ht="15.75" customHeight="1">
      <c r="A244" s="245"/>
      <c r="B244" s="214"/>
      <c r="C244" s="214"/>
      <c r="D244" s="214"/>
      <c r="E244" s="214"/>
      <c r="F244" s="214"/>
      <c r="G244" s="214"/>
      <c r="H244" s="214"/>
      <c r="I244" s="214"/>
      <c r="J244" s="214"/>
      <c r="K244" s="214"/>
      <c r="L244" s="214"/>
      <c r="M244" s="214"/>
      <c r="N244" s="214"/>
      <c r="O244" s="214"/>
      <c r="P244" s="214"/>
      <c r="Q244" s="214"/>
      <c r="R244" s="214"/>
      <c r="S244" s="214"/>
      <c r="T244" s="214"/>
      <c r="U244" s="214"/>
      <c r="V244" s="214"/>
      <c r="W244" s="214"/>
      <c r="X244" s="214"/>
      <c r="Y244" s="214"/>
      <c r="Z244" s="214"/>
      <c r="AA244" s="214"/>
    </row>
    <row r="245" ht="15.75" customHeight="1">
      <c r="A245" s="245"/>
      <c r="B245" s="214"/>
      <c r="C245" s="214"/>
      <c r="D245" s="214"/>
      <c r="E245" s="214"/>
      <c r="F245" s="214"/>
      <c r="G245" s="214"/>
      <c r="H245" s="214"/>
      <c r="I245" s="214"/>
      <c r="J245" s="214"/>
      <c r="K245" s="214"/>
      <c r="L245" s="214"/>
      <c r="M245" s="214"/>
      <c r="N245" s="214"/>
      <c r="O245" s="214"/>
      <c r="P245" s="214"/>
      <c r="Q245" s="214"/>
      <c r="R245" s="214"/>
      <c r="S245" s="214"/>
      <c r="T245" s="214"/>
      <c r="U245" s="214"/>
      <c r="V245" s="214"/>
      <c r="W245" s="214"/>
      <c r="X245" s="214"/>
      <c r="Y245" s="214"/>
      <c r="Z245" s="214"/>
      <c r="AA245" s="214"/>
    </row>
    <row r="246" ht="15.75" customHeight="1">
      <c r="A246" s="245"/>
      <c r="B246" s="214"/>
      <c r="C246" s="214"/>
      <c r="D246" s="214"/>
      <c r="E246" s="214"/>
      <c r="F246" s="214"/>
      <c r="G246" s="214"/>
      <c r="H246" s="214"/>
      <c r="I246" s="214"/>
      <c r="J246" s="214"/>
      <c r="K246" s="214"/>
      <c r="L246" s="214"/>
      <c r="M246" s="214"/>
      <c r="N246" s="214"/>
      <c r="O246" s="214"/>
      <c r="P246" s="214"/>
      <c r="Q246" s="214"/>
      <c r="R246" s="214"/>
      <c r="S246" s="214"/>
      <c r="T246" s="214"/>
      <c r="U246" s="214"/>
      <c r="V246" s="214"/>
      <c r="W246" s="214"/>
      <c r="X246" s="214"/>
      <c r="Y246" s="214"/>
      <c r="Z246" s="214"/>
      <c r="AA246" s="214"/>
    </row>
    <row r="247" ht="15.75" customHeight="1">
      <c r="A247" s="245"/>
      <c r="B247" s="214"/>
      <c r="C247" s="214"/>
      <c r="D247" s="214"/>
      <c r="E247" s="214"/>
      <c r="F247" s="214"/>
      <c r="G247" s="214"/>
      <c r="H247" s="214"/>
      <c r="I247" s="214"/>
      <c r="J247" s="214"/>
      <c r="K247" s="214"/>
      <c r="L247" s="214"/>
      <c r="M247" s="214"/>
      <c r="N247" s="214"/>
      <c r="O247" s="214"/>
      <c r="P247" s="214"/>
      <c r="Q247" s="214"/>
      <c r="R247" s="214"/>
      <c r="S247" s="214"/>
      <c r="T247" s="214"/>
      <c r="U247" s="214"/>
      <c r="V247" s="214"/>
      <c r="W247" s="214"/>
      <c r="X247" s="214"/>
      <c r="Y247" s="214"/>
      <c r="Z247" s="214"/>
      <c r="AA247" s="214"/>
    </row>
    <row r="248" ht="15.75" customHeight="1">
      <c r="A248" s="245"/>
      <c r="B248" s="214"/>
      <c r="C248" s="214"/>
      <c r="D248" s="214"/>
      <c r="E248" s="214"/>
      <c r="F248" s="214"/>
      <c r="G248" s="214"/>
      <c r="H248" s="214"/>
      <c r="I248" s="214"/>
      <c r="J248" s="214"/>
      <c r="K248" s="214"/>
      <c r="L248" s="214"/>
      <c r="M248" s="214"/>
      <c r="N248" s="214"/>
      <c r="O248" s="214"/>
      <c r="P248" s="214"/>
      <c r="Q248" s="214"/>
      <c r="R248" s="214"/>
      <c r="S248" s="214"/>
      <c r="T248" s="214"/>
      <c r="U248" s="214"/>
      <c r="V248" s="214"/>
      <c r="W248" s="214"/>
      <c r="X248" s="214"/>
      <c r="Y248" s="214"/>
      <c r="Z248" s="214"/>
      <c r="AA248" s="214"/>
    </row>
    <row r="249" ht="15.75" customHeight="1">
      <c r="A249" s="245"/>
      <c r="B249" s="214"/>
      <c r="C249" s="214"/>
      <c r="D249" s="214"/>
      <c r="E249" s="214"/>
      <c r="F249" s="214"/>
      <c r="G249" s="214"/>
      <c r="H249" s="214"/>
      <c r="I249" s="214"/>
      <c r="J249" s="214"/>
      <c r="K249" s="214"/>
      <c r="L249" s="214"/>
      <c r="M249" s="214"/>
      <c r="N249" s="214"/>
      <c r="O249" s="214"/>
      <c r="P249" s="214"/>
      <c r="Q249" s="214"/>
      <c r="R249" s="214"/>
      <c r="S249" s="214"/>
      <c r="T249" s="214"/>
      <c r="U249" s="214"/>
      <c r="V249" s="214"/>
      <c r="W249" s="214"/>
      <c r="X249" s="214"/>
      <c r="Y249" s="214"/>
      <c r="Z249" s="214"/>
      <c r="AA249" s="214"/>
    </row>
    <row r="250" ht="15.75" customHeight="1">
      <c r="A250" s="245"/>
      <c r="B250" s="214"/>
      <c r="C250" s="214"/>
      <c r="D250" s="214"/>
      <c r="E250" s="214"/>
      <c r="F250" s="214"/>
      <c r="G250" s="214"/>
      <c r="H250" s="214"/>
      <c r="I250" s="214"/>
      <c r="J250" s="214"/>
      <c r="K250" s="214"/>
      <c r="L250" s="214"/>
      <c r="M250" s="214"/>
      <c r="N250" s="214"/>
      <c r="O250" s="214"/>
      <c r="P250" s="214"/>
      <c r="Q250" s="214"/>
      <c r="R250" s="214"/>
      <c r="S250" s="214"/>
      <c r="T250" s="214"/>
      <c r="U250" s="214"/>
      <c r="V250" s="214"/>
      <c r="W250" s="214"/>
      <c r="X250" s="214"/>
      <c r="Y250" s="214"/>
      <c r="Z250" s="214"/>
      <c r="AA250" s="214"/>
    </row>
    <row r="251" ht="15.75" customHeight="1">
      <c r="A251" s="245"/>
      <c r="B251" s="214"/>
      <c r="C251" s="214"/>
      <c r="D251" s="214"/>
      <c r="E251" s="214"/>
      <c r="F251" s="214"/>
      <c r="G251" s="214"/>
      <c r="H251" s="214"/>
      <c r="I251" s="214"/>
      <c r="J251" s="214"/>
      <c r="K251" s="214"/>
      <c r="L251" s="214"/>
      <c r="M251" s="214"/>
      <c r="N251" s="214"/>
      <c r="O251" s="214"/>
      <c r="P251" s="214"/>
      <c r="Q251" s="214"/>
      <c r="R251" s="214"/>
      <c r="S251" s="214"/>
      <c r="T251" s="214"/>
      <c r="U251" s="214"/>
      <c r="V251" s="214"/>
      <c r="W251" s="214"/>
      <c r="X251" s="214"/>
      <c r="Y251" s="214"/>
      <c r="Z251" s="214"/>
      <c r="AA251" s="214"/>
    </row>
    <row r="252" ht="15.75" customHeight="1">
      <c r="A252" s="245"/>
      <c r="B252" s="214"/>
      <c r="C252" s="214"/>
      <c r="D252" s="214"/>
      <c r="E252" s="214"/>
      <c r="F252" s="214"/>
      <c r="G252" s="214"/>
      <c r="H252" s="214"/>
      <c r="I252" s="214"/>
      <c r="J252" s="214"/>
      <c r="K252" s="214"/>
      <c r="L252" s="214"/>
      <c r="M252" s="214"/>
      <c r="N252" s="214"/>
      <c r="O252" s="214"/>
      <c r="P252" s="214"/>
      <c r="Q252" s="214"/>
      <c r="R252" s="214"/>
      <c r="S252" s="214"/>
      <c r="T252" s="214"/>
      <c r="U252" s="214"/>
      <c r="V252" s="214"/>
      <c r="W252" s="214"/>
      <c r="X252" s="214"/>
      <c r="Y252" s="214"/>
      <c r="Z252" s="214"/>
      <c r="AA252" s="214"/>
    </row>
    <row r="253" ht="15.75" customHeight="1">
      <c r="A253" s="245"/>
      <c r="B253" s="214"/>
      <c r="C253" s="214"/>
      <c r="D253" s="214"/>
      <c r="E253" s="214"/>
      <c r="F253" s="214"/>
      <c r="G253" s="214"/>
      <c r="H253" s="214"/>
      <c r="I253" s="214"/>
      <c r="J253" s="214"/>
      <c r="K253" s="214"/>
      <c r="L253" s="214"/>
      <c r="M253" s="214"/>
      <c r="N253" s="214"/>
      <c r="O253" s="214"/>
      <c r="P253" s="214"/>
      <c r="Q253" s="214"/>
      <c r="R253" s="214"/>
      <c r="S253" s="214"/>
      <c r="T253" s="214"/>
      <c r="U253" s="214"/>
      <c r="V253" s="214"/>
      <c r="W253" s="214"/>
      <c r="X253" s="214"/>
      <c r="Y253" s="214"/>
      <c r="Z253" s="214"/>
      <c r="AA253" s="214"/>
    </row>
    <row r="254" ht="15.75" customHeight="1">
      <c r="A254" s="245"/>
      <c r="B254" s="214"/>
      <c r="C254" s="214"/>
      <c r="D254" s="214"/>
      <c r="E254" s="214"/>
      <c r="F254" s="214"/>
      <c r="G254" s="214"/>
      <c r="H254" s="214"/>
      <c r="I254" s="214"/>
      <c r="J254" s="214"/>
      <c r="K254" s="214"/>
      <c r="L254" s="214"/>
      <c r="M254" s="214"/>
      <c r="N254" s="214"/>
      <c r="O254" s="214"/>
      <c r="P254" s="214"/>
      <c r="Q254" s="214"/>
      <c r="R254" s="214"/>
      <c r="S254" s="214"/>
      <c r="T254" s="214"/>
      <c r="U254" s="214"/>
      <c r="V254" s="214"/>
      <c r="W254" s="214"/>
      <c r="X254" s="214"/>
      <c r="Y254" s="214"/>
      <c r="Z254" s="214"/>
      <c r="AA254" s="214"/>
    </row>
    <row r="255" ht="15.75" customHeight="1">
      <c r="A255" s="245"/>
      <c r="B255" s="214"/>
      <c r="C255" s="214"/>
      <c r="D255" s="214"/>
      <c r="E255" s="214"/>
      <c r="F255" s="214"/>
      <c r="G255" s="214"/>
      <c r="H255" s="214"/>
      <c r="I255" s="214"/>
      <c r="J255" s="214"/>
      <c r="K255" s="214"/>
      <c r="L255" s="214"/>
      <c r="M255" s="214"/>
      <c r="N255" s="214"/>
      <c r="O255" s="214"/>
      <c r="P255" s="214"/>
      <c r="Q255" s="214"/>
      <c r="R255" s="214"/>
      <c r="S255" s="214"/>
      <c r="T255" s="214"/>
      <c r="U255" s="214"/>
      <c r="V255" s="214"/>
      <c r="W255" s="214"/>
      <c r="X255" s="214"/>
      <c r="Y255" s="214"/>
      <c r="Z255" s="214"/>
      <c r="AA255" s="214"/>
    </row>
    <row r="256" ht="15.75" customHeight="1">
      <c r="A256" s="245"/>
      <c r="B256" s="214"/>
      <c r="C256" s="214"/>
      <c r="D256" s="214"/>
      <c r="E256" s="214"/>
      <c r="F256" s="214"/>
      <c r="G256" s="214"/>
      <c r="H256" s="214"/>
      <c r="I256" s="214"/>
      <c r="J256" s="214"/>
      <c r="K256" s="214"/>
      <c r="L256" s="214"/>
      <c r="M256" s="214"/>
      <c r="N256" s="214"/>
      <c r="O256" s="214"/>
      <c r="P256" s="214"/>
      <c r="Q256" s="214"/>
      <c r="R256" s="214"/>
      <c r="S256" s="214"/>
      <c r="T256" s="214"/>
      <c r="U256" s="214"/>
      <c r="V256" s="214"/>
      <c r="W256" s="214"/>
      <c r="X256" s="214"/>
      <c r="Y256" s="214"/>
      <c r="Z256" s="214"/>
      <c r="AA256" s="214"/>
    </row>
    <row r="257" ht="15.75" customHeight="1">
      <c r="A257" s="245"/>
      <c r="B257" s="214"/>
      <c r="C257" s="214"/>
      <c r="D257" s="214"/>
      <c r="E257" s="214"/>
      <c r="F257" s="214"/>
      <c r="G257" s="214"/>
      <c r="H257" s="214"/>
      <c r="I257" s="214"/>
      <c r="J257" s="214"/>
      <c r="K257" s="214"/>
      <c r="L257" s="214"/>
      <c r="M257" s="214"/>
      <c r="N257" s="214"/>
      <c r="O257" s="214"/>
      <c r="P257" s="214"/>
      <c r="Q257" s="214"/>
      <c r="R257" s="214"/>
      <c r="S257" s="214"/>
      <c r="T257" s="214"/>
      <c r="U257" s="214"/>
      <c r="V257" s="214"/>
      <c r="W257" s="214"/>
      <c r="X257" s="214"/>
      <c r="Y257" s="214"/>
      <c r="Z257" s="214"/>
      <c r="AA257" s="214"/>
    </row>
    <row r="258" ht="15.75" customHeight="1">
      <c r="A258" s="245"/>
      <c r="B258" s="214"/>
      <c r="C258" s="214"/>
      <c r="D258" s="214"/>
      <c r="E258" s="214"/>
      <c r="F258" s="214"/>
      <c r="G258" s="214"/>
      <c r="H258" s="214"/>
      <c r="I258" s="214"/>
      <c r="J258" s="214"/>
      <c r="K258" s="214"/>
      <c r="L258" s="214"/>
      <c r="M258" s="214"/>
      <c r="N258" s="214"/>
      <c r="O258" s="214"/>
      <c r="P258" s="214"/>
      <c r="Q258" s="214"/>
      <c r="R258" s="214"/>
      <c r="S258" s="214"/>
      <c r="T258" s="214"/>
      <c r="U258" s="214"/>
      <c r="V258" s="214"/>
      <c r="W258" s="214"/>
      <c r="X258" s="214"/>
      <c r="Y258" s="214"/>
      <c r="Z258" s="214"/>
      <c r="AA258" s="214"/>
    </row>
    <row r="259" ht="15.75" customHeight="1">
      <c r="A259" s="245"/>
      <c r="B259" s="214"/>
      <c r="C259" s="214"/>
      <c r="D259" s="214"/>
      <c r="E259" s="214"/>
      <c r="F259" s="214"/>
      <c r="G259" s="214"/>
      <c r="H259" s="214"/>
      <c r="I259" s="214"/>
      <c r="J259" s="214"/>
      <c r="K259" s="214"/>
      <c r="L259" s="214"/>
      <c r="M259" s="214"/>
      <c r="N259" s="214"/>
      <c r="O259" s="214"/>
      <c r="P259" s="214"/>
      <c r="Q259" s="214"/>
      <c r="R259" s="214"/>
      <c r="S259" s="214"/>
      <c r="T259" s="214"/>
      <c r="U259" s="214"/>
      <c r="V259" s="214"/>
      <c r="W259" s="214"/>
      <c r="X259" s="214"/>
      <c r="Y259" s="214"/>
      <c r="Z259" s="214"/>
      <c r="AA259" s="214"/>
    </row>
    <row r="260" ht="15.75" customHeight="1">
      <c r="A260" s="245"/>
      <c r="B260" s="214"/>
      <c r="C260" s="214"/>
      <c r="D260" s="214"/>
      <c r="E260" s="214"/>
      <c r="F260" s="214"/>
      <c r="G260" s="214"/>
      <c r="H260" s="214"/>
      <c r="I260" s="214"/>
      <c r="J260" s="214"/>
      <c r="K260" s="214"/>
      <c r="L260" s="214"/>
      <c r="M260" s="214"/>
      <c r="N260" s="214"/>
      <c r="O260" s="214"/>
      <c r="P260" s="214"/>
      <c r="Q260" s="214"/>
      <c r="R260" s="214"/>
      <c r="S260" s="214"/>
      <c r="T260" s="214"/>
      <c r="U260" s="214"/>
      <c r="V260" s="214"/>
      <c r="W260" s="214"/>
      <c r="X260" s="214"/>
      <c r="Y260" s="214"/>
      <c r="Z260" s="214"/>
      <c r="AA260" s="214"/>
    </row>
    <row r="261" ht="15.75" customHeight="1">
      <c r="A261" s="245"/>
      <c r="B261" s="214"/>
      <c r="C261" s="214"/>
      <c r="D261" s="214"/>
      <c r="E261" s="214"/>
      <c r="F261" s="214"/>
      <c r="G261" s="214"/>
      <c r="H261" s="214"/>
      <c r="I261" s="214"/>
      <c r="J261" s="214"/>
      <c r="K261" s="214"/>
      <c r="L261" s="214"/>
      <c r="M261" s="214"/>
      <c r="N261" s="214"/>
      <c r="O261" s="214"/>
      <c r="P261" s="214"/>
      <c r="Q261" s="214"/>
      <c r="R261" s="214"/>
      <c r="S261" s="214"/>
      <c r="T261" s="214"/>
      <c r="U261" s="214"/>
      <c r="V261" s="214"/>
      <c r="W261" s="214"/>
      <c r="X261" s="214"/>
      <c r="Y261" s="214"/>
      <c r="Z261" s="214"/>
      <c r="AA261" s="214"/>
    </row>
    <row r="262" ht="15.75" customHeight="1">
      <c r="A262" s="245"/>
      <c r="B262" s="214"/>
      <c r="C262" s="214"/>
      <c r="D262" s="214"/>
      <c r="E262" s="214"/>
      <c r="F262" s="214"/>
      <c r="G262" s="214"/>
      <c r="H262" s="214"/>
      <c r="I262" s="214"/>
      <c r="J262" s="214"/>
      <c r="K262" s="214"/>
      <c r="L262" s="214"/>
      <c r="M262" s="214"/>
      <c r="N262" s="214"/>
      <c r="O262" s="214"/>
      <c r="P262" s="214"/>
      <c r="Q262" s="214"/>
      <c r="R262" s="214"/>
      <c r="S262" s="214"/>
      <c r="T262" s="214"/>
      <c r="U262" s="214"/>
      <c r="V262" s="214"/>
      <c r="W262" s="214"/>
      <c r="X262" s="214"/>
      <c r="Y262" s="214"/>
      <c r="Z262" s="214"/>
      <c r="AA262" s="214"/>
    </row>
    <row r="263" ht="15.75" customHeight="1">
      <c r="A263" s="245"/>
      <c r="B263" s="214"/>
      <c r="C263" s="214"/>
      <c r="D263" s="214"/>
      <c r="E263" s="214"/>
      <c r="F263" s="214"/>
      <c r="G263" s="214"/>
      <c r="H263" s="214"/>
      <c r="I263" s="214"/>
      <c r="J263" s="214"/>
      <c r="K263" s="214"/>
      <c r="L263" s="214"/>
      <c r="M263" s="214"/>
      <c r="N263" s="214"/>
      <c r="O263" s="214"/>
      <c r="P263" s="214"/>
      <c r="Q263" s="214"/>
      <c r="R263" s="214"/>
      <c r="S263" s="214"/>
      <c r="T263" s="214"/>
      <c r="U263" s="214"/>
      <c r="V263" s="214"/>
      <c r="W263" s="214"/>
      <c r="X263" s="214"/>
      <c r="Y263" s="214"/>
      <c r="Z263" s="214"/>
      <c r="AA263" s="214"/>
    </row>
    <row r="264" ht="15.75" customHeight="1">
      <c r="A264" s="245"/>
      <c r="B264" s="214"/>
      <c r="C264" s="214"/>
      <c r="D264" s="214"/>
      <c r="E264" s="214"/>
      <c r="F264" s="214"/>
      <c r="G264" s="214"/>
      <c r="H264" s="214"/>
      <c r="I264" s="214"/>
      <c r="J264" s="214"/>
      <c r="K264" s="214"/>
      <c r="L264" s="214"/>
      <c r="M264" s="214"/>
      <c r="N264" s="214"/>
      <c r="O264" s="214"/>
      <c r="P264" s="214"/>
      <c r="Q264" s="214"/>
      <c r="R264" s="214"/>
      <c r="S264" s="214"/>
      <c r="T264" s="214"/>
      <c r="U264" s="214"/>
      <c r="V264" s="214"/>
      <c r="W264" s="214"/>
      <c r="X264" s="214"/>
      <c r="Y264" s="214"/>
      <c r="Z264" s="214"/>
      <c r="AA264" s="214"/>
    </row>
    <row r="265" ht="15.75" customHeight="1">
      <c r="A265" s="245"/>
      <c r="B265" s="214"/>
      <c r="C265" s="214"/>
      <c r="D265" s="214"/>
      <c r="E265" s="214"/>
      <c r="F265" s="214"/>
      <c r="G265" s="214"/>
      <c r="H265" s="214"/>
      <c r="I265" s="214"/>
      <c r="J265" s="214"/>
      <c r="K265" s="214"/>
      <c r="L265" s="214"/>
      <c r="M265" s="214"/>
      <c r="N265" s="214"/>
      <c r="O265" s="214"/>
      <c r="P265" s="214"/>
      <c r="Q265" s="214"/>
      <c r="R265" s="214"/>
      <c r="S265" s="214"/>
      <c r="T265" s="214"/>
      <c r="U265" s="214"/>
      <c r="V265" s="214"/>
      <c r="W265" s="214"/>
      <c r="X265" s="214"/>
      <c r="Y265" s="214"/>
      <c r="Z265" s="214"/>
      <c r="AA265" s="214"/>
    </row>
    <row r="266" ht="15.75" customHeight="1">
      <c r="A266" s="245"/>
      <c r="B266" s="214"/>
      <c r="C266" s="214"/>
      <c r="D266" s="214"/>
      <c r="E266" s="214"/>
      <c r="F266" s="214"/>
      <c r="G266" s="214"/>
      <c r="H266" s="214"/>
      <c r="I266" s="214"/>
      <c r="J266" s="214"/>
      <c r="K266" s="214"/>
      <c r="L266" s="214"/>
      <c r="M266" s="214"/>
      <c r="N266" s="214"/>
      <c r="O266" s="214"/>
      <c r="P266" s="214"/>
      <c r="Q266" s="214"/>
      <c r="R266" s="214"/>
      <c r="S266" s="214"/>
      <c r="T266" s="214"/>
      <c r="U266" s="214"/>
      <c r="V266" s="214"/>
      <c r="W266" s="214"/>
      <c r="X266" s="214"/>
      <c r="Y266" s="214"/>
      <c r="Z266" s="214"/>
      <c r="AA266" s="214"/>
    </row>
    <row r="267" ht="15.75" customHeight="1">
      <c r="A267" s="245"/>
      <c r="B267" s="214"/>
      <c r="C267" s="214"/>
      <c r="D267" s="214"/>
      <c r="E267" s="214"/>
      <c r="F267" s="214"/>
      <c r="G267" s="214"/>
      <c r="H267" s="214"/>
      <c r="I267" s="214"/>
      <c r="J267" s="214"/>
      <c r="K267" s="214"/>
      <c r="L267" s="214"/>
      <c r="M267" s="214"/>
      <c r="N267" s="214"/>
      <c r="O267" s="214"/>
      <c r="P267" s="214"/>
      <c r="Q267" s="214"/>
      <c r="R267" s="214"/>
      <c r="S267" s="214"/>
      <c r="T267" s="214"/>
      <c r="U267" s="214"/>
      <c r="V267" s="214"/>
      <c r="W267" s="214"/>
      <c r="X267" s="214"/>
      <c r="Y267" s="214"/>
      <c r="Z267" s="214"/>
      <c r="AA267" s="214"/>
    </row>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AA$67"/>
  <mergeCells count="3">
    <mergeCell ref="A1:I1"/>
    <mergeCell ref="K1:O1"/>
    <mergeCell ref="A61:I61"/>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1.0"/>
    <col customWidth="1" min="2" max="2" width="20.38"/>
    <col customWidth="1" min="3" max="3" width="22.25"/>
    <col customWidth="1" min="4" max="4" width="18.63"/>
    <col customWidth="1" min="5" max="5" width="19.88"/>
    <col customWidth="1" min="6" max="6" width="20.5"/>
    <col customWidth="1" min="7" max="26" width="11.0"/>
  </cols>
  <sheetData>
    <row r="1" ht="15.75" customHeight="1">
      <c r="A1" s="216" t="s">
        <v>0</v>
      </c>
      <c r="B1" s="227" t="s">
        <v>498</v>
      </c>
      <c r="C1" s="227" t="s">
        <v>499</v>
      </c>
      <c r="D1" s="227" t="s">
        <v>500</v>
      </c>
      <c r="E1" s="227" t="s">
        <v>501</v>
      </c>
      <c r="F1" s="227" t="s">
        <v>21</v>
      </c>
      <c r="G1" s="214"/>
      <c r="H1" s="214"/>
      <c r="I1" s="214"/>
      <c r="J1" s="214"/>
      <c r="K1" s="214"/>
      <c r="L1" s="214"/>
      <c r="M1" s="214"/>
      <c r="N1" s="214"/>
      <c r="O1" s="214"/>
      <c r="P1" s="214"/>
      <c r="Q1" s="214"/>
      <c r="R1" s="214"/>
      <c r="S1" s="214"/>
      <c r="T1" s="214"/>
      <c r="U1" s="214"/>
      <c r="V1" s="214"/>
      <c r="W1" s="214"/>
      <c r="X1" s="214"/>
      <c r="Y1" s="214"/>
      <c r="Z1" s="214"/>
    </row>
    <row r="2" ht="15.75" customHeight="1">
      <c r="A2" s="246">
        <v>1.0</v>
      </c>
      <c r="B2" s="234" t="s">
        <v>467</v>
      </c>
      <c r="C2" s="232">
        <v>8.054416954E9</v>
      </c>
      <c r="D2" s="247" t="s">
        <v>502</v>
      </c>
      <c r="E2" s="232" t="s">
        <v>503</v>
      </c>
      <c r="F2" s="232"/>
      <c r="G2" s="214"/>
      <c r="H2" s="214"/>
      <c r="I2" s="214"/>
      <c r="J2" s="214"/>
      <c r="K2" s="214"/>
      <c r="L2" s="214"/>
      <c r="M2" s="214"/>
      <c r="N2" s="214"/>
      <c r="O2" s="214"/>
      <c r="P2" s="214"/>
      <c r="Q2" s="214"/>
      <c r="R2" s="214"/>
      <c r="S2" s="214"/>
      <c r="T2" s="214"/>
      <c r="U2" s="214"/>
      <c r="V2" s="214"/>
      <c r="W2" s="214"/>
      <c r="X2" s="214"/>
      <c r="Y2" s="214"/>
      <c r="Z2" s="214"/>
    </row>
    <row r="3" ht="15.75" customHeight="1">
      <c r="A3" s="246">
        <v>2.0</v>
      </c>
      <c r="B3" s="234" t="s">
        <v>504</v>
      </c>
      <c r="C3" s="232">
        <v>8.028856645E9</v>
      </c>
      <c r="D3" s="247" t="s">
        <v>505</v>
      </c>
      <c r="E3" s="232" t="s">
        <v>506</v>
      </c>
      <c r="F3" s="232"/>
      <c r="G3" s="214"/>
      <c r="H3" s="214"/>
      <c r="I3" s="214"/>
      <c r="J3" s="214"/>
      <c r="K3" s="214"/>
      <c r="L3" s="214"/>
      <c r="M3" s="214"/>
      <c r="N3" s="214"/>
      <c r="O3" s="214"/>
      <c r="P3" s="214"/>
      <c r="Q3" s="214"/>
      <c r="R3" s="214"/>
      <c r="S3" s="214"/>
      <c r="T3" s="214"/>
      <c r="U3" s="214"/>
      <c r="V3" s="214"/>
      <c r="W3" s="214"/>
      <c r="X3" s="214"/>
      <c r="Y3" s="214"/>
      <c r="Z3" s="214"/>
    </row>
    <row r="4" ht="15.75" customHeight="1">
      <c r="A4" s="248">
        <v>3.0</v>
      </c>
      <c r="B4" s="249" t="s">
        <v>507</v>
      </c>
      <c r="C4" s="250">
        <v>4.600755546E9</v>
      </c>
      <c r="D4" s="250">
        <v>9.15640505E8</v>
      </c>
      <c r="E4" s="250" t="s">
        <v>508</v>
      </c>
      <c r="F4" s="250"/>
      <c r="G4" s="251"/>
      <c r="H4" s="251"/>
      <c r="I4" s="251"/>
      <c r="J4" s="251"/>
      <c r="K4" s="251"/>
      <c r="L4" s="251"/>
      <c r="M4" s="251"/>
      <c r="N4" s="251"/>
      <c r="O4" s="251"/>
      <c r="P4" s="251"/>
      <c r="Q4" s="251"/>
      <c r="R4" s="251"/>
      <c r="S4" s="251"/>
      <c r="T4" s="251"/>
      <c r="U4" s="251"/>
      <c r="V4" s="251"/>
      <c r="W4" s="251"/>
      <c r="X4" s="251"/>
      <c r="Y4" s="251"/>
      <c r="Z4" s="251"/>
    </row>
    <row r="5" ht="15.75" customHeight="1">
      <c r="A5" s="252">
        <v>4.0</v>
      </c>
      <c r="B5" s="253" t="s">
        <v>509</v>
      </c>
      <c r="C5" s="254" t="s">
        <v>510</v>
      </c>
      <c r="D5" s="255">
        <v>9.8602038E8</v>
      </c>
      <c r="E5" s="255" t="s">
        <v>511</v>
      </c>
      <c r="F5" s="254" t="s">
        <v>512</v>
      </c>
      <c r="G5" s="214"/>
      <c r="H5" s="214"/>
      <c r="I5" s="214"/>
      <c r="J5" s="214"/>
      <c r="K5" s="214"/>
      <c r="L5" s="214"/>
      <c r="M5" s="214"/>
      <c r="N5" s="214"/>
      <c r="O5" s="214"/>
      <c r="P5" s="214"/>
      <c r="Q5" s="214"/>
      <c r="R5" s="214"/>
      <c r="S5" s="214"/>
      <c r="T5" s="214"/>
      <c r="U5" s="214"/>
      <c r="V5" s="214"/>
      <c r="W5" s="214"/>
      <c r="X5" s="214"/>
      <c r="Y5" s="214"/>
      <c r="Z5" s="214"/>
    </row>
    <row r="6" ht="15.75" customHeight="1">
      <c r="A6" s="246">
        <v>5.0</v>
      </c>
      <c r="B6" s="234" t="s">
        <v>513</v>
      </c>
      <c r="C6" s="232" t="s">
        <v>514</v>
      </c>
      <c r="D6" s="232">
        <v>9.66335384E8</v>
      </c>
      <c r="E6" s="256" t="s">
        <v>515</v>
      </c>
      <c r="F6" s="232"/>
      <c r="G6" s="214"/>
      <c r="H6" s="214"/>
      <c r="I6" s="214"/>
      <c r="J6" s="214"/>
      <c r="K6" s="214"/>
      <c r="L6" s="214"/>
      <c r="M6" s="214"/>
      <c r="N6" s="214"/>
      <c r="O6" s="214"/>
      <c r="P6" s="214"/>
      <c r="Q6" s="214"/>
      <c r="R6" s="214"/>
      <c r="S6" s="214"/>
      <c r="T6" s="214"/>
      <c r="U6" s="214"/>
      <c r="V6" s="214"/>
      <c r="W6" s="214"/>
      <c r="X6" s="214"/>
      <c r="Y6" s="214"/>
      <c r="Z6" s="214"/>
    </row>
    <row r="7" ht="15.75" customHeight="1">
      <c r="A7" s="246">
        <v>6.0</v>
      </c>
      <c r="B7" s="234" t="s">
        <v>516</v>
      </c>
      <c r="C7" s="232">
        <v>8.608035593E9</v>
      </c>
      <c r="D7" s="257" t="s">
        <v>517</v>
      </c>
      <c r="E7" s="232" t="s">
        <v>518</v>
      </c>
      <c r="F7" s="232"/>
      <c r="G7" s="214"/>
      <c r="H7" s="214"/>
      <c r="I7" s="214"/>
      <c r="J7" s="214"/>
      <c r="K7" s="214"/>
      <c r="L7" s="214"/>
      <c r="M7" s="214"/>
      <c r="N7" s="214"/>
      <c r="O7" s="214"/>
      <c r="P7" s="214"/>
      <c r="Q7" s="214"/>
      <c r="R7" s="214"/>
      <c r="S7" s="214"/>
      <c r="T7" s="214"/>
      <c r="U7" s="214"/>
      <c r="V7" s="214"/>
      <c r="W7" s="214"/>
      <c r="X7" s="214"/>
      <c r="Y7" s="214"/>
      <c r="Z7" s="214"/>
    </row>
    <row r="8" ht="15.75" customHeight="1">
      <c r="A8" s="246">
        <v>7.0</v>
      </c>
      <c r="B8" s="234" t="s">
        <v>519</v>
      </c>
      <c r="C8" s="232">
        <v>8.671400882E9</v>
      </c>
      <c r="D8" s="247" t="s">
        <v>520</v>
      </c>
      <c r="E8" s="232" t="s">
        <v>521</v>
      </c>
      <c r="F8" s="232"/>
      <c r="G8" s="214"/>
      <c r="H8" s="214"/>
      <c r="I8" s="214"/>
      <c r="J8" s="214"/>
      <c r="K8" s="214"/>
      <c r="L8" s="214"/>
      <c r="M8" s="214"/>
      <c r="N8" s="214"/>
      <c r="O8" s="214"/>
      <c r="P8" s="214"/>
      <c r="Q8" s="214"/>
      <c r="R8" s="214"/>
      <c r="S8" s="214"/>
      <c r="T8" s="214"/>
      <c r="U8" s="214"/>
      <c r="V8" s="214"/>
      <c r="W8" s="214"/>
      <c r="X8" s="214"/>
      <c r="Y8" s="214"/>
      <c r="Z8" s="214"/>
    </row>
    <row r="9" ht="15.75" customHeight="1">
      <c r="A9" s="252">
        <v>8.0</v>
      </c>
      <c r="B9" s="253" t="s">
        <v>522</v>
      </c>
      <c r="C9" s="254" t="s">
        <v>510</v>
      </c>
      <c r="D9" s="258" t="s">
        <v>523</v>
      </c>
      <c r="E9" s="259" t="s">
        <v>524</v>
      </c>
      <c r="F9" s="254" t="s">
        <v>525</v>
      </c>
      <c r="G9" s="214"/>
      <c r="H9" s="214"/>
      <c r="I9" s="214"/>
      <c r="J9" s="214"/>
      <c r="K9" s="214"/>
      <c r="L9" s="214"/>
      <c r="M9" s="214"/>
      <c r="N9" s="214"/>
      <c r="O9" s="214"/>
      <c r="P9" s="214"/>
      <c r="Q9" s="214"/>
      <c r="R9" s="214"/>
      <c r="S9" s="214"/>
      <c r="T9" s="214"/>
      <c r="U9" s="214"/>
      <c r="V9" s="214"/>
      <c r="W9" s="214"/>
      <c r="X9" s="214"/>
      <c r="Y9" s="214"/>
      <c r="Z9" s="214"/>
    </row>
    <row r="10" ht="15.75" customHeight="1">
      <c r="A10" s="246">
        <v>9.0</v>
      </c>
      <c r="B10" s="234" t="s">
        <v>526</v>
      </c>
      <c r="C10" s="232">
        <v>8.341059689E9</v>
      </c>
      <c r="D10" s="257" t="s">
        <v>527</v>
      </c>
      <c r="E10" s="232" t="s">
        <v>528</v>
      </c>
      <c r="F10" s="232"/>
      <c r="G10" s="214"/>
      <c r="H10" s="214"/>
      <c r="I10" s="214"/>
      <c r="J10" s="214"/>
      <c r="K10" s="214"/>
      <c r="L10" s="214"/>
      <c r="M10" s="214"/>
      <c r="N10" s="214"/>
      <c r="O10" s="214"/>
      <c r="P10" s="214"/>
      <c r="Q10" s="214"/>
      <c r="R10" s="214"/>
      <c r="S10" s="214"/>
      <c r="T10" s="214"/>
      <c r="U10" s="214"/>
      <c r="V10" s="214"/>
      <c r="W10" s="214"/>
      <c r="X10" s="214"/>
      <c r="Y10" s="214"/>
      <c r="Z10" s="214"/>
    </row>
    <row r="11" ht="15.75" customHeight="1">
      <c r="A11" s="252">
        <v>10.0</v>
      </c>
      <c r="B11" s="253" t="s">
        <v>529</v>
      </c>
      <c r="C11" s="254">
        <v>8.310507147E9</v>
      </c>
      <c r="D11" s="260" t="s">
        <v>530</v>
      </c>
      <c r="E11" s="254" t="s">
        <v>531</v>
      </c>
      <c r="F11" s="254"/>
      <c r="G11" s="261"/>
      <c r="H11" s="261"/>
      <c r="I11" s="261"/>
      <c r="J11" s="261"/>
      <c r="K11" s="261"/>
      <c r="L11" s="261"/>
      <c r="M11" s="261"/>
      <c r="N11" s="261"/>
      <c r="O11" s="261"/>
      <c r="P11" s="261"/>
      <c r="Q11" s="261"/>
      <c r="R11" s="261"/>
      <c r="S11" s="261"/>
      <c r="T11" s="261"/>
      <c r="U11" s="261"/>
      <c r="V11" s="261"/>
      <c r="W11" s="261"/>
      <c r="X11" s="261"/>
      <c r="Y11" s="261"/>
      <c r="Z11" s="261"/>
    </row>
    <row r="12" ht="15.75" customHeight="1">
      <c r="A12" s="252">
        <v>11.0</v>
      </c>
      <c r="B12" s="253" t="s">
        <v>532</v>
      </c>
      <c r="C12" s="254">
        <v>8.694395036E9</v>
      </c>
      <c r="D12" s="262" t="s">
        <v>533</v>
      </c>
      <c r="E12" s="254">
        <v>0.0</v>
      </c>
      <c r="F12" s="254" t="s">
        <v>534</v>
      </c>
      <c r="G12" s="214"/>
      <c r="H12" s="214"/>
      <c r="I12" s="214"/>
      <c r="J12" s="214"/>
      <c r="K12" s="214"/>
      <c r="L12" s="214"/>
      <c r="M12" s="214"/>
      <c r="N12" s="214"/>
      <c r="O12" s="214"/>
      <c r="P12" s="214"/>
      <c r="Q12" s="214"/>
      <c r="R12" s="214"/>
      <c r="S12" s="214"/>
      <c r="T12" s="214"/>
      <c r="U12" s="214"/>
      <c r="V12" s="214"/>
      <c r="W12" s="214"/>
      <c r="X12" s="214"/>
      <c r="Y12" s="214"/>
      <c r="Z12" s="214"/>
    </row>
    <row r="13" ht="15.75" customHeight="1">
      <c r="A13" s="246">
        <v>12.0</v>
      </c>
      <c r="B13" s="234" t="s">
        <v>535</v>
      </c>
      <c r="C13" s="232">
        <v>8.702764931E9</v>
      </c>
      <c r="D13" s="247" t="s">
        <v>536</v>
      </c>
      <c r="E13" s="232" t="s">
        <v>537</v>
      </c>
      <c r="F13" s="232"/>
      <c r="G13" s="214"/>
      <c r="H13" s="214"/>
      <c r="I13" s="214"/>
      <c r="J13" s="214"/>
      <c r="K13" s="214"/>
      <c r="L13" s="214"/>
      <c r="M13" s="214"/>
      <c r="N13" s="214"/>
      <c r="O13" s="214"/>
      <c r="P13" s="214"/>
      <c r="Q13" s="214"/>
      <c r="R13" s="214"/>
      <c r="S13" s="214"/>
      <c r="T13" s="214"/>
      <c r="U13" s="214"/>
      <c r="V13" s="214"/>
      <c r="W13" s="214"/>
      <c r="X13" s="214"/>
      <c r="Y13" s="214"/>
      <c r="Z13" s="214"/>
    </row>
    <row r="14" ht="15.75" customHeight="1">
      <c r="A14" s="246">
        <v>13.0</v>
      </c>
      <c r="B14" s="234" t="s">
        <v>538</v>
      </c>
      <c r="C14" s="232">
        <v>8.652623241E9</v>
      </c>
      <c r="D14" s="257" t="s">
        <v>539</v>
      </c>
      <c r="E14" s="232" t="s">
        <v>540</v>
      </c>
      <c r="F14" s="232"/>
      <c r="G14" s="214"/>
      <c r="H14" s="214"/>
      <c r="I14" s="214"/>
      <c r="J14" s="214"/>
      <c r="K14" s="214"/>
      <c r="L14" s="214"/>
      <c r="M14" s="214"/>
      <c r="N14" s="214"/>
      <c r="O14" s="214"/>
      <c r="P14" s="214"/>
      <c r="Q14" s="214"/>
      <c r="R14" s="214"/>
      <c r="S14" s="214"/>
      <c r="T14" s="214"/>
      <c r="U14" s="214"/>
      <c r="V14" s="214"/>
      <c r="W14" s="214"/>
      <c r="X14" s="214"/>
      <c r="Y14" s="214"/>
      <c r="Z14" s="214"/>
    </row>
    <row r="15" ht="15.75" customHeight="1">
      <c r="A15" s="246">
        <v>14.0</v>
      </c>
      <c r="B15" s="234" t="s">
        <v>541</v>
      </c>
      <c r="C15" s="232">
        <v>8.400980196E9</v>
      </c>
      <c r="D15" s="247" t="s">
        <v>542</v>
      </c>
      <c r="E15" s="232" t="s">
        <v>543</v>
      </c>
      <c r="F15" s="232"/>
      <c r="G15" s="214"/>
      <c r="H15" s="214"/>
      <c r="I15" s="214"/>
      <c r="K15" s="214"/>
      <c r="L15" s="214"/>
      <c r="M15" s="214"/>
      <c r="N15" s="214"/>
      <c r="O15" s="214"/>
      <c r="P15" s="214"/>
      <c r="Q15" s="214"/>
      <c r="R15" s="214"/>
      <c r="S15" s="214"/>
      <c r="T15" s="214"/>
      <c r="U15" s="214"/>
      <c r="V15" s="214"/>
      <c r="W15" s="214"/>
      <c r="X15" s="214"/>
      <c r="Y15" s="214"/>
      <c r="Z15" s="214"/>
    </row>
    <row r="16" ht="15.75" customHeight="1">
      <c r="A16" s="252">
        <v>15.0</v>
      </c>
      <c r="B16" s="253" t="s">
        <v>544</v>
      </c>
      <c r="C16" s="254">
        <v>0.0</v>
      </c>
      <c r="D16" s="254">
        <v>0.0</v>
      </c>
      <c r="E16" s="254">
        <v>0.0</v>
      </c>
      <c r="F16" s="254" t="s">
        <v>545</v>
      </c>
      <c r="G16" s="261"/>
      <c r="H16" s="261"/>
      <c r="I16" s="261"/>
      <c r="J16" s="263"/>
      <c r="K16" s="261"/>
      <c r="L16" s="261"/>
      <c r="M16" s="261"/>
      <c r="N16" s="261"/>
      <c r="O16" s="261"/>
      <c r="P16" s="261"/>
      <c r="Q16" s="261"/>
      <c r="R16" s="261"/>
      <c r="S16" s="261"/>
      <c r="T16" s="261"/>
      <c r="U16" s="261"/>
      <c r="V16" s="261"/>
      <c r="W16" s="261"/>
      <c r="X16" s="261"/>
      <c r="Y16" s="261"/>
      <c r="Z16" s="261"/>
    </row>
    <row r="17" ht="15.75" customHeight="1">
      <c r="A17" s="246">
        <v>16.0</v>
      </c>
      <c r="B17" s="234" t="s">
        <v>546</v>
      </c>
      <c r="C17" s="232">
        <v>8.024138442E9</v>
      </c>
      <c r="D17" s="247" t="s">
        <v>547</v>
      </c>
      <c r="E17" s="232" t="s">
        <v>548</v>
      </c>
      <c r="F17" s="232"/>
      <c r="G17" s="214"/>
      <c r="H17" s="214"/>
      <c r="I17" s="214"/>
      <c r="J17" s="214"/>
      <c r="K17" s="214"/>
      <c r="L17" s="214"/>
      <c r="M17" s="214"/>
      <c r="N17" s="214"/>
      <c r="O17" s="214"/>
      <c r="P17" s="214"/>
      <c r="Q17" s="214"/>
      <c r="R17" s="214"/>
      <c r="S17" s="214"/>
      <c r="T17" s="214"/>
      <c r="U17" s="214"/>
      <c r="V17" s="214"/>
      <c r="W17" s="214"/>
      <c r="X17" s="214"/>
      <c r="Y17" s="214"/>
      <c r="Z17" s="214"/>
    </row>
    <row r="18" ht="15.75" customHeight="1">
      <c r="A18" s="246">
        <v>17.0</v>
      </c>
      <c r="B18" s="253" t="s">
        <v>549</v>
      </c>
      <c r="C18" s="254" t="s">
        <v>510</v>
      </c>
      <c r="D18" s="264" t="s">
        <v>550</v>
      </c>
      <c r="E18" s="254">
        <v>0.0</v>
      </c>
      <c r="F18" s="254" t="s">
        <v>403</v>
      </c>
      <c r="G18" s="214"/>
      <c r="H18" s="214"/>
      <c r="I18" s="214"/>
      <c r="J18" s="214"/>
      <c r="K18" s="214"/>
      <c r="L18" s="214"/>
      <c r="M18" s="214"/>
      <c r="N18" s="214"/>
      <c r="O18" s="214"/>
      <c r="P18" s="214"/>
      <c r="Q18" s="214"/>
      <c r="R18" s="214"/>
      <c r="S18" s="214"/>
      <c r="T18" s="214"/>
      <c r="U18" s="214"/>
      <c r="V18" s="214"/>
      <c r="W18" s="214"/>
      <c r="X18" s="214"/>
      <c r="Y18" s="214"/>
      <c r="Z18" s="214"/>
    </row>
    <row r="19" ht="15.75" customHeight="1">
      <c r="A19" s="246">
        <v>18.0</v>
      </c>
      <c r="B19" s="234" t="s">
        <v>551</v>
      </c>
      <c r="C19" s="232">
        <v>8.026895575E9</v>
      </c>
      <c r="D19" s="265" t="s">
        <v>552</v>
      </c>
      <c r="E19" s="232" t="s">
        <v>553</v>
      </c>
      <c r="F19" s="232"/>
      <c r="G19" s="214"/>
      <c r="H19" s="214"/>
      <c r="I19" s="214"/>
      <c r="J19" s="214"/>
      <c r="K19" s="214"/>
      <c r="L19" s="214"/>
      <c r="M19" s="214"/>
      <c r="N19" s="214"/>
      <c r="O19" s="214"/>
      <c r="P19" s="214"/>
      <c r="Q19" s="214"/>
      <c r="R19" s="214"/>
      <c r="S19" s="214"/>
      <c r="T19" s="214"/>
      <c r="U19" s="214"/>
      <c r="V19" s="214"/>
      <c r="W19" s="214"/>
      <c r="X19" s="214"/>
      <c r="Y19" s="214"/>
      <c r="Z19" s="214"/>
    </row>
    <row r="20" ht="15.75" customHeight="1">
      <c r="A20" s="252">
        <v>19.0</v>
      </c>
      <c r="B20" s="253" t="s">
        <v>554</v>
      </c>
      <c r="C20" s="254" t="s">
        <v>510</v>
      </c>
      <c r="D20" s="260" t="s">
        <v>555</v>
      </c>
      <c r="E20" s="254" t="s">
        <v>556</v>
      </c>
      <c r="F20" s="254"/>
      <c r="G20" s="261"/>
      <c r="H20" s="261"/>
      <c r="I20" s="261"/>
      <c r="J20" s="261"/>
      <c r="K20" s="261"/>
      <c r="L20" s="261"/>
      <c r="M20" s="261"/>
      <c r="N20" s="261"/>
      <c r="O20" s="261"/>
      <c r="P20" s="261"/>
      <c r="Q20" s="261"/>
      <c r="R20" s="261"/>
      <c r="S20" s="261"/>
      <c r="T20" s="261"/>
      <c r="U20" s="261"/>
      <c r="V20" s="261"/>
      <c r="W20" s="261"/>
      <c r="X20" s="261"/>
      <c r="Y20" s="261"/>
      <c r="Z20" s="261"/>
    </row>
    <row r="21" ht="15.75" customHeight="1">
      <c r="A21" s="246">
        <v>20.0</v>
      </c>
      <c r="B21" s="234" t="s">
        <v>557</v>
      </c>
      <c r="C21" s="232">
        <v>8.76496302E9</v>
      </c>
      <c r="D21" s="247" t="s">
        <v>558</v>
      </c>
      <c r="E21" s="263" t="s">
        <v>559</v>
      </c>
      <c r="F21" s="232"/>
      <c r="G21" s="214"/>
      <c r="H21" s="214"/>
      <c r="I21" s="214"/>
      <c r="J21" s="214"/>
      <c r="K21" s="214"/>
      <c r="L21" s="214"/>
      <c r="M21" s="214"/>
      <c r="N21" s="214"/>
      <c r="O21" s="214"/>
      <c r="P21" s="214"/>
      <c r="Q21" s="214"/>
      <c r="R21" s="214"/>
      <c r="S21" s="214"/>
      <c r="T21" s="214"/>
      <c r="U21" s="214"/>
      <c r="V21" s="214"/>
      <c r="W21" s="214"/>
      <c r="X21" s="214"/>
      <c r="Y21" s="214"/>
      <c r="Z21" s="214"/>
    </row>
    <row r="22" ht="15.75" customHeight="1">
      <c r="A22" s="246">
        <v>21.0</v>
      </c>
      <c r="B22" s="253" t="s">
        <v>560</v>
      </c>
      <c r="C22" s="254" t="s">
        <v>510</v>
      </c>
      <c r="D22" s="260" t="s">
        <v>561</v>
      </c>
      <c r="E22" s="254">
        <v>0.0</v>
      </c>
      <c r="F22" s="254" t="s">
        <v>562</v>
      </c>
      <c r="G22" s="214"/>
      <c r="H22" s="214"/>
      <c r="I22" s="214"/>
      <c r="J22" s="214"/>
      <c r="K22" s="214"/>
      <c r="L22" s="214"/>
      <c r="M22" s="214"/>
      <c r="N22" s="214"/>
      <c r="O22" s="214"/>
      <c r="P22" s="214"/>
      <c r="Q22" s="214"/>
      <c r="R22" s="214"/>
      <c r="S22" s="214"/>
      <c r="T22" s="214"/>
      <c r="U22" s="214"/>
      <c r="V22" s="214"/>
      <c r="W22" s="214"/>
      <c r="X22" s="214"/>
      <c r="Y22" s="214"/>
      <c r="Z22" s="214"/>
    </row>
    <row r="23" ht="15.75" customHeight="1">
      <c r="A23" s="246" t="s">
        <v>563</v>
      </c>
      <c r="B23" s="253" t="s">
        <v>564</v>
      </c>
      <c r="C23" s="254">
        <v>8.289965818E9</v>
      </c>
      <c r="D23" s="260" t="s">
        <v>565</v>
      </c>
      <c r="E23" s="254" t="s">
        <v>566</v>
      </c>
      <c r="F23" s="254"/>
      <c r="G23" s="214"/>
      <c r="H23" s="214"/>
      <c r="I23" s="214"/>
      <c r="J23" s="214"/>
      <c r="K23" s="214"/>
      <c r="L23" s="214"/>
      <c r="M23" s="214"/>
      <c r="N23" s="214"/>
      <c r="O23" s="214"/>
      <c r="P23" s="214"/>
      <c r="Q23" s="214"/>
      <c r="R23" s="214"/>
      <c r="S23" s="214"/>
      <c r="T23" s="214"/>
      <c r="U23" s="214"/>
      <c r="V23" s="214"/>
      <c r="W23" s="214"/>
      <c r="X23" s="214"/>
      <c r="Y23" s="214"/>
      <c r="Z23" s="214"/>
    </row>
    <row r="24" ht="15.75" customHeight="1">
      <c r="A24" s="252">
        <v>23.0</v>
      </c>
      <c r="B24" s="253" t="s">
        <v>567</v>
      </c>
      <c r="C24" s="254">
        <v>0.0</v>
      </c>
      <c r="D24" s="254">
        <v>9.66653088E8</v>
      </c>
      <c r="E24" s="254">
        <v>0.0</v>
      </c>
      <c r="F24" s="254" t="s">
        <v>568</v>
      </c>
      <c r="G24" s="214"/>
      <c r="H24" s="214"/>
      <c r="I24" s="214"/>
      <c r="J24" s="214"/>
      <c r="K24" s="214"/>
      <c r="M24" s="214"/>
      <c r="N24" s="214"/>
      <c r="O24" s="214"/>
      <c r="P24" s="214"/>
      <c r="Q24" s="214"/>
      <c r="R24" s="214"/>
      <c r="S24" s="214"/>
      <c r="T24" s="214"/>
      <c r="U24" s="214"/>
      <c r="V24" s="214"/>
      <c r="W24" s="214"/>
      <c r="X24" s="214"/>
      <c r="Y24" s="214"/>
      <c r="Z24" s="214"/>
    </row>
    <row r="25" ht="15.75" customHeight="1">
      <c r="A25" s="252">
        <v>24.0</v>
      </c>
      <c r="B25" s="253" t="s">
        <v>569</v>
      </c>
      <c r="C25" s="254" t="s">
        <v>510</v>
      </c>
      <c r="D25" s="254">
        <v>9.64762475E8</v>
      </c>
      <c r="E25" s="254">
        <v>0.0</v>
      </c>
      <c r="F25" s="254" t="s">
        <v>570</v>
      </c>
      <c r="G25" s="214"/>
      <c r="H25" s="214"/>
      <c r="I25" s="214"/>
      <c r="J25" s="214"/>
      <c r="K25" s="214"/>
      <c r="L25" s="263"/>
      <c r="M25" s="214"/>
      <c r="N25" s="214"/>
      <c r="O25" s="214"/>
      <c r="P25" s="214"/>
      <c r="Q25" s="214"/>
      <c r="R25" s="214"/>
      <c r="S25" s="214"/>
      <c r="T25" s="214"/>
      <c r="U25" s="214"/>
      <c r="V25" s="214"/>
      <c r="W25" s="214"/>
      <c r="X25" s="214"/>
      <c r="Y25" s="214"/>
      <c r="Z25" s="214"/>
    </row>
    <row r="26" ht="15.75" customHeight="1">
      <c r="A26" s="246">
        <v>25.0</v>
      </c>
      <c r="B26" s="253" t="s">
        <v>571</v>
      </c>
      <c r="C26" s="254">
        <v>8.870002639E9</v>
      </c>
      <c r="D26" s="260" t="s">
        <v>572</v>
      </c>
      <c r="E26" s="254" t="s">
        <v>573</v>
      </c>
      <c r="F26" s="254"/>
      <c r="G26" s="214"/>
      <c r="H26" s="214"/>
      <c r="I26" s="214"/>
      <c r="J26" s="214"/>
      <c r="K26" s="214"/>
      <c r="L26" s="214"/>
      <c r="M26" s="214"/>
      <c r="N26" s="214"/>
      <c r="O26" s="214"/>
      <c r="P26" s="214"/>
      <c r="Q26" s="214"/>
      <c r="R26" s="214"/>
      <c r="S26" s="214"/>
      <c r="T26" s="214"/>
      <c r="U26" s="214"/>
      <c r="V26" s="214"/>
      <c r="W26" s="214"/>
      <c r="X26" s="214"/>
      <c r="Y26" s="214"/>
      <c r="Z26" s="214"/>
    </row>
    <row r="27" ht="15.75" customHeight="1">
      <c r="A27" s="246">
        <v>26.0</v>
      </c>
      <c r="B27" s="253" t="s">
        <v>574</v>
      </c>
      <c r="C27" s="254">
        <v>8.026895617E9</v>
      </c>
      <c r="D27" s="254">
        <v>0.0</v>
      </c>
      <c r="E27" s="254">
        <v>0.0</v>
      </c>
      <c r="F27" s="254"/>
      <c r="G27" s="214"/>
      <c r="H27" s="214"/>
      <c r="I27" s="214"/>
      <c r="J27" s="214"/>
      <c r="K27" s="214"/>
      <c r="L27" s="214"/>
      <c r="M27" s="214"/>
      <c r="N27" s="214"/>
      <c r="O27" s="214"/>
      <c r="P27" s="214"/>
      <c r="Q27" s="214"/>
      <c r="R27" s="214"/>
      <c r="S27" s="214"/>
      <c r="T27" s="214"/>
      <c r="U27" s="214"/>
      <c r="V27" s="214"/>
      <c r="W27" s="214"/>
      <c r="X27" s="214"/>
      <c r="Y27" s="214"/>
      <c r="Z27" s="214"/>
    </row>
    <row r="28" ht="15.75" customHeight="1">
      <c r="A28" s="252">
        <v>27.0</v>
      </c>
      <c r="B28" s="253" t="s">
        <v>575</v>
      </c>
      <c r="C28" s="254">
        <v>8.012073014E9</v>
      </c>
      <c r="D28" s="260" t="s">
        <v>576</v>
      </c>
      <c r="E28" s="254" t="s">
        <v>577</v>
      </c>
      <c r="F28" s="254"/>
      <c r="G28" s="214"/>
      <c r="H28" s="214"/>
      <c r="I28" s="214"/>
      <c r="J28" s="214"/>
      <c r="K28" s="214"/>
      <c r="L28" s="214"/>
      <c r="M28" s="214"/>
      <c r="N28" s="214"/>
      <c r="O28" s="214"/>
      <c r="P28" s="214"/>
      <c r="Q28" s="214"/>
      <c r="R28" s="214"/>
      <c r="S28" s="214"/>
      <c r="T28" s="214"/>
      <c r="U28" s="214"/>
      <c r="V28" s="214"/>
      <c r="W28" s="214"/>
      <c r="X28" s="214"/>
      <c r="Y28" s="214"/>
      <c r="Z28" s="214"/>
    </row>
    <row r="29" ht="15.75" customHeight="1">
      <c r="A29" s="252">
        <v>28.0</v>
      </c>
      <c r="B29" s="253" t="s">
        <v>578</v>
      </c>
      <c r="C29" s="254">
        <v>8.756234264E9</v>
      </c>
      <c r="D29" s="260" t="s">
        <v>579</v>
      </c>
      <c r="E29" s="254">
        <v>0.0</v>
      </c>
      <c r="F29" s="254" t="s">
        <v>534</v>
      </c>
      <c r="G29" s="214"/>
      <c r="H29" s="214"/>
      <c r="I29" s="214"/>
      <c r="J29" s="214"/>
      <c r="K29" s="214"/>
      <c r="L29" s="214"/>
      <c r="M29" s="214"/>
      <c r="N29" s="214"/>
      <c r="O29" s="214"/>
      <c r="P29" s="214"/>
      <c r="Q29" s="214"/>
      <c r="R29" s="214"/>
      <c r="S29" s="214"/>
      <c r="T29" s="214"/>
      <c r="U29" s="214"/>
      <c r="V29" s="214"/>
      <c r="W29" s="214"/>
      <c r="X29" s="214"/>
      <c r="Y29" s="214"/>
      <c r="Z29" s="214"/>
    </row>
    <row r="30" ht="30.0" customHeight="1">
      <c r="A30" s="246">
        <v>29.0</v>
      </c>
      <c r="B30" s="234" t="s">
        <v>580</v>
      </c>
      <c r="C30" s="232">
        <v>8.341976903E9</v>
      </c>
      <c r="D30" s="266" t="s">
        <v>581</v>
      </c>
      <c r="E30" s="267" t="s">
        <v>582</v>
      </c>
      <c r="F30" s="232"/>
      <c r="G30" s="214"/>
      <c r="H30" s="214"/>
      <c r="I30" s="214"/>
      <c r="J30" s="214"/>
      <c r="K30" s="214"/>
      <c r="L30" s="214"/>
      <c r="M30" s="214"/>
      <c r="N30" s="214"/>
      <c r="O30" s="214"/>
      <c r="P30" s="214"/>
      <c r="Q30" s="214"/>
      <c r="R30" s="214"/>
      <c r="S30" s="214"/>
      <c r="T30" s="214"/>
      <c r="U30" s="214"/>
      <c r="V30" s="214"/>
      <c r="W30" s="214"/>
      <c r="X30" s="214"/>
      <c r="Y30" s="214"/>
      <c r="Z30" s="214"/>
    </row>
    <row r="31" ht="15.75" customHeight="1">
      <c r="A31" s="252">
        <v>30.0</v>
      </c>
      <c r="B31" s="253" t="s">
        <v>583</v>
      </c>
      <c r="C31" s="254">
        <v>8.751664979E9</v>
      </c>
      <c r="D31" s="260" t="s">
        <v>584</v>
      </c>
      <c r="E31" s="254">
        <v>0.0</v>
      </c>
      <c r="F31" s="254" t="s">
        <v>534</v>
      </c>
      <c r="G31" s="214"/>
      <c r="H31" s="214"/>
      <c r="J31" s="214"/>
      <c r="K31" s="214"/>
      <c r="L31" s="214"/>
      <c r="M31" s="214"/>
      <c r="N31" s="214"/>
      <c r="O31" s="214"/>
      <c r="P31" s="214"/>
      <c r="Q31" s="214"/>
      <c r="R31" s="214"/>
      <c r="S31" s="214"/>
      <c r="T31" s="214"/>
      <c r="U31" s="214"/>
      <c r="V31" s="214"/>
      <c r="W31" s="214"/>
      <c r="X31" s="214"/>
      <c r="Y31" s="214"/>
      <c r="Z31" s="214"/>
    </row>
    <row r="32" ht="15.75" customHeight="1">
      <c r="A32" s="246">
        <v>31.0</v>
      </c>
      <c r="B32" s="234" t="s">
        <v>585</v>
      </c>
      <c r="C32" s="232">
        <v>8.0050805E9</v>
      </c>
      <c r="D32" s="247" t="s">
        <v>586</v>
      </c>
      <c r="E32" s="232" t="s">
        <v>587</v>
      </c>
      <c r="F32" s="232"/>
      <c r="G32" s="214"/>
      <c r="H32" s="214"/>
      <c r="I32" s="263"/>
      <c r="J32" s="214"/>
      <c r="K32" s="214"/>
      <c r="L32" s="214"/>
      <c r="M32" s="214"/>
      <c r="N32" s="214"/>
      <c r="O32" s="214"/>
      <c r="P32" s="214"/>
      <c r="Q32" s="214"/>
      <c r="R32" s="214"/>
      <c r="S32" s="214"/>
      <c r="T32" s="214"/>
      <c r="U32" s="214"/>
      <c r="V32" s="214"/>
      <c r="W32" s="214"/>
      <c r="X32" s="214"/>
      <c r="Y32" s="214"/>
      <c r="Z32" s="214"/>
    </row>
    <row r="33" ht="15.75" customHeight="1">
      <c r="A33" s="246">
        <v>32.0</v>
      </c>
      <c r="B33" s="234" t="s">
        <v>588</v>
      </c>
      <c r="C33" s="232">
        <v>8.132594989E9</v>
      </c>
      <c r="D33" s="247" t="s">
        <v>589</v>
      </c>
      <c r="E33" s="221" t="s">
        <v>590</v>
      </c>
      <c r="F33" s="232"/>
      <c r="G33" s="214"/>
      <c r="H33" s="214"/>
      <c r="J33" s="214"/>
      <c r="K33" s="214"/>
      <c r="L33" s="214"/>
      <c r="M33" s="214"/>
      <c r="N33" s="214"/>
      <c r="O33" s="214"/>
      <c r="P33" s="214"/>
      <c r="Q33" s="214"/>
      <c r="R33" s="214"/>
      <c r="S33" s="214"/>
      <c r="T33" s="214"/>
      <c r="U33" s="214"/>
      <c r="V33" s="214"/>
      <c r="W33" s="214"/>
      <c r="X33" s="214"/>
      <c r="Y33" s="214"/>
      <c r="Z33" s="214"/>
    </row>
    <row r="34" ht="15.75" customHeight="1">
      <c r="A34" s="246">
        <v>33.0</v>
      </c>
      <c r="B34" s="234" t="s">
        <v>591</v>
      </c>
      <c r="C34" s="232">
        <v>8.338841127E9</v>
      </c>
      <c r="D34" s="247" t="s">
        <v>592</v>
      </c>
      <c r="E34" s="268" t="s">
        <v>593</v>
      </c>
      <c r="F34" s="232"/>
      <c r="G34" s="214"/>
      <c r="J34" s="214"/>
      <c r="K34" s="214"/>
      <c r="L34" s="214"/>
      <c r="M34" s="214"/>
      <c r="N34" s="214"/>
      <c r="O34" s="214"/>
      <c r="P34" s="214"/>
      <c r="Q34" s="214"/>
      <c r="R34" s="214"/>
      <c r="S34" s="214"/>
      <c r="T34" s="214"/>
      <c r="U34" s="214"/>
      <c r="V34" s="214"/>
      <c r="W34" s="214"/>
      <c r="X34" s="214"/>
      <c r="Y34" s="214"/>
      <c r="Z34" s="214"/>
    </row>
    <row r="35" ht="15.75" customHeight="1">
      <c r="A35" s="246">
        <v>34.0</v>
      </c>
      <c r="B35" s="234" t="s">
        <v>594</v>
      </c>
      <c r="C35" s="232">
        <v>5.800657996E9</v>
      </c>
      <c r="D35" s="232">
        <v>9.77171904E8</v>
      </c>
      <c r="E35" s="269" t="s">
        <v>595</v>
      </c>
      <c r="F35" s="232"/>
      <c r="G35" s="214"/>
      <c r="I35" s="214"/>
      <c r="J35" s="214"/>
      <c r="K35" s="214"/>
      <c r="L35" s="214"/>
      <c r="M35" s="214"/>
      <c r="N35" s="214"/>
      <c r="O35" s="214"/>
      <c r="P35" s="214"/>
      <c r="Q35" s="214"/>
      <c r="R35" s="214"/>
      <c r="S35" s="214"/>
      <c r="T35" s="214"/>
      <c r="U35" s="214"/>
      <c r="V35" s="214"/>
      <c r="W35" s="214"/>
      <c r="X35" s="214"/>
      <c r="Y35" s="214"/>
      <c r="Z35" s="214"/>
    </row>
    <row r="36" ht="15.75" customHeight="1">
      <c r="A36" s="246">
        <v>35.0</v>
      </c>
      <c r="B36" s="253" t="s">
        <v>596</v>
      </c>
      <c r="C36" s="254" t="s">
        <v>510</v>
      </c>
      <c r="D36" s="260" t="s">
        <v>597</v>
      </c>
      <c r="E36" s="270">
        <v>0.0</v>
      </c>
      <c r="F36" s="254" t="s">
        <v>598</v>
      </c>
      <c r="G36" s="251"/>
      <c r="H36" s="214"/>
      <c r="I36" s="214"/>
      <c r="J36" s="214"/>
      <c r="K36" s="214"/>
      <c r="L36" s="214"/>
      <c r="M36" s="214"/>
      <c r="N36" s="214"/>
      <c r="O36" s="214"/>
      <c r="P36" s="214"/>
      <c r="Q36" s="214"/>
      <c r="R36" s="214"/>
      <c r="S36" s="214"/>
      <c r="T36" s="214"/>
      <c r="U36" s="214"/>
      <c r="V36" s="214"/>
      <c r="W36" s="214"/>
      <c r="X36" s="214"/>
      <c r="Y36" s="214"/>
      <c r="Z36" s="214"/>
    </row>
    <row r="37" ht="15.75" customHeight="1">
      <c r="A37" s="246">
        <v>36.0</v>
      </c>
      <c r="B37" s="253" t="s">
        <v>599</v>
      </c>
      <c r="C37" s="270">
        <v>0.0</v>
      </c>
      <c r="D37" s="271">
        <v>3.45441215E8</v>
      </c>
      <c r="E37" s="271" t="s">
        <v>600</v>
      </c>
      <c r="F37" s="254" t="s">
        <v>601</v>
      </c>
      <c r="G37" s="214"/>
      <c r="H37" s="214"/>
      <c r="I37" s="214"/>
      <c r="J37" s="214"/>
      <c r="K37" s="214"/>
      <c r="L37" s="214"/>
      <c r="M37" s="214"/>
      <c r="N37" s="214"/>
      <c r="O37" s="214"/>
      <c r="P37" s="214"/>
      <c r="Q37" s="214"/>
      <c r="R37" s="214"/>
      <c r="S37" s="214"/>
      <c r="T37" s="214"/>
      <c r="U37" s="214"/>
      <c r="V37" s="214"/>
      <c r="W37" s="214"/>
      <c r="X37" s="214"/>
      <c r="Y37" s="214"/>
      <c r="Z37" s="214"/>
    </row>
    <row r="38" ht="15.75" customHeight="1">
      <c r="A38" s="246">
        <v>37.0</v>
      </c>
      <c r="B38" s="253" t="s">
        <v>602</v>
      </c>
      <c r="C38" s="254">
        <v>0.0</v>
      </c>
      <c r="D38" s="254">
        <v>0.0</v>
      </c>
      <c r="E38" s="254">
        <v>0.0</v>
      </c>
      <c r="F38" s="254"/>
      <c r="G38" s="214"/>
      <c r="H38" s="214"/>
      <c r="I38" s="214"/>
      <c r="J38" s="214"/>
      <c r="K38" s="214"/>
      <c r="L38" s="214"/>
      <c r="M38" s="214"/>
      <c r="N38" s="214"/>
      <c r="O38" s="214"/>
      <c r="P38" s="214"/>
      <c r="Q38" s="214"/>
      <c r="R38" s="214"/>
      <c r="S38" s="214"/>
      <c r="T38" s="214"/>
      <c r="U38" s="214"/>
      <c r="V38" s="214"/>
      <c r="W38" s="214"/>
      <c r="X38" s="214"/>
      <c r="Y38" s="214"/>
      <c r="Z38" s="214"/>
    </row>
    <row r="39" ht="15.75" customHeight="1">
      <c r="A39" s="246">
        <v>38.0</v>
      </c>
      <c r="B39" s="234" t="s">
        <v>603</v>
      </c>
      <c r="C39" s="232" t="s">
        <v>510</v>
      </c>
      <c r="D39" s="232">
        <v>3.25566901E8</v>
      </c>
      <c r="E39" s="232" t="s">
        <v>604</v>
      </c>
      <c r="F39" s="232" t="s">
        <v>605</v>
      </c>
      <c r="G39" s="214"/>
      <c r="H39" s="214"/>
      <c r="I39" s="214"/>
      <c r="J39" s="214"/>
      <c r="K39" s="214"/>
      <c r="L39" s="214"/>
      <c r="M39" s="214"/>
      <c r="N39" s="214"/>
      <c r="O39" s="214"/>
      <c r="P39" s="214"/>
      <c r="Q39" s="214"/>
      <c r="R39" s="214"/>
      <c r="S39" s="214"/>
      <c r="T39" s="214"/>
      <c r="U39" s="214"/>
      <c r="V39" s="214"/>
      <c r="W39" s="214"/>
      <c r="X39" s="214"/>
      <c r="Y39" s="214"/>
      <c r="Z39" s="214"/>
    </row>
    <row r="40" ht="15.75" customHeight="1">
      <c r="A40" s="246">
        <v>39.0</v>
      </c>
      <c r="B40" s="234" t="s">
        <v>497</v>
      </c>
      <c r="C40" s="232">
        <v>0.0</v>
      </c>
      <c r="D40" s="232">
        <v>0.0</v>
      </c>
      <c r="E40" s="232">
        <v>0.0</v>
      </c>
      <c r="F40" s="232"/>
      <c r="G40" s="214"/>
      <c r="H40" s="214"/>
      <c r="I40" s="214"/>
      <c r="J40" s="214"/>
      <c r="K40" s="214"/>
      <c r="L40" s="214"/>
      <c r="M40" s="214"/>
      <c r="N40" s="214"/>
      <c r="O40" s="214"/>
      <c r="P40" s="214"/>
      <c r="Q40" s="214"/>
      <c r="R40" s="214"/>
      <c r="S40" s="214"/>
      <c r="T40" s="214"/>
      <c r="U40" s="214"/>
      <c r="V40" s="214"/>
      <c r="W40" s="214"/>
      <c r="X40" s="214"/>
      <c r="Y40" s="214"/>
      <c r="Z40" s="214"/>
    </row>
    <row r="41" ht="15.75" customHeight="1">
      <c r="A41" s="214"/>
      <c r="B41" s="214"/>
      <c r="C41" s="214"/>
      <c r="D41" s="214"/>
      <c r="E41" s="214"/>
      <c r="F41" s="214"/>
      <c r="G41" s="214"/>
      <c r="H41" s="214"/>
      <c r="I41" s="214"/>
      <c r="J41" s="214"/>
      <c r="K41" s="214"/>
      <c r="L41" s="214"/>
      <c r="M41" s="214"/>
      <c r="N41" s="214"/>
      <c r="O41" s="214"/>
      <c r="P41" s="214"/>
      <c r="Q41" s="214"/>
      <c r="R41" s="214"/>
      <c r="S41" s="214"/>
      <c r="T41" s="214"/>
      <c r="U41" s="214"/>
      <c r="V41" s="214"/>
      <c r="W41" s="214"/>
      <c r="X41" s="214"/>
      <c r="Y41" s="214"/>
      <c r="Z41" s="214"/>
    </row>
    <row r="42" ht="15.75" customHeight="1">
      <c r="A42" s="214"/>
      <c r="B42" s="214"/>
      <c r="C42" s="214"/>
      <c r="D42" s="214"/>
      <c r="E42" s="214"/>
      <c r="F42" s="214"/>
      <c r="G42" s="214"/>
      <c r="H42" s="214"/>
      <c r="I42" s="214"/>
      <c r="J42" s="214"/>
      <c r="K42" s="214"/>
      <c r="L42" s="214"/>
      <c r="M42" s="214"/>
      <c r="N42" s="214"/>
      <c r="O42" s="214"/>
      <c r="P42" s="214"/>
      <c r="Q42" s="214"/>
      <c r="R42" s="214"/>
      <c r="S42" s="214"/>
      <c r="T42" s="214"/>
      <c r="U42" s="214"/>
      <c r="V42" s="214"/>
      <c r="W42" s="214"/>
      <c r="X42" s="214"/>
      <c r="Y42" s="214"/>
      <c r="Z42" s="214"/>
    </row>
    <row r="43" ht="15.75" customHeight="1">
      <c r="A43" s="214"/>
      <c r="B43" s="214"/>
      <c r="C43" s="214"/>
      <c r="D43" s="214"/>
      <c r="E43" s="214"/>
      <c r="F43" s="214"/>
      <c r="G43" s="214"/>
      <c r="H43" s="214"/>
      <c r="I43" s="214"/>
      <c r="J43" s="214"/>
      <c r="K43" s="214"/>
      <c r="L43" s="214"/>
      <c r="M43" s="214"/>
      <c r="N43" s="214"/>
      <c r="O43" s="214"/>
      <c r="P43" s="214"/>
      <c r="Q43" s="214"/>
      <c r="R43" s="214"/>
      <c r="S43" s="214"/>
      <c r="T43" s="214"/>
      <c r="U43" s="214"/>
      <c r="V43" s="214"/>
      <c r="W43" s="214"/>
      <c r="X43" s="214"/>
      <c r="Y43" s="214"/>
      <c r="Z43" s="214"/>
    </row>
    <row r="44" ht="15.75" customHeight="1">
      <c r="A44" s="214"/>
      <c r="B44" s="214"/>
      <c r="C44" s="214"/>
      <c r="D44" s="214"/>
      <c r="E44" s="214"/>
      <c r="F44" s="214"/>
      <c r="G44" s="214"/>
      <c r="H44" s="214"/>
      <c r="I44" s="214"/>
      <c r="J44" s="214"/>
      <c r="K44" s="214"/>
      <c r="L44" s="214"/>
      <c r="M44" s="214"/>
      <c r="N44" s="214"/>
      <c r="O44" s="214"/>
      <c r="P44" s="214"/>
      <c r="Q44" s="214"/>
      <c r="R44" s="214"/>
      <c r="S44" s="214"/>
      <c r="T44" s="214"/>
      <c r="U44" s="214"/>
      <c r="V44" s="214"/>
      <c r="W44" s="214"/>
      <c r="X44" s="214"/>
      <c r="Y44" s="214"/>
      <c r="Z44" s="214"/>
    </row>
    <row r="45" ht="15.75" customHeight="1">
      <c r="A45" s="214"/>
      <c r="B45" s="214"/>
      <c r="C45" s="214"/>
      <c r="D45" s="214"/>
      <c r="E45" s="214"/>
      <c r="F45" s="214"/>
      <c r="G45" s="214"/>
      <c r="H45" s="214"/>
      <c r="I45" s="214"/>
      <c r="J45" s="214"/>
      <c r="K45" s="214"/>
      <c r="L45" s="214"/>
      <c r="M45" s="214"/>
      <c r="N45" s="214"/>
      <c r="O45" s="214"/>
      <c r="P45" s="214"/>
      <c r="Q45" s="214"/>
      <c r="R45" s="214"/>
      <c r="S45" s="214"/>
      <c r="T45" s="214"/>
      <c r="U45" s="214"/>
      <c r="V45" s="214"/>
      <c r="W45" s="214"/>
      <c r="X45" s="214"/>
      <c r="Y45" s="214"/>
      <c r="Z45" s="214"/>
    </row>
    <row r="46" ht="15.75" customHeight="1">
      <c r="A46" s="214"/>
      <c r="B46" s="214"/>
      <c r="C46" s="214"/>
      <c r="D46" s="214"/>
      <c r="E46" s="214"/>
      <c r="F46" s="214"/>
      <c r="G46" s="214"/>
      <c r="H46" s="214"/>
      <c r="I46" s="214"/>
      <c r="J46" s="214"/>
      <c r="K46" s="214"/>
      <c r="L46" s="214"/>
      <c r="M46" s="214"/>
      <c r="N46" s="214"/>
      <c r="O46" s="214"/>
      <c r="P46" s="214"/>
      <c r="Q46" s="214"/>
      <c r="R46" s="214"/>
      <c r="S46" s="214"/>
      <c r="T46" s="214"/>
      <c r="U46" s="214"/>
      <c r="V46" s="214"/>
      <c r="W46" s="214"/>
      <c r="X46" s="214"/>
      <c r="Y46" s="214"/>
      <c r="Z46" s="214"/>
    </row>
    <row r="47" ht="15.75" customHeight="1">
      <c r="A47" s="214"/>
      <c r="B47" s="214"/>
      <c r="C47" s="214"/>
      <c r="D47" s="214"/>
      <c r="E47" s="214"/>
      <c r="F47" s="214"/>
      <c r="G47" s="214"/>
      <c r="H47" s="214"/>
      <c r="I47" s="214"/>
      <c r="J47" s="214"/>
      <c r="K47" s="214"/>
      <c r="L47" s="214"/>
      <c r="M47" s="214"/>
      <c r="N47" s="214"/>
      <c r="O47" s="214"/>
      <c r="P47" s="214"/>
      <c r="Q47" s="214"/>
      <c r="R47" s="214"/>
      <c r="S47" s="214"/>
      <c r="T47" s="214"/>
      <c r="U47" s="214"/>
      <c r="V47" s="214"/>
      <c r="W47" s="214"/>
      <c r="X47" s="214"/>
      <c r="Y47" s="214"/>
      <c r="Z47" s="214"/>
    </row>
    <row r="48" ht="15.75" customHeight="1">
      <c r="A48" s="214"/>
      <c r="B48" s="214"/>
      <c r="C48" s="214"/>
      <c r="D48" s="214"/>
      <c r="E48" s="214"/>
      <c r="F48" s="214"/>
      <c r="G48" s="214"/>
      <c r="H48" s="214"/>
      <c r="I48" s="214"/>
      <c r="J48" s="214"/>
      <c r="K48" s="214"/>
      <c r="L48" s="214"/>
      <c r="M48" s="214"/>
      <c r="N48" s="214"/>
      <c r="O48" s="214"/>
      <c r="P48" s="214"/>
      <c r="Q48" s="214"/>
      <c r="R48" s="214"/>
      <c r="S48" s="214"/>
      <c r="T48" s="214"/>
      <c r="U48" s="214"/>
      <c r="V48" s="214"/>
      <c r="W48" s="214"/>
      <c r="X48" s="214"/>
      <c r="Y48" s="214"/>
      <c r="Z48" s="214"/>
    </row>
    <row r="49" ht="15.75" customHeight="1">
      <c r="A49" s="214"/>
      <c r="B49" s="214"/>
      <c r="C49" s="214"/>
      <c r="D49" s="214"/>
      <c r="E49" s="214"/>
      <c r="F49" s="214"/>
      <c r="G49" s="214"/>
      <c r="H49" s="214"/>
      <c r="I49" s="214"/>
      <c r="J49" s="214"/>
      <c r="K49" s="214"/>
      <c r="L49" s="214"/>
      <c r="M49" s="214"/>
      <c r="N49" s="214"/>
      <c r="O49" s="214"/>
      <c r="P49" s="214"/>
      <c r="Q49" s="214"/>
      <c r="R49" s="214"/>
      <c r="S49" s="214"/>
      <c r="T49" s="214"/>
      <c r="U49" s="214"/>
      <c r="V49" s="214"/>
      <c r="W49" s="214"/>
      <c r="X49" s="214"/>
      <c r="Y49" s="214"/>
      <c r="Z49" s="214"/>
    </row>
    <row r="50" ht="15.75" customHeight="1">
      <c r="A50" s="214"/>
      <c r="B50" s="214"/>
      <c r="C50" s="214"/>
      <c r="D50" s="214"/>
      <c r="E50" s="214"/>
      <c r="F50" s="214"/>
      <c r="G50" s="214"/>
      <c r="H50" s="214"/>
      <c r="I50" s="214"/>
      <c r="J50" s="214"/>
      <c r="K50" s="214"/>
      <c r="L50" s="214"/>
      <c r="M50" s="214"/>
      <c r="N50" s="214"/>
      <c r="O50" s="214"/>
      <c r="P50" s="214"/>
      <c r="Q50" s="214"/>
      <c r="R50" s="214"/>
      <c r="S50" s="214"/>
      <c r="T50" s="214"/>
      <c r="U50" s="214"/>
      <c r="V50" s="214"/>
      <c r="W50" s="214"/>
      <c r="X50" s="214"/>
      <c r="Y50" s="214"/>
      <c r="Z50" s="214"/>
    </row>
    <row r="51" ht="15.75" customHeight="1">
      <c r="A51" s="214"/>
      <c r="B51" s="214"/>
      <c r="C51" s="214"/>
      <c r="D51" s="214"/>
      <c r="E51" s="214"/>
      <c r="F51" s="214"/>
      <c r="G51" s="214"/>
      <c r="H51" s="214"/>
      <c r="I51" s="214"/>
      <c r="J51" s="214"/>
      <c r="K51" s="214"/>
      <c r="L51" s="214"/>
      <c r="M51" s="214"/>
      <c r="N51" s="214"/>
      <c r="O51" s="214"/>
      <c r="P51" s="214"/>
      <c r="Q51" s="214"/>
      <c r="R51" s="214"/>
      <c r="S51" s="214"/>
      <c r="T51" s="214"/>
      <c r="U51" s="214"/>
      <c r="V51" s="214"/>
      <c r="W51" s="214"/>
      <c r="X51" s="214"/>
      <c r="Y51" s="214"/>
      <c r="Z51" s="214"/>
    </row>
    <row r="52" ht="15.75" customHeight="1">
      <c r="A52" s="214"/>
      <c r="B52" s="214"/>
      <c r="C52" s="214"/>
      <c r="D52" s="214"/>
      <c r="E52" s="214"/>
      <c r="F52" s="214"/>
      <c r="G52" s="214"/>
      <c r="H52" s="214"/>
      <c r="I52" s="214"/>
      <c r="J52" s="214"/>
      <c r="K52" s="214"/>
      <c r="L52" s="214"/>
      <c r="M52" s="214"/>
      <c r="N52" s="214"/>
      <c r="O52" s="214"/>
      <c r="P52" s="214"/>
      <c r="Q52" s="214"/>
      <c r="R52" s="214"/>
      <c r="S52" s="214"/>
      <c r="T52" s="214"/>
      <c r="U52" s="214"/>
      <c r="V52" s="214"/>
      <c r="W52" s="214"/>
      <c r="X52" s="214"/>
      <c r="Y52" s="214"/>
      <c r="Z52" s="214"/>
    </row>
    <row r="53" ht="15.75" customHeight="1">
      <c r="A53" s="214"/>
      <c r="B53" s="214"/>
      <c r="C53" s="214"/>
      <c r="D53" s="214"/>
      <c r="E53" s="214"/>
      <c r="F53" s="214"/>
      <c r="G53" s="214"/>
      <c r="H53" s="214"/>
      <c r="I53" s="214"/>
      <c r="J53" s="214"/>
      <c r="K53" s="214"/>
      <c r="L53" s="214"/>
      <c r="M53" s="214"/>
      <c r="N53" s="214"/>
      <c r="O53" s="214"/>
      <c r="P53" s="214"/>
      <c r="Q53" s="214"/>
      <c r="R53" s="214"/>
      <c r="S53" s="214"/>
      <c r="T53" s="214"/>
      <c r="U53" s="214"/>
      <c r="V53" s="214"/>
      <c r="W53" s="214"/>
      <c r="X53" s="214"/>
      <c r="Y53" s="214"/>
      <c r="Z53" s="214"/>
    </row>
    <row r="54" ht="15.75" customHeight="1">
      <c r="A54" s="214"/>
      <c r="B54" s="214"/>
      <c r="C54" s="214"/>
      <c r="D54" s="214"/>
      <c r="E54" s="214"/>
      <c r="F54" s="214"/>
      <c r="G54" s="214"/>
      <c r="H54" s="214"/>
      <c r="I54" s="214"/>
      <c r="J54" s="214"/>
      <c r="K54" s="214"/>
      <c r="L54" s="214"/>
      <c r="M54" s="214"/>
      <c r="N54" s="214"/>
      <c r="O54" s="214"/>
      <c r="P54" s="214"/>
      <c r="Q54" s="214"/>
      <c r="R54" s="214"/>
      <c r="S54" s="214"/>
      <c r="T54" s="214"/>
      <c r="U54" s="214"/>
      <c r="V54" s="214"/>
      <c r="W54" s="214"/>
      <c r="X54" s="214"/>
      <c r="Y54" s="214"/>
      <c r="Z54" s="214"/>
    </row>
    <row r="55" ht="15.75" customHeight="1">
      <c r="A55" s="214"/>
      <c r="B55" s="214"/>
      <c r="C55" s="214"/>
      <c r="D55" s="214"/>
      <c r="E55" s="214"/>
      <c r="F55" s="214"/>
      <c r="G55" s="214"/>
      <c r="H55" s="214"/>
      <c r="I55" s="214"/>
      <c r="J55" s="214"/>
      <c r="K55" s="214"/>
      <c r="L55" s="214"/>
      <c r="M55" s="214"/>
      <c r="N55" s="214"/>
      <c r="O55" s="214"/>
      <c r="P55" s="214"/>
      <c r="Q55" s="214"/>
      <c r="R55" s="214"/>
      <c r="S55" s="214"/>
      <c r="T55" s="214"/>
      <c r="U55" s="214"/>
      <c r="V55" s="214"/>
      <c r="W55" s="214"/>
      <c r="X55" s="214"/>
      <c r="Y55" s="214"/>
      <c r="Z55" s="214"/>
    </row>
    <row r="56" ht="15.75" customHeight="1">
      <c r="A56" s="214"/>
      <c r="B56" s="214"/>
      <c r="C56" s="214"/>
      <c r="D56" s="214"/>
      <c r="E56" s="214"/>
      <c r="F56" s="214"/>
      <c r="G56" s="214"/>
      <c r="H56" s="214"/>
      <c r="I56" s="214"/>
      <c r="J56" s="214"/>
      <c r="K56" s="214"/>
      <c r="L56" s="214"/>
      <c r="M56" s="214"/>
      <c r="N56" s="214"/>
      <c r="O56" s="214"/>
      <c r="P56" s="214"/>
      <c r="Q56" s="214"/>
      <c r="R56" s="214"/>
      <c r="S56" s="214"/>
      <c r="T56" s="214"/>
      <c r="U56" s="214"/>
      <c r="V56" s="214"/>
      <c r="W56" s="214"/>
      <c r="X56" s="214"/>
      <c r="Y56" s="214"/>
      <c r="Z56" s="214"/>
    </row>
    <row r="57" ht="15.75" customHeight="1">
      <c r="A57" s="214"/>
      <c r="B57" s="214"/>
      <c r="C57" s="214"/>
      <c r="D57" s="214"/>
      <c r="E57" s="214"/>
      <c r="F57" s="214"/>
      <c r="G57" s="214"/>
      <c r="H57" s="214"/>
      <c r="I57" s="214"/>
      <c r="J57" s="214"/>
      <c r="K57" s="214"/>
      <c r="L57" s="214"/>
      <c r="M57" s="214"/>
      <c r="N57" s="214"/>
      <c r="O57" s="214"/>
      <c r="P57" s="214"/>
      <c r="Q57" s="214"/>
      <c r="R57" s="214"/>
      <c r="S57" s="214"/>
      <c r="T57" s="214"/>
      <c r="U57" s="214"/>
      <c r="V57" s="214"/>
      <c r="W57" s="214"/>
      <c r="X57" s="214"/>
      <c r="Y57" s="214"/>
      <c r="Z57" s="214"/>
    </row>
    <row r="58" ht="15.75" customHeight="1">
      <c r="A58" s="214"/>
      <c r="B58" s="214"/>
      <c r="C58" s="214"/>
      <c r="D58" s="214"/>
      <c r="E58" s="214"/>
      <c r="F58" s="214"/>
      <c r="G58" s="214"/>
      <c r="H58" s="214"/>
      <c r="I58" s="214"/>
      <c r="J58" s="214"/>
      <c r="K58" s="214"/>
      <c r="L58" s="214"/>
      <c r="M58" s="214"/>
      <c r="N58" s="214"/>
      <c r="O58" s="214"/>
      <c r="P58" s="214"/>
      <c r="Q58" s="214"/>
      <c r="R58" s="214"/>
      <c r="S58" s="214"/>
      <c r="T58" s="214"/>
      <c r="U58" s="214"/>
      <c r="V58" s="214"/>
      <c r="W58" s="214"/>
      <c r="X58" s="214"/>
      <c r="Y58" s="214"/>
      <c r="Z58" s="214"/>
    </row>
    <row r="59" ht="15.75" customHeight="1">
      <c r="A59" s="214"/>
      <c r="B59" s="214"/>
      <c r="C59" s="214"/>
      <c r="D59" s="214"/>
      <c r="E59" s="214"/>
      <c r="F59" s="214"/>
      <c r="G59" s="214"/>
      <c r="H59" s="214"/>
      <c r="I59" s="214"/>
      <c r="J59" s="214"/>
      <c r="K59" s="214"/>
      <c r="L59" s="214"/>
      <c r="M59" s="214"/>
      <c r="N59" s="214"/>
      <c r="O59" s="214"/>
      <c r="P59" s="214"/>
      <c r="Q59" s="214"/>
      <c r="R59" s="214"/>
      <c r="S59" s="214"/>
      <c r="T59" s="214"/>
      <c r="U59" s="214"/>
      <c r="V59" s="214"/>
      <c r="W59" s="214"/>
      <c r="X59" s="214"/>
      <c r="Y59" s="214"/>
      <c r="Z59" s="214"/>
    </row>
    <row r="60" ht="15.75" customHeight="1">
      <c r="A60" s="214"/>
      <c r="B60" s="214"/>
      <c r="C60" s="214"/>
      <c r="D60" s="214"/>
      <c r="E60" s="214"/>
      <c r="F60" s="214"/>
      <c r="G60" s="214"/>
      <c r="H60" s="214"/>
      <c r="I60" s="214"/>
      <c r="J60" s="214"/>
      <c r="K60" s="214"/>
      <c r="L60" s="214"/>
      <c r="M60" s="214"/>
      <c r="N60" s="214"/>
      <c r="O60" s="214"/>
      <c r="P60" s="214"/>
      <c r="Q60" s="214"/>
      <c r="R60" s="214"/>
      <c r="S60" s="214"/>
      <c r="T60" s="214"/>
      <c r="U60" s="214"/>
      <c r="V60" s="214"/>
      <c r="W60" s="214"/>
      <c r="X60" s="214"/>
      <c r="Y60" s="214"/>
      <c r="Z60" s="214"/>
    </row>
    <row r="61" ht="15.75" customHeight="1">
      <c r="A61" s="214"/>
      <c r="B61" s="214"/>
      <c r="C61" s="214"/>
      <c r="D61" s="214"/>
      <c r="E61" s="214"/>
      <c r="F61" s="214"/>
      <c r="G61" s="214"/>
      <c r="H61" s="214"/>
      <c r="I61" s="214"/>
      <c r="J61" s="214"/>
      <c r="K61" s="214"/>
      <c r="L61" s="214"/>
      <c r="M61" s="214"/>
      <c r="N61" s="214"/>
      <c r="O61" s="214"/>
      <c r="P61" s="214"/>
      <c r="Q61" s="214"/>
      <c r="R61" s="214"/>
      <c r="S61" s="214"/>
      <c r="T61" s="214"/>
      <c r="U61" s="214"/>
      <c r="V61" s="214"/>
      <c r="W61" s="214"/>
      <c r="X61" s="214"/>
      <c r="Y61" s="214"/>
      <c r="Z61" s="214"/>
    </row>
    <row r="62" ht="15.75" customHeight="1">
      <c r="A62" s="214"/>
      <c r="B62" s="214"/>
      <c r="C62" s="214"/>
      <c r="D62" s="214"/>
      <c r="E62" s="214"/>
      <c r="F62" s="214"/>
      <c r="G62" s="214"/>
      <c r="H62" s="214"/>
      <c r="I62" s="214"/>
      <c r="J62" s="214"/>
      <c r="K62" s="214"/>
      <c r="L62" s="214"/>
      <c r="M62" s="214"/>
      <c r="N62" s="214"/>
      <c r="O62" s="214"/>
      <c r="P62" s="214"/>
      <c r="Q62" s="214"/>
      <c r="R62" s="214"/>
      <c r="S62" s="214"/>
      <c r="T62" s="214"/>
      <c r="U62" s="214"/>
      <c r="V62" s="214"/>
      <c r="W62" s="214"/>
      <c r="X62" s="214"/>
      <c r="Y62" s="214"/>
      <c r="Z62" s="214"/>
    </row>
    <row r="63" ht="15.75" customHeight="1">
      <c r="A63" s="214"/>
      <c r="B63" s="214"/>
      <c r="C63" s="214"/>
      <c r="D63" s="214"/>
      <c r="E63" s="214"/>
      <c r="F63" s="214"/>
      <c r="G63" s="214"/>
      <c r="H63" s="214"/>
      <c r="I63" s="214"/>
      <c r="J63" s="214"/>
      <c r="K63" s="214"/>
      <c r="L63" s="214"/>
      <c r="M63" s="214"/>
      <c r="N63" s="214"/>
      <c r="O63" s="214"/>
      <c r="P63" s="214"/>
      <c r="Q63" s="214"/>
      <c r="R63" s="214"/>
      <c r="S63" s="214"/>
      <c r="T63" s="214"/>
      <c r="U63" s="214"/>
      <c r="V63" s="214"/>
      <c r="W63" s="214"/>
      <c r="X63" s="214"/>
      <c r="Y63" s="214"/>
      <c r="Z63" s="214"/>
    </row>
    <row r="64" ht="15.75" customHeight="1">
      <c r="A64" s="214"/>
      <c r="B64" s="214"/>
      <c r="C64" s="214"/>
      <c r="D64" s="214"/>
      <c r="E64" s="214"/>
      <c r="F64" s="214"/>
      <c r="G64" s="214"/>
      <c r="H64" s="214"/>
      <c r="I64" s="214"/>
      <c r="J64" s="214"/>
      <c r="K64" s="214"/>
      <c r="L64" s="214"/>
      <c r="M64" s="214"/>
      <c r="N64" s="214"/>
      <c r="O64" s="214"/>
      <c r="P64" s="214"/>
      <c r="Q64" s="214"/>
      <c r="R64" s="214"/>
      <c r="S64" s="214"/>
      <c r="T64" s="214"/>
      <c r="U64" s="214"/>
      <c r="V64" s="214"/>
      <c r="W64" s="214"/>
      <c r="X64" s="214"/>
      <c r="Y64" s="214"/>
      <c r="Z64" s="214"/>
    </row>
    <row r="65" ht="15.75" customHeight="1">
      <c r="A65" s="214"/>
      <c r="B65" s="214"/>
      <c r="C65" s="214"/>
      <c r="D65" s="214"/>
      <c r="E65" s="214"/>
      <c r="F65" s="214"/>
      <c r="G65" s="214"/>
      <c r="H65" s="214"/>
      <c r="I65" s="214"/>
      <c r="J65" s="214"/>
      <c r="K65" s="214"/>
      <c r="L65" s="214"/>
      <c r="M65" s="214"/>
      <c r="N65" s="214"/>
      <c r="O65" s="214"/>
      <c r="P65" s="214"/>
      <c r="Q65" s="214"/>
      <c r="R65" s="214"/>
      <c r="S65" s="214"/>
      <c r="T65" s="214"/>
      <c r="U65" s="214"/>
      <c r="V65" s="214"/>
      <c r="W65" s="214"/>
      <c r="X65" s="214"/>
      <c r="Y65" s="214"/>
      <c r="Z65" s="214"/>
    </row>
    <row r="66" ht="15.75" customHeight="1">
      <c r="A66" s="214"/>
      <c r="B66" s="214"/>
      <c r="C66" s="214"/>
      <c r="D66" s="214"/>
      <c r="E66" s="214"/>
      <c r="F66" s="214"/>
      <c r="G66" s="214"/>
      <c r="H66" s="214"/>
      <c r="I66" s="214"/>
      <c r="J66" s="214"/>
      <c r="K66" s="214"/>
      <c r="L66" s="214"/>
      <c r="M66" s="214"/>
      <c r="N66" s="214"/>
      <c r="O66" s="214"/>
      <c r="P66" s="214"/>
      <c r="Q66" s="214"/>
      <c r="R66" s="214"/>
      <c r="S66" s="214"/>
      <c r="T66" s="214"/>
      <c r="U66" s="214"/>
      <c r="V66" s="214"/>
      <c r="W66" s="214"/>
      <c r="X66" s="214"/>
      <c r="Y66" s="214"/>
      <c r="Z66" s="214"/>
    </row>
    <row r="67" ht="15.75" customHeight="1">
      <c r="A67" s="214"/>
      <c r="B67" s="214"/>
      <c r="C67" s="214"/>
      <c r="D67" s="214"/>
      <c r="E67" s="214"/>
      <c r="F67" s="214"/>
      <c r="G67" s="214"/>
      <c r="H67" s="214"/>
      <c r="I67" s="214"/>
      <c r="J67" s="214"/>
      <c r="K67" s="214"/>
      <c r="L67" s="214"/>
      <c r="M67" s="214"/>
      <c r="N67" s="214"/>
      <c r="O67" s="214"/>
      <c r="P67" s="214"/>
      <c r="Q67" s="214"/>
      <c r="R67" s="214"/>
      <c r="S67" s="214"/>
      <c r="T67" s="214"/>
      <c r="U67" s="214"/>
      <c r="V67" s="214"/>
      <c r="W67" s="214"/>
      <c r="X67" s="214"/>
      <c r="Y67" s="214"/>
      <c r="Z67" s="214"/>
    </row>
    <row r="68" ht="15.75" customHeight="1">
      <c r="A68" s="214"/>
      <c r="B68" s="214"/>
      <c r="C68" s="214"/>
      <c r="D68" s="214"/>
      <c r="E68" s="214"/>
      <c r="F68" s="214"/>
      <c r="G68" s="214"/>
      <c r="H68" s="214"/>
      <c r="I68" s="214"/>
      <c r="J68" s="214"/>
      <c r="K68" s="214"/>
      <c r="L68" s="214"/>
      <c r="M68" s="214"/>
      <c r="N68" s="214"/>
      <c r="O68" s="214"/>
      <c r="P68" s="214"/>
      <c r="Q68" s="214"/>
      <c r="R68" s="214"/>
      <c r="S68" s="214"/>
      <c r="T68" s="214"/>
      <c r="U68" s="214"/>
      <c r="V68" s="214"/>
      <c r="W68" s="214"/>
      <c r="X68" s="214"/>
      <c r="Y68" s="214"/>
      <c r="Z68" s="214"/>
    </row>
    <row r="69" ht="15.75" customHeight="1">
      <c r="A69" s="214"/>
      <c r="B69" s="214"/>
      <c r="C69" s="214"/>
      <c r="D69" s="214"/>
      <c r="E69" s="214"/>
      <c r="F69" s="214"/>
      <c r="G69" s="214"/>
      <c r="H69" s="214"/>
      <c r="I69" s="214"/>
      <c r="J69" s="214"/>
      <c r="K69" s="214"/>
      <c r="L69" s="214"/>
      <c r="M69" s="214"/>
      <c r="N69" s="214"/>
      <c r="O69" s="214"/>
      <c r="P69" s="214"/>
      <c r="Q69" s="214"/>
      <c r="R69" s="214"/>
      <c r="S69" s="214"/>
      <c r="T69" s="214"/>
      <c r="U69" s="214"/>
      <c r="V69" s="214"/>
      <c r="W69" s="214"/>
      <c r="X69" s="214"/>
      <c r="Y69" s="214"/>
      <c r="Z69" s="214"/>
    </row>
    <row r="70" ht="15.75" customHeight="1">
      <c r="A70" s="214"/>
      <c r="B70" s="214"/>
      <c r="C70" s="214"/>
      <c r="D70" s="214"/>
      <c r="E70" s="214"/>
      <c r="F70" s="214"/>
      <c r="G70" s="214"/>
      <c r="H70" s="214"/>
      <c r="I70" s="214"/>
      <c r="J70" s="214"/>
      <c r="K70" s="214"/>
      <c r="L70" s="214"/>
      <c r="M70" s="214"/>
      <c r="N70" s="214"/>
      <c r="O70" s="214"/>
      <c r="P70" s="214"/>
      <c r="Q70" s="214"/>
      <c r="R70" s="214"/>
      <c r="S70" s="214"/>
      <c r="T70" s="214"/>
      <c r="U70" s="214"/>
      <c r="V70" s="214"/>
      <c r="W70" s="214"/>
      <c r="X70" s="214"/>
      <c r="Y70" s="214"/>
      <c r="Z70" s="214"/>
    </row>
    <row r="71" ht="15.75" customHeight="1">
      <c r="A71" s="214"/>
      <c r="B71" s="214"/>
      <c r="C71" s="214"/>
      <c r="D71" s="214"/>
      <c r="E71" s="214"/>
      <c r="F71" s="214"/>
      <c r="G71" s="214"/>
      <c r="H71" s="214"/>
      <c r="I71" s="214"/>
      <c r="J71" s="214"/>
      <c r="K71" s="214"/>
      <c r="L71" s="214"/>
      <c r="M71" s="214"/>
      <c r="N71" s="214"/>
      <c r="O71" s="214"/>
      <c r="P71" s="214"/>
      <c r="Q71" s="214"/>
      <c r="R71" s="214"/>
      <c r="S71" s="214"/>
      <c r="T71" s="214"/>
      <c r="U71" s="214"/>
      <c r="V71" s="214"/>
      <c r="W71" s="214"/>
      <c r="X71" s="214"/>
      <c r="Y71" s="214"/>
      <c r="Z71" s="214"/>
    </row>
    <row r="72" ht="15.75" customHeight="1">
      <c r="A72" s="214"/>
      <c r="B72" s="214"/>
      <c r="C72" s="214"/>
      <c r="D72" s="214"/>
      <c r="E72" s="214"/>
      <c r="F72" s="214"/>
      <c r="G72" s="214"/>
      <c r="H72" s="214"/>
      <c r="I72" s="214"/>
      <c r="J72" s="214"/>
      <c r="K72" s="214"/>
      <c r="L72" s="214"/>
      <c r="M72" s="214"/>
      <c r="N72" s="214"/>
      <c r="O72" s="214"/>
      <c r="P72" s="214"/>
      <c r="Q72" s="214"/>
      <c r="R72" s="214"/>
      <c r="S72" s="214"/>
      <c r="T72" s="214"/>
      <c r="U72" s="214"/>
      <c r="V72" s="214"/>
      <c r="W72" s="214"/>
      <c r="X72" s="214"/>
      <c r="Y72" s="214"/>
      <c r="Z72" s="214"/>
    </row>
    <row r="73" ht="15.75" customHeight="1">
      <c r="A73" s="214"/>
      <c r="B73" s="214"/>
      <c r="C73" s="214"/>
      <c r="D73" s="214"/>
      <c r="E73" s="214"/>
      <c r="F73" s="214"/>
      <c r="G73" s="214"/>
      <c r="H73" s="214"/>
      <c r="I73" s="214"/>
      <c r="J73" s="214"/>
      <c r="K73" s="214"/>
      <c r="L73" s="214"/>
      <c r="M73" s="214"/>
      <c r="N73" s="214"/>
      <c r="O73" s="214"/>
      <c r="P73" s="214"/>
      <c r="Q73" s="214"/>
      <c r="R73" s="214"/>
      <c r="S73" s="214"/>
      <c r="T73" s="214"/>
      <c r="U73" s="214"/>
      <c r="V73" s="214"/>
      <c r="W73" s="214"/>
      <c r="X73" s="214"/>
      <c r="Y73" s="214"/>
      <c r="Z73" s="214"/>
    </row>
    <row r="74" ht="15.75" customHeight="1">
      <c r="A74" s="214"/>
      <c r="B74" s="214"/>
      <c r="C74" s="214"/>
      <c r="D74" s="214"/>
      <c r="E74" s="214"/>
      <c r="F74" s="214"/>
      <c r="G74" s="214"/>
      <c r="H74" s="214"/>
      <c r="I74" s="214"/>
      <c r="J74" s="214"/>
      <c r="K74" s="214"/>
      <c r="L74" s="214"/>
      <c r="M74" s="214"/>
      <c r="N74" s="214"/>
      <c r="O74" s="214"/>
      <c r="P74" s="214"/>
      <c r="Q74" s="214"/>
      <c r="R74" s="214"/>
      <c r="S74" s="214"/>
      <c r="T74" s="214"/>
      <c r="U74" s="214"/>
      <c r="V74" s="214"/>
      <c r="W74" s="214"/>
      <c r="X74" s="214"/>
      <c r="Y74" s="214"/>
      <c r="Z74" s="214"/>
    </row>
    <row r="75" ht="15.75" customHeight="1">
      <c r="A75" s="214"/>
      <c r="B75" s="214"/>
      <c r="C75" s="214"/>
      <c r="D75" s="214"/>
      <c r="E75" s="214"/>
      <c r="F75" s="214"/>
      <c r="G75" s="214"/>
      <c r="H75" s="214"/>
      <c r="I75" s="214"/>
      <c r="J75" s="214"/>
      <c r="K75" s="214"/>
      <c r="L75" s="214"/>
      <c r="M75" s="214"/>
      <c r="N75" s="214"/>
      <c r="O75" s="214"/>
      <c r="P75" s="214"/>
      <c r="Q75" s="214"/>
      <c r="R75" s="214"/>
      <c r="S75" s="214"/>
      <c r="T75" s="214"/>
      <c r="U75" s="214"/>
      <c r="V75" s="214"/>
      <c r="W75" s="214"/>
      <c r="X75" s="214"/>
      <c r="Y75" s="214"/>
      <c r="Z75" s="214"/>
    </row>
    <row r="76" ht="15.75" customHeight="1">
      <c r="A76" s="214"/>
      <c r="B76" s="214"/>
      <c r="C76" s="214"/>
      <c r="D76" s="214"/>
      <c r="E76" s="214"/>
      <c r="F76" s="214"/>
      <c r="G76" s="214"/>
      <c r="H76" s="214"/>
      <c r="I76" s="214"/>
      <c r="J76" s="214"/>
      <c r="K76" s="214"/>
      <c r="L76" s="214"/>
      <c r="M76" s="214"/>
      <c r="N76" s="214"/>
      <c r="O76" s="214"/>
      <c r="P76" s="214"/>
      <c r="Q76" s="214"/>
      <c r="R76" s="214"/>
      <c r="S76" s="214"/>
      <c r="T76" s="214"/>
      <c r="U76" s="214"/>
      <c r="V76" s="214"/>
      <c r="W76" s="214"/>
      <c r="X76" s="214"/>
      <c r="Y76" s="214"/>
      <c r="Z76" s="214"/>
    </row>
    <row r="77" ht="15.75" customHeight="1">
      <c r="A77" s="214"/>
      <c r="B77" s="214"/>
      <c r="C77" s="214"/>
      <c r="D77" s="214"/>
      <c r="E77" s="214"/>
      <c r="F77" s="214"/>
      <c r="G77" s="214"/>
      <c r="H77" s="214"/>
      <c r="I77" s="214"/>
      <c r="J77" s="214"/>
      <c r="K77" s="214"/>
      <c r="L77" s="214"/>
      <c r="M77" s="214"/>
      <c r="N77" s="214"/>
      <c r="O77" s="214"/>
      <c r="P77" s="214"/>
      <c r="Q77" s="214"/>
      <c r="R77" s="214"/>
      <c r="S77" s="214"/>
      <c r="T77" s="214"/>
      <c r="U77" s="214"/>
      <c r="V77" s="214"/>
      <c r="W77" s="214"/>
      <c r="X77" s="214"/>
      <c r="Y77" s="214"/>
      <c r="Z77" s="214"/>
    </row>
    <row r="78" ht="15.75" customHeight="1">
      <c r="A78" s="214"/>
      <c r="B78" s="214"/>
      <c r="C78" s="214"/>
      <c r="D78" s="214"/>
      <c r="E78" s="214"/>
      <c r="F78" s="214"/>
      <c r="G78" s="214"/>
      <c r="H78" s="214"/>
      <c r="I78" s="214"/>
      <c r="J78" s="214"/>
      <c r="K78" s="214"/>
      <c r="L78" s="214"/>
      <c r="M78" s="214"/>
      <c r="N78" s="214"/>
      <c r="O78" s="214"/>
      <c r="P78" s="214"/>
      <c r="Q78" s="214"/>
      <c r="R78" s="214"/>
      <c r="S78" s="214"/>
      <c r="T78" s="214"/>
      <c r="U78" s="214"/>
      <c r="V78" s="214"/>
      <c r="W78" s="214"/>
      <c r="X78" s="214"/>
      <c r="Y78" s="214"/>
      <c r="Z78" s="214"/>
    </row>
    <row r="79" ht="15.75" customHeight="1">
      <c r="A79" s="214"/>
      <c r="B79" s="214"/>
      <c r="C79" s="214"/>
      <c r="D79" s="214"/>
      <c r="E79" s="214"/>
      <c r="F79" s="214"/>
      <c r="G79" s="214"/>
      <c r="H79" s="214"/>
      <c r="I79" s="214"/>
      <c r="J79" s="214"/>
      <c r="K79" s="214"/>
      <c r="L79" s="214"/>
      <c r="M79" s="214"/>
      <c r="N79" s="214"/>
      <c r="O79" s="214"/>
      <c r="P79" s="214"/>
      <c r="Q79" s="214"/>
      <c r="R79" s="214"/>
      <c r="S79" s="214"/>
      <c r="T79" s="214"/>
      <c r="U79" s="214"/>
      <c r="V79" s="214"/>
      <c r="W79" s="214"/>
      <c r="X79" s="214"/>
      <c r="Y79" s="214"/>
      <c r="Z79" s="214"/>
    </row>
    <row r="80" ht="15.75" customHeight="1">
      <c r="A80" s="214"/>
      <c r="B80" s="214"/>
      <c r="C80" s="214"/>
      <c r="D80" s="214"/>
      <c r="E80" s="214"/>
      <c r="F80" s="214"/>
      <c r="G80" s="214"/>
      <c r="H80" s="214"/>
      <c r="I80" s="214"/>
      <c r="J80" s="214"/>
      <c r="K80" s="214"/>
      <c r="L80" s="214"/>
      <c r="M80" s="214"/>
      <c r="N80" s="214"/>
      <c r="O80" s="214"/>
      <c r="P80" s="214"/>
      <c r="Q80" s="214"/>
      <c r="R80" s="214"/>
      <c r="S80" s="214"/>
      <c r="T80" s="214"/>
      <c r="U80" s="214"/>
      <c r="V80" s="214"/>
      <c r="W80" s="214"/>
      <c r="X80" s="214"/>
      <c r="Y80" s="214"/>
      <c r="Z80" s="214"/>
    </row>
    <row r="81" ht="15.75" customHeight="1">
      <c r="A81" s="214"/>
      <c r="B81" s="214"/>
      <c r="C81" s="214"/>
      <c r="D81" s="214"/>
      <c r="E81" s="214"/>
      <c r="F81" s="214"/>
      <c r="G81" s="214"/>
      <c r="H81" s="214"/>
      <c r="I81" s="214"/>
      <c r="J81" s="214"/>
      <c r="K81" s="214"/>
      <c r="L81" s="214"/>
      <c r="M81" s="214"/>
      <c r="N81" s="214"/>
      <c r="O81" s="214"/>
      <c r="P81" s="214"/>
      <c r="Q81" s="214"/>
      <c r="R81" s="214"/>
      <c r="S81" s="214"/>
      <c r="T81" s="214"/>
      <c r="U81" s="214"/>
      <c r="V81" s="214"/>
      <c r="W81" s="214"/>
      <c r="X81" s="214"/>
      <c r="Y81" s="214"/>
      <c r="Z81" s="214"/>
    </row>
    <row r="82" ht="15.75" customHeight="1">
      <c r="A82" s="214"/>
      <c r="B82" s="214"/>
      <c r="C82" s="214"/>
      <c r="D82" s="214"/>
      <c r="E82" s="214"/>
      <c r="F82" s="214"/>
      <c r="G82" s="214"/>
      <c r="H82" s="214"/>
      <c r="I82" s="214"/>
      <c r="J82" s="214"/>
      <c r="K82" s="214"/>
      <c r="L82" s="214"/>
      <c r="M82" s="214"/>
      <c r="N82" s="214"/>
      <c r="O82" s="214"/>
      <c r="P82" s="214"/>
      <c r="Q82" s="214"/>
      <c r="R82" s="214"/>
      <c r="S82" s="214"/>
      <c r="T82" s="214"/>
      <c r="U82" s="214"/>
      <c r="V82" s="214"/>
      <c r="W82" s="214"/>
      <c r="X82" s="214"/>
      <c r="Y82" s="214"/>
      <c r="Z82" s="214"/>
    </row>
    <row r="83" ht="15.75" customHeight="1">
      <c r="A83" s="214"/>
      <c r="B83" s="214"/>
      <c r="C83" s="214"/>
      <c r="D83" s="214"/>
      <c r="E83" s="214"/>
      <c r="F83" s="214"/>
      <c r="G83" s="214"/>
      <c r="H83" s="214"/>
      <c r="I83" s="214"/>
      <c r="J83" s="214"/>
      <c r="K83" s="214"/>
      <c r="L83" s="214"/>
      <c r="M83" s="214"/>
      <c r="N83" s="214"/>
      <c r="O83" s="214"/>
      <c r="P83" s="214"/>
      <c r="Q83" s="214"/>
      <c r="R83" s="214"/>
      <c r="S83" s="214"/>
      <c r="T83" s="214"/>
      <c r="U83" s="214"/>
      <c r="V83" s="214"/>
      <c r="W83" s="214"/>
      <c r="X83" s="214"/>
      <c r="Y83" s="214"/>
      <c r="Z83" s="214"/>
    </row>
    <row r="84" ht="15.75" customHeight="1">
      <c r="A84" s="214"/>
      <c r="B84" s="214"/>
      <c r="C84" s="214"/>
      <c r="D84" s="214"/>
      <c r="E84" s="214"/>
      <c r="F84" s="214"/>
      <c r="G84" s="214"/>
      <c r="H84" s="214"/>
      <c r="I84" s="214"/>
      <c r="J84" s="214"/>
      <c r="K84" s="214"/>
      <c r="L84" s="214"/>
      <c r="M84" s="214"/>
      <c r="N84" s="214"/>
      <c r="O84" s="214"/>
      <c r="P84" s="214"/>
      <c r="Q84" s="214"/>
      <c r="R84" s="214"/>
      <c r="S84" s="214"/>
      <c r="T84" s="214"/>
      <c r="U84" s="214"/>
      <c r="V84" s="214"/>
      <c r="W84" s="214"/>
      <c r="X84" s="214"/>
      <c r="Y84" s="214"/>
      <c r="Z84" s="214"/>
    </row>
    <row r="85" ht="15.75" customHeight="1">
      <c r="A85" s="214"/>
      <c r="B85" s="214"/>
      <c r="C85" s="214"/>
      <c r="D85" s="214"/>
      <c r="E85" s="214"/>
      <c r="F85" s="214"/>
      <c r="G85" s="214"/>
      <c r="H85" s="214"/>
      <c r="I85" s="214"/>
      <c r="J85" s="214"/>
      <c r="K85" s="214"/>
      <c r="L85" s="214"/>
      <c r="M85" s="214"/>
      <c r="N85" s="214"/>
      <c r="O85" s="214"/>
      <c r="P85" s="214"/>
      <c r="Q85" s="214"/>
      <c r="R85" s="214"/>
      <c r="S85" s="214"/>
      <c r="T85" s="214"/>
      <c r="U85" s="214"/>
      <c r="V85" s="214"/>
      <c r="W85" s="214"/>
      <c r="X85" s="214"/>
      <c r="Y85" s="214"/>
      <c r="Z85" s="214"/>
    </row>
    <row r="86" ht="15.75" customHeight="1">
      <c r="A86" s="214"/>
      <c r="B86" s="214"/>
      <c r="C86" s="214"/>
      <c r="D86" s="214"/>
      <c r="E86" s="214"/>
      <c r="F86" s="214"/>
      <c r="G86" s="214"/>
      <c r="H86" s="214"/>
      <c r="I86" s="214"/>
      <c r="J86" s="214"/>
      <c r="K86" s="214"/>
      <c r="L86" s="214"/>
      <c r="M86" s="214"/>
      <c r="N86" s="214"/>
      <c r="O86" s="214"/>
      <c r="P86" s="214"/>
      <c r="Q86" s="214"/>
      <c r="R86" s="214"/>
      <c r="S86" s="214"/>
      <c r="T86" s="214"/>
      <c r="U86" s="214"/>
      <c r="V86" s="214"/>
      <c r="W86" s="214"/>
      <c r="X86" s="214"/>
      <c r="Y86" s="214"/>
      <c r="Z86" s="214"/>
    </row>
    <row r="87" ht="15.75" customHeight="1">
      <c r="A87" s="214"/>
      <c r="B87" s="214"/>
      <c r="C87" s="214"/>
      <c r="D87" s="214"/>
      <c r="E87" s="214"/>
      <c r="F87" s="214"/>
      <c r="G87" s="214"/>
      <c r="H87" s="214"/>
      <c r="I87" s="214"/>
      <c r="J87" s="214"/>
      <c r="K87" s="214"/>
      <c r="L87" s="214"/>
      <c r="M87" s="214"/>
      <c r="N87" s="214"/>
      <c r="O87" s="214"/>
      <c r="P87" s="214"/>
      <c r="Q87" s="214"/>
      <c r="R87" s="214"/>
      <c r="S87" s="214"/>
      <c r="T87" s="214"/>
      <c r="U87" s="214"/>
      <c r="V87" s="214"/>
      <c r="W87" s="214"/>
      <c r="X87" s="214"/>
      <c r="Y87" s="214"/>
      <c r="Z87" s="214"/>
    </row>
    <row r="88" ht="15.75" customHeight="1">
      <c r="A88" s="214"/>
      <c r="B88" s="214"/>
      <c r="C88" s="214"/>
      <c r="D88" s="214"/>
      <c r="E88" s="214"/>
      <c r="F88" s="214"/>
      <c r="G88" s="214"/>
      <c r="H88" s="214"/>
      <c r="I88" s="214"/>
      <c r="J88" s="214"/>
      <c r="K88" s="214"/>
      <c r="L88" s="214"/>
      <c r="M88" s="214"/>
      <c r="N88" s="214"/>
      <c r="O88" s="214"/>
      <c r="P88" s="214"/>
      <c r="Q88" s="214"/>
      <c r="R88" s="214"/>
      <c r="S88" s="214"/>
      <c r="T88" s="214"/>
      <c r="U88" s="214"/>
      <c r="V88" s="214"/>
      <c r="W88" s="214"/>
      <c r="X88" s="214"/>
      <c r="Y88" s="214"/>
      <c r="Z88" s="214"/>
    </row>
    <row r="89" ht="15.75" customHeight="1">
      <c r="A89" s="214"/>
      <c r="B89" s="214"/>
      <c r="C89" s="214"/>
      <c r="D89" s="214"/>
      <c r="E89" s="214"/>
      <c r="F89" s="214"/>
      <c r="G89" s="214"/>
      <c r="H89" s="214"/>
      <c r="I89" s="214"/>
      <c r="J89" s="214"/>
      <c r="K89" s="214"/>
      <c r="L89" s="214"/>
      <c r="M89" s="214"/>
      <c r="N89" s="214"/>
      <c r="O89" s="214"/>
      <c r="P89" s="214"/>
      <c r="Q89" s="214"/>
      <c r="R89" s="214"/>
      <c r="S89" s="214"/>
      <c r="T89" s="214"/>
      <c r="U89" s="214"/>
      <c r="V89" s="214"/>
      <c r="W89" s="214"/>
      <c r="X89" s="214"/>
      <c r="Y89" s="214"/>
      <c r="Z89" s="214"/>
    </row>
    <row r="90" ht="15.75" customHeight="1">
      <c r="A90" s="214"/>
      <c r="B90" s="214"/>
      <c r="C90" s="214"/>
      <c r="D90" s="214"/>
      <c r="E90" s="214"/>
      <c r="F90" s="214"/>
      <c r="G90" s="214"/>
      <c r="H90" s="214"/>
      <c r="I90" s="214"/>
      <c r="J90" s="214"/>
      <c r="K90" s="214"/>
      <c r="L90" s="214"/>
      <c r="M90" s="214"/>
      <c r="N90" s="214"/>
      <c r="O90" s="214"/>
      <c r="P90" s="214"/>
      <c r="Q90" s="214"/>
      <c r="R90" s="214"/>
      <c r="S90" s="214"/>
      <c r="T90" s="214"/>
      <c r="U90" s="214"/>
      <c r="V90" s="214"/>
      <c r="W90" s="214"/>
      <c r="X90" s="214"/>
      <c r="Y90" s="214"/>
      <c r="Z90" s="214"/>
    </row>
    <row r="91" ht="15.75" customHeight="1">
      <c r="A91" s="214"/>
      <c r="B91" s="214"/>
      <c r="C91" s="214"/>
      <c r="D91" s="214"/>
      <c r="E91" s="214"/>
      <c r="F91" s="214"/>
      <c r="G91" s="214"/>
      <c r="H91" s="214"/>
      <c r="I91" s="214"/>
      <c r="J91" s="214"/>
      <c r="K91" s="214"/>
      <c r="L91" s="214"/>
      <c r="M91" s="214"/>
      <c r="N91" s="214"/>
      <c r="O91" s="214"/>
      <c r="P91" s="214"/>
      <c r="Q91" s="214"/>
      <c r="R91" s="214"/>
      <c r="S91" s="214"/>
      <c r="T91" s="214"/>
      <c r="U91" s="214"/>
      <c r="V91" s="214"/>
      <c r="W91" s="214"/>
      <c r="X91" s="214"/>
      <c r="Y91" s="214"/>
      <c r="Z91" s="214"/>
    </row>
    <row r="92" ht="15.75" customHeight="1">
      <c r="A92" s="214"/>
      <c r="B92" s="214"/>
      <c r="C92" s="214"/>
      <c r="D92" s="214"/>
      <c r="E92" s="214"/>
      <c r="F92" s="214"/>
      <c r="G92" s="214"/>
      <c r="H92" s="214"/>
      <c r="I92" s="214"/>
      <c r="J92" s="214"/>
      <c r="K92" s="214"/>
      <c r="L92" s="214"/>
      <c r="M92" s="214"/>
      <c r="N92" s="214"/>
      <c r="O92" s="214"/>
      <c r="P92" s="214"/>
      <c r="Q92" s="214"/>
      <c r="R92" s="214"/>
      <c r="S92" s="214"/>
      <c r="T92" s="214"/>
      <c r="U92" s="214"/>
      <c r="V92" s="214"/>
      <c r="W92" s="214"/>
      <c r="X92" s="214"/>
      <c r="Y92" s="214"/>
      <c r="Z92" s="214"/>
    </row>
    <row r="93" ht="15.75" customHeight="1">
      <c r="A93" s="214"/>
      <c r="B93" s="214"/>
      <c r="C93" s="214"/>
      <c r="D93" s="214"/>
      <c r="E93" s="214"/>
      <c r="F93" s="214"/>
      <c r="G93" s="214"/>
      <c r="H93" s="214"/>
      <c r="I93" s="214"/>
      <c r="J93" s="214"/>
      <c r="K93" s="214"/>
      <c r="L93" s="214"/>
      <c r="M93" s="214"/>
      <c r="N93" s="214"/>
      <c r="O93" s="214"/>
      <c r="P93" s="214"/>
      <c r="Q93" s="214"/>
      <c r="R93" s="214"/>
      <c r="S93" s="214"/>
      <c r="T93" s="214"/>
      <c r="U93" s="214"/>
      <c r="V93" s="214"/>
      <c r="W93" s="214"/>
      <c r="X93" s="214"/>
      <c r="Y93" s="214"/>
      <c r="Z93" s="214"/>
    </row>
    <row r="94" ht="15.75" customHeight="1">
      <c r="A94" s="214"/>
      <c r="B94" s="214"/>
      <c r="C94" s="214"/>
      <c r="D94" s="214"/>
      <c r="E94" s="214"/>
      <c r="F94" s="214"/>
      <c r="G94" s="214"/>
      <c r="H94" s="214"/>
      <c r="I94" s="214"/>
      <c r="J94" s="214"/>
      <c r="K94" s="214"/>
      <c r="L94" s="214"/>
      <c r="M94" s="214"/>
      <c r="N94" s="214"/>
      <c r="O94" s="214"/>
      <c r="P94" s="214"/>
      <c r="Q94" s="214"/>
      <c r="R94" s="214"/>
      <c r="S94" s="214"/>
      <c r="T94" s="214"/>
      <c r="U94" s="214"/>
      <c r="V94" s="214"/>
      <c r="W94" s="214"/>
      <c r="X94" s="214"/>
      <c r="Y94" s="214"/>
      <c r="Z94" s="214"/>
    </row>
    <row r="95" ht="15.75" customHeight="1">
      <c r="A95" s="214"/>
      <c r="B95" s="214"/>
      <c r="C95" s="214"/>
      <c r="D95" s="214"/>
      <c r="E95" s="214"/>
      <c r="F95" s="214"/>
      <c r="G95" s="214"/>
      <c r="H95" s="214"/>
      <c r="I95" s="214"/>
      <c r="J95" s="214"/>
      <c r="K95" s="214"/>
      <c r="L95" s="214"/>
      <c r="M95" s="214"/>
      <c r="N95" s="214"/>
      <c r="O95" s="214"/>
      <c r="P95" s="214"/>
      <c r="Q95" s="214"/>
      <c r="R95" s="214"/>
      <c r="S95" s="214"/>
      <c r="T95" s="214"/>
      <c r="U95" s="214"/>
      <c r="V95" s="214"/>
      <c r="W95" s="214"/>
      <c r="X95" s="214"/>
      <c r="Y95" s="214"/>
      <c r="Z95" s="214"/>
    </row>
    <row r="96" ht="15.75" customHeight="1">
      <c r="A96" s="214"/>
      <c r="B96" s="214"/>
      <c r="C96" s="214"/>
      <c r="D96" s="214"/>
      <c r="E96" s="214"/>
      <c r="F96" s="214"/>
      <c r="G96" s="214"/>
      <c r="H96" s="214"/>
      <c r="I96" s="214"/>
      <c r="J96" s="214"/>
      <c r="K96" s="214"/>
      <c r="L96" s="214"/>
      <c r="M96" s="214"/>
      <c r="N96" s="214"/>
      <c r="O96" s="214"/>
      <c r="P96" s="214"/>
      <c r="Q96" s="214"/>
      <c r="R96" s="214"/>
      <c r="S96" s="214"/>
      <c r="T96" s="214"/>
      <c r="U96" s="214"/>
      <c r="V96" s="214"/>
      <c r="W96" s="214"/>
      <c r="X96" s="214"/>
      <c r="Y96" s="214"/>
      <c r="Z96" s="214"/>
    </row>
    <row r="97" ht="15.75" customHeight="1">
      <c r="A97" s="214"/>
      <c r="B97" s="214"/>
      <c r="C97" s="214"/>
      <c r="D97" s="214"/>
      <c r="E97" s="214"/>
      <c r="F97" s="214"/>
      <c r="G97" s="214"/>
      <c r="H97" s="214"/>
      <c r="I97" s="214"/>
      <c r="J97" s="214"/>
      <c r="K97" s="214"/>
      <c r="L97" s="214"/>
      <c r="M97" s="214"/>
      <c r="N97" s="214"/>
      <c r="O97" s="214"/>
      <c r="P97" s="214"/>
      <c r="Q97" s="214"/>
      <c r="R97" s="214"/>
      <c r="S97" s="214"/>
      <c r="T97" s="214"/>
      <c r="U97" s="214"/>
      <c r="V97" s="214"/>
      <c r="W97" s="214"/>
      <c r="X97" s="214"/>
      <c r="Y97" s="214"/>
      <c r="Z97" s="214"/>
    </row>
    <row r="98" ht="15.75" customHeight="1">
      <c r="A98" s="214"/>
      <c r="B98" s="214"/>
      <c r="C98" s="214"/>
      <c r="D98" s="214"/>
      <c r="E98" s="214"/>
      <c r="F98" s="214"/>
      <c r="G98" s="214"/>
      <c r="H98" s="214"/>
      <c r="I98" s="214"/>
      <c r="J98" s="214"/>
      <c r="K98" s="214"/>
      <c r="L98" s="214"/>
      <c r="M98" s="214"/>
      <c r="N98" s="214"/>
      <c r="O98" s="214"/>
      <c r="P98" s="214"/>
      <c r="Q98" s="214"/>
      <c r="R98" s="214"/>
      <c r="S98" s="214"/>
      <c r="T98" s="214"/>
      <c r="U98" s="214"/>
      <c r="V98" s="214"/>
      <c r="W98" s="214"/>
      <c r="X98" s="214"/>
      <c r="Y98" s="214"/>
      <c r="Z98" s="214"/>
    </row>
    <row r="99" ht="15.75" customHeight="1">
      <c r="A99" s="214"/>
      <c r="B99" s="214"/>
      <c r="C99" s="214"/>
      <c r="D99" s="214"/>
      <c r="E99" s="214"/>
      <c r="F99" s="214"/>
      <c r="G99" s="214"/>
      <c r="H99" s="214"/>
      <c r="I99" s="214"/>
      <c r="J99" s="214"/>
      <c r="K99" s="214"/>
      <c r="L99" s="214"/>
      <c r="M99" s="214"/>
      <c r="N99" s="214"/>
      <c r="O99" s="214"/>
      <c r="P99" s="214"/>
      <c r="Q99" s="214"/>
      <c r="R99" s="214"/>
      <c r="S99" s="214"/>
      <c r="T99" s="214"/>
      <c r="U99" s="214"/>
      <c r="V99" s="214"/>
      <c r="W99" s="214"/>
      <c r="X99" s="214"/>
      <c r="Y99" s="214"/>
      <c r="Z99" s="214"/>
    </row>
    <row r="100" ht="15.75" customHeight="1">
      <c r="A100" s="214"/>
      <c r="B100" s="214"/>
      <c r="C100" s="214"/>
      <c r="D100" s="214"/>
      <c r="E100" s="214"/>
      <c r="F100" s="214"/>
      <c r="G100" s="214"/>
      <c r="H100" s="214"/>
      <c r="I100" s="214"/>
      <c r="J100" s="214"/>
      <c r="K100" s="214"/>
      <c r="L100" s="214"/>
      <c r="M100" s="214"/>
      <c r="N100" s="214"/>
      <c r="O100" s="214"/>
      <c r="P100" s="214"/>
      <c r="Q100" s="214"/>
      <c r="R100" s="214"/>
      <c r="S100" s="214"/>
      <c r="T100" s="214"/>
      <c r="U100" s="214"/>
      <c r="V100" s="214"/>
      <c r="W100" s="214"/>
      <c r="X100" s="214"/>
      <c r="Y100" s="214"/>
      <c r="Z100" s="214"/>
    </row>
    <row r="101" ht="15.75" customHeight="1">
      <c r="A101" s="214"/>
      <c r="B101" s="214"/>
      <c r="C101" s="214"/>
      <c r="D101" s="214"/>
      <c r="E101" s="214"/>
      <c r="F101" s="214"/>
      <c r="G101" s="214"/>
      <c r="H101" s="214"/>
      <c r="I101" s="214"/>
      <c r="J101" s="214"/>
      <c r="K101" s="214"/>
      <c r="L101" s="214"/>
      <c r="M101" s="214"/>
      <c r="N101" s="214"/>
      <c r="O101" s="214"/>
      <c r="P101" s="214"/>
      <c r="Q101" s="214"/>
      <c r="R101" s="214"/>
      <c r="S101" s="214"/>
      <c r="T101" s="214"/>
      <c r="U101" s="214"/>
      <c r="V101" s="214"/>
      <c r="W101" s="214"/>
      <c r="X101" s="214"/>
      <c r="Y101" s="214"/>
      <c r="Z101" s="214"/>
    </row>
    <row r="102" ht="15.75" customHeight="1">
      <c r="A102" s="214"/>
      <c r="B102" s="214"/>
      <c r="C102" s="214"/>
      <c r="D102" s="214"/>
      <c r="E102" s="214"/>
      <c r="F102" s="214"/>
      <c r="G102" s="214"/>
      <c r="H102" s="214"/>
      <c r="I102" s="214"/>
      <c r="J102" s="214"/>
      <c r="K102" s="214"/>
      <c r="L102" s="214"/>
      <c r="M102" s="214"/>
      <c r="N102" s="214"/>
      <c r="O102" s="214"/>
      <c r="P102" s="214"/>
      <c r="Q102" s="214"/>
      <c r="R102" s="214"/>
      <c r="S102" s="214"/>
      <c r="T102" s="214"/>
      <c r="U102" s="214"/>
      <c r="V102" s="214"/>
      <c r="W102" s="214"/>
      <c r="X102" s="214"/>
      <c r="Y102" s="214"/>
      <c r="Z102" s="214"/>
    </row>
    <row r="103" ht="15.75" customHeight="1">
      <c r="A103" s="214"/>
      <c r="B103" s="214"/>
      <c r="C103" s="214"/>
      <c r="D103" s="214"/>
      <c r="E103" s="214"/>
      <c r="F103" s="214"/>
      <c r="G103" s="214"/>
      <c r="H103" s="214"/>
      <c r="I103" s="214"/>
      <c r="J103" s="214"/>
      <c r="K103" s="214"/>
      <c r="L103" s="214"/>
      <c r="M103" s="214"/>
      <c r="N103" s="214"/>
      <c r="O103" s="214"/>
      <c r="P103" s="214"/>
      <c r="Q103" s="214"/>
      <c r="R103" s="214"/>
      <c r="S103" s="214"/>
      <c r="T103" s="214"/>
      <c r="U103" s="214"/>
      <c r="V103" s="214"/>
      <c r="W103" s="214"/>
      <c r="X103" s="214"/>
      <c r="Y103" s="214"/>
      <c r="Z103" s="214"/>
    </row>
    <row r="104" ht="15.75" customHeight="1">
      <c r="A104" s="214"/>
      <c r="B104" s="214"/>
      <c r="C104" s="214"/>
      <c r="D104" s="214"/>
      <c r="E104" s="214"/>
      <c r="F104" s="214"/>
      <c r="G104" s="214"/>
      <c r="H104" s="214"/>
      <c r="I104" s="214"/>
      <c r="J104" s="214"/>
      <c r="K104" s="214"/>
      <c r="L104" s="214"/>
      <c r="M104" s="214"/>
      <c r="N104" s="214"/>
      <c r="O104" s="214"/>
      <c r="P104" s="214"/>
      <c r="Q104" s="214"/>
      <c r="R104" s="214"/>
      <c r="S104" s="214"/>
      <c r="T104" s="214"/>
      <c r="U104" s="214"/>
      <c r="V104" s="214"/>
      <c r="W104" s="214"/>
      <c r="X104" s="214"/>
      <c r="Y104" s="214"/>
      <c r="Z104" s="214"/>
    </row>
    <row r="105" ht="15.75" customHeight="1">
      <c r="A105" s="214"/>
      <c r="B105" s="214"/>
      <c r="C105" s="214"/>
      <c r="D105" s="214"/>
      <c r="E105" s="214"/>
      <c r="F105" s="214"/>
      <c r="G105" s="214"/>
      <c r="H105" s="214"/>
      <c r="I105" s="214"/>
      <c r="J105" s="214"/>
      <c r="K105" s="214"/>
      <c r="L105" s="214"/>
      <c r="M105" s="214"/>
      <c r="N105" s="214"/>
      <c r="O105" s="214"/>
      <c r="P105" s="214"/>
      <c r="Q105" s="214"/>
      <c r="R105" s="214"/>
      <c r="S105" s="214"/>
      <c r="T105" s="214"/>
      <c r="U105" s="214"/>
      <c r="V105" s="214"/>
      <c r="W105" s="214"/>
      <c r="X105" s="214"/>
      <c r="Y105" s="214"/>
      <c r="Z105" s="214"/>
    </row>
    <row r="106" ht="15.75" customHeight="1">
      <c r="A106" s="214"/>
      <c r="B106" s="214"/>
      <c r="C106" s="214"/>
      <c r="D106" s="214"/>
      <c r="E106" s="214"/>
      <c r="F106" s="214"/>
      <c r="G106" s="214"/>
      <c r="H106" s="214"/>
      <c r="I106" s="214"/>
      <c r="J106" s="214"/>
      <c r="K106" s="214"/>
      <c r="L106" s="214"/>
      <c r="M106" s="214"/>
      <c r="N106" s="214"/>
      <c r="O106" s="214"/>
      <c r="P106" s="214"/>
      <c r="Q106" s="214"/>
      <c r="R106" s="214"/>
      <c r="S106" s="214"/>
      <c r="T106" s="214"/>
      <c r="U106" s="214"/>
      <c r="V106" s="214"/>
      <c r="W106" s="214"/>
      <c r="X106" s="214"/>
      <c r="Y106" s="214"/>
      <c r="Z106" s="214"/>
    </row>
    <row r="107" ht="15.75" customHeight="1">
      <c r="A107" s="214"/>
      <c r="B107" s="214"/>
      <c r="C107" s="214"/>
      <c r="D107" s="214"/>
      <c r="E107" s="214"/>
      <c r="F107" s="214"/>
      <c r="G107" s="214"/>
      <c r="H107" s="214"/>
      <c r="I107" s="214"/>
      <c r="J107" s="214"/>
      <c r="K107" s="214"/>
      <c r="L107" s="214"/>
      <c r="M107" s="214"/>
      <c r="N107" s="214"/>
      <c r="O107" s="214"/>
      <c r="P107" s="214"/>
      <c r="Q107" s="214"/>
      <c r="R107" s="214"/>
      <c r="S107" s="214"/>
      <c r="T107" s="214"/>
      <c r="U107" s="214"/>
      <c r="V107" s="214"/>
      <c r="W107" s="214"/>
      <c r="X107" s="214"/>
      <c r="Y107" s="214"/>
      <c r="Z107" s="214"/>
    </row>
    <row r="108" ht="15.75" customHeight="1">
      <c r="A108" s="214"/>
      <c r="B108" s="214"/>
      <c r="C108" s="214"/>
      <c r="D108" s="214"/>
      <c r="E108" s="214"/>
      <c r="F108" s="214"/>
      <c r="G108" s="214"/>
      <c r="H108" s="214"/>
      <c r="I108" s="214"/>
      <c r="J108" s="214"/>
      <c r="K108" s="214"/>
      <c r="L108" s="214"/>
      <c r="M108" s="214"/>
      <c r="N108" s="214"/>
      <c r="O108" s="214"/>
      <c r="P108" s="214"/>
      <c r="Q108" s="214"/>
      <c r="R108" s="214"/>
      <c r="S108" s="214"/>
      <c r="T108" s="214"/>
      <c r="U108" s="214"/>
      <c r="V108" s="214"/>
      <c r="W108" s="214"/>
      <c r="X108" s="214"/>
      <c r="Y108" s="214"/>
      <c r="Z108" s="214"/>
    </row>
    <row r="109" ht="15.75" customHeight="1">
      <c r="A109" s="214"/>
      <c r="B109" s="214"/>
      <c r="C109" s="214"/>
      <c r="D109" s="214"/>
      <c r="E109" s="214"/>
      <c r="F109" s="214"/>
      <c r="G109" s="214"/>
      <c r="H109" s="214"/>
      <c r="I109" s="214"/>
      <c r="J109" s="214"/>
      <c r="K109" s="214"/>
      <c r="L109" s="214"/>
      <c r="M109" s="214"/>
      <c r="N109" s="214"/>
      <c r="O109" s="214"/>
      <c r="P109" s="214"/>
      <c r="Q109" s="214"/>
      <c r="R109" s="214"/>
      <c r="S109" s="214"/>
      <c r="T109" s="214"/>
      <c r="U109" s="214"/>
      <c r="V109" s="214"/>
      <c r="W109" s="214"/>
      <c r="X109" s="214"/>
      <c r="Y109" s="214"/>
      <c r="Z109" s="214"/>
    </row>
    <row r="110" ht="15.75" customHeight="1">
      <c r="A110" s="214"/>
      <c r="B110" s="214"/>
      <c r="C110" s="214"/>
      <c r="D110" s="214"/>
      <c r="E110" s="214"/>
      <c r="F110" s="214"/>
      <c r="G110" s="214"/>
      <c r="H110" s="214"/>
      <c r="I110" s="214"/>
      <c r="J110" s="214"/>
      <c r="K110" s="214"/>
      <c r="L110" s="214"/>
      <c r="M110" s="214"/>
      <c r="N110" s="214"/>
      <c r="O110" s="214"/>
      <c r="P110" s="214"/>
      <c r="Q110" s="214"/>
      <c r="R110" s="214"/>
      <c r="S110" s="214"/>
      <c r="T110" s="214"/>
      <c r="U110" s="214"/>
      <c r="V110" s="214"/>
      <c r="W110" s="214"/>
      <c r="X110" s="214"/>
      <c r="Y110" s="214"/>
      <c r="Z110" s="214"/>
    </row>
    <row r="111" ht="15.75" customHeight="1">
      <c r="A111" s="214"/>
      <c r="B111" s="214"/>
      <c r="C111" s="214"/>
      <c r="D111" s="214"/>
      <c r="E111" s="214"/>
      <c r="F111" s="214"/>
      <c r="G111" s="214"/>
      <c r="H111" s="214"/>
      <c r="I111" s="214"/>
      <c r="J111" s="214"/>
      <c r="K111" s="214"/>
      <c r="L111" s="214"/>
      <c r="M111" s="214"/>
      <c r="N111" s="214"/>
      <c r="O111" s="214"/>
      <c r="P111" s="214"/>
      <c r="Q111" s="214"/>
      <c r="R111" s="214"/>
      <c r="S111" s="214"/>
      <c r="T111" s="214"/>
      <c r="U111" s="214"/>
      <c r="V111" s="214"/>
      <c r="W111" s="214"/>
      <c r="X111" s="214"/>
      <c r="Y111" s="214"/>
      <c r="Z111" s="214"/>
    </row>
    <row r="112" ht="15.75" customHeight="1">
      <c r="A112" s="214"/>
      <c r="B112" s="214"/>
      <c r="C112" s="214"/>
      <c r="D112" s="214"/>
      <c r="E112" s="214"/>
      <c r="F112" s="214"/>
      <c r="G112" s="214"/>
      <c r="H112" s="214"/>
      <c r="I112" s="214"/>
      <c r="J112" s="214"/>
      <c r="K112" s="214"/>
      <c r="L112" s="214"/>
      <c r="M112" s="214"/>
      <c r="N112" s="214"/>
      <c r="O112" s="214"/>
      <c r="P112" s="214"/>
      <c r="Q112" s="214"/>
      <c r="R112" s="214"/>
      <c r="S112" s="214"/>
      <c r="T112" s="214"/>
      <c r="U112" s="214"/>
      <c r="V112" s="214"/>
      <c r="W112" s="214"/>
      <c r="X112" s="214"/>
      <c r="Y112" s="214"/>
      <c r="Z112" s="214"/>
    </row>
    <row r="113" ht="15.75" customHeight="1">
      <c r="A113" s="214"/>
      <c r="B113" s="214"/>
      <c r="C113" s="214"/>
      <c r="D113" s="214"/>
      <c r="E113" s="214"/>
      <c r="F113" s="214"/>
      <c r="G113" s="214"/>
      <c r="H113" s="214"/>
      <c r="I113" s="214"/>
      <c r="J113" s="214"/>
      <c r="K113" s="214"/>
      <c r="L113" s="214"/>
      <c r="M113" s="214"/>
      <c r="N113" s="214"/>
      <c r="O113" s="214"/>
      <c r="P113" s="214"/>
      <c r="Q113" s="214"/>
      <c r="R113" s="214"/>
      <c r="S113" s="214"/>
      <c r="T113" s="214"/>
      <c r="U113" s="214"/>
      <c r="V113" s="214"/>
      <c r="W113" s="214"/>
      <c r="X113" s="214"/>
      <c r="Y113" s="214"/>
      <c r="Z113" s="214"/>
    </row>
    <row r="114" ht="15.75" customHeight="1">
      <c r="A114" s="214"/>
      <c r="B114" s="214"/>
      <c r="C114" s="214"/>
      <c r="D114" s="214"/>
      <c r="E114" s="214"/>
      <c r="F114" s="214"/>
      <c r="G114" s="214"/>
      <c r="H114" s="214"/>
      <c r="I114" s="214"/>
      <c r="J114" s="214"/>
      <c r="K114" s="214"/>
      <c r="L114" s="214"/>
      <c r="M114" s="214"/>
      <c r="N114" s="214"/>
      <c r="O114" s="214"/>
      <c r="P114" s="214"/>
      <c r="Q114" s="214"/>
      <c r="R114" s="214"/>
      <c r="S114" s="214"/>
      <c r="T114" s="214"/>
      <c r="U114" s="214"/>
      <c r="V114" s="214"/>
      <c r="W114" s="214"/>
      <c r="X114" s="214"/>
      <c r="Y114" s="214"/>
      <c r="Z114" s="214"/>
    </row>
    <row r="115" ht="15.75" customHeight="1">
      <c r="A115" s="214"/>
      <c r="B115" s="214"/>
      <c r="C115" s="214"/>
      <c r="D115" s="214"/>
      <c r="E115" s="214"/>
      <c r="F115" s="214"/>
      <c r="G115" s="214"/>
      <c r="H115" s="214"/>
      <c r="I115" s="214"/>
      <c r="J115" s="214"/>
      <c r="K115" s="214"/>
      <c r="L115" s="214"/>
      <c r="M115" s="214"/>
      <c r="N115" s="214"/>
      <c r="O115" s="214"/>
      <c r="P115" s="214"/>
      <c r="Q115" s="214"/>
      <c r="R115" s="214"/>
      <c r="S115" s="214"/>
      <c r="T115" s="214"/>
      <c r="U115" s="214"/>
      <c r="V115" s="214"/>
      <c r="W115" s="214"/>
      <c r="X115" s="214"/>
      <c r="Y115" s="214"/>
      <c r="Z115" s="214"/>
    </row>
    <row r="116" ht="15.75" customHeight="1">
      <c r="A116" s="214"/>
      <c r="B116" s="214"/>
      <c r="C116" s="214"/>
      <c r="D116" s="214"/>
      <c r="E116" s="214"/>
      <c r="F116" s="214"/>
      <c r="G116" s="214"/>
      <c r="H116" s="214"/>
      <c r="I116" s="214"/>
      <c r="J116" s="214"/>
      <c r="K116" s="214"/>
      <c r="L116" s="214"/>
      <c r="M116" s="214"/>
      <c r="N116" s="214"/>
      <c r="O116" s="214"/>
      <c r="P116" s="214"/>
      <c r="Q116" s="214"/>
      <c r="R116" s="214"/>
      <c r="S116" s="214"/>
      <c r="T116" s="214"/>
      <c r="U116" s="214"/>
      <c r="V116" s="214"/>
      <c r="W116" s="214"/>
      <c r="X116" s="214"/>
      <c r="Y116" s="214"/>
      <c r="Z116" s="214"/>
    </row>
    <row r="117" ht="15.75" customHeight="1">
      <c r="A117" s="214"/>
      <c r="B117" s="214"/>
      <c r="C117" s="214"/>
      <c r="D117" s="214"/>
      <c r="E117" s="214"/>
      <c r="F117" s="214"/>
      <c r="G117" s="214"/>
      <c r="H117" s="214"/>
      <c r="I117" s="214"/>
      <c r="J117" s="214"/>
      <c r="K117" s="214"/>
      <c r="L117" s="214"/>
      <c r="M117" s="214"/>
      <c r="N117" s="214"/>
      <c r="O117" s="214"/>
      <c r="P117" s="214"/>
      <c r="Q117" s="214"/>
      <c r="R117" s="214"/>
      <c r="S117" s="214"/>
      <c r="T117" s="214"/>
      <c r="U117" s="214"/>
      <c r="V117" s="214"/>
      <c r="W117" s="214"/>
      <c r="X117" s="214"/>
      <c r="Y117" s="214"/>
      <c r="Z117" s="214"/>
    </row>
    <row r="118" ht="15.75" customHeight="1">
      <c r="A118" s="214"/>
      <c r="B118" s="214"/>
      <c r="C118" s="214"/>
      <c r="D118" s="214"/>
      <c r="E118" s="214"/>
      <c r="F118" s="214"/>
      <c r="G118" s="214"/>
      <c r="H118" s="214"/>
      <c r="I118" s="214"/>
      <c r="J118" s="214"/>
      <c r="K118" s="214"/>
      <c r="L118" s="214"/>
      <c r="M118" s="214"/>
      <c r="N118" s="214"/>
      <c r="O118" s="214"/>
      <c r="P118" s="214"/>
      <c r="Q118" s="214"/>
      <c r="R118" s="214"/>
      <c r="S118" s="214"/>
      <c r="T118" s="214"/>
      <c r="U118" s="214"/>
      <c r="V118" s="214"/>
      <c r="W118" s="214"/>
      <c r="X118" s="214"/>
      <c r="Y118" s="214"/>
      <c r="Z118" s="214"/>
    </row>
    <row r="119" ht="15.75" customHeight="1">
      <c r="A119" s="214"/>
      <c r="B119" s="214"/>
      <c r="C119" s="214"/>
      <c r="D119" s="214"/>
      <c r="E119" s="214"/>
      <c r="F119" s="214"/>
      <c r="G119" s="214"/>
      <c r="H119" s="214"/>
      <c r="I119" s="214"/>
      <c r="J119" s="214"/>
      <c r="K119" s="214"/>
      <c r="L119" s="214"/>
      <c r="M119" s="214"/>
      <c r="N119" s="214"/>
      <c r="O119" s="214"/>
      <c r="P119" s="214"/>
      <c r="Q119" s="214"/>
      <c r="R119" s="214"/>
      <c r="S119" s="214"/>
      <c r="T119" s="214"/>
      <c r="U119" s="214"/>
      <c r="V119" s="214"/>
      <c r="W119" s="214"/>
      <c r="X119" s="214"/>
      <c r="Y119" s="214"/>
      <c r="Z119" s="214"/>
    </row>
    <row r="120" ht="15.75" customHeight="1">
      <c r="A120" s="214"/>
      <c r="B120" s="214"/>
      <c r="C120" s="214"/>
      <c r="D120" s="214"/>
      <c r="E120" s="214"/>
      <c r="F120" s="214"/>
      <c r="G120" s="214"/>
      <c r="H120" s="214"/>
      <c r="I120" s="214"/>
      <c r="J120" s="214"/>
      <c r="K120" s="214"/>
      <c r="L120" s="214"/>
      <c r="M120" s="214"/>
      <c r="N120" s="214"/>
      <c r="O120" s="214"/>
      <c r="P120" s="214"/>
      <c r="Q120" s="214"/>
      <c r="R120" s="214"/>
      <c r="S120" s="214"/>
      <c r="T120" s="214"/>
      <c r="U120" s="214"/>
      <c r="V120" s="214"/>
      <c r="W120" s="214"/>
      <c r="X120" s="214"/>
      <c r="Y120" s="214"/>
      <c r="Z120" s="214"/>
    </row>
    <row r="121" ht="15.75" customHeight="1">
      <c r="A121" s="214"/>
      <c r="B121" s="214"/>
      <c r="C121" s="214"/>
      <c r="D121" s="214"/>
      <c r="E121" s="214"/>
      <c r="F121" s="214"/>
      <c r="G121" s="214"/>
      <c r="H121" s="214"/>
      <c r="I121" s="214"/>
      <c r="J121" s="214"/>
      <c r="K121" s="214"/>
      <c r="L121" s="214"/>
      <c r="M121" s="214"/>
      <c r="N121" s="214"/>
      <c r="O121" s="214"/>
      <c r="P121" s="214"/>
      <c r="Q121" s="214"/>
      <c r="R121" s="214"/>
      <c r="S121" s="214"/>
      <c r="T121" s="214"/>
      <c r="U121" s="214"/>
      <c r="V121" s="214"/>
      <c r="W121" s="214"/>
      <c r="X121" s="214"/>
      <c r="Y121" s="214"/>
      <c r="Z121" s="214"/>
    </row>
    <row r="122" ht="15.75" customHeight="1">
      <c r="A122" s="214"/>
      <c r="B122" s="214"/>
      <c r="C122" s="214"/>
      <c r="D122" s="214"/>
      <c r="E122" s="214"/>
      <c r="F122" s="214"/>
      <c r="G122" s="214"/>
      <c r="H122" s="214"/>
      <c r="I122" s="214"/>
      <c r="J122" s="214"/>
      <c r="K122" s="214"/>
      <c r="L122" s="214"/>
      <c r="M122" s="214"/>
      <c r="N122" s="214"/>
      <c r="O122" s="214"/>
      <c r="P122" s="214"/>
      <c r="Q122" s="214"/>
      <c r="R122" s="214"/>
      <c r="S122" s="214"/>
      <c r="T122" s="214"/>
      <c r="U122" s="214"/>
      <c r="V122" s="214"/>
      <c r="W122" s="214"/>
      <c r="X122" s="214"/>
      <c r="Y122" s="214"/>
      <c r="Z122" s="214"/>
    </row>
    <row r="123" ht="15.75" customHeight="1">
      <c r="A123" s="214"/>
      <c r="B123" s="214"/>
      <c r="C123" s="214"/>
      <c r="D123" s="214"/>
      <c r="E123" s="214"/>
      <c r="F123" s="214"/>
      <c r="G123" s="214"/>
      <c r="H123" s="214"/>
      <c r="I123" s="214"/>
      <c r="J123" s="214"/>
      <c r="K123" s="214"/>
      <c r="L123" s="214"/>
      <c r="M123" s="214"/>
      <c r="N123" s="214"/>
      <c r="O123" s="214"/>
      <c r="P123" s="214"/>
      <c r="Q123" s="214"/>
      <c r="R123" s="214"/>
      <c r="S123" s="214"/>
      <c r="T123" s="214"/>
      <c r="U123" s="214"/>
      <c r="V123" s="214"/>
      <c r="W123" s="214"/>
      <c r="X123" s="214"/>
      <c r="Y123" s="214"/>
      <c r="Z123" s="214"/>
    </row>
    <row r="124" ht="15.75" customHeight="1">
      <c r="A124" s="214"/>
      <c r="B124" s="214"/>
      <c r="C124" s="214"/>
      <c r="D124" s="214"/>
      <c r="E124" s="214"/>
      <c r="F124" s="214"/>
      <c r="G124" s="214"/>
      <c r="H124" s="214"/>
      <c r="I124" s="214"/>
      <c r="J124" s="214"/>
      <c r="K124" s="214"/>
      <c r="L124" s="214"/>
      <c r="M124" s="214"/>
      <c r="N124" s="214"/>
      <c r="O124" s="214"/>
      <c r="P124" s="214"/>
      <c r="Q124" s="214"/>
      <c r="R124" s="214"/>
      <c r="S124" s="214"/>
      <c r="T124" s="214"/>
      <c r="U124" s="214"/>
      <c r="V124" s="214"/>
      <c r="W124" s="214"/>
      <c r="X124" s="214"/>
      <c r="Y124" s="214"/>
      <c r="Z124" s="214"/>
    </row>
    <row r="125" ht="15.75" customHeight="1">
      <c r="A125" s="214"/>
      <c r="B125" s="214"/>
      <c r="C125" s="214"/>
      <c r="D125" s="214"/>
      <c r="E125" s="214"/>
      <c r="F125" s="214"/>
      <c r="G125" s="214"/>
      <c r="H125" s="214"/>
      <c r="I125" s="214"/>
      <c r="J125" s="214"/>
      <c r="K125" s="214"/>
      <c r="L125" s="214"/>
      <c r="M125" s="214"/>
      <c r="N125" s="214"/>
      <c r="O125" s="214"/>
      <c r="P125" s="214"/>
      <c r="Q125" s="214"/>
      <c r="R125" s="214"/>
      <c r="S125" s="214"/>
      <c r="T125" s="214"/>
      <c r="U125" s="214"/>
      <c r="V125" s="214"/>
      <c r="W125" s="214"/>
      <c r="X125" s="214"/>
      <c r="Y125" s="214"/>
      <c r="Z125" s="214"/>
    </row>
    <row r="126" ht="15.75" customHeight="1">
      <c r="A126" s="214"/>
      <c r="B126" s="214"/>
      <c r="C126" s="214"/>
      <c r="D126" s="214"/>
      <c r="E126" s="214"/>
      <c r="F126" s="214"/>
      <c r="G126" s="214"/>
      <c r="H126" s="214"/>
      <c r="I126" s="214"/>
      <c r="J126" s="214"/>
      <c r="K126" s="214"/>
      <c r="L126" s="214"/>
      <c r="M126" s="214"/>
      <c r="N126" s="214"/>
      <c r="O126" s="214"/>
      <c r="P126" s="214"/>
      <c r="Q126" s="214"/>
      <c r="R126" s="214"/>
      <c r="S126" s="214"/>
      <c r="T126" s="214"/>
      <c r="U126" s="214"/>
      <c r="V126" s="214"/>
      <c r="W126" s="214"/>
      <c r="X126" s="214"/>
      <c r="Y126" s="214"/>
      <c r="Z126" s="214"/>
    </row>
    <row r="127" ht="15.75" customHeight="1">
      <c r="A127" s="214"/>
      <c r="B127" s="214"/>
      <c r="C127" s="214"/>
      <c r="D127" s="214"/>
      <c r="E127" s="214"/>
      <c r="F127" s="214"/>
      <c r="G127" s="214"/>
      <c r="H127" s="214"/>
      <c r="I127" s="214"/>
      <c r="J127" s="214"/>
      <c r="K127" s="214"/>
      <c r="L127" s="214"/>
      <c r="M127" s="214"/>
      <c r="N127" s="214"/>
      <c r="O127" s="214"/>
      <c r="P127" s="214"/>
      <c r="Q127" s="214"/>
      <c r="R127" s="214"/>
      <c r="S127" s="214"/>
      <c r="T127" s="214"/>
      <c r="U127" s="214"/>
      <c r="V127" s="214"/>
      <c r="W127" s="214"/>
      <c r="X127" s="214"/>
      <c r="Y127" s="214"/>
      <c r="Z127" s="214"/>
    </row>
    <row r="128" ht="15.75" customHeight="1">
      <c r="A128" s="214"/>
      <c r="B128" s="214"/>
      <c r="C128" s="214"/>
      <c r="D128" s="214"/>
      <c r="E128" s="214"/>
      <c r="F128" s="214"/>
      <c r="G128" s="214"/>
      <c r="H128" s="214"/>
      <c r="I128" s="214"/>
      <c r="J128" s="214"/>
      <c r="K128" s="214"/>
      <c r="L128" s="214"/>
      <c r="M128" s="214"/>
      <c r="N128" s="214"/>
      <c r="O128" s="214"/>
      <c r="P128" s="214"/>
      <c r="Q128" s="214"/>
      <c r="R128" s="214"/>
      <c r="S128" s="214"/>
      <c r="T128" s="214"/>
      <c r="U128" s="214"/>
      <c r="V128" s="214"/>
      <c r="W128" s="214"/>
      <c r="X128" s="214"/>
      <c r="Y128" s="214"/>
      <c r="Z128" s="214"/>
    </row>
    <row r="129" ht="15.75" customHeight="1">
      <c r="A129" s="214"/>
      <c r="B129" s="214"/>
      <c r="C129" s="214"/>
      <c r="D129" s="214"/>
      <c r="E129" s="214"/>
      <c r="F129" s="214"/>
      <c r="G129" s="214"/>
      <c r="H129" s="214"/>
      <c r="I129" s="214"/>
      <c r="J129" s="214"/>
      <c r="K129" s="214"/>
      <c r="L129" s="214"/>
      <c r="M129" s="214"/>
      <c r="N129" s="214"/>
      <c r="O129" s="214"/>
      <c r="P129" s="214"/>
      <c r="Q129" s="214"/>
      <c r="R129" s="214"/>
      <c r="S129" s="214"/>
      <c r="T129" s="214"/>
      <c r="U129" s="214"/>
      <c r="V129" s="214"/>
      <c r="W129" s="214"/>
      <c r="X129" s="214"/>
      <c r="Y129" s="214"/>
      <c r="Z129" s="214"/>
    </row>
    <row r="130" ht="15.75" customHeight="1">
      <c r="A130" s="214"/>
      <c r="B130" s="214"/>
      <c r="C130" s="214"/>
      <c r="D130" s="214"/>
      <c r="E130" s="214"/>
      <c r="F130" s="214"/>
      <c r="G130" s="214"/>
      <c r="H130" s="214"/>
      <c r="I130" s="214"/>
      <c r="J130" s="214"/>
      <c r="K130" s="214"/>
      <c r="L130" s="214"/>
      <c r="M130" s="214"/>
      <c r="N130" s="214"/>
      <c r="O130" s="214"/>
      <c r="P130" s="214"/>
      <c r="Q130" s="214"/>
      <c r="R130" s="214"/>
      <c r="S130" s="214"/>
      <c r="T130" s="214"/>
      <c r="U130" s="214"/>
      <c r="V130" s="214"/>
      <c r="W130" s="214"/>
      <c r="X130" s="214"/>
      <c r="Y130" s="214"/>
      <c r="Z130" s="214"/>
    </row>
    <row r="131" ht="15.75" customHeight="1">
      <c r="A131" s="214"/>
      <c r="B131" s="214"/>
      <c r="C131" s="214"/>
      <c r="D131" s="214"/>
      <c r="E131" s="214"/>
      <c r="F131" s="214"/>
      <c r="G131" s="214"/>
      <c r="H131" s="214"/>
      <c r="I131" s="214"/>
      <c r="J131" s="214"/>
      <c r="K131" s="214"/>
      <c r="L131" s="214"/>
      <c r="M131" s="214"/>
      <c r="N131" s="214"/>
      <c r="O131" s="214"/>
      <c r="P131" s="214"/>
      <c r="Q131" s="214"/>
      <c r="R131" s="214"/>
      <c r="S131" s="214"/>
      <c r="T131" s="214"/>
      <c r="U131" s="214"/>
      <c r="V131" s="214"/>
      <c r="W131" s="214"/>
      <c r="X131" s="214"/>
      <c r="Y131" s="214"/>
      <c r="Z131" s="214"/>
    </row>
    <row r="132" ht="15.75" customHeight="1">
      <c r="A132" s="214"/>
      <c r="B132" s="214"/>
      <c r="C132" s="214"/>
      <c r="D132" s="214"/>
      <c r="E132" s="214"/>
      <c r="F132" s="214"/>
      <c r="G132" s="214"/>
      <c r="H132" s="214"/>
      <c r="I132" s="214"/>
      <c r="J132" s="214"/>
      <c r="K132" s="214"/>
      <c r="L132" s="214"/>
      <c r="M132" s="214"/>
      <c r="N132" s="214"/>
      <c r="O132" s="214"/>
      <c r="P132" s="214"/>
      <c r="Q132" s="214"/>
      <c r="R132" s="214"/>
      <c r="S132" s="214"/>
      <c r="T132" s="214"/>
      <c r="U132" s="214"/>
      <c r="V132" s="214"/>
      <c r="W132" s="214"/>
      <c r="X132" s="214"/>
      <c r="Y132" s="214"/>
      <c r="Z132" s="214"/>
    </row>
    <row r="133" ht="15.75" customHeight="1">
      <c r="A133" s="214"/>
      <c r="B133" s="214"/>
      <c r="C133" s="214"/>
      <c r="D133" s="214"/>
      <c r="E133" s="214"/>
      <c r="F133" s="214"/>
      <c r="G133" s="214"/>
      <c r="H133" s="214"/>
      <c r="I133" s="214"/>
      <c r="J133" s="214"/>
      <c r="K133" s="214"/>
      <c r="L133" s="214"/>
      <c r="M133" s="214"/>
      <c r="N133" s="214"/>
      <c r="O133" s="214"/>
      <c r="P133" s="214"/>
      <c r="Q133" s="214"/>
      <c r="R133" s="214"/>
      <c r="S133" s="214"/>
      <c r="T133" s="214"/>
      <c r="U133" s="214"/>
      <c r="V133" s="214"/>
      <c r="W133" s="214"/>
      <c r="X133" s="214"/>
      <c r="Y133" s="214"/>
      <c r="Z133" s="214"/>
    </row>
    <row r="134" ht="15.75" customHeight="1">
      <c r="A134" s="214"/>
      <c r="B134" s="214"/>
      <c r="C134" s="214"/>
      <c r="D134" s="214"/>
      <c r="E134" s="214"/>
      <c r="F134" s="214"/>
      <c r="G134" s="214"/>
      <c r="H134" s="214"/>
      <c r="I134" s="214"/>
      <c r="J134" s="214"/>
      <c r="K134" s="214"/>
      <c r="L134" s="214"/>
      <c r="M134" s="214"/>
      <c r="N134" s="214"/>
      <c r="O134" s="214"/>
      <c r="P134" s="214"/>
      <c r="Q134" s="214"/>
      <c r="R134" s="214"/>
      <c r="S134" s="214"/>
      <c r="T134" s="214"/>
      <c r="U134" s="214"/>
      <c r="V134" s="214"/>
      <c r="W134" s="214"/>
      <c r="X134" s="214"/>
      <c r="Y134" s="214"/>
      <c r="Z134" s="214"/>
    </row>
    <row r="135" ht="15.75" customHeight="1">
      <c r="A135" s="214"/>
      <c r="B135" s="214"/>
      <c r="C135" s="214"/>
      <c r="D135" s="214"/>
      <c r="E135" s="214"/>
      <c r="F135" s="214"/>
      <c r="G135" s="214"/>
      <c r="H135" s="214"/>
      <c r="I135" s="214"/>
      <c r="J135" s="214"/>
      <c r="K135" s="214"/>
      <c r="L135" s="214"/>
      <c r="M135" s="214"/>
      <c r="N135" s="214"/>
      <c r="O135" s="214"/>
      <c r="P135" s="214"/>
      <c r="Q135" s="214"/>
      <c r="R135" s="214"/>
      <c r="S135" s="214"/>
      <c r="T135" s="214"/>
      <c r="U135" s="214"/>
      <c r="V135" s="214"/>
      <c r="W135" s="214"/>
      <c r="X135" s="214"/>
      <c r="Y135" s="214"/>
      <c r="Z135" s="214"/>
    </row>
    <row r="136" ht="15.75" customHeight="1">
      <c r="A136" s="214"/>
      <c r="B136" s="214"/>
      <c r="C136" s="214"/>
      <c r="D136" s="214"/>
      <c r="E136" s="214"/>
      <c r="F136" s="214"/>
      <c r="G136" s="214"/>
      <c r="H136" s="214"/>
      <c r="I136" s="214"/>
      <c r="J136" s="214"/>
      <c r="K136" s="214"/>
      <c r="L136" s="214"/>
      <c r="M136" s="214"/>
      <c r="N136" s="214"/>
      <c r="O136" s="214"/>
      <c r="P136" s="214"/>
      <c r="Q136" s="214"/>
      <c r="R136" s="214"/>
      <c r="S136" s="214"/>
      <c r="T136" s="214"/>
      <c r="U136" s="214"/>
      <c r="V136" s="214"/>
      <c r="W136" s="214"/>
      <c r="X136" s="214"/>
      <c r="Y136" s="214"/>
      <c r="Z136" s="214"/>
    </row>
    <row r="137" ht="15.75" customHeight="1">
      <c r="A137" s="214"/>
      <c r="B137" s="214"/>
      <c r="C137" s="214"/>
      <c r="D137" s="214"/>
      <c r="E137" s="214"/>
      <c r="F137" s="214"/>
      <c r="G137" s="214"/>
      <c r="H137" s="214"/>
      <c r="I137" s="214"/>
      <c r="J137" s="214"/>
      <c r="K137" s="214"/>
      <c r="L137" s="214"/>
      <c r="M137" s="214"/>
      <c r="N137" s="214"/>
      <c r="O137" s="214"/>
      <c r="P137" s="214"/>
      <c r="Q137" s="214"/>
      <c r="R137" s="214"/>
      <c r="S137" s="214"/>
      <c r="T137" s="214"/>
      <c r="U137" s="214"/>
      <c r="V137" s="214"/>
      <c r="W137" s="214"/>
      <c r="X137" s="214"/>
      <c r="Y137" s="214"/>
      <c r="Z137" s="214"/>
    </row>
    <row r="138" ht="15.75" customHeight="1">
      <c r="A138" s="214"/>
      <c r="B138" s="214"/>
      <c r="C138" s="214"/>
      <c r="D138" s="214"/>
      <c r="E138" s="214"/>
      <c r="F138" s="214"/>
      <c r="G138" s="214"/>
      <c r="H138" s="214"/>
      <c r="I138" s="214"/>
      <c r="J138" s="214"/>
      <c r="K138" s="214"/>
      <c r="L138" s="214"/>
      <c r="M138" s="214"/>
      <c r="N138" s="214"/>
      <c r="O138" s="214"/>
      <c r="P138" s="214"/>
      <c r="Q138" s="214"/>
      <c r="R138" s="214"/>
      <c r="S138" s="214"/>
      <c r="T138" s="214"/>
      <c r="U138" s="214"/>
      <c r="V138" s="214"/>
      <c r="W138" s="214"/>
      <c r="X138" s="214"/>
      <c r="Y138" s="214"/>
      <c r="Z138" s="214"/>
    </row>
    <row r="139" ht="15.75" customHeight="1">
      <c r="A139" s="214"/>
      <c r="B139" s="214"/>
      <c r="C139" s="214"/>
      <c r="D139" s="214"/>
      <c r="E139" s="214"/>
      <c r="F139" s="214"/>
      <c r="G139" s="214"/>
      <c r="H139" s="214"/>
      <c r="I139" s="214"/>
      <c r="J139" s="214"/>
      <c r="K139" s="214"/>
      <c r="L139" s="214"/>
      <c r="M139" s="214"/>
      <c r="N139" s="214"/>
      <c r="O139" s="214"/>
      <c r="P139" s="214"/>
      <c r="Q139" s="214"/>
      <c r="R139" s="214"/>
      <c r="S139" s="214"/>
      <c r="T139" s="214"/>
      <c r="U139" s="214"/>
      <c r="V139" s="214"/>
      <c r="W139" s="214"/>
      <c r="X139" s="214"/>
      <c r="Y139" s="214"/>
      <c r="Z139" s="214"/>
    </row>
    <row r="140" ht="15.75" customHeight="1">
      <c r="A140" s="214"/>
      <c r="B140" s="214"/>
      <c r="C140" s="214"/>
      <c r="D140" s="214"/>
      <c r="E140" s="214"/>
      <c r="F140" s="214"/>
      <c r="G140" s="214"/>
      <c r="H140" s="214"/>
      <c r="I140" s="214"/>
      <c r="J140" s="214"/>
      <c r="K140" s="214"/>
      <c r="L140" s="214"/>
      <c r="M140" s="214"/>
      <c r="N140" s="214"/>
      <c r="O140" s="214"/>
      <c r="P140" s="214"/>
      <c r="Q140" s="214"/>
      <c r="R140" s="214"/>
      <c r="S140" s="214"/>
      <c r="T140" s="214"/>
      <c r="U140" s="214"/>
      <c r="V140" s="214"/>
      <c r="W140" s="214"/>
      <c r="X140" s="214"/>
      <c r="Y140" s="214"/>
      <c r="Z140" s="214"/>
    </row>
    <row r="141" ht="15.75" customHeight="1">
      <c r="A141" s="214"/>
      <c r="B141" s="214"/>
      <c r="C141" s="214"/>
      <c r="D141" s="214"/>
      <c r="E141" s="214"/>
      <c r="F141" s="214"/>
      <c r="G141" s="214"/>
      <c r="H141" s="214"/>
      <c r="I141" s="214"/>
      <c r="J141" s="214"/>
      <c r="K141" s="214"/>
      <c r="L141" s="214"/>
      <c r="M141" s="214"/>
      <c r="N141" s="214"/>
      <c r="O141" s="214"/>
      <c r="P141" s="214"/>
      <c r="Q141" s="214"/>
      <c r="R141" s="214"/>
      <c r="S141" s="214"/>
      <c r="T141" s="214"/>
      <c r="U141" s="214"/>
      <c r="V141" s="214"/>
      <c r="W141" s="214"/>
      <c r="X141" s="214"/>
      <c r="Y141" s="214"/>
      <c r="Z141" s="214"/>
    </row>
    <row r="142" ht="15.75" customHeight="1">
      <c r="A142" s="214"/>
      <c r="B142" s="214"/>
      <c r="C142" s="214"/>
      <c r="D142" s="214"/>
      <c r="E142" s="214"/>
      <c r="F142" s="214"/>
      <c r="G142" s="214"/>
      <c r="H142" s="214"/>
      <c r="I142" s="214"/>
      <c r="J142" s="214"/>
      <c r="K142" s="214"/>
      <c r="L142" s="214"/>
      <c r="M142" s="214"/>
      <c r="N142" s="214"/>
      <c r="O142" s="214"/>
      <c r="P142" s="214"/>
      <c r="Q142" s="214"/>
      <c r="R142" s="214"/>
      <c r="S142" s="214"/>
      <c r="T142" s="214"/>
      <c r="U142" s="214"/>
      <c r="V142" s="214"/>
      <c r="W142" s="214"/>
      <c r="X142" s="214"/>
      <c r="Y142" s="214"/>
      <c r="Z142" s="214"/>
    </row>
    <row r="143" ht="15.75" customHeight="1">
      <c r="A143" s="214"/>
      <c r="B143" s="214"/>
      <c r="C143" s="214"/>
      <c r="D143" s="214"/>
      <c r="E143" s="214"/>
      <c r="F143" s="214"/>
      <c r="G143" s="214"/>
      <c r="H143" s="214"/>
      <c r="I143" s="214"/>
      <c r="J143" s="214"/>
      <c r="K143" s="214"/>
      <c r="L143" s="214"/>
      <c r="M143" s="214"/>
      <c r="N143" s="214"/>
      <c r="O143" s="214"/>
      <c r="P143" s="214"/>
      <c r="Q143" s="214"/>
      <c r="R143" s="214"/>
      <c r="S143" s="214"/>
      <c r="T143" s="214"/>
      <c r="U143" s="214"/>
      <c r="V143" s="214"/>
      <c r="W143" s="214"/>
      <c r="X143" s="214"/>
      <c r="Y143" s="214"/>
      <c r="Z143" s="214"/>
    </row>
    <row r="144" ht="15.75" customHeight="1">
      <c r="A144" s="214"/>
      <c r="B144" s="214"/>
      <c r="C144" s="214"/>
      <c r="D144" s="214"/>
      <c r="E144" s="214"/>
      <c r="F144" s="214"/>
      <c r="G144" s="214"/>
      <c r="H144" s="214"/>
      <c r="I144" s="214"/>
      <c r="J144" s="214"/>
      <c r="K144" s="214"/>
      <c r="L144" s="214"/>
      <c r="M144" s="214"/>
      <c r="N144" s="214"/>
      <c r="O144" s="214"/>
      <c r="P144" s="214"/>
      <c r="Q144" s="214"/>
      <c r="R144" s="214"/>
      <c r="S144" s="214"/>
      <c r="T144" s="214"/>
      <c r="U144" s="214"/>
      <c r="V144" s="214"/>
      <c r="W144" s="214"/>
      <c r="X144" s="214"/>
      <c r="Y144" s="214"/>
      <c r="Z144" s="214"/>
    </row>
    <row r="145" ht="15.75" customHeight="1">
      <c r="A145" s="214"/>
      <c r="B145" s="214"/>
      <c r="C145" s="214"/>
      <c r="D145" s="214"/>
      <c r="E145" s="214"/>
      <c r="F145" s="214"/>
      <c r="G145" s="214"/>
      <c r="H145" s="214"/>
      <c r="I145" s="214"/>
      <c r="J145" s="214"/>
      <c r="K145" s="214"/>
      <c r="L145" s="214"/>
      <c r="M145" s="214"/>
      <c r="N145" s="214"/>
      <c r="O145" s="214"/>
      <c r="P145" s="214"/>
      <c r="Q145" s="214"/>
      <c r="R145" s="214"/>
      <c r="S145" s="214"/>
      <c r="T145" s="214"/>
      <c r="U145" s="214"/>
      <c r="V145" s="214"/>
      <c r="W145" s="214"/>
      <c r="X145" s="214"/>
      <c r="Y145" s="214"/>
      <c r="Z145" s="214"/>
    </row>
    <row r="146" ht="15.75" customHeight="1">
      <c r="A146" s="214"/>
      <c r="B146" s="214"/>
      <c r="C146" s="214"/>
      <c r="D146" s="214"/>
      <c r="E146" s="214"/>
      <c r="F146" s="214"/>
      <c r="G146" s="214"/>
      <c r="H146" s="214"/>
      <c r="I146" s="214"/>
      <c r="J146" s="214"/>
      <c r="K146" s="214"/>
      <c r="L146" s="214"/>
      <c r="M146" s="214"/>
      <c r="N146" s="214"/>
      <c r="O146" s="214"/>
      <c r="P146" s="214"/>
      <c r="Q146" s="214"/>
      <c r="R146" s="214"/>
      <c r="S146" s="214"/>
      <c r="T146" s="214"/>
      <c r="U146" s="214"/>
      <c r="V146" s="214"/>
      <c r="W146" s="214"/>
      <c r="X146" s="214"/>
      <c r="Y146" s="214"/>
      <c r="Z146" s="214"/>
    </row>
    <row r="147" ht="15.75" customHeight="1">
      <c r="A147" s="214"/>
      <c r="B147" s="214"/>
      <c r="C147" s="214"/>
      <c r="D147" s="214"/>
      <c r="E147" s="214"/>
      <c r="F147" s="214"/>
      <c r="G147" s="214"/>
      <c r="H147" s="214"/>
      <c r="I147" s="214"/>
      <c r="J147" s="214"/>
      <c r="K147" s="214"/>
      <c r="L147" s="214"/>
      <c r="M147" s="214"/>
      <c r="N147" s="214"/>
      <c r="O147" s="214"/>
      <c r="P147" s="214"/>
      <c r="Q147" s="214"/>
      <c r="R147" s="214"/>
      <c r="S147" s="214"/>
      <c r="T147" s="214"/>
      <c r="U147" s="214"/>
      <c r="V147" s="214"/>
      <c r="W147" s="214"/>
      <c r="X147" s="214"/>
      <c r="Y147" s="214"/>
      <c r="Z147" s="214"/>
    </row>
    <row r="148" ht="15.75" customHeight="1">
      <c r="A148" s="214"/>
      <c r="B148" s="214"/>
      <c r="C148" s="214"/>
      <c r="D148" s="214"/>
      <c r="E148" s="214"/>
      <c r="F148" s="214"/>
      <c r="G148" s="214"/>
      <c r="H148" s="214"/>
      <c r="I148" s="214"/>
      <c r="J148" s="214"/>
      <c r="K148" s="214"/>
      <c r="L148" s="214"/>
      <c r="M148" s="214"/>
      <c r="N148" s="214"/>
      <c r="O148" s="214"/>
      <c r="P148" s="214"/>
      <c r="Q148" s="214"/>
      <c r="R148" s="214"/>
      <c r="S148" s="214"/>
      <c r="T148" s="214"/>
      <c r="U148" s="214"/>
      <c r="V148" s="214"/>
      <c r="W148" s="214"/>
      <c r="X148" s="214"/>
      <c r="Y148" s="214"/>
      <c r="Z148" s="214"/>
    </row>
    <row r="149" ht="15.75" customHeight="1">
      <c r="A149" s="214"/>
      <c r="B149" s="214"/>
      <c r="C149" s="214"/>
      <c r="D149" s="214"/>
      <c r="E149" s="214"/>
      <c r="F149" s="214"/>
      <c r="G149" s="214"/>
      <c r="H149" s="214"/>
      <c r="I149" s="214"/>
      <c r="J149" s="214"/>
      <c r="K149" s="214"/>
      <c r="L149" s="214"/>
      <c r="M149" s="214"/>
      <c r="N149" s="214"/>
      <c r="O149" s="214"/>
      <c r="P149" s="214"/>
      <c r="Q149" s="214"/>
      <c r="R149" s="214"/>
      <c r="S149" s="214"/>
      <c r="T149" s="214"/>
      <c r="U149" s="214"/>
      <c r="V149" s="214"/>
      <c r="W149" s="214"/>
      <c r="X149" s="214"/>
      <c r="Y149" s="214"/>
      <c r="Z149" s="214"/>
    </row>
    <row r="150" ht="15.75" customHeight="1">
      <c r="A150" s="214"/>
      <c r="B150" s="214"/>
      <c r="C150" s="214"/>
      <c r="D150" s="214"/>
      <c r="E150" s="214"/>
      <c r="F150" s="214"/>
      <c r="G150" s="214"/>
      <c r="H150" s="214"/>
      <c r="I150" s="214"/>
      <c r="J150" s="214"/>
      <c r="K150" s="214"/>
      <c r="L150" s="214"/>
      <c r="M150" s="214"/>
      <c r="N150" s="214"/>
      <c r="O150" s="214"/>
      <c r="P150" s="214"/>
      <c r="Q150" s="214"/>
      <c r="R150" s="214"/>
      <c r="S150" s="214"/>
      <c r="T150" s="214"/>
      <c r="U150" s="214"/>
      <c r="V150" s="214"/>
      <c r="W150" s="214"/>
      <c r="X150" s="214"/>
      <c r="Y150" s="214"/>
      <c r="Z150" s="214"/>
    </row>
    <row r="151" ht="15.75" customHeight="1">
      <c r="A151" s="214"/>
      <c r="B151" s="214"/>
      <c r="C151" s="214"/>
      <c r="D151" s="214"/>
      <c r="E151" s="214"/>
      <c r="F151" s="214"/>
      <c r="G151" s="214"/>
      <c r="H151" s="214"/>
      <c r="I151" s="214"/>
      <c r="J151" s="214"/>
      <c r="K151" s="214"/>
      <c r="L151" s="214"/>
      <c r="M151" s="214"/>
      <c r="N151" s="214"/>
      <c r="O151" s="214"/>
      <c r="P151" s="214"/>
      <c r="Q151" s="214"/>
      <c r="R151" s="214"/>
      <c r="S151" s="214"/>
      <c r="T151" s="214"/>
      <c r="U151" s="214"/>
      <c r="V151" s="214"/>
      <c r="W151" s="214"/>
      <c r="X151" s="214"/>
      <c r="Y151" s="214"/>
      <c r="Z151" s="214"/>
    </row>
    <row r="152" ht="15.75" customHeight="1">
      <c r="A152" s="214"/>
      <c r="B152" s="214"/>
      <c r="C152" s="214"/>
      <c r="D152" s="214"/>
      <c r="E152" s="214"/>
      <c r="F152" s="214"/>
      <c r="G152" s="214"/>
      <c r="H152" s="214"/>
      <c r="I152" s="214"/>
      <c r="J152" s="214"/>
      <c r="K152" s="214"/>
      <c r="L152" s="214"/>
      <c r="M152" s="214"/>
      <c r="N152" s="214"/>
      <c r="O152" s="214"/>
      <c r="P152" s="214"/>
      <c r="Q152" s="214"/>
      <c r="R152" s="214"/>
      <c r="S152" s="214"/>
      <c r="T152" s="214"/>
      <c r="U152" s="214"/>
      <c r="V152" s="214"/>
      <c r="W152" s="214"/>
      <c r="X152" s="214"/>
      <c r="Y152" s="214"/>
      <c r="Z152" s="214"/>
    </row>
    <row r="153" ht="15.75" customHeight="1">
      <c r="A153" s="214"/>
      <c r="B153" s="214"/>
      <c r="C153" s="214"/>
      <c r="D153" s="214"/>
      <c r="E153" s="214"/>
      <c r="F153" s="214"/>
      <c r="G153" s="214"/>
      <c r="H153" s="214"/>
      <c r="I153" s="214"/>
      <c r="J153" s="214"/>
      <c r="K153" s="214"/>
      <c r="L153" s="214"/>
      <c r="M153" s="214"/>
      <c r="N153" s="214"/>
      <c r="O153" s="214"/>
      <c r="P153" s="214"/>
      <c r="Q153" s="214"/>
      <c r="R153" s="214"/>
      <c r="S153" s="214"/>
      <c r="T153" s="214"/>
      <c r="U153" s="214"/>
      <c r="V153" s="214"/>
      <c r="W153" s="214"/>
      <c r="X153" s="214"/>
      <c r="Y153" s="214"/>
      <c r="Z153" s="214"/>
    </row>
    <row r="154" ht="15.75" customHeight="1">
      <c r="A154" s="214"/>
      <c r="B154" s="214"/>
      <c r="C154" s="214"/>
      <c r="D154" s="214"/>
      <c r="E154" s="214"/>
      <c r="F154" s="214"/>
      <c r="G154" s="214"/>
      <c r="H154" s="214"/>
      <c r="I154" s="214"/>
      <c r="J154" s="214"/>
      <c r="K154" s="214"/>
      <c r="L154" s="214"/>
      <c r="M154" s="214"/>
      <c r="N154" s="214"/>
      <c r="O154" s="214"/>
      <c r="P154" s="214"/>
      <c r="Q154" s="214"/>
      <c r="R154" s="214"/>
      <c r="S154" s="214"/>
      <c r="T154" s="214"/>
      <c r="U154" s="214"/>
      <c r="V154" s="214"/>
      <c r="W154" s="214"/>
      <c r="X154" s="214"/>
      <c r="Y154" s="214"/>
      <c r="Z154" s="214"/>
    </row>
    <row r="155" ht="15.75" customHeight="1">
      <c r="A155" s="214"/>
      <c r="B155" s="214"/>
      <c r="C155" s="214"/>
      <c r="D155" s="214"/>
      <c r="E155" s="214"/>
      <c r="F155" s="214"/>
      <c r="G155" s="214"/>
      <c r="H155" s="214"/>
      <c r="I155" s="214"/>
      <c r="J155" s="214"/>
      <c r="K155" s="214"/>
      <c r="L155" s="214"/>
      <c r="M155" s="214"/>
      <c r="N155" s="214"/>
      <c r="O155" s="214"/>
      <c r="P155" s="214"/>
      <c r="Q155" s="214"/>
      <c r="R155" s="214"/>
      <c r="S155" s="214"/>
      <c r="T155" s="214"/>
      <c r="U155" s="214"/>
      <c r="V155" s="214"/>
      <c r="W155" s="214"/>
      <c r="X155" s="214"/>
      <c r="Y155" s="214"/>
      <c r="Z155" s="214"/>
    </row>
    <row r="156" ht="15.75" customHeight="1">
      <c r="A156" s="214"/>
      <c r="B156" s="214"/>
      <c r="C156" s="214"/>
      <c r="D156" s="214"/>
      <c r="E156" s="214"/>
      <c r="F156" s="214"/>
      <c r="G156" s="214"/>
      <c r="H156" s="214"/>
      <c r="I156" s="214"/>
      <c r="J156" s="214"/>
      <c r="K156" s="214"/>
      <c r="L156" s="214"/>
      <c r="M156" s="214"/>
      <c r="N156" s="214"/>
      <c r="O156" s="214"/>
      <c r="P156" s="214"/>
      <c r="Q156" s="214"/>
      <c r="R156" s="214"/>
      <c r="S156" s="214"/>
      <c r="T156" s="214"/>
      <c r="U156" s="214"/>
      <c r="V156" s="214"/>
      <c r="W156" s="214"/>
      <c r="X156" s="214"/>
      <c r="Y156" s="214"/>
      <c r="Z156" s="214"/>
    </row>
    <row r="157" ht="15.75" customHeight="1">
      <c r="A157" s="214"/>
      <c r="B157" s="214"/>
      <c r="C157" s="214"/>
      <c r="D157" s="214"/>
      <c r="E157" s="214"/>
      <c r="F157" s="214"/>
      <c r="G157" s="214"/>
      <c r="H157" s="214"/>
      <c r="I157" s="214"/>
      <c r="J157" s="214"/>
      <c r="K157" s="214"/>
      <c r="L157" s="214"/>
      <c r="M157" s="214"/>
      <c r="N157" s="214"/>
      <c r="O157" s="214"/>
      <c r="P157" s="214"/>
      <c r="Q157" s="214"/>
      <c r="R157" s="214"/>
      <c r="S157" s="214"/>
      <c r="T157" s="214"/>
      <c r="U157" s="214"/>
      <c r="V157" s="214"/>
      <c r="W157" s="214"/>
      <c r="X157" s="214"/>
      <c r="Y157" s="214"/>
      <c r="Z157" s="214"/>
    </row>
    <row r="158" ht="15.75" customHeight="1">
      <c r="A158" s="214"/>
      <c r="B158" s="214"/>
      <c r="C158" s="214"/>
      <c r="D158" s="214"/>
      <c r="E158" s="214"/>
      <c r="F158" s="214"/>
      <c r="G158" s="214"/>
      <c r="H158" s="214"/>
      <c r="I158" s="214"/>
      <c r="J158" s="214"/>
      <c r="K158" s="214"/>
      <c r="L158" s="214"/>
      <c r="M158" s="214"/>
      <c r="N158" s="214"/>
      <c r="O158" s="214"/>
      <c r="P158" s="214"/>
      <c r="Q158" s="214"/>
      <c r="R158" s="214"/>
      <c r="S158" s="214"/>
      <c r="T158" s="214"/>
      <c r="U158" s="214"/>
      <c r="V158" s="214"/>
      <c r="W158" s="214"/>
      <c r="X158" s="214"/>
      <c r="Y158" s="214"/>
      <c r="Z158" s="214"/>
    </row>
    <row r="159" ht="15.75" customHeight="1">
      <c r="A159" s="214"/>
      <c r="B159" s="214"/>
      <c r="C159" s="214"/>
      <c r="D159" s="214"/>
      <c r="E159" s="214"/>
      <c r="F159" s="214"/>
      <c r="G159" s="214"/>
      <c r="H159" s="214"/>
      <c r="I159" s="214"/>
      <c r="J159" s="214"/>
      <c r="K159" s="214"/>
      <c r="L159" s="214"/>
      <c r="M159" s="214"/>
      <c r="N159" s="214"/>
      <c r="O159" s="214"/>
      <c r="P159" s="214"/>
      <c r="Q159" s="214"/>
      <c r="R159" s="214"/>
      <c r="S159" s="214"/>
      <c r="T159" s="214"/>
      <c r="U159" s="214"/>
      <c r="V159" s="214"/>
      <c r="W159" s="214"/>
      <c r="X159" s="214"/>
      <c r="Y159" s="214"/>
      <c r="Z159" s="214"/>
    </row>
    <row r="160" ht="15.75" customHeight="1">
      <c r="A160" s="214"/>
      <c r="B160" s="214"/>
      <c r="C160" s="214"/>
      <c r="D160" s="214"/>
      <c r="E160" s="214"/>
      <c r="F160" s="214"/>
      <c r="G160" s="214"/>
      <c r="H160" s="214"/>
      <c r="I160" s="214"/>
      <c r="J160" s="214"/>
      <c r="K160" s="214"/>
      <c r="L160" s="214"/>
      <c r="M160" s="214"/>
      <c r="N160" s="214"/>
      <c r="O160" s="214"/>
      <c r="P160" s="214"/>
      <c r="Q160" s="214"/>
      <c r="R160" s="214"/>
      <c r="S160" s="214"/>
      <c r="T160" s="214"/>
      <c r="U160" s="214"/>
      <c r="V160" s="214"/>
      <c r="W160" s="214"/>
      <c r="X160" s="214"/>
      <c r="Y160" s="214"/>
      <c r="Z160" s="214"/>
    </row>
    <row r="161" ht="15.75" customHeight="1">
      <c r="A161" s="214"/>
      <c r="B161" s="214"/>
      <c r="C161" s="214"/>
      <c r="D161" s="214"/>
      <c r="E161" s="214"/>
      <c r="F161" s="214"/>
      <c r="G161" s="214"/>
      <c r="H161" s="214"/>
      <c r="I161" s="214"/>
      <c r="J161" s="214"/>
      <c r="K161" s="214"/>
      <c r="L161" s="214"/>
      <c r="M161" s="214"/>
      <c r="N161" s="214"/>
      <c r="O161" s="214"/>
      <c r="P161" s="214"/>
      <c r="Q161" s="214"/>
      <c r="R161" s="214"/>
      <c r="S161" s="214"/>
      <c r="T161" s="214"/>
      <c r="U161" s="214"/>
      <c r="V161" s="214"/>
      <c r="W161" s="214"/>
      <c r="X161" s="214"/>
      <c r="Y161" s="214"/>
      <c r="Z161" s="214"/>
    </row>
    <row r="162" ht="15.75" customHeight="1">
      <c r="A162" s="214"/>
      <c r="B162" s="214"/>
      <c r="C162" s="214"/>
      <c r="D162" s="214"/>
      <c r="E162" s="214"/>
      <c r="F162" s="214"/>
      <c r="G162" s="214"/>
      <c r="H162" s="214"/>
      <c r="I162" s="214"/>
      <c r="J162" s="214"/>
      <c r="K162" s="214"/>
      <c r="L162" s="214"/>
      <c r="M162" s="214"/>
      <c r="N162" s="214"/>
      <c r="O162" s="214"/>
      <c r="P162" s="214"/>
      <c r="Q162" s="214"/>
      <c r="R162" s="214"/>
      <c r="S162" s="214"/>
      <c r="T162" s="214"/>
      <c r="U162" s="214"/>
      <c r="V162" s="214"/>
      <c r="W162" s="214"/>
      <c r="X162" s="214"/>
      <c r="Y162" s="214"/>
      <c r="Z162" s="214"/>
    </row>
    <row r="163" ht="15.75" customHeight="1">
      <c r="A163" s="214"/>
      <c r="B163" s="214"/>
      <c r="C163" s="214"/>
      <c r="D163" s="214"/>
      <c r="E163" s="214"/>
      <c r="F163" s="214"/>
      <c r="G163" s="214"/>
      <c r="H163" s="214"/>
      <c r="I163" s="214"/>
      <c r="J163" s="214"/>
      <c r="K163" s="214"/>
      <c r="L163" s="214"/>
      <c r="M163" s="214"/>
      <c r="N163" s="214"/>
      <c r="O163" s="214"/>
      <c r="P163" s="214"/>
      <c r="Q163" s="214"/>
      <c r="R163" s="214"/>
      <c r="S163" s="214"/>
      <c r="T163" s="214"/>
      <c r="U163" s="214"/>
      <c r="V163" s="214"/>
      <c r="W163" s="214"/>
      <c r="X163" s="214"/>
      <c r="Y163" s="214"/>
      <c r="Z163" s="214"/>
    </row>
    <row r="164" ht="15.75" customHeight="1">
      <c r="A164" s="214"/>
      <c r="B164" s="214"/>
      <c r="C164" s="214"/>
      <c r="D164" s="214"/>
      <c r="E164" s="214"/>
      <c r="F164" s="214"/>
      <c r="G164" s="214"/>
      <c r="H164" s="214"/>
      <c r="I164" s="214"/>
      <c r="J164" s="214"/>
      <c r="K164" s="214"/>
      <c r="L164" s="214"/>
      <c r="M164" s="214"/>
      <c r="N164" s="214"/>
      <c r="O164" s="214"/>
      <c r="P164" s="214"/>
      <c r="Q164" s="214"/>
      <c r="R164" s="214"/>
      <c r="S164" s="214"/>
      <c r="T164" s="214"/>
      <c r="U164" s="214"/>
      <c r="V164" s="214"/>
      <c r="W164" s="214"/>
      <c r="X164" s="214"/>
      <c r="Y164" s="214"/>
      <c r="Z164" s="214"/>
    </row>
    <row r="165" ht="15.75" customHeight="1">
      <c r="A165" s="214"/>
      <c r="B165" s="214"/>
      <c r="C165" s="214"/>
      <c r="D165" s="214"/>
      <c r="E165" s="214"/>
      <c r="F165" s="214"/>
      <c r="G165" s="214"/>
      <c r="H165" s="214"/>
      <c r="I165" s="214"/>
      <c r="J165" s="214"/>
      <c r="K165" s="214"/>
      <c r="L165" s="214"/>
      <c r="M165" s="214"/>
      <c r="N165" s="214"/>
      <c r="O165" s="214"/>
      <c r="P165" s="214"/>
      <c r="Q165" s="214"/>
      <c r="R165" s="214"/>
      <c r="S165" s="214"/>
      <c r="T165" s="214"/>
      <c r="U165" s="214"/>
      <c r="V165" s="214"/>
      <c r="W165" s="214"/>
      <c r="X165" s="214"/>
      <c r="Y165" s="214"/>
      <c r="Z165" s="214"/>
    </row>
    <row r="166" ht="15.75" customHeight="1">
      <c r="A166" s="214"/>
      <c r="B166" s="214"/>
      <c r="C166" s="214"/>
      <c r="D166" s="214"/>
      <c r="E166" s="214"/>
      <c r="F166" s="214"/>
      <c r="G166" s="214"/>
      <c r="H166" s="214"/>
      <c r="I166" s="214"/>
      <c r="J166" s="214"/>
      <c r="K166" s="214"/>
      <c r="L166" s="214"/>
      <c r="M166" s="214"/>
      <c r="N166" s="214"/>
      <c r="O166" s="214"/>
      <c r="P166" s="214"/>
      <c r="Q166" s="214"/>
      <c r="R166" s="214"/>
      <c r="S166" s="214"/>
      <c r="T166" s="214"/>
      <c r="U166" s="214"/>
      <c r="V166" s="214"/>
      <c r="W166" s="214"/>
      <c r="X166" s="214"/>
      <c r="Y166" s="214"/>
      <c r="Z166" s="214"/>
    </row>
    <row r="167" ht="15.75" customHeight="1">
      <c r="A167" s="214"/>
      <c r="B167" s="214"/>
      <c r="C167" s="214"/>
      <c r="D167" s="214"/>
      <c r="E167" s="214"/>
      <c r="F167" s="214"/>
      <c r="G167" s="214"/>
      <c r="H167" s="214"/>
      <c r="I167" s="214"/>
      <c r="J167" s="214"/>
      <c r="K167" s="214"/>
      <c r="L167" s="214"/>
      <c r="M167" s="214"/>
      <c r="N167" s="214"/>
      <c r="O167" s="214"/>
      <c r="P167" s="214"/>
      <c r="Q167" s="214"/>
      <c r="R167" s="214"/>
      <c r="S167" s="214"/>
      <c r="T167" s="214"/>
      <c r="U167" s="214"/>
      <c r="V167" s="214"/>
      <c r="W167" s="214"/>
      <c r="X167" s="214"/>
      <c r="Y167" s="214"/>
      <c r="Z167" s="214"/>
    </row>
    <row r="168" ht="15.75" customHeight="1">
      <c r="A168" s="214"/>
      <c r="B168" s="214"/>
      <c r="C168" s="214"/>
      <c r="D168" s="214"/>
      <c r="E168" s="214"/>
      <c r="F168" s="214"/>
      <c r="G168" s="214"/>
      <c r="H168" s="214"/>
      <c r="I168" s="214"/>
      <c r="J168" s="214"/>
      <c r="K168" s="214"/>
      <c r="L168" s="214"/>
      <c r="M168" s="214"/>
      <c r="N168" s="214"/>
      <c r="O168" s="214"/>
      <c r="P168" s="214"/>
      <c r="Q168" s="214"/>
      <c r="R168" s="214"/>
      <c r="S168" s="214"/>
      <c r="T168" s="214"/>
      <c r="U168" s="214"/>
      <c r="V168" s="214"/>
      <c r="W168" s="214"/>
      <c r="X168" s="214"/>
      <c r="Y168" s="214"/>
      <c r="Z168" s="214"/>
    </row>
    <row r="169" ht="15.75" customHeight="1">
      <c r="A169" s="214"/>
      <c r="B169" s="214"/>
      <c r="C169" s="214"/>
      <c r="D169" s="214"/>
      <c r="E169" s="214"/>
      <c r="F169" s="214"/>
      <c r="G169" s="214"/>
      <c r="H169" s="214"/>
      <c r="I169" s="214"/>
      <c r="J169" s="214"/>
      <c r="K169" s="214"/>
      <c r="L169" s="214"/>
      <c r="M169" s="214"/>
      <c r="N169" s="214"/>
      <c r="O169" s="214"/>
      <c r="P169" s="214"/>
      <c r="Q169" s="214"/>
      <c r="R169" s="214"/>
      <c r="S169" s="214"/>
      <c r="T169" s="214"/>
      <c r="U169" s="214"/>
      <c r="V169" s="214"/>
      <c r="W169" s="214"/>
      <c r="X169" s="214"/>
      <c r="Y169" s="214"/>
      <c r="Z169" s="214"/>
    </row>
    <row r="170" ht="15.75" customHeight="1">
      <c r="A170" s="214"/>
      <c r="B170" s="214"/>
      <c r="C170" s="214"/>
      <c r="D170" s="214"/>
      <c r="E170" s="214"/>
      <c r="F170" s="214"/>
      <c r="G170" s="214"/>
      <c r="H170" s="214"/>
      <c r="I170" s="214"/>
      <c r="J170" s="214"/>
      <c r="K170" s="214"/>
      <c r="L170" s="214"/>
      <c r="M170" s="214"/>
      <c r="N170" s="214"/>
      <c r="O170" s="214"/>
      <c r="P170" s="214"/>
      <c r="Q170" s="214"/>
      <c r="R170" s="214"/>
      <c r="S170" s="214"/>
      <c r="T170" s="214"/>
      <c r="U170" s="214"/>
      <c r="V170" s="214"/>
      <c r="W170" s="214"/>
      <c r="X170" s="214"/>
      <c r="Y170" s="214"/>
      <c r="Z170" s="214"/>
    </row>
    <row r="171" ht="15.75" customHeight="1">
      <c r="A171" s="214"/>
      <c r="B171" s="214"/>
      <c r="C171" s="214"/>
      <c r="D171" s="214"/>
      <c r="E171" s="214"/>
      <c r="F171" s="214"/>
      <c r="G171" s="214"/>
      <c r="H171" s="214"/>
      <c r="I171" s="214"/>
      <c r="J171" s="214"/>
      <c r="K171" s="214"/>
      <c r="L171" s="214"/>
      <c r="M171" s="214"/>
      <c r="N171" s="214"/>
      <c r="O171" s="214"/>
      <c r="P171" s="214"/>
      <c r="Q171" s="214"/>
      <c r="R171" s="214"/>
      <c r="S171" s="214"/>
      <c r="T171" s="214"/>
      <c r="U171" s="214"/>
      <c r="V171" s="214"/>
      <c r="W171" s="214"/>
      <c r="X171" s="214"/>
      <c r="Y171" s="214"/>
      <c r="Z171" s="214"/>
    </row>
    <row r="172" ht="15.75" customHeight="1">
      <c r="A172" s="214"/>
      <c r="B172" s="214"/>
      <c r="C172" s="214"/>
      <c r="D172" s="214"/>
      <c r="E172" s="214"/>
      <c r="F172" s="214"/>
      <c r="G172" s="214"/>
      <c r="H172" s="214"/>
      <c r="I172" s="214"/>
      <c r="J172" s="214"/>
      <c r="K172" s="214"/>
      <c r="L172" s="214"/>
      <c r="M172" s="214"/>
      <c r="N172" s="214"/>
      <c r="O172" s="214"/>
      <c r="P172" s="214"/>
      <c r="Q172" s="214"/>
      <c r="R172" s="214"/>
      <c r="S172" s="214"/>
      <c r="T172" s="214"/>
      <c r="U172" s="214"/>
      <c r="V172" s="214"/>
      <c r="W172" s="214"/>
      <c r="X172" s="214"/>
      <c r="Y172" s="214"/>
      <c r="Z172" s="214"/>
    </row>
    <row r="173" ht="15.75" customHeight="1">
      <c r="A173" s="214"/>
      <c r="B173" s="214"/>
      <c r="C173" s="214"/>
      <c r="D173" s="214"/>
      <c r="E173" s="214"/>
      <c r="F173" s="214"/>
      <c r="G173" s="214"/>
      <c r="H173" s="214"/>
      <c r="I173" s="214"/>
      <c r="J173" s="214"/>
      <c r="K173" s="214"/>
      <c r="L173" s="214"/>
      <c r="M173" s="214"/>
      <c r="N173" s="214"/>
      <c r="O173" s="214"/>
      <c r="P173" s="214"/>
      <c r="Q173" s="214"/>
      <c r="R173" s="214"/>
      <c r="S173" s="214"/>
      <c r="T173" s="214"/>
      <c r="U173" s="214"/>
      <c r="V173" s="214"/>
      <c r="W173" s="214"/>
      <c r="X173" s="214"/>
      <c r="Y173" s="214"/>
      <c r="Z173" s="214"/>
    </row>
    <row r="174" ht="15.75" customHeight="1">
      <c r="A174" s="214"/>
      <c r="B174" s="214"/>
      <c r="C174" s="214"/>
      <c r="D174" s="214"/>
      <c r="E174" s="214"/>
      <c r="F174" s="214"/>
      <c r="G174" s="214"/>
      <c r="H174" s="214"/>
      <c r="I174" s="214"/>
      <c r="J174" s="214"/>
      <c r="K174" s="214"/>
      <c r="L174" s="214"/>
      <c r="M174" s="214"/>
      <c r="N174" s="214"/>
      <c r="O174" s="214"/>
      <c r="P174" s="214"/>
      <c r="Q174" s="214"/>
      <c r="R174" s="214"/>
      <c r="S174" s="214"/>
      <c r="T174" s="214"/>
      <c r="U174" s="214"/>
      <c r="V174" s="214"/>
      <c r="W174" s="214"/>
      <c r="X174" s="214"/>
      <c r="Y174" s="214"/>
      <c r="Z174" s="214"/>
    </row>
    <row r="175" ht="15.75" customHeight="1">
      <c r="A175" s="214"/>
      <c r="B175" s="214"/>
      <c r="C175" s="214"/>
      <c r="D175" s="214"/>
      <c r="E175" s="214"/>
      <c r="F175" s="214"/>
      <c r="G175" s="214"/>
      <c r="H175" s="214"/>
      <c r="I175" s="214"/>
      <c r="J175" s="214"/>
      <c r="K175" s="214"/>
      <c r="L175" s="214"/>
      <c r="M175" s="214"/>
      <c r="N175" s="214"/>
      <c r="O175" s="214"/>
      <c r="P175" s="214"/>
      <c r="Q175" s="214"/>
      <c r="R175" s="214"/>
      <c r="S175" s="214"/>
      <c r="T175" s="214"/>
      <c r="U175" s="214"/>
      <c r="V175" s="214"/>
      <c r="W175" s="214"/>
      <c r="X175" s="214"/>
      <c r="Y175" s="214"/>
      <c r="Z175" s="214"/>
    </row>
    <row r="176" ht="15.75" customHeight="1">
      <c r="A176" s="214"/>
      <c r="B176" s="214"/>
      <c r="C176" s="214"/>
      <c r="D176" s="214"/>
      <c r="E176" s="214"/>
      <c r="F176" s="214"/>
      <c r="G176" s="214"/>
      <c r="H176" s="214"/>
      <c r="I176" s="214"/>
      <c r="J176" s="214"/>
      <c r="K176" s="214"/>
      <c r="L176" s="214"/>
      <c r="M176" s="214"/>
      <c r="N176" s="214"/>
      <c r="O176" s="214"/>
      <c r="P176" s="214"/>
      <c r="Q176" s="214"/>
      <c r="R176" s="214"/>
      <c r="S176" s="214"/>
      <c r="T176" s="214"/>
      <c r="U176" s="214"/>
      <c r="V176" s="214"/>
      <c r="W176" s="214"/>
      <c r="X176" s="214"/>
      <c r="Y176" s="214"/>
      <c r="Z176" s="214"/>
    </row>
    <row r="177" ht="15.75" customHeight="1">
      <c r="A177" s="214"/>
      <c r="B177" s="214"/>
      <c r="C177" s="214"/>
      <c r="D177" s="214"/>
      <c r="E177" s="214"/>
      <c r="F177" s="214"/>
      <c r="G177" s="214"/>
      <c r="H177" s="214"/>
      <c r="I177" s="214"/>
      <c r="J177" s="214"/>
      <c r="K177" s="214"/>
      <c r="L177" s="214"/>
      <c r="M177" s="214"/>
      <c r="N177" s="214"/>
      <c r="O177" s="214"/>
      <c r="P177" s="214"/>
      <c r="Q177" s="214"/>
      <c r="R177" s="214"/>
      <c r="S177" s="214"/>
      <c r="T177" s="214"/>
      <c r="U177" s="214"/>
      <c r="V177" s="214"/>
      <c r="W177" s="214"/>
      <c r="X177" s="214"/>
      <c r="Y177" s="214"/>
      <c r="Z177" s="214"/>
    </row>
    <row r="178" ht="15.75" customHeight="1">
      <c r="A178" s="214"/>
      <c r="B178" s="214"/>
      <c r="C178" s="214"/>
      <c r="D178" s="214"/>
      <c r="E178" s="214"/>
      <c r="F178" s="214"/>
      <c r="G178" s="214"/>
      <c r="H178" s="214"/>
      <c r="I178" s="214"/>
      <c r="J178" s="214"/>
      <c r="K178" s="214"/>
      <c r="L178" s="214"/>
      <c r="M178" s="214"/>
      <c r="N178" s="214"/>
      <c r="O178" s="214"/>
      <c r="P178" s="214"/>
      <c r="Q178" s="214"/>
      <c r="R178" s="214"/>
      <c r="S178" s="214"/>
      <c r="T178" s="214"/>
      <c r="U178" s="214"/>
      <c r="V178" s="214"/>
      <c r="W178" s="214"/>
      <c r="X178" s="214"/>
      <c r="Y178" s="214"/>
      <c r="Z178" s="214"/>
    </row>
    <row r="179" ht="15.75" customHeight="1">
      <c r="A179" s="214"/>
      <c r="B179" s="214"/>
      <c r="C179" s="214"/>
      <c r="D179" s="214"/>
      <c r="E179" s="214"/>
      <c r="F179" s="214"/>
      <c r="G179" s="214"/>
      <c r="H179" s="214"/>
      <c r="I179" s="214"/>
      <c r="J179" s="214"/>
      <c r="K179" s="214"/>
      <c r="L179" s="214"/>
      <c r="M179" s="214"/>
      <c r="N179" s="214"/>
      <c r="O179" s="214"/>
      <c r="P179" s="214"/>
      <c r="Q179" s="214"/>
      <c r="R179" s="214"/>
      <c r="S179" s="214"/>
      <c r="T179" s="214"/>
      <c r="U179" s="214"/>
      <c r="V179" s="214"/>
      <c r="W179" s="214"/>
      <c r="X179" s="214"/>
      <c r="Y179" s="214"/>
      <c r="Z179" s="214"/>
    </row>
    <row r="180" ht="15.75" customHeight="1">
      <c r="A180" s="214"/>
      <c r="B180" s="214"/>
      <c r="C180" s="214"/>
      <c r="D180" s="214"/>
      <c r="E180" s="214"/>
      <c r="F180" s="214"/>
      <c r="G180" s="214"/>
      <c r="H180" s="214"/>
      <c r="I180" s="214"/>
      <c r="J180" s="214"/>
      <c r="K180" s="214"/>
      <c r="L180" s="214"/>
      <c r="M180" s="214"/>
      <c r="N180" s="214"/>
      <c r="O180" s="214"/>
      <c r="P180" s="214"/>
      <c r="Q180" s="214"/>
      <c r="R180" s="214"/>
      <c r="S180" s="214"/>
      <c r="T180" s="214"/>
      <c r="U180" s="214"/>
      <c r="V180" s="214"/>
      <c r="W180" s="214"/>
      <c r="X180" s="214"/>
      <c r="Y180" s="214"/>
      <c r="Z180" s="214"/>
    </row>
    <row r="181" ht="15.75" customHeight="1">
      <c r="A181" s="214"/>
      <c r="B181" s="214"/>
      <c r="C181" s="214"/>
      <c r="D181" s="214"/>
      <c r="E181" s="214"/>
      <c r="F181" s="214"/>
      <c r="G181" s="214"/>
      <c r="H181" s="214"/>
      <c r="I181" s="214"/>
      <c r="J181" s="214"/>
      <c r="K181" s="214"/>
      <c r="L181" s="214"/>
      <c r="M181" s="214"/>
      <c r="N181" s="214"/>
      <c r="O181" s="214"/>
      <c r="P181" s="214"/>
      <c r="Q181" s="214"/>
      <c r="R181" s="214"/>
      <c r="S181" s="214"/>
      <c r="T181" s="214"/>
      <c r="U181" s="214"/>
      <c r="V181" s="214"/>
      <c r="W181" s="214"/>
      <c r="X181" s="214"/>
      <c r="Y181" s="214"/>
      <c r="Z181" s="214"/>
    </row>
    <row r="182" ht="15.75" customHeight="1">
      <c r="A182" s="214"/>
      <c r="B182" s="214"/>
      <c r="C182" s="214"/>
      <c r="D182" s="214"/>
      <c r="E182" s="214"/>
      <c r="F182" s="214"/>
      <c r="G182" s="214"/>
      <c r="H182" s="214"/>
      <c r="I182" s="214"/>
      <c r="J182" s="214"/>
      <c r="K182" s="214"/>
      <c r="L182" s="214"/>
      <c r="M182" s="214"/>
      <c r="N182" s="214"/>
      <c r="O182" s="214"/>
      <c r="P182" s="214"/>
      <c r="Q182" s="214"/>
      <c r="R182" s="214"/>
      <c r="S182" s="214"/>
      <c r="T182" s="214"/>
      <c r="U182" s="214"/>
      <c r="V182" s="214"/>
      <c r="W182" s="214"/>
      <c r="X182" s="214"/>
      <c r="Y182" s="214"/>
      <c r="Z182" s="214"/>
    </row>
    <row r="183" ht="15.75" customHeight="1">
      <c r="A183" s="214"/>
      <c r="B183" s="214"/>
      <c r="C183" s="214"/>
      <c r="D183" s="214"/>
      <c r="E183" s="214"/>
      <c r="F183" s="214"/>
      <c r="G183" s="214"/>
      <c r="H183" s="214"/>
      <c r="I183" s="214"/>
      <c r="J183" s="214"/>
      <c r="K183" s="214"/>
      <c r="L183" s="214"/>
      <c r="M183" s="214"/>
      <c r="N183" s="214"/>
      <c r="O183" s="214"/>
      <c r="P183" s="214"/>
      <c r="Q183" s="214"/>
      <c r="R183" s="214"/>
      <c r="S183" s="214"/>
      <c r="T183" s="214"/>
      <c r="U183" s="214"/>
      <c r="V183" s="214"/>
      <c r="W183" s="214"/>
      <c r="X183" s="214"/>
      <c r="Y183" s="214"/>
      <c r="Z183" s="214"/>
    </row>
    <row r="184" ht="15.75" customHeight="1">
      <c r="A184" s="214"/>
      <c r="B184" s="214"/>
      <c r="C184" s="214"/>
      <c r="D184" s="214"/>
      <c r="E184" s="214"/>
      <c r="F184" s="214"/>
      <c r="G184" s="214"/>
      <c r="H184" s="214"/>
      <c r="I184" s="214"/>
      <c r="J184" s="214"/>
      <c r="K184" s="214"/>
      <c r="L184" s="214"/>
      <c r="M184" s="214"/>
      <c r="N184" s="214"/>
      <c r="O184" s="214"/>
      <c r="P184" s="214"/>
      <c r="Q184" s="214"/>
      <c r="R184" s="214"/>
      <c r="S184" s="214"/>
      <c r="T184" s="214"/>
      <c r="U184" s="214"/>
      <c r="V184" s="214"/>
      <c r="W184" s="214"/>
      <c r="X184" s="214"/>
      <c r="Y184" s="214"/>
      <c r="Z184" s="214"/>
    </row>
    <row r="185" ht="15.75" customHeight="1">
      <c r="A185" s="214"/>
      <c r="B185" s="214"/>
      <c r="C185" s="214"/>
      <c r="D185" s="214"/>
      <c r="E185" s="214"/>
      <c r="F185" s="214"/>
      <c r="G185" s="214"/>
      <c r="H185" s="214"/>
      <c r="I185" s="214"/>
      <c r="J185" s="214"/>
      <c r="K185" s="214"/>
      <c r="L185" s="214"/>
      <c r="M185" s="214"/>
      <c r="N185" s="214"/>
      <c r="O185" s="214"/>
      <c r="P185" s="214"/>
      <c r="Q185" s="214"/>
      <c r="R185" s="214"/>
      <c r="S185" s="214"/>
      <c r="T185" s="214"/>
      <c r="U185" s="214"/>
      <c r="V185" s="214"/>
      <c r="W185" s="214"/>
      <c r="X185" s="214"/>
      <c r="Y185" s="214"/>
      <c r="Z185" s="214"/>
    </row>
    <row r="186" ht="15.75" customHeight="1">
      <c r="A186" s="214"/>
      <c r="B186" s="214"/>
      <c r="C186" s="214"/>
      <c r="D186" s="214"/>
      <c r="E186" s="214"/>
      <c r="F186" s="214"/>
      <c r="G186" s="214"/>
      <c r="H186" s="214"/>
      <c r="I186" s="214"/>
      <c r="J186" s="214"/>
      <c r="K186" s="214"/>
      <c r="L186" s="214"/>
      <c r="M186" s="214"/>
      <c r="N186" s="214"/>
      <c r="O186" s="214"/>
      <c r="P186" s="214"/>
      <c r="Q186" s="214"/>
      <c r="R186" s="214"/>
      <c r="S186" s="214"/>
      <c r="T186" s="214"/>
      <c r="U186" s="214"/>
      <c r="V186" s="214"/>
      <c r="W186" s="214"/>
      <c r="X186" s="214"/>
      <c r="Y186" s="214"/>
      <c r="Z186" s="214"/>
    </row>
    <row r="187" ht="15.75" customHeight="1">
      <c r="A187" s="214"/>
      <c r="B187" s="214"/>
      <c r="C187" s="214"/>
      <c r="D187" s="214"/>
      <c r="E187" s="214"/>
      <c r="F187" s="214"/>
      <c r="G187" s="214"/>
      <c r="H187" s="214"/>
      <c r="I187" s="214"/>
      <c r="J187" s="214"/>
      <c r="K187" s="214"/>
      <c r="L187" s="214"/>
      <c r="M187" s="214"/>
      <c r="N187" s="214"/>
      <c r="O187" s="214"/>
      <c r="P187" s="214"/>
      <c r="Q187" s="214"/>
      <c r="R187" s="214"/>
      <c r="S187" s="214"/>
      <c r="T187" s="214"/>
      <c r="U187" s="214"/>
      <c r="V187" s="214"/>
      <c r="W187" s="214"/>
      <c r="X187" s="214"/>
      <c r="Y187" s="214"/>
      <c r="Z187" s="214"/>
    </row>
    <row r="188" ht="15.75" customHeight="1">
      <c r="A188" s="214"/>
      <c r="B188" s="214"/>
      <c r="C188" s="214"/>
      <c r="D188" s="214"/>
      <c r="E188" s="214"/>
      <c r="F188" s="214"/>
      <c r="G188" s="214"/>
      <c r="H188" s="214"/>
      <c r="I188" s="214"/>
      <c r="J188" s="214"/>
      <c r="K188" s="214"/>
      <c r="L188" s="214"/>
      <c r="M188" s="214"/>
      <c r="N188" s="214"/>
      <c r="O188" s="214"/>
      <c r="P188" s="214"/>
      <c r="Q188" s="214"/>
      <c r="R188" s="214"/>
      <c r="S188" s="214"/>
      <c r="T188" s="214"/>
      <c r="U188" s="214"/>
      <c r="V188" s="214"/>
      <c r="W188" s="214"/>
      <c r="X188" s="214"/>
      <c r="Y188" s="214"/>
      <c r="Z188" s="214"/>
    </row>
    <row r="189" ht="15.75" customHeight="1">
      <c r="A189" s="214"/>
      <c r="B189" s="214"/>
      <c r="C189" s="214"/>
      <c r="D189" s="214"/>
      <c r="E189" s="214"/>
      <c r="F189" s="214"/>
      <c r="G189" s="214"/>
      <c r="H189" s="214"/>
      <c r="I189" s="214"/>
      <c r="J189" s="214"/>
      <c r="K189" s="214"/>
      <c r="L189" s="214"/>
      <c r="M189" s="214"/>
      <c r="N189" s="214"/>
      <c r="O189" s="214"/>
      <c r="P189" s="214"/>
      <c r="Q189" s="214"/>
      <c r="R189" s="214"/>
      <c r="S189" s="214"/>
      <c r="T189" s="214"/>
      <c r="U189" s="214"/>
      <c r="V189" s="214"/>
      <c r="W189" s="214"/>
      <c r="X189" s="214"/>
      <c r="Y189" s="214"/>
      <c r="Z189" s="214"/>
    </row>
    <row r="190" ht="15.75" customHeight="1">
      <c r="A190" s="214"/>
      <c r="B190" s="214"/>
      <c r="C190" s="214"/>
      <c r="D190" s="214"/>
      <c r="E190" s="214"/>
      <c r="F190" s="214"/>
      <c r="G190" s="214"/>
      <c r="H190" s="214"/>
      <c r="I190" s="214"/>
      <c r="J190" s="214"/>
      <c r="K190" s="214"/>
      <c r="L190" s="214"/>
      <c r="M190" s="214"/>
      <c r="N190" s="214"/>
      <c r="O190" s="214"/>
      <c r="P190" s="214"/>
      <c r="Q190" s="214"/>
      <c r="R190" s="214"/>
      <c r="S190" s="214"/>
      <c r="T190" s="214"/>
      <c r="U190" s="214"/>
      <c r="V190" s="214"/>
      <c r="W190" s="214"/>
      <c r="X190" s="214"/>
      <c r="Y190" s="214"/>
      <c r="Z190" s="214"/>
    </row>
    <row r="191" ht="15.75" customHeight="1">
      <c r="A191" s="214"/>
      <c r="B191" s="214"/>
      <c r="C191" s="214"/>
      <c r="D191" s="214"/>
      <c r="E191" s="214"/>
      <c r="F191" s="214"/>
      <c r="G191" s="214"/>
      <c r="H191" s="214"/>
      <c r="I191" s="214"/>
      <c r="J191" s="214"/>
      <c r="K191" s="214"/>
      <c r="L191" s="214"/>
      <c r="M191" s="214"/>
      <c r="N191" s="214"/>
      <c r="O191" s="214"/>
      <c r="P191" s="214"/>
      <c r="Q191" s="214"/>
      <c r="R191" s="214"/>
      <c r="S191" s="214"/>
      <c r="T191" s="214"/>
      <c r="U191" s="214"/>
      <c r="V191" s="214"/>
      <c r="W191" s="214"/>
      <c r="X191" s="214"/>
      <c r="Y191" s="214"/>
      <c r="Z191" s="214"/>
    </row>
    <row r="192" ht="15.75" customHeight="1">
      <c r="A192" s="214"/>
      <c r="B192" s="214"/>
      <c r="C192" s="214"/>
      <c r="D192" s="214"/>
      <c r="E192" s="214"/>
      <c r="F192" s="214"/>
      <c r="G192" s="214"/>
      <c r="H192" s="214"/>
      <c r="I192" s="214"/>
      <c r="J192" s="214"/>
      <c r="K192" s="214"/>
      <c r="L192" s="214"/>
      <c r="M192" s="214"/>
      <c r="N192" s="214"/>
      <c r="O192" s="214"/>
      <c r="P192" s="214"/>
      <c r="Q192" s="214"/>
      <c r="R192" s="214"/>
      <c r="S192" s="214"/>
      <c r="T192" s="214"/>
      <c r="U192" s="214"/>
      <c r="V192" s="214"/>
      <c r="W192" s="214"/>
      <c r="X192" s="214"/>
      <c r="Y192" s="214"/>
      <c r="Z192" s="214"/>
    </row>
    <row r="193" ht="15.75" customHeight="1">
      <c r="A193" s="214"/>
      <c r="B193" s="214"/>
      <c r="C193" s="214"/>
      <c r="D193" s="214"/>
      <c r="E193" s="214"/>
      <c r="F193" s="214"/>
      <c r="G193" s="214"/>
      <c r="H193" s="214"/>
      <c r="I193" s="214"/>
      <c r="J193" s="214"/>
      <c r="K193" s="214"/>
      <c r="L193" s="214"/>
      <c r="M193" s="214"/>
      <c r="N193" s="214"/>
      <c r="O193" s="214"/>
      <c r="P193" s="214"/>
      <c r="Q193" s="214"/>
      <c r="R193" s="214"/>
      <c r="S193" s="214"/>
      <c r="T193" s="214"/>
      <c r="U193" s="214"/>
      <c r="V193" s="214"/>
      <c r="W193" s="214"/>
      <c r="X193" s="214"/>
      <c r="Y193" s="214"/>
      <c r="Z193" s="214"/>
    </row>
    <row r="194" ht="15.75" customHeight="1">
      <c r="A194" s="214"/>
      <c r="B194" s="214"/>
      <c r="C194" s="214"/>
      <c r="D194" s="214"/>
      <c r="E194" s="214"/>
      <c r="F194" s="214"/>
      <c r="G194" s="214"/>
      <c r="H194" s="214"/>
      <c r="I194" s="214"/>
      <c r="J194" s="214"/>
      <c r="K194" s="214"/>
      <c r="L194" s="214"/>
      <c r="M194" s="214"/>
      <c r="N194" s="214"/>
      <c r="O194" s="214"/>
      <c r="P194" s="214"/>
      <c r="Q194" s="214"/>
      <c r="R194" s="214"/>
      <c r="S194" s="214"/>
      <c r="T194" s="214"/>
      <c r="U194" s="214"/>
      <c r="V194" s="214"/>
      <c r="W194" s="214"/>
      <c r="X194" s="214"/>
      <c r="Y194" s="214"/>
      <c r="Z194" s="214"/>
    </row>
    <row r="195" ht="15.75" customHeight="1">
      <c r="A195" s="214"/>
      <c r="B195" s="214"/>
      <c r="C195" s="214"/>
      <c r="D195" s="214"/>
      <c r="E195" s="214"/>
      <c r="F195" s="214"/>
      <c r="G195" s="214"/>
      <c r="H195" s="214"/>
      <c r="I195" s="214"/>
      <c r="J195" s="214"/>
      <c r="K195" s="214"/>
      <c r="L195" s="214"/>
      <c r="M195" s="214"/>
      <c r="N195" s="214"/>
      <c r="O195" s="214"/>
      <c r="P195" s="214"/>
      <c r="Q195" s="214"/>
      <c r="R195" s="214"/>
      <c r="S195" s="214"/>
      <c r="T195" s="214"/>
      <c r="U195" s="214"/>
      <c r="V195" s="214"/>
      <c r="W195" s="214"/>
      <c r="X195" s="214"/>
      <c r="Y195" s="214"/>
      <c r="Z195" s="214"/>
    </row>
    <row r="196" ht="15.75" customHeight="1">
      <c r="A196" s="214"/>
      <c r="B196" s="214"/>
      <c r="C196" s="214"/>
      <c r="D196" s="214"/>
      <c r="E196" s="214"/>
      <c r="F196" s="214"/>
      <c r="G196" s="214"/>
      <c r="H196" s="214"/>
      <c r="I196" s="214"/>
      <c r="J196" s="214"/>
      <c r="K196" s="214"/>
      <c r="L196" s="214"/>
      <c r="M196" s="214"/>
      <c r="N196" s="214"/>
      <c r="O196" s="214"/>
      <c r="P196" s="214"/>
      <c r="Q196" s="214"/>
      <c r="R196" s="214"/>
      <c r="S196" s="214"/>
      <c r="T196" s="214"/>
      <c r="U196" s="214"/>
      <c r="V196" s="214"/>
      <c r="W196" s="214"/>
      <c r="X196" s="214"/>
      <c r="Y196" s="214"/>
      <c r="Z196" s="214"/>
    </row>
    <row r="197" ht="15.75" customHeight="1">
      <c r="A197" s="214"/>
      <c r="B197" s="214"/>
      <c r="C197" s="214"/>
      <c r="D197" s="214"/>
      <c r="E197" s="214"/>
      <c r="F197" s="214"/>
      <c r="G197" s="214"/>
      <c r="H197" s="214"/>
      <c r="I197" s="214"/>
      <c r="J197" s="214"/>
      <c r="K197" s="214"/>
      <c r="L197" s="214"/>
      <c r="M197" s="214"/>
      <c r="N197" s="214"/>
      <c r="O197" s="214"/>
      <c r="P197" s="214"/>
      <c r="Q197" s="214"/>
      <c r="R197" s="214"/>
      <c r="S197" s="214"/>
      <c r="T197" s="214"/>
      <c r="U197" s="214"/>
      <c r="V197" s="214"/>
      <c r="W197" s="214"/>
      <c r="X197" s="214"/>
      <c r="Y197" s="214"/>
      <c r="Z197" s="214"/>
    </row>
    <row r="198" ht="15.75" customHeight="1">
      <c r="A198" s="214"/>
      <c r="B198" s="214"/>
      <c r="C198" s="214"/>
      <c r="D198" s="214"/>
      <c r="E198" s="214"/>
      <c r="F198" s="214"/>
      <c r="G198" s="214"/>
      <c r="H198" s="214"/>
      <c r="I198" s="214"/>
      <c r="J198" s="214"/>
      <c r="K198" s="214"/>
      <c r="L198" s="214"/>
      <c r="M198" s="214"/>
      <c r="N198" s="214"/>
      <c r="O198" s="214"/>
      <c r="P198" s="214"/>
      <c r="Q198" s="214"/>
      <c r="R198" s="214"/>
      <c r="S198" s="214"/>
      <c r="T198" s="214"/>
      <c r="U198" s="214"/>
      <c r="V198" s="214"/>
      <c r="W198" s="214"/>
      <c r="X198" s="214"/>
      <c r="Y198" s="214"/>
      <c r="Z198" s="214"/>
    </row>
    <row r="199" ht="15.75" customHeight="1">
      <c r="A199" s="214"/>
      <c r="B199" s="214"/>
      <c r="C199" s="214"/>
      <c r="D199" s="214"/>
      <c r="E199" s="214"/>
      <c r="F199" s="214"/>
      <c r="G199" s="214"/>
      <c r="H199" s="214"/>
      <c r="I199" s="214"/>
      <c r="J199" s="214"/>
      <c r="K199" s="214"/>
      <c r="L199" s="214"/>
      <c r="M199" s="214"/>
      <c r="N199" s="214"/>
      <c r="O199" s="214"/>
      <c r="P199" s="214"/>
      <c r="Q199" s="214"/>
      <c r="R199" s="214"/>
      <c r="S199" s="214"/>
      <c r="T199" s="214"/>
      <c r="U199" s="214"/>
      <c r="V199" s="214"/>
      <c r="W199" s="214"/>
      <c r="X199" s="214"/>
      <c r="Y199" s="214"/>
      <c r="Z199" s="214"/>
    </row>
    <row r="200" ht="15.75" customHeight="1">
      <c r="A200" s="214"/>
      <c r="B200" s="214"/>
      <c r="C200" s="214"/>
      <c r="D200" s="214"/>
      <c r="E200" s="214"/>
      <c r="F200" s="214"/>
      <c r="G200" s="214"/>
      <c r="H200" s="214"/>
      <c r="I200" s="214"/>
      <c r="J200" s="214"/>
      <c r="K200" s="214"/>
      <c r="L200" s="214"/>
      <c r="M200" s="214"/>
      <c r="N200" s="214"/>
      <c r="O200" s="214"/>
      <c r="P200" s="214"/>
      <c r="Q200" s="214"/>
      <c r="R200" s="214"/>
      <c r="S200" s="214"/>
      <c r="T200" s="214"/>
      <c r="U200" s="214"/>
      <c r="V200" s="214"/>
      <c r="W200" s="214"/>
      <c r="X200" s="214"/>
      <c r="Y200" s="214"/>
      <c r="Z200" s="214"/>
    </row>
    <row r="201" ht="15.75" customHeight="1">
      <c r="A201" s="214"/>
      <c r="B201" s="214"/>
      <c r="C201" s="214"/>
      <c r="D201" s="214"/>
      <c r="E201" s="214"/>
      <c r="F201" s="214"/>
      <c r="G201" s="214"/>
      <c r="H201" s="214"/>
      <c r="I201" s="214"/>
      <c r="J201" s="214"/>
      <c r="K201" s="214"/>
      <c r="L201" s="214"/>
      <c r="M201" s="214"/>
      <c r="N201" s="214"/>
      <c r="O201" s="214"/>
      <c r="P201" s="214"/>
      <c r="Q201" s="214"/>
      <c r="R201" s="214"/>
      <c r="S201" s="214"/>
      <c r="T201" s="214"/>
      <c r="U201" s="214"/>
      <c r="V201" s="214"/>
      <c r="W201" s="214"/>
      <c r="X201" s="214"/>
      <c r="Y201" s="214"/>
      <c r="Z201" s="214"/>
    </row>
    <row r="202" ht="15.75" customHeight="1">
      <c r="A202" s="214"/>
      <c r="B202" s="214"/>
      <c r="C202" s="214"/>
      <c r="D202" s="214"/>
      <c r="E202" s="214"/>
      <c r="F202" s="214"/>
      <c r="G202" s="214"/>
      <c r="H202" s="214"/>
      <c r="I202" s="214"/>
      <c r="J202" s="214"/>
      <c r="K202" s="214"/>
      <c r="L202" s="214"/>
      <c r="M202" s="214"/>
      <c r="N202" s="214"/>
      <c r="O202" s="214"/>
      <c r="P202" s="214"/>
      <c r="Q202" s="214"/>
      <c r="R202" s="214"/>
      <c r="S202" s="214"/>
      <c r="T202" s="214"/>
      <c r="U202" s="214"/>
      <c r="V202" s="214"/>
      <c r="W202" s="214"/>
      <c r="X202" s="214"/>
      <c r="Y202" s="214"/>
      <c r="Z202" s="214"/>
    </row>
    <row r="203" ht="15.75" customHeight="1">
      <c r="A203" s="214"/>
      <c r="B203" s="214"/>
      <c r="C203" s="214"/>
      <c r="D203" s="214"/>
      <c r="E203" s="214"/>
      <c r="F203" s="214"/>
      <c r="G203" s="214"/>
      <c r="H203" s="214"/>
      <c r="I203" s="214"/>
      <c r="J203" s="214"/>
      <c r="K203" s="214"/>
      <c r="L203" s="214"/>
      <c r="M203" s="214"/>
      <c r="N203" s="214"/>
      <c r="O203" s="214"/>
      <c r="P203" s="214"/>
      <c r="Q203" s="214"/>
      <c r="R203" s="214"/>
      <c r="S203" s="214"/>
      <c r="T203" s="214"/>
      <c r="U203" s="214"/>
      <c r="V203" s="214"/>
      <c r="W203" s="214"/>
      <c r="X203" s="214"/>
      <c r="Y203" s="214"/>
      <c r="Z203" s="214"/>
    </row>
    <row r="204" ht="15.75" customHeight="1">
      <c r="A204" s="214"/>
      <c r="B204" s="214"/>
      <c r="C204" s="214"/>
      <c r="D204" s="214"/>
      <c r="E204" s="214"/>
      <c r="F204" s="214"/>
      <c r="G204" s="214"/>
      <c r="H204" s="214"/>
      <c r="I204" s="214"/>
      <c r="J204" s="214"/>
      <c r="K204" s="214"/>
      <c r="L204" s="214"/>
      <c r="M204" s="214"/>
      <c r="N204" s="214"/>
      <c r="O204" s="214"/>
      <c r="P204" s="214"/>
      <c r="Q204" s="214"/>
      <c r="R204" s="214"/>
      <c r="S204" s="214"/>
      <c r="T204" s="214"/>
      <c r="U204" s="214"/>
      <c r="V204" s="214"/>
      <c r="W204" s="214"/>
      <c r="X204" s="214"/>
      <c r="Y204" s="214"/>
      <c r="Z204" s="214"/>
    </row>
    <row r="205" ht="15.75" customHeight="1">
      <c r="A205" s="214"/>
      <c r="B205" s="214"/>
      <c r="C205" s="214"/>
      <c r="D205" s="214"/>
      <c r="E205" s="214"/>
      <c r="F205" s="214"/>
      <c r="G205" s="214"/>
      <c r="H205" s="214"/>
      <c r="I205" s="214"/>
      <c r="J205" s="214"/>
      <c r="K205" s="214"/>
      <c r="L205" s="214"/>
      <c r="M205" s="214"/>
      <c r="N205" s="214"/>
      <c r="O205" s="214"/>
      <c r="P205" s="214"/>
      <c r="Q205" s="214"/>
      <c r="R205" s="214"/>
      <c r="S205" s="214"/>
      <c r="T205" s="214"/>
      <c r="U205" s="214"/>
      <c r="V205" s="214"/>
      <c r="W205" s="214"/>
      <c r="X205" s="214"/>
      <c r="Y205" s="214"/>
      <c r="Z205" s="214"/>
    </row>
    <row r="206" ht="15.75" customHeight="1">
      <c r="A206" s="214"/>
      <c r="B206" s="214"/>
      <c r="C206" s="214"/>
      <c r="D206" s="214"/>
      <c r="E206" s="214"/>
      <c r="F206" s="214"/>
      <c r="G206" s="214"/>
      <c r="H206" s="214"/>
      <c r="I206" s="214"/>
      <c r="J206" s="214"/>
      <c r="K206" s="214"/>
      <c r="L206" s="214"/>
      <c r="M206" s="214"/>
      <c r="N206" s="214"/>
      <c r="O206" s="214"/>
      <c r="P206" s="214"/>
      <c r="Q206" s="214"/>
      <c r="R206" s="214"/>
      <c r="S206" s="214"/>
      <c r="T206" s="214"/>
      <c r="U206" s="214"/>
      <c r="V206" s="214"/>
      <c r="W206" s="214"/>
      <c r="X206" s="214"/>
      <c r="Y206" s="214"/>
      <c r="Z206" s="214"/>
    </row>
    <row r="207" ht="15.75" customHeight="1">
      <c r="A207" s="214"/>
      <c r="B207" s="214"/>
      <c r="C207" s="214"/>
      <c r="D207" s="214"/>
      <c r="E207" s="214"/>
      <c r="F207" s="214"/>
      <c r="G207" s="214"/>
      <c r="H207" s="214"/>
      <c r="I207" s="214"/>
      <c r="J207" s="214"/>
      <c r="K207" s="214"/>
      <c r="L207" s="214"/>
      <c r="M207" s="214"/>
      <c r="N207" s="214"/>
      <c r="O207" s="214"/>
      <c r="P207" s="214"/>
      <c r="Q207" s="214"/>
      <c r="R207" s="214"/>
      <c r="S207" s="214"/>
      <c r="T207" s="214"/>
      <c r="U207" s="214"/>
      <c r="V207" s="214"/>
      <c r="W207" s="214"/>
      <c r="X207" s="214"/>
      <c r="Y207" s="214"/>
      <c r="Z207" s="214"/>
    </row>
    <row r="208" ht="15.75" customHeight="1">
      <c r="A208" s="214"/>
      <c r="B208" s="214"/>
      <c r="C208" s="214"/>
      <c r="D208" s="214"/>
      <c r="E208" s="214"/>
      <c r="F208" s="214"/>
      <c r="G208" s="214"/>
      <c r="H208" s="214"/>
      <c r="I208" s="214"/>
      <c r="J208" s="214"/>
      <c r="K208" s="214"/>
      <c r="L208" s="214"/>
      <c r="M208" s="214"/>
      <c r="N208" s="214"/>
      <c r="O208" s="214"/>
      <c r="P208" s="214"/>
      <c r="Q208" s="214"/>
      <c r="R208" s="214"/>
      <c r="S208" s="214"/>
      <c r="T208" s="214"/>
      <c r="U208" s="214"/>
      <c r="V208" s="214"/>
      <c r="W208" s="214"/>
      <c r="X208" s="214"/>
      <c r="Y208" s="214"/>
      <c r="Z208" s="214"/>
    </row>
    <row r="209" ht="15.75" customHeight="1">
      <c r="A209" s="214"/>
      <c r="B209" s="214"/>
      <c r="C209" s="214"/>
      <c r="D209" s="214"/>
      <c r="E209" s="214"/>
      <c r="F209" s="214"/>
      <c r="G209" s="214"/>
      <c r="H209" s="214"/>
      <c r="I209" s="214"/>
      <c r="J209" s="214"/>
      <c r="K209" s="214"/>
      <c r="L209" s="214"/>
      <c r="M209" s="214"/>
      <c r="N209" s="214"/>
      <c r="O209" s="214"/>
      <c r="P209" s="214"/>
      <c r="Q209" s="214"/>
      <c r="R209" s="214"/>
      <c r="S209" s="214"/>
      <c r="T209" s="214"/>
      <c r="U209" s="214"/>
      <c r="V209" s="214"/>
      <c r="W209" s="214"/>
      <c r="X209" s="214"/>
      <c r="Y209" s="214"/>
      <c r="Z209" s="214"/>
    </row>
    <row r="210" ht="15.75" customHeight="1">
      <c r="A210" s="214"/>
      <c r="B210" s="214"/>
      <c r="C210" s="214"/>
      <c r="D210" s="214"/>
      <c r="E210" s="214"/>
      <c r="F210" s="214"/>
      <c r="G210" s="214"/>
      <c r="H210" s="214"/>
      <c r="I210" s="214"/>
      <c r="J210" s="214"/>
      <c r="K210" s="214"/>
      <c r="L210" s="214"/>
      <c r="M210" s="214"/>
      <c r="N210" s="214"/>
      <c r="O210" s="214"/>
      <c r="P210" s="214"/>
      <c r="Q210" s="214"/>
      <c r="R210" s="214"/>
      <c r="S210" s="214"/>
      <c r="T210" s="214"/>
      <c r="U210" s="214"/>
      <c r="V210" s="214"/>
      <c r="W210" s="214"/>
      <c r="X210" s="214"/>
      <c r="Y210" s="214"/>
      <c r="Z210" s="214"/>
    </row>
    <row r="211" ht="15.75" customHeight="1">
      <c r="A211" s="214"/>
      <c r="B211" s="214"/>
      <c r="C211" s="214"/>
      <c r="D211" s="214"/>
      <c r="E211" s="214"/>
      <c r="F211" s="214"/>
      <c r="G211" s="214"/>
      <c r="H211" s="214"/>
      <c r="I211" s="214"/>
      <c r="J211" s="214"/>
      <c r="K211" s="214"/>
      <c r="L211" s="214"/>
      <c r="M211" s="214"/>
      <c r="N211" s="214"/>
      <c r="O211" s="214"/>
      <c r="P211" s="214"/>
      <c r="Q211" s="214"/>
      <c r="R211" s="214"/>
      <c r="S211" s="214"/>
      <c r="T211" s="214"/>
      <c r="U211" s="214"/>
      <c r="V211" s="214"/>
      <c r="W211" s="214"/>
      <c r="X211" s="214"/>
      <c r="Y211" s="214"/>
      <c r="Z211" s="214"/>
    </row>
    <row r="212" ht="15.75" customHeight="1">
      <c r="A212" s="214"/>
      <c r="B212" s="214"/>
      <c r="C212" s="214"/>
      <c r="D212" s="214"/>
      <c r="E212" s="214"/>
      <c r="F212" s="214"/>
      <c r="G212" s="214"/>
      <c r="H212" s="214"/>
      <c r="I212" s="214"/>
      <c r="J212" s="214"/>
      <c r="K212" s="214"/>
      <c r="L212" s="214"/>
      <c r="M212" s="214"/>
      <c r="N212" s="214"/>
      <c r="O212" s="214"/>
      <c r="P212" s="214"/>
      <c r="Q212" s="214"/>
      <c r="R212" s="214"/>
      <c r="S212" s="214"/>
      <c r="T212" s="214"/>
      <c r="U212" s="214"/>
      <c r="V212" s="214"/>
      <c r="W212" s="214"/>
      <c r="X212" s="214"/>
      <c r="Y212" s="214"/>
      <c r="Z212" s="214"/>
    </row>
    <row r="213" ht="15.75" customHeight="1">
      <c r="A213" s="214"/>
      <c r="B213" s="214"/>
      <c r="C213" s="214"/>
      <c r="D213" s="214"/>
      <c r="E213" s="214"/>
      <c r="F213" s="214"/>
      <c r="G213" s="214"/>
      <c r="H213" s="214"/>
      <c r="I213" s="214"/>
      <c r="J213" s="214"/>
      <c r="K213" s="214"/>
      <c r="L213" s="214"/>
      <c r="M213" s="214"/>
      <c r="N213" s="214"/>
      <c r="O213" s="214"/>
      <c r="P213" s="214"/>
      <c r="Q213" s="214"/>
      <c r="R213" s="214"/>
      <c r="S213" s="214"/>
      <c r="T213" s="214"/>
      <c r="U213" s="214"/>
      <c r="V213" s="214"/>
      <c r="W213" s="214"/>
      <c r="X213" s="214"/>
      <c r="Y213" s="214"/>
      <c r="Z213" s="214"/>
    </row>
    <row r="214" ht="15.75" customHeight="1">
      <c r="A214" s="214"/>
      <c r="B214" s="214"/>
      <c r="C214" s="214"/>
      <c r="D214" s="214"/>
      <c r="E214" s="214"/>
      <c r="F214" s="214"/>
      <c r="G214" s="214"/>
      <c r="H214" s="214"/>
      <c r="I214" s="214"/>
      <c r="J214" s="214"/>
      <c r="K214" s="214"/>
      <c r="L214" s="214"/>
      <c r="M214" s="214"/>
      <c r="N214" s="214"/>
      <c r="O214" s="214"/>
      <c r="P214" s="214"/>
      <c r="Q214" s="214"/>
      <c r="R214" s="214"/>
      <c r="S214" s="214"/>
      <c r="T214" s="214"/>
      <c r="U214" s="214"/>
      <c r="V214" s="214"/>
      <c r="W214" s="214"/>
      <c r="X214" s="214"/>
      <c r="Y214" s="214"/>
      <c r="Z214" s="214"/>
    </row>
    <row r="215" ht="15.75" customHeight="1">
      <c r="A215" s="214"/>
      <c r="B215" s="214"/>
      <c r="C215" s="214"/>
      <c r="D215" s="214"/>
      <c r="E215" s="214"/>
      <c r="F215" s="214"/>
      <c r="G215" s="214"/>
      <c r="H215" s="214"/>
      <c r="I215" s="214"/>
      <c r="J215" s="214"/>
      <c r="K215" s="214"/>
      <c r="L215" s="214"/>
      <c r="M215" s="214"/>
      <c r="N215" s="214"/>
      <c r="O215" s="214"/>
      <c r="P215" s="214"/>
      <c r="Q215" s="214"/>
      <c r="R215" s="214"/>
      <c r="S215" s="214"/>
      <c r="T215" s="214"/>
      <c r="U215" s="214"/>
      <c r="V215" s="214"/>
      <c r="W215" s="214"/>
      <c r="X215" s="214"/>
      <c r="Y215" s="214"/>
      <c r="Z215" s="214"/>
    </row>
    <row r="216" ht="15.75" customHeight="1">
      <c r="A216" s="214"/>
      <c r="B216" s="214"/>
      <c r="C216" s="214"/>
      <c r="D216" s="214"/>
      <c r="E216" s="214"/>
      <c r="F216" s="214"/>
      <c r="G216" s="214"/>
      <c r="H216" s="214"/>
      <c r="I216" s="214"/>
      <c r="J216" s="214"/>
      <c r="K216" s="214"/>
      <c r="L216" s="214"/>
      <c r="M216" s="214"/>
      <c r="N216" s="214"/>
      <c r="O216" s="214"/>
      <c r="P216" s="214"/>
      <c r="Q216" s="214"/>
      <c r="R216" s="214"/>
      <c r="S216" s="214"/>
      <c r="T216" s="214"/>
      <c r="U216" s="214"/>
      <c r="V216" s="214"/>
      <c r="W216" s="214"/>
      <c r="X216" s="214"/>
      <c r="Y216" s="214"/>
      <c r="Z216" s="214"/>
    </row>
    <row r="217" ht="15.75" customHeight="1">
      <c r="A217" s="214"/>
      <c r="B217" s="214"/>
      <c r="C217" s="214"/>
      <c r="D217" s="214"/>
      <c r="E217" s="214"/>
      <c r="F217" s="214"/>
      <c r="G217" s="214"/>
      <c r="H217" s="214"/>
      <c r="I217" s="214"/>
      <c r="J217" s="214"/>
      <c r="K217" s="214"/>
      <c r="L217" s="214"/>
      <c r="M217" s="214"/>
      <c r="N217" s="214"/>
      <c r="O217" s="214"/>
      <c r="P217" s="214"/>
      <c r="Q217" s="214"/>
      <c r="R217" s="214"/>
      <c r="S217" s="214"/>
      <c r="T217" s="214"/>
      <c r="U217" s="214"/>
      <c r="V217" s="214"/>
      <c r="W217" s="214"/>
      <c r="X217" s="214"/>
      <c r="Y217" s="214"/>
      <c r="Z217" s="214"/>
    </row>
    <row r="218" ht="15.75" customHeight="1">
      <c r="A218" s="214"/>
      <c r="B218" s="214"/>
      <c r="C218" s="214"/>
      <c r="D218" s="214"/>
      <c r="E218" s="214"/>
      <c r="F218" s="214"/>
      <c r="G218" s="214"/>
      <c r="H218" s="214"/>
      <c r="I218" s="214"/>
      <c r="J218" s="214"/>
      <c r="K218" s="214"/>
      <c r="L218" s="214"/>
      <c r="M218" s="214"/>
      <c r="N218" s="214"/>
      <c r="O218" s="214"/>
      <c r="P218" s="214"/>
      <c r="Q218" s="214"/>
      <c r="R218" s="214"/>
      <c r="S218" s="214"/>
      <c r="T218" s="214"/>
      <c r="U218" s="214"/>
      <c r="V218" s="214"/>
      <c r="W218" s="214"/>
      <c r="X218" s="214"/>
      <c r="Y218" s="214"/>
      <c r="Z218" s="214"/>
    </row>
    <row r="219" ht="15.75" customHeight="1">
      <c r="A219" s="214"/>
      <c r="B219" s="214"/>
      <c r="C219" s="214"/>
      <c r="D219" s="214"/>
      <c r="E219" s="214"/>
      <c r="F219" s="214"/>
      <c r="G219" s="214"/>
      <c r="H219" s="214"/>
      <c r="I219" s="214"/>
      <c r="J219" s="214"/>
      <c r="K219" s="214"/>
      <c r="L219" s="214"/>
      <c r="M219" s="214"/>
      <c r="N219" s="214"/>
      <c r="O219" s="214"/>
      <c r="P219" s="214"/>
      <c r="Q219" s="214"/>
      <c r="R219" s="214"/>
      <c r="S219" s="214"/>
      <c r="T219" s="214"/>
      <c r="U219" s="214"/>
      <c r="V219" s="214"/>
      <c r="W219" s="214"/>
      <c r="X219" s="214"/>
      <c r="Y219" s="214"/>
      <c r="Z219" s="214"/>
    </row>
    <row r="220" ht="15.75" customHeight="1">
      <c r="A220" s="214"/>
      <c r="B220" s="214"/>
      <c r="C220" s="214"/>
      <c r="D220" s="214"/>
      <c r="E220" s="214"/>
      <c r="F220" s="214"/>
      <c r="G220" s="214"/>
      <c r="H220" s="214"/>
      <c r="I220" s="214"/>
      <c r="J220" s="214"/>
      <c r="K220" s="214"/>
      <c r="L220" s="214"/>
      <c r="M220" s="214"/>
      <c r="N220" s="214"/>
      <c r="O220" s="214"/>
      <c r="P220" s="214"/>
      <c r="Q220" s="214"/>
      <c r="R220" s="214"/>
      <c r="S220" s="214"/>
      <c r="T220" s="214"/>
      <c r="U220" s="214"/>
      <c r="V220" s="214"/>
      <c r="W220" s="214"/>
      <c r="X220" s="214"/>
      <c r="Y220" s="214"/>
      <c r="Z220" s="214"/>
    </row>
    <row r="221" ht="15.75" customHeight="1">
      <c r="A221" s="214"/>
      <c r="B221" s="214"/>
      <c r="C221" s="214"/>
      <c r="D221" s="214"/>
      <c r="E221" s="214"/>
      <c r="F221" s="214"/>
      <c r="G221" s="214"/>
      <c r="H221" s="214"/>
      <c r="I221" s="214"/>
      <c r="J221" s="214"/>
      <c r="K221" s="214"/>
      <c r="L221" s="214"/>
      <c r="M221" s="214"/>
      <c r="N221" s="214"/>
      <c r="O221" s="214"/>
      <c r="P221" s="214"/>
      <c r="Q221" s="214"/>
      <c r="R221" s="214"/>
      <c r="S221" s="214"/>
      <c r="T221" s="214"/>
      <c r="U221" s="214"/>
      <c r="V221" s="214"/>
      <c r="W221" s="214"/>
      <c r="X221" s="214"/>
      <c r="Y221" s="214"/>
      <c r="Z221" s="214"/>
    </row>
    <row r="222" ht="15.75" customHeight="1">
      <c r="A222" s="214"/>
      <c r="B222" s="214"/>
      <c r="C222" s="214"/>
      <c r="D222" s="214"/>
      <c r="E222" s="214"/>
      <c r="F222" s="214"/>
      <c r="G222" s="214"/>
      <c r="H222" s="214"/>
      <c r="I222" s="214"/>
      <c r="J222" s="214"/>
      <c r="K222" s="214"/>
      <c r="L222" s="214"/>
      <c r="M222" s="214"/>
      <c r="N222" s="214"/>
      <c r="O222" s="214"/>
      <c r="P222" s="214"/>
      <c r="Q222" s="214"/>
      <c r="R222" s="214"/>
      <c r="S222" s="214"/>
      <c r="T222" s="214"/>
      <c r="U222" s="214"/>
      <c r="V222" s="214"/>
      <c r="W222" s="214"/>
      <c r="X222" s="214"/>
      <c r="Y222" s="214"/>
      <c r="Z222" s="214"/>
    </row>
    <row r="223" ht="15.75" customHeight="1">
      <c r="A223" s="214"/>
      <c r="B223" s="214"/>
      <c r="C223" s="214"/>
      <c r="D223" s="214"/>
      <c r="E223" s="214"/>
      <c r="F223" s="214"/>
      <c r="G223" s="214"/>
      <c r="H223" s="214"/>
      <c r="I223" s="214"/>
      <c r="J223" s="214"/>
      <c r="K223" s="214"/>
      <c r="L223" s="214"/>
      <c r="M223" s="214"/>
      <c r="N223" s="214"/>
      <c r="O223" s="214"/>
      <c r="P223" s="214"/>
      <c r="Q223" s="214"/>
      <c r="R223" s="214"/>
      <c r="S223" s="214"/>
      <c r="T223" s="214"/>
      <c r="U223" s="214"/>
      <c r="V223" s="214"/>
      <c r="W223" s="214"/>
      <c r="X223" s="214"/>
      <c r="Y223" s="214"/>
      <c r="Z223" s="214"/>
    </row>
    <row r="224" ht="15.75" customHeight="1">
      <c r="A224" s="214"/>
      <c r="B224" s="214"/>
      <c r="C224" s="214"/>
      <c r="D224" s="214"/>
      <c r="E224" s="214"/>
      <c r="F224" s="214"/>
      <c r="G224" s="214"/>
      <c r="H224" s="214"/>
      <c r="I224" s="214"/>
      <c r="J224" s="214"/>
      <c r="K224" s="214"/>
      <c r="L224" s="214"/>
      <c r="M224" s="214"/>
      <c r="N224" s="214"/>
      <c r="O224" s="214"/>
      <c r="P224" s="214"/>
      <c r="Q224" s="214"/>
      <c r="R224" s="214"/>
      <c r="S224" s="214"/>
      <c r="T224" s="214"/>
      <c r="U224" s="214"/>
      <c r="V224" s="214"/>
      <c r="W224" s="214"/>
      <c r="X224" s="214"/>
      <c r="Y224" s="214"/>
      <c r="Z224" s="214"/>
    </row>
    <row r="225" ht="15.75" customHeight="1">
      <c r="A225" s="214"/>
      <c r="B225" s="214"/>
      <c r="C225" s="214"/>
      <c r="D225" s="214"/>
      <c r="E225" s="214"/>
      <c r="F225" s="214"/>
      <c r="G225" s="214"/>
      <c r="H225" s="214"/>
      <c r="I225" s="214"/>
      <c r="J225" s="214"/>
      <c r="K225" s="214"/>
      <c r="L225" s="214"/>
      <c r="M225" s="214"/>
      <c r="N225" s="214"/>
      <c r="O225" s="214"/>
      <c r="P225" s="214"/>
      <c r="Q225" s="214"/>
      <c r="R225" s="214"/>
      <c r="S225" s="214"/>
      <c r="T225" s="214"/>
      <c r="U225" s="214"/>
      <c r="V225" s="214"/>
      <c r="W225" s="214"/>
      <c r="X225" s="214"/>
      <c r="Y225" s="214"/>
      <c r="Z225" s="214"/>
    </row>
    <row r="226" ht="15.75" customHeight="1">
      <c r="A226" s="214"/>
      <c r="B226" s="214"/>
      <c r="C226" s="214"/>
      <c r="D226" s="214"/>
      <c r="E226" s="214"/>
      <c r="F226" s="214"/>
      <c r="G226" s="214"/>
      <c r="H226" s="214"/>
      <c r="I226" s="214"/>
      <c r="J226" s="214"/>
      <c r="K226" s="214"/>
      <c r="L226" s="214"/>
      <c r="M226" s="214"/>
      <c r="N226" s="214"/>
      <c r="O226" s="214"/>
      <c r="P226" s="214"/>
      <c r="Q226" s="214"/>
      <c r="R226" s="214"/>
      <c r="S226" s="214"/>
      <c r="T226" s="214"/>
      <c r="U226" s="214"/>
      <c r="V226" s="214"/>
      <c r="W226" s="214"/>
      <c r="X226" s="214"/>
      <c r="Y226" s="214"/>
      <c r="Z226" s="214"/>
    </row>
    <row r="227" ht="15.75" customHeight="1">
      <c r="A227" s="214"/>
      <c r="B227" s="214"/>
      <c r="C227" s="214"/>
      <c r="D227" s="214"/>
      <c r="E227" s="214"/>
      <c r="F227" s="214"/>
      <c r="G227" s="214"/>
      <c r="H227" s="214"/>
      <c r="I227" s="214"/>
      <c r="J227" s="214"/>
      <c r="K227" s="214"/>
      <c r="L227" s="214"/>
      <c r="M227" s="214"/>
      <c r="N227" s="214"/>
      <c r="O227" s="214"/>
      <c r="P227" s="214"/>
      <c r="Q227" s="214"/>
      <c r="R227" s="214"/>
      <c r="S227" s="214"/>
      <c r="T227" s="214"/>
      <c r="U227" s="214"/>
      <c r="V227" s="214"/>
      <c r="W227" s="214"/>
      <c r="X227" s="214"/>
      <c r="Y227" s="214"/>
      <c r="Z227" s="214"/>
    </row>
    <row r="228" ht="15.75" customHeight="1">
      <c r="A228" s="214"/>
      <c r="B228" s="214"/>
      <c r="C228" s="214"/>
      <c r="D228" s="214"/>
      <c r="E228" s="214"/>
      <c r="F228" s="214"/>
      <c r="G228" s="214"/>
      <c r="H228" s="214"/>
      <c r="I228" s="214"/>
      <c r="J228" s="214"/>
      <c r="K228" s="214"/>
      <c r="L228" s="214"/>
      <c r="M228" s="214"/>
      <c r="N228" s="214"/>
      <c r="O228" s="214"/>
      <c r="P228" s="214"/>
      <c r="Q228" s="214"/>
      <c r="R228" s="214"/>
      <c r="S228" s="214"/>
      <c r="T228" s="214"/>
      <c r="U228" s="214"/>
      <c r="V228" s="214"/>
      <c r="W228" s="214"/>
      <c r="X228" s="214"/>
      <c r="Y228" s="214"/>
      <c r="Z228" s="214"/>
    </row>
    <row r="229" ht="15.75" customHeight="1">
      <c r="A229" s="214"/>
      <c r="B229" s="214"/>
      <c r="C229" s="214"/>
      <c r="D229" s="214"/>
      <c r="E229" s="214"/>
      <c r="F229" s="214"/>
      <c r="G229" s="214"/>
      <c r="H229" s="214"/>
      <c r="I229" s="214"/>
      <c r="J229" s="214"/>
      <c r="K229" s="214"/>
      <c r="L229" s="214"/>
      <c r="M229" s="214"/>
      <c r="N229" s="214"/>
      <c r="O229" s="214"/>
      <c r="P229" s="214"/>
      <c r="Q229" s="214"/>
      <c r="R229" s="214"/>
      <c r="S229" s="214"/>
      <c r="T229" s="214"/>
      <c r="U229" s="214"/>
      <c r="V229" s="214"/>
      <c r="W229" s="214"/>
      <c r="X229" s="214"/>
      <c r="Y229" s="214"/>
      <c r="Z229" s="214"/>
    </row>
    <row r="230" ht="15.75" customHeight="1">
      <c r="A230" s="214"/>
      <c r="B230" s="214"/>
      <c r="C230" s="214"/>
      <c r="D230" s="214"/>
      <c r="E230" s="214"/>
      <c r="F230" s="214"/>
      <c r="G230" s="214"/>
      <c r="H230" s="214"/>
      <c r="I230" s="214"/>
      <c r="J230" s="214"/>
      <c r="K230" s="214"/>
      <c r="L230" s="214"/>
      <c r="M230" s="214"/>
      <c r="N230" s="214"/>
      <c r="O230" s="214"/>
      <c r="P230" s="214"/>
      <c r="Q230" s="214"/>
      <c r="R230" s="214"/>
      <c r="S230" s="214"/>
      <c r="T230" s="214"/>
      <c r="U230" s="214"/>
      <c r="V230" s="214"/>
      <c r="W230" s="214"/>
      <c r="X230" s="214"/>
      <c r="Y230" s="214"/>
      <c r="Z230" s="214"/>
    </row>
    <row r="231" ht="15.75" customHeight="1">
      <c r="A231" s="214"/>
      <c r="B231" s="214"/>
      <c r="C231" s="214"/>
      <c r="D231" s="214"/>
      <c r="E231" s="214"/>
      <c r="F231" s="214"/>
      <c r="G231" s="214"/>
      <c r="H231" s="214"/>
      <c r="I231" s="214"/>
      <c r="J231" s="214"/>
      <c r="K231" s="214"/>
      <c r="L231" s="214"/>
      <c r="M231" s="214"/>
      <c r="N231" s="214"/>
      <c r="O231" s="214"/>
      <c r="P231" s="214"/>
      <c r="Q231" s="214"/>
      <c r="R231" s="214"/>
      <c r="S231" s="214"/>
      <c r="T231" s="214"/>
      <c r="U231" s="214"/>
      <c r="V231" s="214"/>
      <c r="W231" s="214"/>
      <c r="X231" s="214"/>
      <c r="Y231" s="214"/>
      <c r="Z231" s="214"/>
    </row>
    <row r="232" ht="15.75" customHeight="1">
      <c r="A232" s="214"/>
      <c r="B232" s="214"/>
      <c r="C232" s="214"/>
      <c r="D232" s="214"/>
      <c r="E232" s="214"/>
      <c r="F232" s="214"/>
      <c r="G232" s="214"/>
      <c r="H232" s="214"/>
      <c r="I232" s="214"/>
      <c r="J232" s="214"/>
      <c r="K232" s="214"/>
      <c r="L232" s="214"/>
      <c r="M232" s="214"/>
      <c r="N232" s="214"/>
      <c r="O232" s="214"/>
      <c r="P232" s="214"/>
      <c r="Q232" s="214"/>
      <c r="R232" s="214"/>
      <c r="S232" s="214"/>
      <c r="T232" s="214"/>
      <c r="U232" s="214"/>
      <c r="V232" s="214"/>
      <c r="W232" s="214"/>
      <c r="X232" s="214"/>
      <c r="Y232" s="214"/>
      <c r="Z232" s="214"/>
    </row>
    <row r="233" ht="15.75" customHeight="1">
      <c r="A233" s="214"/>
      <c r="B233" s="214"/>
      <c r="C233" s="214"/>
      <c r="D233" s="214"/>
      <c r="E233" s="214"/>
      <c r="F233" s="214"/>
      <c r="G233" s="214"/>
      <c r="H233" s="214"/>
      <c r="I233" s="214"/>
      <c r="J233" s="214"/>
      <c r="K233" s="214"/>
      <c r="L233" s="214"/>
      <c r="M233" s="214"/>
      <c r="N233" s="214"/>
      <c r="O233" s="214"/>
      <c r="P233" s="214"/>
      <c r="Q233" s="214"/>
      <c r="R233" s="214"/>
      <c r="S233" s="214"/>
      <c r="T233" s="214"/>
      <c r="U233" s="214"/>
      <c r="V233" s="214"/>
      <c r="W233" s="214"/>
      <c r="X233" s="214"/>
      <c r="Y233" s="214"/>
      <c r="Z233" s="214"/>
    </row>
    <row r="234" ht="15.75" customHeight="1">
      <c r="A234" s="214"/>
      <c r="B234" s="214"/>
      <c r="C234" s="214"/>
      <c r="D234" s="214"/>
      <c r="E234" s="214"/>
      <c r="F234" s="214"/>
      <c r="G234" s="214"/>
      <c r="H234" s="214"/>
      <c r="I234" s="214"/>
      <c r="J234" s="214"/>
      <c r="K234" s="214"/>
      <c r="L234" s="214"/>
      <c r="M234" s="214"/>
      <c r="N234" s="214"/>
      <c r="O234" s="214"/>
      <c r="P234" s="214"/>
      <c r="Q234" s="214"/>
      <c r="R234" s="214"/>
      <c r="S234" s="214"/>
      <c r="T234" s="214"/>
      <c r="U234" s="214"/>
      <c r="V234" s="214"/>
      <c r="W234" s="214"/>
      <c r="X234" s="214"/>
      <c r="Y234" s="214"/>
      <c r="Z234" s="214"/>
    </row>
    <row r="235" ht="15.75" customHeight="1">
      <c r="A235" s="214"/>
      <c r="B235" s="214"/>
      <c r="C235" s="214"/>
      <c r="D235" s="214"/>
      <c r="E235" s="214"/>
      <c r="F235" s="214"/>
      <c r="G235" s="214"/>
      <c r="H235" s="214"/>
      <c r="I235" s="214"/>
      <c r="J235" s="214"/>
      <c r="K235" s="214"/>
      <c r="L235" s="214"/>
      <c r="M235" s="214"/>
      <c r="N235" s="214"/>
      <c r="O235" s="214"/>
      <c r="P235" s="214"/>
      <c r="Q235" s="214"/>
      <c r="R235" s="214"/>
      <c r="S235" s="214"/>
      <c r="T235" s="214"/>
      <c r="U235" s="214"/>
      <c r="V235" s="214"/>
      <c r="W235" s="214"/>
      <c r="X235" s="214"/>
      <c r="Y235" s="214"/>
      <c r="Z235" s="214"/>
    </row>
    <row r="236" ht="15.75" customHeight="1">
      <c r="A236" s="214"/>
      <c r="B236" s="214"/>
      <c r="C236" s="214"/>
      <c r="D236" s="214"/>
      <c r="E236" s="214"/>
      <c r="F236" s="214"/>
      <c r="G236" s="214"/>
      <c r="H236" s="214"/>
      <c r="I236" s="214"/>
      <c r="J236" s="214"/>
      <c r="K236" s="214"/>
      <c r="L236" s="214"/>
      <c r="M236" s="214"/>
      <c r="N236" s="214"/>
      <c r="O236" s="214"/>
      <c r="P236" s="214"/>
      <c r="Q236" s="214"/>
      <c r="R236" s="214"/>
      <c r="S236" s="214"/>
      <c r="T236" s="214"/>
      <c r="U236" s="214"/>
      <c r="V236" s="214"/>
      <c r="W236" s="214"/>
      <c r="X236" s="214"/>
      <c r="Y236" s="214"/>
      <c r="Z236" s="214"/>
    </row>
    <row r="237" ht="15.75" customHeight="1">
      <c r="A237" s="214"/>
      <c r="B237" s="214"/>
      <c r="C237" s="214"/>
      <c r="D237" s="214"/>
      <c r="E237" s="214"/>
      <c r="F237" s="214"/>
      <c r="G237" s="214"/>
      <c r="H237" s="214"/>
      <c r="I237" s="214"/>
      <c r="J237" s="214"/>
      <c r="K237" s="214"/>
      <c r="L237" s="214"/>
      <c r="M237" s="214"/>
      <c r="N237" s="214"/>
      <c r="O237" s="214"/>
      <c r="P237" s="214"/>
      <c r="Q237" s="214"/>
      <c r="R237" s="214"/>
      <c r="S237" s="214"/>
      <c r="T237" s="214"/>
      <c r="U237" s="214"/>
      <c r="V237" s="214"/>
      <c r="W237" s="214"/>
      <c r="X237" s="214"/>
      <c r="Y237" s="214"/>
      <c r="Z237" s="214"/>
    </row>
    <row r="238" ht="15.75" customHeight="1">
      <c r="A238" s="214"/>
      <c r="B238" s="214"/>
      <c r="C238" s="214"/>
      <c r="D238" s="214"/>
      <c r="E238" s="214"/>
      <c r="F238" s="214"/>
      <c r="G238" s="214"/>
      <c r="H238" s="214"/>
      <c r="I238" s="214"/>
      <c r="J238" s="214"/>
      <c r="K238" s="214"/>
      <c r="L238" s="214"/>
      <c r="M238" s="214"/>
      <c r="N238" s="214"/>
      <c r="O238" s="214"/>
      <c r="P238" s="214"/>
      <c r="Q238" s="214"/>
      <c r="R238" s="214"/>
      <c r="S238" s="214"/>
      <c r="T238" s="214"/>
      <c r="U238" s="214"/>
      <c r="V238" s="214"/>
      <c r="W238" s="214"/>
      <c r="X238" s="214"/>
      <c r="Y238" s="214"/>
      <c r="Z238" s="214"/>
    </row>
    <row r="239" ht="15.75" customHeight="1">
      <c r="A239" s="214"/>
      <c r="B239" s="214"/>
      <c r="C239" s="214"/>
      <c r="D239" s="214"/>
      <c r="E239" s="214"/>
      <c r="F239" s="214"/>
      <c r="G239" s="214"/>
      <c r="H239" s="214"/>
      <c r="I239" s="214"/>
      <c r="J239" s="214"/>
      <c r="K239" s="214"/>
      <c r="L239" s="214"/>
      <c r="M239" s="214"/>
      <c r="N239" s="214"/>
      <c r="O239" s="214"/>
      <c r="P239" s="214"/>
      <c r="Q239" s="214"/>
      <c r="R239" s="214"/>
      <c r="S239" s="214"/>
      <c r="T239" s="214"/>
      <c r="U239" s="214"/>
      <c r="V239" s="214"/>
      <c r="W239" s="214"/>
      <c r="X239" s="214"/>
      <c r="Y239" s="214"/>
      <c r="Z239" s="214"/>
    </row>
    <row r="240" ht="15.75" customHeight="1">
      <c r="A240" s="214"/>
      <c r="B240" s="214"/>
      <c r="C240" s="214"/>
      <c r="D240" s="214"/>
      <c r="E240" s="214"/>
      <c r="F240" s="214"/>
      <c r="G240" s="214"/>
      <c r="H240" s="214"/>
      <c r="I240" s="214"/>
      <c r="J240" s="214"/>
      <c r="K240" s="214"/>
      <c r="L240" s="214"/>
      <c r="M240" s="214"/>
      <c r="N240" s="214"/>
      <c r="O240" s="214"/>
      <c r="P240" s="214"/>
      <c r="Q240" s="214"/>
      <c r="R240" s="214"/>
      <c r="S240" s="214"/>
      <c r="T240" s="214"/>
      <c r="U240" s="214"/>
      <c r="V240" s="214"/>
      <c r="W240" s="214"/>
      <c r="X240" s="214"/>
      <c r="Y240" s="214"/>
      <c r="Z240" s="214"/>
    </row>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6"/>
  </hyperlinks>
  <printOptions/>
  <pageMargins bottom="0.75" footer="0.0" header="0.0" left="0.7" right="0.7" top="0.75"/>
  <pageSetup orientation="landscape"/>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3" width="11.0"/>
    <col customWidth="1" min="4" max="4" width="22.25"/>
    <col customWidth="1" min="5" max="5" width="11.0"/>
    <col customWidth="1" min="6" max="6" width="16.5"/>
    <col customWidth="1" min="7" max="7" width="20.5"/>
    <col customWidth="1" min="8" max="8" width="15.5"/>
    <col customWidth="1" min="9" max="9" width="11.0"/>
    <col customWidth="1" min="10" max="10" width="14.5"/>
    <col customWidth="1" min="11" max="11" width="57.13"/>
    <col customWidth="1" min="12" max="12" width="19.38"/>
    <col customWidth="1" min="13" max="13" width="15.25"/>
    <col customWidth="1" min="14" max="26" width="11.0"/>
  </cols>
  <sheetData>
    <row r="1" ht="15.75" customHeight="1">
      <c r="A1" s="272"/>
      <c r="B1" s="273" t="s">
        <v>606</v>
      </c>
      <c r="I1" s="273" t="s">
        <v>607</v>
      </c>
      <c r="L1" s="274"/>
      <c r="M1" s="274"/>
      <c r="N1" s="274"/>
      <c r="O1" s="274"/>
      <c r="P1" s="274"/>
      <c r="Q1" s="274"/>
      <c r="R1" s="274"/>
      <c r="S1" s="274"/>
      <c r="T1" s="274"/>
      <c r="U1" s="274"/>
    </row>
    <row r="2" ht="15.75" customHeight="1">
      <c r="A2" s="272"/>
      <c r="B2" s="273" t="s">
        <v>608</v>
      </c>
      <c r="L2" s="274"/>
      <c r="M2" s="274"/>
      <c r="N2" s="274"/>
      <c r="O2" s="274"/>
      <c r="P2" s="274"/>
      <c r="Q2" s="274"/>
      <c r="R2" s="274"/>
      <c r="S2" s="274"/>
      <c r="T2" s="274"/>
      <c r="U2" s="274"/>
    </row>
    <row r="3" ht="15.75" customHeight="1">
      <c r="A3" s="272"/>
      <c r="B3" s="273" t="s">
        <v>609</v>
      </c>
      <c r="L3" s="274"/>
      <c r="M3" s="274"/>
      <c r="N3" s="274"/>
      <c r="O3" s="274"/>
      <c r="P3" s="274"/>
      <c r="Q3" s="274"/>
      <c r="R3" s="274"/>
      <c r="S3" s="274"/>
      <c r="T3" s="274"/>
      <c r="U3" s="274"/>
    </row>
    <row r="4" ht="15.75" customHeight="1">
      <c r="A4" s="272"/>
      <c r="B4" s="275"/>
      <c r="J4" s="276" t="s">
        <v>610</v>
      </c>
      <c r="L4" s="274"/>
      <c r="M4" s="274"/>
      <c r="N4" s="274"/>
      <c r="O4" s="274"/>
      <c r="P4" s="274"/>
      <c r="Q4" s="274"/>
      <c r="R4" s="274"/>
      <c r="S4" s="274"/>
      <c r="T4" s="274"/>
      <c r="U4" s="274"/>
    </row>
    <row r="5" ht="15.75" customHeight="1">
      <c r="A5" s="272"/>
      <c r="B5" s="275"/>
      <c r="C5" s="272"/>
      <c r="D5" s="272"/>
      <c r="E5" s="272"/>
      <c r="F5" s="272"/>
      <c r="G5" s="272"/>
      <c r="H5" s="272"/>
      <c r="I5" s="272"/>
      <c r="J5" s="272"/>
      <c r="K5" s="275"/>
      <c r="L5" s="274"/>
      <c r="M5" s="274"/>
      <c r="N5" s="274"/>
      <c r="O5" s="274"/>
      <c r="P5" s="274"/>
      <c r="Q5" s="274"/>
      <c r="R5" s="274"/>
      <c r="S5" s="274"/>
      <c r="T5" s="274"/>
      <c r="U5" s="274"/>
    </row>
    <row r="6" ht="15.75" customHeight="1">
      <c r="A6" s="277" t="s">
        <v>611</v>
      </c>
      <c r="B6" s="278" t="s">
        <v>0</v>
      </c>
      <c r="C6" s="278" t="s">
        <v>499</v>
      </c>
      <c r="D6" s="278" t="s">
        <v>498</v>
      </c>
      <c r="E6" s="278" t="s">
        <v>612</v>
      </c>
      <c r="F6" s="278" t="s">
        <v>501</v>
      </c>
      <c r="G6" s="279" t="s">
        <v>613</v>
      </c>
      <c r="H6" s="279"/>
      <c r="I6" s="280"/>
      <c r="J6" s="279" t="s">
        <v>614</v>
      </c>
      <c r="K6" s="280"/>
      <c r="L6" s="281" t="s">
        <v>615</v>
      </c>
      <c r="M6" s="281" t="s">
        <v>616</v>
      </c>
      <c r="N6" s="274"/>
      <c r="O6" s="274"/>
      <c r="P6" s="274"/>
      <c r="Q6" s="274"/>
      <c r="R6" s="274"/>
      <c r="S6" s="274"/>
      <c r="T6" s="274"/>
      <c r="U6" s="274"/>
    </row>
    <row r="7" ht="15.75" customHeight="1">
      <c r="A7" s="12"/>
      <c r="B7" s="282"/>
      <c r="C7" s="282"/>
      <c r="D7" s="282"/>
      <c r="E7" s="282"/>
      <c r="F7" s="282"/>
      <c r="G7" s="283" t="s">
        <v>617</v>
      </c>
      <c r="H7" s="283" t="s">
        <v>618</v>
      </c>
      <c r="I7" s="283" t="s">
        <v>619</v>
      </c>
      <c r="J7" s="283" t="s">
        <v>620</v>
      </c>
      <c r="K7" s="283" t="s">
        <v>621</v>
      </c>
      <c r="L7" s="284"/>
      <c r="M7" s="284"/>
      <c r="N7" s="274"/>
      <c r="O7" s="274"/>
      <c r="P7" s="274"/>
      <c r="Q7" s="274"/>
      <c r="R7" s="274"/>
      <c r="S7" s="274"/>
      <c r="T7" s="274"/>
      <c r="U7" s="274"/>
    </row>
    <row r="8" ht="15.75" customHeight="1">
      <c r="A8" s="285" t="s">
        <v>622</v>
      </c>
      <c r="B8" s="286">
        <v>1.0</v>
      </c>
      <c r="C8" s="287">
        <v>8.710961179E9</v>
      </c>
      <c r="D8" s="288" t="s">
        <v>623</v>
      </c>
      <c r="E8" s="289">
        <v>9.28734578E8</v>
      </c>
      <c r="F8" s="289">
        <v>0.0</v>
      </c>
      <c r="G8" s="289">
        <v>3.0306002036E10</v>
      </c>
      <c r="H8" s="290">
        <v>44897.0</v>
      </c>
      <c r="I8" s="289" t="s">
        <v>624</v>
      </c>
      <c r="J8" s="289">
        <v>4.605103095E9</v>
      </c>
      <c r="K8" s="289" t="s">
        <v>625</v>
      </c>
      <c r="L8" s="291" t="s">
        <v>626</v>
      </c>
      <c r="M8" s="291"/>
      <c r="N8" s="274"/>
      <c r="O8" s="274"/>
      <c r="P8" s="274"/>
      <c r="Q8" s="274"/>
      <c r="R8" s="274"/>
      <c r="S8" s="274"/>
      <c r="T8" s="274"/>
      <c r="U8" s="274"/>
    </row>
    <row r="9" ht="15.75" customHeight="1">
      <c r="A9" s="285" t="s">
        <v>627</v>
      </c>
      <c r="B9" s="286">
        <v>2.0</v>
      </c>
      <c r="C9" s="287">
        <v>8.076006951E9</v>
      </c>
      <c r="D9" s="288" t="s">
        <v>473</v>
      </c>
      <c r="E9" s="289">
        <v>9.48555777E8</v>
      </c>
      <c r="F9" s="289" t="s">
        <v>628</v>
      </c>
      <c r="G9" s="289">
        <v>3.4081015423E10</v>
      </c>
      <c r="H9" s="290">
        <v>44372.0</v>
      </c>
      <c r="I9" s="289" t="s">
        <v>624</v>
      </c>
      <c r="J9" s="289">
        <v>3.987555777E9</v>
      </c>
      <c r="K9" s="289" t="s">
        <v>629</v>
      </c>
      <c r="L9" s="291"/>
      <c r="M9" s="291"/>
      <c r="N9" s="274"/>
      <c r="O9" s="274"/>
      <c r="P9" s="274"/>
      <c r="Q9" s="274"/>
      <c r="R9" s="274"/>
      <c r="S9" s="274"/>
      <c r="T9" s="274"/>
      <c r="U9" s="274"/>
    </row>
    <row r="10" ht="15.75" customHeight="1">
      <c r="A10" s="292" t="s">
        <v>630</v>
      </c>
      <c r="B10" s="293">
        <v>3.0</v>
      </c>
      <c r="C10" s="294">
        <v>8.663111615E9</v>
      </c>
      <c r="D10" s="295" t="s">
        <v>631</v>
      </c>
      <c r="E10" s="296">
        <v>3.58413541E8</v>
      </c>
      <c r="F10" s="295" t="s">
        <v>632</v>
      </c>
      <c r="G10" s="295">
        <v>1.198010719E9</v>
      </c>
      <c r="H10" s="297">
        <v>42359.0</v>
      </c>
      <c r="I10" s="295" t="s">
        <v>633</v>
      </c>
      <c r="J10" s="295" t="s">
        <v>634</v>
      </c>
      <c r="K10" s="295" t="s">
        <v>635</v>
      </c>
      <c r="L10" s="298"/>
      <c r="M10" s="299"/>
      <c r="N10" s="300"/>
      <c r="O10" s="300"/>
      <c r="P10" s="300"/>
      <c r="Q10" s="300"/>
      <c r="R10" s="300"/>
      <c r="S10" s="300"/>
      <c r="T10" s="300"/>
      <c r="U10" s="300"/>
    </row>
    <row r="11" ht="15.75" customHeight="1">
      <c r="A11" s="285" t="s">
        <v>636</v>
      </c>
      <c r="B11" s="286">
        <v>4.0</v>
      </c>
      <c r="C11" s="287">
        <v>8.347082613E9</v>
      </c>
      <c r="D11" s="288" t="s">
        <v>367</v>
      </c>
      <c r="E11" s="289">
        <v>9.61555098E8</v>
      </c>
      <c r="F11" s="289" t="s">
        <v>637</v>
      </c>
      <c r="G11" s="289">
        <v>1.42621196E8</v>
      </c>
      <c r="H11" s="290">
        <v>39169.0</v>
      </c>
      <c r="I11" s="289" t="s">
        <v>638</v>
      </c>
      <c r="J11" s="289">
        <v>9.20162222866E11</v>
      </c>
      <c r="K11" s="289" t="s">
        <v>639</v>
      </c>
      <c r="L11" s="291"/>
      <c r="M11" s="291"/>
      <c r="N11" s="274"/>
      <c r="O11" s="274"/>
      <c r="P11" s="274"/>
      <c r="Q11" s="274"/>
      <c r="R11" s="274"/>
      <c r="S11" s="274"/>
      <c r="T11" s="274"/>
      <c r="U11" s="274"/>
    </row>
    <row r="12" ht="15.75" customHeight="1">
      <c r="A12" s="285" t="s">
        <v>640</v>
      </c>
      <c r="B12" s="286">
        <v>5.0</v>
      </c>
      <c r="C12" s="301">
        <v>8.413960133E9</v>
      </c>
      <c r="D12" s="288" t="s">
        <v>641</v>
      </c>
      <c r="E12" s="289">
        <v>3.69227691E8</v>
      </c>
      <c r="F12" s="263" t="s">
        <v>642</v>
      </c>
      <c r="G12" s="289">
        <v>2.7091003607E10</v>
      </c>
      <c r="H12" s="290">
        <v>44686.0</v>
      </c>
      <c r="I12" s="289" t="s">
        <v>643</v>
      </c>
      <c r="J12" s="289">
        <v>2.267801051991E12</v>
      </c>
      <c r="K12" s="289" t="s">
        <v>644</v>
      </c>
      <c r="L12" s="291"/>
      <c r="M12" s="291"/>
      <c r="N12" s="274"/>
      <c r="O12" s="274"/>
      <c r="P12" s="274"/>
      <c r="Q12" s="274"/>
      <c r="R12" s="274"/>
      <c r="S12" s="274"/>
      <c r="T12" s="274"/>
      <c r="U12" s="274"/>
    </row>
    <row r="13" ht="15.75" customHeight="1">
      <c r="A13" s="285" t="s">
        <v>645</v>
      </c>
      <c r="B13" s="286">
        <v>6.0</v>
      </c>
      <c r="C13" s="287">
        <v>8.304669573E9</v>
      </c>
      <c r="D13" s="288" t="s">
        <v>646</v>
      </c>
      <c r="E13" s="263">
        <v>9.73479674E8</v>
      </c>
      <c r="F13" s="302" t="s">
        <v>647</v>
      </c>
      <c r="G13" s="289">
        <v>1.9190013069E10</v>
      </c>
      <c r="H13" s="290">
        <v>44649.0</v>
      </c>
      <c r="I13" s="289" t="s">
        <v>624</v>
      </c>
      <c r="J13" s="289">
        <v>8.500215024694E12</v>
      </c>
      <c r="K13" s="289" t="s">
        <v>648</v>
      </c>
      <c r="L13" s="291"/>
      <c r="M13" s="291"/>
      <c r="N13" s="274"/>
      <c r="O13" s="274"/>
      <c r="P13" s="274"/>
      <c r="Q13" s="274"/>
      <c r="R13" s="274"/>
      <c r="S13" s="274"/>
      <c r="T13" s="274"/>
      <c r="U13" s="274"/>
    </row>
    <row r="14" ht="15.75" customHeight="1">
      <c r="A14" s="285" t="s">
        <v>649</v>
      </c>
      <c r="B14" s="286">
        <v>7.0</v>
      </c>
      <c r="C14" s="287">
        <v>8.068612331E9</v>
      </c>
      <c r="D14" s="288" t="s">
        <v>481</v>
      </c>
      <c r="E14" s="289">
        <v>9.15765989E8</v>
      </c>
      <c r="F14" s="289" t="s">
        <v>650</v>
      </c>
      <c r="G14" s="289">
        <v>2.5082017602E10</v>
      </c>
      <c r="H14" s="290">
        <v>44440.0</v>
      </c>
      <c r="I14" s="289" t="s">
        <v>643</v>
      </c>
      <c r="J14" s="289">
        <v>8.50021500383E12</v>
      </c>
      <c r="K14" s="289" t="s">
        <v>651</v>
      </c>
      <c r="L14" s="291"/>
      <c r="M14" s="291"/>
      <c r="N14" s="274"/>
      <c r="O14" s="274"/>
      <c r="P14" s="274"/>
      <c r="Q14" s="274"/>
      <c r="R14" s="274"/>
      <c r="S14" s="274"/>
      <c r="T14" s="274"/>
      <c r="U14" s="274"/>
    </row>
    <row r="15" ht="15.75" customHeight="1">
      <c r="A15" s="285" t="s">
        <v>652</v>
      </c>
      <c r="B15" s="286">
        <v>8.0</v>
      </c>
      <c r="C15" s="287">
        <v>8.063443016E9</v>
      </c>
      <c r="D15" s="288" t="s">
        <v>653</v>
      </c>
      <c r="E15" s="263">
        <v>9.73091119E8</v>
      </c>
      <c r="F15" s="289" t="s">
        <v>654</v>
      </c>
      <c r="G15" s="289">
        <v>3.4186014777E10</v>
      </c>
      <c r="H15" s="290">
        <v>44374.0</v>
      </c>
      <c r="I15" s="289" t="s">
        <v>643</v>
      </c>
      <c r="J15" s="289">
        <v>9.00145794006E11</v>
      </c>
      <c r="K15" s="289" t="s">
        <v>655</v>
      </c>
      <c r="L15" s="291"/>
      <c r="M15" s="291"/>
      <c r="N15" s="274"/>
      <c r="O15" s="274"/>
      <c r="P15" s="274"/>
      <c r="Q15" s="274"/>
      <c r="R15" s="274"/>
      <c r="S15" s="274"/>
      <c r="T15" s="274"/>
      <c r="U15" s="274"/>
    </row>
    <row r="16" ht="15.75" customHeight="1">
      <c r="A16" s="285" t="s">
        <v>656</v>
      </c>
      <c r="B16" s="286">
        <v>9.0</v>
      </c>
      <c r="C16" s="287">
        <v>8.003034844E9</v>
      </c>
      <c r="D16" s="288" t="s">
        <v>392</v>
      </c>
      <c r="E16" s="289">
        <v>8.38668877E8</v>
      </c>
      <c r="F16" s="289" t="s">
        <v>657</v>
      </c>
      <c r="G16" s="289">
        <v>2.5082000642E10</v>
      </c>
      <c r="H16" s="290">
        <v>44315.0</v>
      </c>
      <c r="I16" s="289" t="s">
        <v>624</v>
      </c>
      <c r="J16" s="303" t="s">
        <v>658</v>
      </c>
      <c r="K16" s="289" t="s">
        <v>659</v>
      </c>
      <c r="L16" s="291"/>
      <c r="M16" s="291"/>
      <c r="N16" s="274"/>
      <c r="O16" s="274"/>
      <c r="P16" s="274"/>
      <c r="Q16" s="274"/>
      <c r="R16" s="274"/>
      <c r="S16" s="274"/>
      <c r="T16" s="274"/>
      <c r="U16" s="274"/>
    </row>
    <row r="17" ht="15.75" customHeight="1">
      <c r="A17" s="285" t="s">
        <v>660</v>
      </c>
      <c r="B17" s="286">
        <v>10.0</v>
      </c>
      <c r="C17" s="287">
        <v>8.007388347E9</v>
      </c>
      <c r="D17" s="288" t="s">
        <v>400</v>
      </c>
      <c r="E17" s="289">
        <v>9.07611626E8</v>
      </c>
      <c r="F17" s="289" t="s">
        <v>661</v>
      </c>
      <c r="G17" s="289">
        <v>2.5315702E7</v>
      </c>
      <c r="H17" s="290">
        <v>40485.0</v>
      </c>
      <c r="I17" s="289" t="s">
        <v>662</v>
      </c>
      <c r="J17" s="289">
        <v>1.03881162666E11</v>
      </c>
      <c r="K17" s="289" t="s">
        <v>663</v>
      </c>
      <c r="L17" s="291"/>
      <c r="M17" s="291"/>
      <c r="N17" s="274"/>
      <c r="O17" s="274"/>
      <c r="P17" s="274"/>
      <c r="Q17" s="274"/>
      <c r="R17" s="274"/>
      <c r="S17" s="274"/>
      <c r="T17" s="274"/>
      <c r="U17" s="274"/>
    </row>
    <row r="18" ht="15.75" customHeight="1">
      <c r="A18" s="285" t="s">
        <v>664</v>
      </c>
      <c r="B18" s="286">
        <v>11.0</v>
      </c>
      <c r="C18" s="287">
        <v>8.617068972E9</v>
      </c>
      <c r="D18" s="288" t="s">
        <v>665</v>
      </c>
      <c r="E18" s="289">
        <v>9.86347647E8</v>
      </c>
      <c r="F18" s="289" t="s">
        <v>666</v>
      </c>
      <c r="G18" s="289">
        <v>3.4088000001E10</v>
      </c>
      <c r="H18" s="289" t="s">
        <v>667</v>
      </c>
      <c r="I18" s="289" t="s">
        <v>624</v>
      </c>
      <c r="J18" s="289">
        <v>1.011717608E9</v>
      </c>
      <c r="K18" s="289" t="s">
        <v>668</v>
      </c>
      <c r="L18" s="291"/>
      <c r="M18" s="291"/>
      <c r="N18" s="274"/>
      <c r="O18" s="274"/>
      <c r="P18" s="274"/>
      <c r="Q18" s="274"/>
      <c r="R18" s="274"/>
      <c r="S18" s="274"/>
      <c r="T18" s="274"/>
      <c r="U18" s="274"/>
    </row>
    <row r="19" ht="15.75" customHeight="1">
      <c r="A19" s="304" t="s">
        <v>669</v>
      </c>
      <c r="B19" s="305">
        <v>12.0</v>
      </c>
      <c r="C19" s="306" t="s">
        <v>510</v>
      </c>
      <c r="D19" s="307" t="s">
        <v>544</v>
      </c>
      <c r="E19" s="255">
        <v>3.66729404E8</v>
      </c>
      <c r="F19" s="308" t="s">
        <v>670</v>
      </c>
      <c r="G19" s="308">
        <v>4.2199000843E10</v>
      </c>
      <c r="H19" s="309">
        <v>45350.0</v>
      </c>
      <c r="I19" s="308" t="s">
        <v>624</v>
      </c>
      <c r="J19" s="308">
        <v>6.41000022859E11</v>
      </c>
      <c r="K19" s="308" t="s">
        <v>671</v>
      </c>
      <c r="L19" s="310"/>
      <c r="M19" s="299"/>
      <c r="N19" s="300"/>
      <c r="O19" s="300"/>
      <c r="P19" s="300"/>
      <c r="Q19" s="300"/>
      <c r="R19" s="300"/>
      <c r="S19" s="300"/>
      <c r="T19" s="300"/>
      <c r="U19" s="300"/>
    </row>
    <row r="20" ht="15.75" customHeight="1">
      <c r="A20" s="304"/>
      <c r="B20" s="305"/>
      <c r="C20" s="311">
        <v>8.73301963E9</v>
      </c>
      <c r="D20" s="307" t="s">
        <v>672</v>
      </c>
      <c r="E20" s="308">
        <v>8.34329457E8</v>
      </c>
      <c r="F20" s="308" t="s">
        <v>673</v>
      </c>
      <c r="G20" s="312" t="s">
        <v>674</v>
      </c>
      <c r="H20" s="309">
        <v>44425.0</v>
      </c>
      <c r="I20" s="308" t="s">
        <v>624</v>
      </c>
      <c r="J20" s="312" t="s">
        <v>675</v>
      </c>
      <c r="K20" s="308" t="s">
        <v>676</v>
      </c>
      <c r="L20" s="310" t="s">
        <v>677</v>
      </c>
      <c r="M20" s="310" t="s">
        <v>428</v>
      </c>
      <c r="N20" s="300"/>
      <c r="O20" s="300"/>
      <c r="P20" s="300"/>
      <c r="Q20" s="300"/>
      <c r="R20" s="300"/>
      <c r="S20" s="300"/>
      <c r="T20" s="300"/>
      <c r="U20" s="300"/>
    </row>
    <row r="21" ht="15.75" customHeight="1">
      <c r="A21" s="285" t="s">
        <v>678</v>
      </c>
      <c r="B21" s="286">
        <v>13.0</v>
      </c>
      <c r="C21" s="287">
        <v>8.705585426E9</v>
      </c>
      <c r="D21" s="288" t="s">
        <v>679</v>
      </c>
      <c r="E21" s="263">
        <v>9.83743932E8</v>
      </c>
      <c r="F21" s="289" t="s">
        <v>680</v>
      </c>
      <c r="G21" s="289">
        <v>5.1052069E7</v>
      </c>
      <c r="H21" s="290">
        <v>42030.0</v>
      </c>
      <c r="I21" s="289" t="s">
        <v>681</v>
      </c>
      <c r="J21" s="289">
        <v>4.110487024E9</v>
      </c>
      <c r="K21" s="289" t="s">
        <v>682</v>
      </c>
      <c r="L21" s="291"/>
      <c r="M21" s="291"/>
      <c r="N21" s="274"/>
      <c r="O21" s="274"/>
      <c r="P21" s="274"/>
      <c r="Q21" s="274"/>
      <c r="R21" s="274"/>
      <c r="S21" s="274"/>
      <c r="T21" s="274"/>
      <c r="U21" s="274"/>
    </row>
    <row r="22" ht="15.75" customHeight="1">
      <c r="A22" s="285" t="s">
        <v>683</v>
      </c>
      <c r="B22" s="286">
        <v>14.0</v>
      </c>
      <c r="C22" s="287">
        <v>8.002382616E9</v>
      </c>
      <c r="D22" s="288" t="s">
        <v>684</v>
      </c>
      <c r="E22" s="303" t="s">
        <v>685</v>
      </c>
      <c r="F22" s="313" t="s">
        <v>686</v>
      </c>
      <c r="G22" s="289">
        <v>2.2079002376E10</v>
      </c>
      <c r="H22" s="290">
        <v>43112.0</v>
      </c>
      <c r="I22" s="289" t="s">
        <v>624</v>
      </c>
      <c r="J22" s="289">
        <v>1.41000036165E11</v>
      </c>
      <c r="K22" s="289" t="s">
        <v>687</v>
      </c>
      <c r="L22" s="291" t="s">
        <v>688</v>
      </c>
      <c r="M22" s="291"/>
      <c r="N22" s="274"/>
      <c r="O22" s="274"/>
      <c r="P22" s="274"/>
      <c r="Q22" s="274"/>
      <c r="R22" s="274"/>
      <c r="S22" s="274"/>
      <c r="T22" s="274"/>
      <c r="U22" s="274"/>
    </row>
    <row r="23" ht="15.75" customHeight="1">
      <c r="A23" s="285" t="s">
        <v>689</v>
      </c>
      <c r="B23" s="286">
        <v>15.0</v>
      </c>
      <c r="C23" s="287">
        <v>1.03830718E8</v>
      </c>
      <c r="D23" s="288" t="s">
        <v>690</v>
      </c>
      <c r="E23" s="263">
        <v>9.36498868E8</v>
      </c>
      <c r="F23" s="289" t="s">
        <v>691</v>
      </c>
      <c r="G23" s="289">
        <v>1.079008097E9</v>
      </c>
      <c r="H23" s="290">
        <v>44387.0</v>
      </c>
      <c r="I23" s="289" t="s">
        <v>624</v>
      </c>
      <c r="J23" s="289">
        <v>1.06003919119E11</v>
      </c>
      <c r="K23" s="289" t="s">
        <v>692</v>
      </c>
      <c r="L23" s="291"/>
      <c r="M23" s="291"/>
      <c r="N23" s="274"/>
      <c r="O23" s="274"/>
      <c r="P23" s="274"/>
      <c r="Q23" s="274"/>
      <c r="R23" s="274"/>
      <c r="S23" s="274"/>
      <c r="T23" s="274"/>
      <c r="U23" s="274"/>
    </row>
    <row r="24" ht="15.75" customHeight="1">
      <c r="A24" s="304" t="s">
        <v>693</v>
      </c>
      <c r="B24" s="305">
        <v>16.0</v>
      </c>
      <c r="C24" s="306">
        <v>0.0</v>
      </c>
      <c r="D24" s="307" t="s">
        <v>694</v>
      </c>
      <c r="E24" s="255">
        <v>9.89518094E8</v>
      </c>
      <c r="F24" s="308">
        <v>0.0</v>
      </c>
      <c r="G24" s="308">
        <v>2.519400091E10</v>
      </c>
      <c r="H24" s="309">
        <v>44946.0</v>
      </c>
      <c r="I24" s="308" t="s">
        <v>643</v>
      </c>
      <c r="J24" s="308">
        <v>1.1004324322E10</v>
      </c>
      <c r="K24" s="308" t="s">
        <v>671</v>
      </c>
      <c r="L24" s="310" t="s">
        <v>695</v>
      </c>
      <c r="M24" s="310" t="s">
        <v>696</v>
      </c>
      <c r="N24" s="314"/>
      <c r="O24" s="314"/>
      <c r="P24" s="314"/>
      <c r="Q24" s="314"/>
      <c r="R24" s="314"/>
      <c r="S24" s="314"/>
      <c r="T24" s="314"/>
      <c r="U24" s="314"/>
    </row>
    <row r="25" ht="15.75" customHeight="1">
      <c r="A25" s="304"/>
      <c r="B25" s="305"/>
      <c r="C25" s="306">
        <v>8.55256574E9</v>
      </c>
      <c r="D25" s="307" t="s">
        <v>697</v>
      </c>
      <c r="E25" s="255">
        <v>9.89518094E8</v>
      </c>
      <c r="F25" s="308" t="s">
        <v>698</v>
      </c>
      <c r="G25" s="308">
        <v>2.2196000548E10</v>
      </c>
      <c r="H25" s="309">
        <v>44418.0</v>
      </c>
      <c r="I25" s="308" t="s">
        <v>624</v>
      </c>
      <c r="J25" s="315">
        <v>1.9033420247016E13</v>
      </c>
      <c r="K25" s="308" t="s">
        <v>699</v>
      </c>
      <c r="L25" s="310" t="s">
        <v>700</v>
      </c>
      <c r="M25" s="310" t="s">
        <v>696</v>
      </c>
      <c r="N25" s="314"/>
      <c r="O25" s="314"/>
      <c r="P25" s="314"/>
      <c r="Q25" s="314"/>
      <c r="R25" s="314"/>
      <c r="S25" s="314"/>
      <c r="T25" s="314"/>
      <c r="U25" s="314"/>
    </row>
    <row r="26" ht="15.75" customHeight="1">
      <c r="A26" s="285" t="s">
        <v>701</v>
      </c>
      <c r="B26" s="286">
        <v>17.0</v>
      </c>
      <c r="C26" s="287">
        <v>8.816975855E9</v>
      </c>
      <c r="D26" s="288" t="s">
        <v>702</v>
      </c>
      <c r="E26" s="289">
        <v>3.35235624E8</v>
      </c>
      <c r="F26" s="289" t="s">
        <v>703</v>
      </c>
      <c r="G26" s="289">
        <v>3.6301012528E10</v>
      </c>
      <c r="H26" s="290">
        <v>44711.0</v>
      </c>
      <c r="I26" s="289" t="s">
        <v>643</v>
      </c>
      <c r="J26" s="289">
        <v>2.890289423E9</v>
      </c>
      <c r="K26" s="289" t="s">
        <v>659</v>
      </c>
      <c r="L26" s="291"/>
      <c r="M26" s="291"/>
      <c r="N26" s="274"/>
      <c r="O26" s="274"/>
      <c r="P26" s="274"/>
      <c r="Q26" s="274"/>
      <c r="R26" s="274"/>
      <c r="S26" s="274"/>
      <c r="T26" s="274"/>
      <c r="U26" s="274"/>
    </row>
    <row r="27" ht="15.75" customHeight="1">
      <c r="A27" s="285" t="s">
        <v>704</v>
      </c>
      <c r="B27" s="286">
        <v>18.0</v>
      </c>
      <c r="C27" s="287">
        <v>8.007529661E9</v>
      </c>
      <c r="D27" s="288" t="s">
        <v>705</v>
      </c>
      <c r="E27" s="289">
        <v>9.09690838E8</v>
      </c>
      <c r="F27" s="289" t="s">
        <v>706</v>
      </c>
      <c r="G27" s="289">
        <v>7.9186008604E10</v>
      </c>
      <c r="H27" s="290">
        <v>44309.0</v>
      </c>
      <c r="I27" s="289" t="s">
        <v>624</v>
      </c>
      <c r="J27" s="289">
        <v>6.011927948E10</v>
      </c>
      <c r="K27" s="289" t="s">
        <v>707</v>
      </c>
      <c r="L27" s="291"/>
      <c r="M27" s="291"/>
      <c r="N27" s="274"/>
      <c r="O27" s="274"/>
      <c r="P27" s="274"/>
      <c r="Q27" s="274"/>
      <c r="R27" s="274"/>
      <c r="S27" s="274"/>
      <c r="T27" s="274"/>
      <c r="U27" s="274"/>
    </row>
    <row r="28" ht="15.75" customHeight="1">
      <c r="A28" s="285" t="s">
        <v>708</v>
      </c>
      <c r="B28" s="286">
        <v>19.0</v>
      </c>
      <c r="C28" s="287">
        <v>8.753839783E9</v>
      </c>
      <c r="D28" s="288" t="s">
        <v>709</v>
      </c>
      <c r="E28" s="263">
        <v>9.47876863E8</v>
      </c>
      <c r="F28" s="289" t="s">
        <v>710</v>
      </c>
      <c r="G28" s="289">
        <v>9.1200019545E10</v>
      </c>
      <c r="H28" s="316">
        <v>44518.0</v>
      </c>
      <c r="I28" s="289" t="s">
        <v>624</v>
      </c>
      <c r="J28" s="289">
        <v>6.421215046625E12</v>
      </c>
      <c r="K28" s="289" t="s">
        <v>651</v>
      </c>
      <c r="L28" s="291"/>
      <c r="M28" s="291"/>
      <c r="N28" s="274"/>
      <c r="O28" s="274"/>
      <c r="P28" s="274"/>
      <c r="Q28" s="274"/>
      <c r="R28" s="274"/>
      <c r="S28" s="274"/>
      <c r="T28" s="274"/>
      <c r="U28" s="274"/>
    </row>
    <row r="29" ht="15.75" customHeight="1">
      <c r="A29" s="285" t="s">
        <v>711</v>
      </c>
      <c r="B29" s="286">
        <v>20.0</v>
      </c>
      <c r="C29" s="301">
        <v>8.457105454E9</v>
      </c>
      <c r="D29" s="288" t="s">
        <v>712</v>
      </c>
      <c r="E29" s="263">
        <v>3.89922062E8</v>
      </c>
      <c r="F29" s="289" t="s">
        <v>713</v>
      </c>
      <c r="G29" s="289">
        <v>3.6190012938E10</v>
      </c>
      <c r="H29" s="289" t="s">
        <v>667</v>
      </c>
      <c r="I29" s="289" t="s">
        <v>624</v>
      </c>
      <c r="J29" s="289">
        <v>1.9021166536012E13</v>
      </c>
      <c r="K29" s="289" t="s">
        <v>714</v>
      </c>
      <c r="L29" s="291"/>
      <c r="M29" s="291"/>
      <c r="N29" s="274"/>
      <c r="O29" s="274"/>
      <c r="P29" s="274"/>
      <c r="Q29" s="274"/>
      <c r="R29" s="274"/>
      <c r="S29" s="274"/>
      <c r="T29" s="274"/>
      <c r="U29" s="274"/>
    </row>
    <row r="30" ht="15.75" customHeight="1">
      <c r="A30" s="285" t="s">
        <v>715</v>
      </c>
      <c r="B30" s="286">
        <v>21.0</v>
      </c>
      <c r="C30" s="287">
        <v>8.840715382E9</v>
      </c>
      <c r="D30" s="288" t="s">
        <v>716</v>
      </c>
      <c r="E30" s="263">
        <v>3.98860962E8</v>
      </c>
      <c r="F30" s="289" t="s">
        <v>717</v>
      </c>
      <c r="G30" s="289">
        <v>3.4301001409E10</v>
      </c>
      <c r="H30" s="290">
        <v>44431.0</v>
      </c>
      <c r="I30" s="289" t="s">
        <v>624</v>
      </c>
      <c r="J30" s="289">
        <v>1.9033976562018E13</v>
      </c>
      <c r="K30" s="289" t="s">
        <v>699</v>
      </c>
      <c r="L30" s="291"/>
      <c r="M30" s="291"/>
      <c r="N30" s="274"/>
      <c r="O30" s="274"/>
      <c r="P30" s="274"/>
      <c r="Q30" s="274"/>
      <c r="R30" s="274"/>
      <c r="S30" s="274"/>
      <c r="T30" s="274"/>
      <c r="U30" s="274"/>
    </row>
    <row r="31" ht="15.75" customHeight="1">
      <c r="A31" s="285" t="s">
        <v>718</v>
      </c>
      <c r="B31" s="286">
        <v>22.0</v>
      </c>
      <c r="C31" s="287">
        <v>4.600474834E9</v>
      </c>
      <c r="D31" s="288" t="s">
        <v>461</v>
      </c>
      <c r="E31" s="289">
        <v>9.12866617E8</v>
      </c>
      <c r="F31" s="289" t="s">
        <v>719</v>
      </c>
      <c r="G31" s="289">
        <v>1.176045866E9</v>
      </c>
      <c r="H31" s="290">
        <v>44439.0</v>
      </c>
      <c r="I31" s="289" t="s">
        <v>624</v>
      </c>
      <c r="J31" s="289">
        <v>3.900137992E9</v>
      </c>
      <c r="K31" s="289" t="s">
        <v>659</v>
      </c>
      <c r="L31" s="291"/>
      <c r="M31" s="291"/>
      <c r="N31" s="274"/>
      <c r="O31" s="274"/>
      <c r="P31" s="274"/>
      <c r="Q31" s="274"/>
      <c r="R31" s="274"/>
      <c r="S31" s="274"/>
      <c r="T31" s="274"/>
      <c r="U31" s="274"/>
    </row>
    <row r="32" ht="15.75" customHeight="1">
      <c r="A32" s="285" t="s">
        <v>720</v>
      </c>
      <c r="B32" s="286">
        <v>23.0</v>
      </c>
      <c r="C32" s="287">
        <v>8.442835313E9</v>
      </c>
      <c r="D32" s="288" t="s">
        <v>404</v>
      </c>
      <c r="E32" s="289">
        <v>3.85128999E8</v>
      </c>
      <c r="F32" s="289" t="s">
        <v>721</v>
      </c>
      <c r="G32" s="289">
        <v>3.182617E7</v>
      </c>
      <c r="H32" s="290">
        <v>40212.0</v>
      </c>
      <c r="I32" s="289" t="s">
        <v>722</v>
      </c>
      <c r="J32" s="289">
        <v>2.170176779E9</v>
      </c>
      <c r="K32" s="289" t="s">
        <v>723</v>
      </c>
      <c r="L32" s="291"/>
      <c r="M32" s="291"/>
      <c r="N32" s="274"/>
      <c r="O32" s="274"/>
      <c r="P32" s="274"/>
      <c r="Q32" s="274"/>
      <c r="R32" s="274"/>
      <c r="S32" s="274"/>
      <c r="T32" s="274"/>
      <c r="U32" s="274"/>
    </row>
    <row r="33" ht="15.75" customHeight="1">
      <c r="A33" s="285" t="s">
        <v>724</v>
      </c>
      <c r="B33" s="286">
        <v>24.0</v>
      </c>
      <c r="C33" s="287">
        <v>8.034053999E9</v>
      </c>
      <c r="D33" s="288" t="s">
        <v>441</v>
      </c>
      <c r="E33" s="289">
        <v>9.13187386E8</v>
      </c>
      <c r="F33" s="289" t="s">
        <v>725</v>
      </c>
      <c r="G33" s="289">
        <v>1.2162797E7</v>
      </c>
      <c r="H33" s="316">
        <v>40897.0</v>
      </c>
      <c r="I33" s="289" t="s">
        <v>726</v>
      </c>
      <c r="J33" s="289">
        <v>5.4315918E7</v>
      </c>
      <c r="K33" s="289" t="s">
        <v>727</v>
      </c>
      <c r="L33" s="291"/>
      <c r="M33" s="291"/>
      <c r="N33" s="274"/>
      <c r="O33" s="274"/>
      <c r="P33" s="274"/>
      <c r="Q33" s="274"/>
      <c r="R33" s="274"/>
      <c r="S33" s="274"/>
      <c r="T33" s="274"/>
      <c r="U33" s="274"/>
    </row>
    <row r="34" ht="15.75" customHeight="1">
      <c r="A34" s="285" t="s">
        <v>728</v>
      </c>
      <c r="B34" s="286">
        <v>25.0</v>
      </c>
      <c r="C34" s="287">
        <v>8.396184537E9</v>
      </c>
      <c r="D34" s="288" t="s">
        <v>457</v>
      </c>
      <c r="E34" s="289">
        <v>3.76932196E8</v>
      </c>
      <c r="F34" s="289" t="s">
        <v>729</v>
      </c>
      <c r="G34" s="289">
        <v>4.2191000127E10</v>
      </c>
      <c r="H34" s="290">
        <v>42562.0</v>
      </c>
      <c r="I34" s="289" t="s">
        <v>633</v>
      </c>
      <c r="J34" s="289">
        <v>1.903414556401E13</v>
      </c>
      <c r="K34" s="289" t="s">
        <v>730</v>
      </c>
      <c r="L34" s="291"/>
      <c r="M34" s="291"/>
      <c r="N34" s="274"/>
      <c r="O34" s="274"/>
      <c r="P34" s="274"/>
      <c r="Q34" s="274"/>
      <c r="R34" s="274"/>
      <c r="S34" s="274"/>
      <c r="T34" s="274"/>
      <c r="U34" s="274"/>
    </row>
    <row r="35" ht="15.75" customHeight="1">
      <c r="A35" s="285" t="s">
        <v>731</v>
      </c>
      <c r="B35" s="286">
        <v>26.0</v>
      </c>
      <c r="C35" s="317">
        <v>8.686921662E9</v>
      </c>
      <c r="D35" s="288" t="s">
        <v>732</v>
      </c>
      <c r="E35" s="303" t="s">
        <v>733</v>
      </c>
      <c r="F35" s="289" t="s">
        <v>734</v>
      </c>
      <c r="G35" s="289">
        <v>5.4083009159E10</v>
      </c>
      <c r="H35" s="290">
        <v>44502.0</v>
      </c>
      <c r="I35" s="289" t="s">
        <v>624</v>
      </c>
      <c r="J35" s="289">
        <v>838356.0</v>
      </c>
      <c r="K35" s="289" t="s">
        <v>735</v>
      </c>
      <c r="L35" s="291"/>
      <c r="M35" s="291"/>
      <c r="N35" s="274"/>
      <c r="O35" s="274"/>
      <c r="P35" s="274"/>
      <c r="Q35" s="274"/>
      <c r="R35" s="274"/>
      <c r="S35" s="274"/>
      <c r="T35" s="274"/>
      <c r="U35" s="274"/>
    </row>
    <row r="36" ht="15.75" customHeight="1">
      <c r="A36" s="285" t="s">
        <v>736</v>
      </c>
      <c r="B36" s="286">
        <v>27.0</v>
      </c>
      <c r="C36" s="287">
        <v>8.801736678E9</v>
      </c>
      <c r="D36" s="288" t="s">
        <v>737</v>
      </c>
      <c r="E36" s="263">
        <v>3.358008E8</v>
      </c>
      <c r="F36" s="289" t="s">
        <v>738</v>
      </c>
      <c r="G36" s="289">
        <v>1.5184001563E10</v>
      </c>
      <c r="H36" s="290">
        <v>44296.0</v>
      </c>
      <c r="I36" s="289" t="s">
        <v>624</v>
      </c>
      <c r="J36" s="289">
        <v>3.358008E8</v>
      </c>
      <c r="K36" s="289" t="s">
        <v>739</v>
      </c>
      <c r="L36" s="291"/>
      <c r="M36" s="291"/>
      <c r="N36" s="274"/>
      <c r="O36" s="274"/>
      <c r="P36" s="274"/>
      <c r="Q36" s="274"/>
      <c r="R36" s="274"/>
      <c r="S36" s="274"/>
      <c r="T36" s="274"/>
      <c r="U36" s="274"/>
    </row>
    <row r="37" ht="15.75" customHeight="1">
      <c r="A37" s="285" t="s">
        <v>740</v>
      </c>
      <c r="B37" s="286">
        <v>28.0</v>
      </c>
      <c r="C37" s="287">
        <v>1.801754466E9</v>
      </c>
      <c r="D37" s="288" t="s">
        <v>496</v>
      </c>
      <c r="E37" s="303" t="s">
        <v>741</v>
      </c>
      <c r="F37" s="289" t="s">
        <v>742</v>
      </c>
      <c r="G37" s="289">
        <v>9.288011658E9</v>
      </c>
      <c r="H37" s="290">
        <v>44326.0</v>
      </c>
      <c r="I37" s="289" t="s">
        <v>624</v>
      </c>
      <c r="J37" s="289">
        <v>118119.0</v>
      </c>
      <c r="K37" s="289" t="s">
        <v>743</v>
      </c>
      <c r="L37" s="291"/>
      <c r="M37" s="291"/>
      <c r="N37" s="274"/>
      <c r="O37" s="274"/>
      <c r="P37" s="274"/>
      <c r="Q37" s="274"/>
      <c r="R37" s="274"/>
      <c r="S37" s="274"/>
      <c r="T37" s="274"/>
      <c r="U37" s="274"/>
    </row>
    <row r="38" ht="15.75" customHeight="1">
      <c r="A38" s="285" t="s">
        <v>744</v>
      </c>
      <c r="B38" s="286">
        <v>29.0</v>
      </c>
      <c r="C38" s="287">
        <v>8.110544543E9</v>
      </c>
      <c r="D38" s="288" t="s">
        <v>479</v>
      </c>
      <c r="E38" s="289" t="s">
        <v>745</v>
      </c>
      <c r="F38" s="289" t="s">
        <v>746</v>
      </c>
      <c r="G38" s="289">
        <v>1.9188008479E10</v>
      </c>
      <c r="H38" s="290">
        <v>44467.0</v>
      </c>
      <c r="I38" s="289" t="s">
        <v>747</v>
      </c>
      <c r="J38" s="289">
        <v>8.500215030992E12</v>
      </c>
      <c r="K38" s="289" t="s">
        <v>748</v>
      </c>
      <c r="L38" s="291"/>
      <c r="M38" s="291"/>
      <c r="N38" s="274"/>
      <c r="O38" s="274"/>
      <c r="P38" s="274"/>
      <c r="Q38" s="274"/>
      <c r="R38" s="274"/>
      <c r="S38" s="274"/>
      <c r="T38" s="274"/>
      <c r="U38" s="274"/>
    </row>
    <row r="39" ht="15.75" customHeight="1">
      <c r="A39" s="285" t="s">
        <v>749</v>
      </c>
      <c r="B39" s="286">
        <v>30.0</v>
      </c>
      <c r="C39" s="287">
        <v>8.043304889E9</v>
      </c>
      <c r="D39" s="288" t="s">
        <v>750</v>
      </c>
      <c r="E39" s="303" t="s">
        <v>751</v>
      </c>
      <c r="F39" s="289" t="s">
        <v>752</v>
      </c>
      <c r="G39" s="289">
        <v>1.9187002471E10</v>
      </c>
      <c r="H39" s="290">
        <v>44302.0</v>
      </c>
      <c r="I39" s="289" t="s">
        <v>624</v>
      </c>
      <c r="J39" s="289">
        <v>8.500215007217E12</v>
      </c>
      <c r="K39" s="289" t="s">
        <v>753</v>
      </c>
      <c r="L39" s="291"/>
      <c r="M39" s="291"/>
      <c r="N39" s="274"/>
      <c r="O39" s="274"/>
      <c r="P39" s="274"/>
      <c r="Q39" s="274"/>
      <c r="R39" s="274"/>
      <c r="S39" s="274"/>
      <c r="T39" s="274"/>
      <c r="U39" s="274"/>
    </row>
    <row r="40" ht="15.75" customHeight="1">
      <c r="A40" s="285" t="s">
        <v>754</v>
      </c>
      <c r="B40" s="286">
        <v>31.0</v>
      </c>
      <c r="C40" s="287">
        <v>8.695299568E9</v>
      </c>
      <c r="D40" s="288" t="s">
        <v>755</v>
      </c>
      <c r="E40" s="289">
        <v>3.75493817E8</v>
      </c>
      <c r="F40" s="263" t="s">
        <v>756</v>
      </c>
      <c r="G40" s="289">
        <v>3.0302005677E10</v>
      </c>
      <c r="H40" s="290">
        <v>44347.0</v>
      </c>
      <c r="I40" s="289" t="s">
        <v>624</v>
      </c>
      <c r="J40" s="289">
        <v>2.22416141E9</v>
      </c>
      <c r="K40" s="289" t="s">
        <v>659</v>
      </c>
      <c r="L40" s="291"/>
      <c r="M40" s="291"/>
      <c r="N40" s="274"/>
      <c r="O40" s="274"/>
      <c r="P40" s="274"/>
      <c r="Q40" s="274"/>
      <c r="R40" s="274"/>
      <c r="S40" s="274"/>
      <c r="T40" s="274"/>
      <c r="U40" s="274"/>
    </row>
    <row r="41" ht="15.75" customHeight="1">
      <c r="A41" s="285" t="s">
        <v>757</v>
      </c>
      <c r="B41" s="286">
        <v>32.0</v>
      </c>
      <c r="C41" s="287">
        <v>8.839802217E9</v>
      </c>
      <c r="D41" s="288" t="s">
        <v>758</v>
      </c>
      <c r="E41" s="289">
        <v>3.52652796E8</v>
      </c>
      <c r="F41" s="289" t="s">
        <v>759</v>
      </c>
      <c r="G41" s="289">
        <v>3.0099001714E10</v>
      </c>
      <c r="H41" s="290">
        <v>44375.0</v>
      </c>
      <c r="I41" s="289" t="s">
        <v>643</v>
      </c>
      <c r="J41" s="289">
        <v>1.600352178E9</v>
      </c>
      <c r="K41" s="289" t="s">
        <v>659</v>
      </c>
      <c r="L41" s="291"/>
      <c r="M41" s="291"/>
      <c r="N41" s="274"/>
      <c r="O41" s="274"/>
      <c r="P41" s="274"/>
      <c r="Q41" s="274"/>
      <c r="R41" s="274"/>
      <c r="S41" s="274"/>
      <c r="T41" s="274"/>
      <c r="U41" s="274"/>
    </row>
    <row r="42" ht="15.75" customHeight="1">
      <c r="A42" s="285" t="s">
        <v>760</v>
      </c>
      <c r="B42" s="286">
        <v>33.0</v>
      </c>
      <c r="C42" s="287">
        <v>8.077346358E9</v>
      </c>
      <c r="D42" s="288" t="s">
        <v>761</v>
      </c>
      <c r="E42" s="289">
        <v>9.85033568E8</v>
      </c>
      <c r="F42" s="289" t="s">
        <v>762</v>
      </c>
      <c r="G42" s="289">
        <v>3.3085003035E10</v>
      </c>
      <c r="H42" s="290">
        <v>42772.0</v>
      </c>
      <c r="I42" s="289" t="s">
        <v>763</v>
      </c>
      <c r="J42" s="301">
        <v>1.98518099999E11</v>
      </c>
      <c r="K42" s="301" t="s">
        <v>663</v>
      </c>
      <c r="L42" s="291"/>
      <c r="M42" s="291"/>
      <c r="N42" s="274"/>
      <c r="O42" s="274"/>
      <c r="P42" s="274"/>
      <c r="Q42" s="274"/>
      <c r="R42" s="274"/>
      <c r="S42" s="274"/>
      <c r="T42" s="274"/>
      <c r="U42" s="274"/>
    </row>
    <row r="43" ht="15.75" customHeight="1">
      <c r="A43" s="285" t="s">
        <v>764</v>
      </c>
      <c r="B43" s="286">
        <v>34.0</v>
      </c>
      <c r="C43" s="287">
        <v>8.882120267E9</v>
      </c>
      <c r="D43" s="288" t="s">
        <v>448</v>
      </c>
      <c r="E43" s="289">
        <v>3.48093368E8</v>
      </c>
      <c r="F43" s="289" t="s">
        <v>765</v>
      </c>
      <c r="G43" s="289">
        <v>3.0303008945E10</v>
      </c>
      <c r="H43" s="290">
        <v>43997.0</v>
      </c>
      <c r="I43" s="289" t="s">
        <v>624</v>
      </c>
      <c r="J43" s="289">
        <v>3.32268513E8</v>
      </c>
      <c r="K43" s="289" t="s">
        <v>766</v>
      </c>
      <c r="L43" s="291"/>
      <c r="M43" s="291"/>
      <c r="N43" s="274"/>
      <c r="O43" s="274"/>
      <c r="P43" s="274"/>
      <c r="Q43" s="274"/>
      <c r="R43" s="274"/>
      <c r="S43" s="274"/>
      <c r="T43" s="274"/>
      <c r="U43" s="274"/>
    </row>
    <row r="44" ht="15.75" customHeight="1">
      <c r="A44" s="285" t="s">
        <v>767</v>
      </c>
      <c r="B44" s="286">
        <v>35.0</v>
      </c>
      <c r="C44" s="287">
        <v>8.443577376E9</v>
      </c>
      <c r="D44" s="288" t="s">
        <v>453</v>
      </c>
      <c r="E44" s="289">
        <v>9.69017654E8</v>
      </c>
      <c r="F44" s="289" t="s">
        <v>768</v>
      </c>
      <c r="G44" s="289">
        <v>7.5093015013E10</v>
      </c>
      <c r="H44" s="290">
        <v>44792.0</v>
      </c>
      <c r="I44" s="289" t="s">
        <v>624</v>
      </c>
      <c r="J44" s="289">
        <v>7.200138121008E12</v>
      </c>
      <c r="K44" s="289" t="s">
        <v>769</v>
      </c>
      <c r="L44" s="291"/>
      <c r="M44" s="291"/>
      <c r="N44" s="274"/>
      <c r="O44" s="274"/>
      <c r="P44" s="274"/>
      <c r="Q44" s="274"/>
      <c r="R44" s="274"/>
      <c r="S44" s="274"/>
      <c r="T44" s="274"/>
      <c r="U44" s="274"/>
    </row>
    <row r="45" ht="15.75" customHeight="1">
      <c r="A45" s="318" t="s">
        <v>770</v>
      </c>
      <c r="B45" s="319">
        <v>36.0</v>
      </c>
      <c r="C45" s="320">
        <v>0.0</v>
      </c>
      <c r="D45" s="321" t="s">
        <v>771</v>
      </c>
      <c r="E45" s="321">
        <v>9.82404515E8</v>
      </c>
      <c r="F45" s="321" t="s">
        <v>772</v>
      </c>
      <c r="G45" s="321">
        <v>1.9159005343E10</v>
      </c>
      <c r="H45" s="322">
        <v>44419.0</v>
      </c>
      <c r="I45" s="321" t="s">
        <v>643</v>
      </c>
      <c r="J45" s="321">
        <v>3.900158382E9</v>
      </c>
      <c r="K45" s="321" t="s">
        <v>659</v>
      </c>
      <c r="L45" s="323" t="s">
        <v>773</v>
      </c>
      <c r="M45" s="324" t="s">
        <v>774</v>
      </c>
      <c r="N45" s="325"/>
      <c r="O45" s="325"/>
      <c r="P45" s="325"/>
      <c r="Q45" s="325"/>
      <c r="R45" s="325"/>
      <c r="S45" s="325"/>
      <c r="T45" s="325"/>
      <c r="U45" s="325"/>
    </row>
    <row r="46" ht="54.0" customHeight="1">
      <c r="A46" s="285" t="s">
        <v>775</v>
      </c>
      <c r="B46" s="286">
        <v>37.0</v>
      </c>
      <c r="C46" s="287">
        <v>8.754082954E9</v>
      </c>
      <c r="D46" s="288" t="s">
        <v>776</v>
      </c>
      <c r="E46" s="289">
        <v>9.61249868E8</v>
      </c>
      <c r="F46" s="289" t="s">
        <v>777</v>
      </c>
      <c r="G46" s="303" t="s">
        <v>778</v>
      </c>
      <c r="H46" s="303" t="s">
        <v>779</v>
      </c>
      <c r="I46" s="289" t="s">
        <v>624</v>
      </c>
      <c r="J46" s="289">
        <v>3.900837609E9</v>
      </c>
      <c r="K46" s="289" t="s">
        <v>659</v>
      </c>
      <c r="L46" s="291"/>
      <c r="M46" s="291"/>
      <c r="N46" s="274"/>
      <c r="O46" s="274"/>
      <c r="P46" s="274"/>
      <c r="Q46" s="274"/>
      <c r="R46" s="274"/>
      <c r="S46" s="274"/>
      <c r="T46" s="274"/>
      <c r="U46" s="274"/>
    </row>
    <row r="47" ht="15.75" customHeight="1">
      <c r="A47" s="326" t="s">
        <v>780</v>
      </c>
      <c r="B47" s="327">
        <v>38.0</v>
      </c>
      <c r="C47" s="328">
        <v>8.830063917E9</v>
      </c>
      <c r="D47" s="329" t="s">
        <v>781</v>
      </c>
      <c r="E47" s="313">
        <v>3.59635195E8</v>
      </c>
      <c r="F47" s="313" t="s">
        <v>782</v>
      </c>
      <c r="G47" s="313">
        <v>1.9099003847E10</v>
      </c>
      <c r="H47" s="330">
        <v>45102.0</v>
      </c>
      <c r="I47" s="313" t="s">
        <v>624</v>
      </c>
      <c r="J47" s="313">
        <v>1.9033316102014E13</v>
      </c>
      <c r="K47" s="313" t="s">
        <v>783</v>
      </c>
      <c r="L47" s="299"/>
      <c r="M47" s="299"/>
      <c r="N47" s="300"/>
      <c r="O47" s="300"/>
      <c r="P47" s="300"/>
      <c r="Q47" s="300"/>
      <c r="R47" s="300"/>
      <c r="S47" s="300"/>
      <c r="T47" s="300"/>
      <c r="U47" s="300"/>
    </row>
    <row r="48" ht="15.75" customHeight="1">
      <c r="A48" s="285" t="s">
        <v>784</v>
      </c>
      <c r="B48" s="286">
        <v>39.0</v>
      </c>
      <c r="C48" s="287">
        <v>8.002593543E9</v>
      </c>
      <c r="D48" s="288" t="s">
        <v>445</v>
      </c>
      <c r="E48" s="289">
        <v>9.45555549E8</v>
      </c>
      <c r="F48" s="289" t="s">
        <v>785</v>
      </c>
      <c r="G48" s="289">
        <v>3.7184006632E10</v>
      </c>
      <c r="H48" s="316">
        <v>44522.0</v>
      </c>
      <c r="I48" s="289" t="s">
        <v>624</v>
      </c>
      <c r="J48" s="289">
        <v>1.292165475001E13</v>
      </c>
      <c r="K48" s="289" t="s">
        <v>786</v>
      </c>
      <c r="L48" s="291"/>
      <c r="M48" s="291"/>
      <c r="N48" s="274"/>
      <c r="O48" s="274"/>
      <c r="P48" s="274"/>
      <c r="Q48" s="274"/>
      <c r="R48" s="274"/>
      <c r="S48" s="274"/>
      <c r="T48" s="274"/>
      <c r="U48" s="274"/>
    </row>
    <row r="49" ht="15.75" customHeight="1">
      <c r="A49" s="285" t="s">
        <v>787</v>
      </c>
      <c r="B49" s="286">
        <v>40.0</v>
      </c>
      <c r="C49" s="287">
        <v>8.642898624E9</v>
      </c>
      <c r="D49" s="288" t="s">
        <v>470</v>
      </c>
      <c r="E49" s="289">
        <v>3.56986835E8</v>
      </c>
      <c r="F49" s="289" t="s">
        <v>788</v>
      </c>
      <c r="G49" s="289">
        <v>1.090025122E9</v>
      </c>
      <c r="H49" s="290">
        <v>44401.0</v>
      </c>
      <c r="I49" s="289" t="s">
        <v>624</v>
      </c>
      <c r="J49" s="289">
        <v>1.00867775631E11</v>
      </c>
      <c r="K49" s="289" t="s">
        <v>663</v>
      </c>
      <c r="L49" s="291"/>
      <c r="M49" s="291"/>
      <c r="N49" s="274"/>
      <c r="O49" s="274"/>
      <c r="P49" s="274"/>
      <c r="Q49" s="274"/>
      <c r="R49" s="274"/>
      <c r="S49" s="274"/>
      <c r="T49" s="274"/>
      <c r="U49" s="274"/>
    </row>
    <row r="50" ht="15.75" customHeight="1">
      <c r="A50" s="285" t="s">
        <v>789</v>
      </c>
      <c r="B50" s="286">
        <v>41.0</v>
      </c>
      <c r="C50" s="287">
        <v>8.09002853E9</v>
      </c>
      <c r="D50" s="288" t="s">
        <v>435</v>
      </c>
      <c r="E50" s="289">
        <v>9.68513386E8</v>
      </c>
      <c r="F50" s="289" t="s">
        <v>790</v>
      </c>
      <c r="G50" s="289">
        <v>2.7088000186E10</v>
      </c>
      <c r="H50" s="316">
        <v>44879.0</v>
      </c>
      <c r="I50" s="289" t="s">
        <v>624</v>
      </c>
      <c r="J50" s="289">
        <v>9.113333333E9</v>
      </c>
      <c r="K50" s="289" t="s">
        <v>791</v>
      </c>
      <c r="L50" s="291"/>
      <c r="M50" s="291"/>
      <c r="N50" s="274"/>
      <c r="O50" s="274"/>
      <c r="P50" s="274"/>
      <c r="Q50" s="274"/>
      <c r="R50" s="274"/>
      <c r="S50" s="274"/>
      <c r="T50" s="274"/>
      <c r="U50" s="274"/>
    </row>
    <row r="51" ht="15.75" customHeight="1">
      <c r="A51" s="285" t="s">
        <v>792</v>
      </c>
      <c r="B51" s="286">
        <v>42.0</v>
      </c>
      <c r="C51" s="287">
        <v>8.712626521E9</v>
      </c>
      <c r="D51" s="288" t="s">
        <v>793</v>
      </c>
      <c r="E51" s="289">
        <v>9.86927707E8</v>
      </c>
      <c r="F51" s="289" t="s">
        <v>794</v>
      </c>
      <c r="G51" s="289">
        <v>3.6092008815E10</v>
      </c>
      <c r="H51" s="290">
        <v>43683.0</v>
      </c>
      <c r="I51" s="289" t="s">
        <v>624</v>
      </c>
      <c r="J51" s="289">
        <v>1.00005520171E11</v>
      </c>
      <c r="K51" s="289" t="s">
        <v>795</v>
      </c>
      <c r="L51" s="291"/>
      <c r="M51" s="291"/>
      <c r="N51" s="274"/>
      <c r="O51" s="274"/>
      <c r="P51" s="274"/>
      <c r="Q51" s="274"/>
      <c r="R51" s="274"/>
      <c r="S51" s="274"/>
      <c r="T51" s="274"/>
      <c r="U51" s="274"/>
    </row>
    <row r="52" ht="15.75" customHeight="1">
      <c r="A52" s="285" t="s">
        <v>796</v>
      </c>
      <c r="B52" s="286">
        <v>43.0</v>
      </c>
      <c r="C52" s="287">
        <v>1.08786822E8</v>
      </c>
      <c r="D52" s="288" t="s">
        <v>797</v>
      </c>
      <c r="E52" s="289">
        <v>9.42160786E8</v>
      </c>
      <c r="F52" s="289" t="s">
        <v>798</v>
      </c>
      <c r="G52" s="289">
        <v>1.0186000022E10</v>
      </c>
      <c r="H52" s="290">
        <v>42044.0</v>
      </c>
      <c r="I52" s="289" t="s">
        <v>633</v>
      </c>
      <c r="J52" s="289">
        <v>9.42160786E8</v>
      </c>
      <c r="K52" s="289" t="s">
        <v>799</v>
      </c>
      <c r="L52" s="291"/>
      <c r="M52" s="291"/>
      <c r="N52" s="274"/>
      <c r="O52" s="274"/>
      <c r="P52" s="274"/>
      <c r="Q52" s="274"/>
      <c r="R52" s="274"/>
      <c r="S52" s="274"/>
      <c r="T52" s="274"/>
      <c r="U52" s="274"/>
    </row>
    <row r="53" ht="15.75" customHeight="1">
      <c r="A53" s="285" t="s">
        <v>800</v>
      </c>
      <c r="B53" s="286">
        <v>44.0</v>
      </c>
      <c r="C53" s="287">
        <v>8.256123291E9</v>
      </c>
      <c r="D53" s="288" t="s">
        <v>801</v>
      </c>
      <c r="E53" s="289">
        <v>9.87069755E8</v>
      </c>
      <c r="F53" s="289" t="s">
        <v>802</v>
      </c>
      <c r="G53" s="289">
        <v>2.81088459E8</v>
      </c>
      <c r="H53" s="290">
        <v>41128.0</v>
      </c>
      <c r="I53" s="289" t="s">
        <v>803</v>
      </c>
      <c r="J53" s="289">
        <v>6.500168854E9</v>
      </c>
      <c r="K53" s="289" t="s">
        <v>804</v>
      </c>
      <c r="L53" s="291"/>
      <c r="M53" s="291"/>
      <c r="N53" s="274"/>
      <c r="O53" s="274"/>
      <c r="P53" s="274"/>
      <c r="Q53" s="274"/>
      <c r="R53" s="274"/>
      <c r="S53" s="274"/>
      <c r="T53" s="274"/>
      <c r="U53" s="274"/>
    </row>
    <row r="54" ht="15.75" customHeight="1">
      <c r="A54" s="285" t="s">
        <v>805</v>
      </c>
      <c r="B54" s="286">
        <v>45.0</v>
      </c>
      <c r="C54" s="287">
        <v>1.05843198E8</v>
      </c>
      <c r="D54" s="288" t="s">
        <v>806</v>
      </c>
      <c r="E54" s="289">
        <v>9.44555881E8</v>
      </c>
      <c r="F54" s="289" t="s">
        <v>807</v>
      </c>
      <c r="G54" s="289">
        <v>3.8185000466E10</v>
      </c>
      <c r="H54" s="290">
        <v>45506.0</v>
      </c>
      <c r="I54" s="289" t="s">
        <v>643</v>
      </c>
      <c r="J54" s="289">
        <v>9.44555881E8</v>
      </c>
      <c r="K54" s="289" t="s">
        <v>808</v>
      </c>
      <c r="L54" s="291"/>
      <c r="M54" s="291"/>
      <c r="N54" s="274"/>
      <c r="O54" s="274"/>
      <c r="P54" s="274"/>
      <c r="Q54" s="274"/>
      <c r="R54" s="274"/>
      <c r="S54" s="274"/>
      <c r="T54" s="274"/>
      <c r="U54" s="274"/>
    </row>
    <row r="55" ht="15.75" customHeight="1">
      <c r="A55" s="285" t="s">
        <v>809</v>
      </c>
      <c r="B55" s="286">
        <v>46.0</v>
      </c>
      <c r="C55" s="287">
        <v>8.712626747E9</v>
      </c>
      <c r="D55" s="288" t="s">
        <v>451</v>
      </c>
      <c r="E55" s="289">
        <v>9.89151599E8</v>
      </c>
      <c r="F55" s="289" t="s">
        <v>810</v>
      </c>
      <c r="G55" s="289">
        <v>1.25619431E8</v>
      </c>
      <c r="H55" s="290">
        <v>40609.0</v>
      </c>
      <c r="I55" s="289" t="s">
        <v>811</v>
      </c>
      <c r="J55" s="289">
        <v>1.02805585E8</v>
      </c>
      <c r="K55" s="289" t="s">
        <v>812</v>
      </c>
      <c r="L55" s="291"/>
      <c r="M55" s="291"/>
      <c r="N55" s="274"/>
      <c r="O55" s="274"/>
      <c r="P55" s="274"/>
      <c r="Q55" s="274"/>
      <c r="R55" s="274"/>
      <c r="S55" s="274"/>
      <c r="T55" s="274"/>
      <c r="U55" s="274"/>
    </row>
    <row r="56" ht="15.75" customHeight="1">
      <c r="A56" s="285" t="s">
        <v>813</v>
      </c>
      <c r="B56" s="286">
        <v>47.0</v>
      </c>
      <c r="C56" s="287">
        <v>8.047116734E9</v>
      </c>
      <c r="D56" s="288" t="s">
        <v>814</v>
      </c>
      <c r="E56" s="303" t="s">
        <v>815</v>
      </c>
      <c r="F56" s="289" t="s">
        <v>816</v>
      </c>
      <c r="G56" s="289">
        <v>1.82053825E8</v>
      </c>
      <c r="H56" s="290">
        <v>40761.0</v>
      </c>
      <c r="I56" s="289" t="s">
        <v>817</v>
      </c>
      <c r="J56" s="289">
        <v>1.01003589999E11</v>
      </c>
      <c r="K56" s="289" t="s">
        <v>818</v>
      </c>
      <c r="L56" s="291"/>
      <c r="M56" s="291"/>
      <c r="N56" s="274"/>
      <c r="O56" s="274"/>
      <c r="P56" s="274"/>
      <c r="Q56" s="274"/>
      <c r="R56" s="274"/>
      <c r="S56" s="274"/>
      <c r="T56" s="274"/>
      <c r="U56" s="274"/>
    </row>
    <row r="57" ht="15.75" customHeight="1">
      <c r="A57" s="285" t="s">
        <v>819</v>
      </c>
      <c r="B57" s="286">
        <v>48.0</v>
      </c>
      <c r="C57" s="287">
        <v>8.369527954E9</v>
      </c>
      <c r="D57" s="288" t="s">
        <v>820</v>
      </c>
      <c r="E57" s="289">
        <v>9.81055166E8</v>
      </c>
      <c r="F57" s="289" t="s">
        <v>821</v>
      </c>
      <c r="G57" s="289">
        <v>3.4189001798E10</v>
      </c>
      <c r="H57" s="290">
        <v>44310.0</v>
      </c>
      <c r="I57" s="289" t="s">
        <v>624</v>
      </c>
      <c r="J57" s="289">
        <v>1.80186668888E11</v>
      </c>
      <c r="K57" s="289" t="s">
        <v>822</v>
      </c>
      <c r="L57" s="291"/>
      <c r="M57" s="291"/>
      <c r="N57" s="274"/>
      <c r="O57" s="274"/>
      <c r="P57" s="274"/>
      <c r="Q57" s="274"/>
      <c r="R57" s="274"/>
      <c r="S57" s="274"/>
      <c r="T57" s="274"/>
      <c r="U57" s="274"/>
    </row>
    <row r="58" ht="15.75" customHeight="1">
      <c r="A58" s="285" t="s">
        <v>823</v>
      </c>
      <c r="B58" s="286">
        <v>49.0</v>
      </c>
      <c r="C58" s="287">
        <v>6.10027296E9</v>
      </c>
      <c r="D58" s="288" t="s">
        <v>824</v>
      </c>
      <c r="E58" s="289">
        <v>9.14546723E8</v>
      </c>
      <c r="F58" s="289" t="s">
        <v>825</v>
      </c>
      <c r="G58" s="289">
        <v>6.2083003075E10</v>
      </c>
      <c r="H58" s="316">
        <v>45278.0</v>
      </c>
      <c r="I58" s="289" t="s">
        <v>643</v>
      </c>
      <c r="J58" s="289">
        <v>7.61002340504E11</v>
      </c>
      <c r="K58" s="289" t="s">
        <v>826</v>
      </c>
      <c r="L58" s="291"/>
      <c r="M58" s="291"/>
      <c r="N58" s="274"/>
      <c r="O58" s="274"/>
      <c r="P58" s="274"/>
      <c r="Q58" s="274"/>
      <c r="R58" s="274"/>
      <c r="S58" s="274"/>
      <c r="T58" s="274"/>
      <c r="U58" s="274"/>
    </row>
    <row r="59" ht="15.75" customHeight="1">
      <c r="A59" s="285" t="s">
        <v>827</v>
      </c>
      <c r="B59" s="286">
        <v>50.0</v>
      </c>
      <c r="C59" s="287">
        <v>8.42966364E9</v>
      </c>
      <c r="D59" s="288" t="s">
        <v>828</v>
      </c>
      <c r="E59" s="263">
        <v>3.66219122E8</v>
      </c>
      <c r="F59" s="289" t="s">
        <v>829</v>
      </c>
      <c r="G59" s="289">
        <v>1.179019323E9</v>
      </c>
      <c r="H59" s="290">
        <v>44387.0</v>
      </c>
      <c r="I59" s="289" t="s">
        <v>624</v>
      </c>
      <c r="J59" s="289">
        <v>4.51000381192E11</v>
      </c>
      <c r="K59" s="289" t="s">
        <v>830</v>
      </c>
      <c r="L59" s="291"/>
      <c r="M59" s="291"/>
      <c r="N59" s="274"/>
      <c r="O59" s="274"/>
      <c r="P59" s="274"/>
      <c r="Q59" s="274"/>
      <c r="R59" s="274"/>
      <c r="S59" s="274"/>
      <c r="T59" s="274"/>
      <c r="U59" s="274"/>
    </row>
    <row r="60" ht="15.75" customHeight="1">
      <c r="A60" s="285" t="s">
        <v>831</v>
      </c>
      <c r="B60" s="286">
        <v>51.0</v>
      </c>
      <c r="C60" s="287">
        <v>8.712626514E9</v>
      </c>
      <c r="D60" s="288" t="s">
        <v>832</v>
      </c>
      <c r="E60" s="289">
        <v>3.87831218E8</v>
      </c>
      <c r="F60" s="289" t="s">
        <v>833</v>
      </c>
      <c r="G60" s="289">
        <v>1.32112069E8</v>
      </c>
      <c r="H60" s="290">
        <v>40434.0</v>
      </c>
      <c r="I60" s="289" t="s">
        <v>834</v>
      </c>
      <c r="J60" s="289">
        <v>1.9030693766998E13</v>
      </c>
      <c r="K60" s="289" t="s">
        <v>699</v>
      </c>
      <c r="L60" s="291"/>
      <c r="M60" s="291"/>
      <c r="N60" s="274"/>
      <c r="O60" s="274"/>
      <c r="P60" s="274"/>
      <c r="Q60" s="274"/>
      <c r="R60" s="274"/>
      <c r="S60" s="274"/>
      <c r="T60" s="274"/>
      <c r="U60" s="274"/>
    </row>
    <row r="61" ht="15.75" customHeight="1">
      <c r="A61" s="285" t="s">
        <v>835</v>
      </c>
      <c r="B61" s="286">
        <v>52.0</v>
      </c>
      <c r="C61" s="328">
        <v>8.322289493E9</v>
      </c>
      <c r="D61" s="288" t="s">
        <v>836</v>
      </c>
      <c r="E61" s="289">
        <v>9.06701551E8</v>
      </c>
      <c r="F61" s="289" t="s">
        <v>837</v>
      </c>
      <c r="G61" s="289">
        <v>7.2187005671E10</v>
      </c>
      <c r="H61" s="316">
        <v>44557.0</v>
      </c>
      <c r="I61" s="289" t="s">
        <v>643</v>
      </c>
      <c r="J61" s="289">
        <v>9.906701551E9</v>
      </c>
      <c r="K61" s="289" t="s">
        <v>671</v>
      </c>
      <c r="L61" s="291"/>
      <c r="M61" s="291"/>
      <c r="N61" s="274"/>
      <c r="O61" s="274"/>
      <c r="P61" s="274"/>
      <c r="Q61" s="274"/>
      <c r="R61" s="274"/>
      <c r="S61" s="274"/>
      <c r="T61" s="274"/>
      <c r="U61" s="274"/>
    </row>
    <row r="62" ht="15.75" customHeight="1">
      <c r="A62" s="326" t="s">
        <v>838</v>
      </c>
      <c r="B62" s="327">
        <v>53.0</v>
      </c>
      <c r="C62" s="328">
        <v>8.42872112E9</v>
      </c>
      <c r="D62" s="329" t="s">
        <v>463</v>
      </c>
      <c r="E62" s="313">
        <v>9.68646908E8</v>
      </c>
      <c r="F62" s="313" t="s">
        <v>839</v>
      </c>
      <c r="G62" s="313">
        <v>1.19105483E9</v>
      </c>
      <c r="H62" s="330">
        <v>44372.0</v>
      </c>
      <c r="I62" s="313" t="s">
        <v>840</v>
      </c>
      <c r="J62" s="313">
        <v>9.11888999999E11</v>
      </c>
      <c r="K62" s="313" t="s">
        <v>692</v>
      </c>
      <c r="L62" s="299"/>
      <c r="M62" s="299"/>
      <c r="N62" s="300"/>
      <c r="O62" s="300"/>
      <c r="P62" s="300"/>
      <c r="Q62" s="300"/>
      <c r="R62" s="300"/>
      <c r="S62" s="300"/>
      <c r="T62" s="300"/>
      <c r="U62" s="300"/>
    </row>
    <row r="63" ht="15.75" customHeight="1">
      <c r="A63" s="285" t="s">
        <v>841</v>
      </c>
      <c r="B63" s="286">
        <v>54.0</v>
      </c>
      <c r="C63" s="287">
        <v>8.815500312E9</v>
      </c>
      <c r="D63" s="288" t="s">
        <v>842</v>
      </c>
      <c r="E63" s="289">
        <v>9.12661002E8</v>
      </c>
      <c r="F63" s="289" t="s">
        <v>843</v>
      </c>
      <c r="G63" s="289">
        <v>1.7178000437E10</v>
      </c>
      <c r="H63" s="290">
        <v>44280.0</v>
      </c>
      <c r="I63" s="289" t="s">
        <v>643</v>
      </c>
      <c r="J63" s="289">
        <v>9.12661002E8</v>
      </c>
      <c r="K63" s="289" t="s">
        <v>844</v>
      </c>
      <c r="L63" s="291"/>
      <c r="M63" s="291"/>
      <c r="N63" s="274"/>
      <c r="O63" s="274"/>
      <c r="P63" s="274"/>
      <c r="Q63" s="274"/>
      <c r="R63" s="274"/>
      <c r="S63" s="274"/>
      <c r="T63" s="274"/>
      <c r="U63" s="274"/>
    </row>
    <row r="64" ht="15.75" customHeight="1">
      <c r="A64" s="285" t="s">
        <v>845</v>
      </c>
      <c r="B64" s="286">
        <v>55.0</v>
      </c>
      <c r="C64" s="287">
        <v>8.051228303E9</v>
      </c>
      <c r="D64" s="288" t="s">
        <v>846</v>
      </c>
      <c r="E64" s="289">
        <v>9.8985202E8</v>
      </c>
      <c r="F64" s="289" t="s">
        <v>847</v>
      </c>
      <c r="G64" s="289">
        <v>3.8181002426E10</v>
      </c>
      <c r="H64" s="290">
        <v>44311.0</v>
      </c>
      <c r="I64" s="289" t="s">
        <v>624</v>
      </c>
      <c r="J64" s="289">
        <v>3.8475967E7</v>
      </c>
      <c r="K64" s="289" t="s">
        <v>848</v>
      </c>
      <c r="L64" s="291"/>
      <c r="M64" s="291"/>
      <c r="N64" s="274"/>
      <c r="O64" s="274"/>
      <c r="P64" s="274"/>
      <c r="Q64" s="274"/>
      <c r="R64" s="274"/>
      <c r="S64" s="274"/>
      <c r="T64" s="274"/>
      <c r="U64" s="274"/>
    </row>
    <row r="65" ht="15.75" customHeight="1">
      <c r="A65" s="285" t="s">
        <v>849</v>
      </c>
      <c r="B65" s="286">
        <v>56.0</v>
      </c>
      <c r="C65" s="287">
        <v>8.202633095E9</v>
      </c>
      <c r="D65" s="288" t="s">
        <v>388</v>
      </c>
      <c r="E65" s="289">
        <v>3.63923279E8</v>
      </c>
      <c r="F65" s="289" t="s">
        <v>850</v>
      </c>
      <c r="G65" s="289">
        <v>4.0352073E7</v>
      </c>
      <c r="H65" s="290">
        <v>43507.0</v>
      </c>
      <c r="I65" s="289" t="s">
        <v>851</v>
      </c>
      <c r="J65" s="289">
        <v>2.1000274876E10</v>
      </c>
      <c r="K65" s="289" t="s">
        <v>852</v>
      </c>
      <c r="L65" s="291"/>
      <c r="M65" s="291"/>
      <c r="N65" s="274"/>
      <c r="O65" s="274"/>
      <c r="P65" s="274"/>
      <c r="Q65" s="274"/>
      <c r="R65" s="274"/>
      <c r="S65" s="274"/>
      <c r="T65" s="274"/>
      <c r="U65" s="274"/>
    </row>
    <row r="66" ht="15.75" customHeight="1">
      <c r="A66" s="285" t="s">
        <v>853</v>
      </c>
      <c r="B66" s="286">
        <v>57.0</v>
      </c>
      <c r="C66" s="287">
        <v>8.044568813E9</v>
      </c>
      <c r="D66" s="288" t="s">
        <v>854</v>
      </c>
      <c r="E66" s="289">
        <v>9.12668313E8</v>
      </c>
      <c r="F66" s="289" t="s">
        <v>855</v>
      </c>
      <c r="G66" s="289">
        <v>1.9180010027E10</v>
      </c>
      <c r="H66" s="290">
        <v>44467.0</v>
      </c>
      <c r="I66" s="289" t="s">
        <v>624</v>
      </c>
      <c r="J66" s="289">
        <v>8.500215032896E12</v>
      </c>
      <c r="K66" s="289" t="s">
        <v>651</v>
      </c>
      <c r="L66" s="291"/>
      <c r="M66" s="291"/>
      <c r="N66" s="274"/>
      <c r="O66" s="274"/>
      <c r="P66" s="274"/>
      <c r="Q66" s="274"/>
      <c r="R66" s="274"/>
      <c r="S66" s="274"/>
      <c r="T66" s="274"/>
      <c r="U66" s="274"/>
    </row>
    <row r="67" ht="15.75" customHeight="1">
      <c r="A67" s="285" t="s">
        <v>856</v>
      </c>
      <c r="B67" s="286">
        <v>58.0</v>
      </c>
      <c r="C67" s="287">
        <v>8.10032818E9</v>
      </c>
      <c r="D67" s="288" t="s">
        <v>857</v>
      </c>
      <c r="E67" s="289">
        <v>3.56074975E8</v>
      </c>
      <c r="F67" s="289" t="s">
        <v>858</v>
      </c>
      <c r="G67" s="289">
        <v>2.7188001249E10</v>
      </c>
      <c r="H67" s="290">
        <v>44245.0</v>
      </c>
      <c r="I67" s="289" t="s">
        <v>624</v>
      </c>
      <c r="J67" s="289">
        <v>2.604205203411E12</v>
      </c>
      <c r="K67" s="289" t="s">
        <v>651</v>
      </c>
      <c r="L67" s="291"/>
      <c r="M67" s="291"/>
      <c r="N67" s="274"/>
      <c r="O67" s="274"/>
      <c r="P67" s="274"/>
      <c r="Q67" s="274"/>
      <c r="R67" s="274"/>
      <c r="S67" s="274"/>
      <c r="T67" s="274"/>
      <c r="U67" s="274"/>
    </row>
    <row r="68" ht="15.75" customHeight="1">
      <c r="A68" s="285" t="s">
        <v>859</v>
      </c>
      <c r="B68" s="286">
        <v>59.0</v>
      </c>
      <c r="C68" s="287">
        <v>8.059471934E9</v>
      </c>
      <c r="D68" s="288" t="s">
        <v>860</v>
      </c>
      <c r="E68" s="289">
        <v>9.04628855E8</v>
      </c>
      <c r="F68" s="289" t="s">
        <v>861</v>
      </c>
      <c r="G68" s="289">
        <v>1.182052295E9</v>
      </c>
      <c r="H68" s="290">
        <v>45348.0</v>
      </c>
      <c r="I68" s="289" t="s">
        <v>624</v>
      </c>
      <c r="J68" s="289">
        <v>1.4021570918011E13</v>
      </c>
      <c r="K68" s="289" t="s">
        <v>862</v>
      </c>
      <c r="L68" s="291"/>
      <c r="M68" s="291"/>
      <c r="N68" s="274"/>
      <c r="O68" s="274"/>
      <c r="P68" s="274"/>
      <c r="Q68" s="274"/>
      <c r="R68" s="274"/>
      <c r="S68" s="274"/>
      <c r="T68" s="274"/>
      <c r="U68" s="274"/>
    </row>
    <row r="69" ht="15.75" customHeight="1">
      <c r="A69" s="285" t="s">
        <v>863</v>
      </c>
      <c r="B69" s="286">
        <v>60.0</v>
      </c>
      <c r="C69" s="287">
        <v>8.089489671E9</v>
      </c>
      <c r="D69" s="288" t="s">
        <v>409</v>
      </c>
      <c r="E69" s="289">
        <v>9.86921965E8</v>
      </c>
      <c r="F69" s="289" t="s">
        <v>864</v>
      </c>
      <c r="G69" s="289">
        <v>1.084019276E9</v>
      </c>
      <c r="H69" s="290">
        <v>44294.0</v>
      </c>
      <c r="I69" s="289" t="s">
        <v>624</v>
      </c>
      <c r="J69" s="289">
        <v>1.1004242303E10</v>
      </c>
      <c r="K69" s="289" t="s">
        <v>865</v>
      </c>
      <c r="L69" s="291"/>
      <c r="M69" s="291"/>
      <c r="N69" s="274"/>
      <c r="O69" s="274"/>
      <c r="P69" s="274"/>
      <c r="Q69" s="274"/>
      <c r="R69" s="274"/>
      <c r="S69" s="274"/>
      <c r="T69" s="274"/>
      <c r="U69" s="274"/>
    </row>
    <row r="70" ht="15.75" customHeight="1">
      <c r="A70" s="285" t="s">
        <v>866</v>
      </c>
      <c r="B70" s="286">
        <v>61.0</v>
      </c>
      <c r="C70" s="287">
        <v>8.351709689E9</v>
      </c>
      <c r="D70" s="288" t="s">
        <v>867</v>
      </c>
      <c r="E70" s="289">
        <v>9.38628683E8</v>
      </c>
      <c r="F70" s="289" t="s">
        <v>868</v>
      </c>
      <c r="G70" s="289">
        <v>3.3188000734E10</v>
      </c>
      <c r="H70" s="290">
        <v>44793.0</v>
      </c>
      <c r="I70" s="289" t="s">
        <v>624</v>
      </c>
      <c r="J70" s="289">
        <v>6.938628683E9</v>
      </c>
      <c r="K70" s="289" t="s">
        <v>699</v>
      </c>
      <c r="L70" s="291"/>
      <c r="M70" s="291"/>
      <c r="N70" s="274"/>
      <c r="O70" s="274"/>
      <c r="P70" s="274"/>
      <c r="Q70" s="274"/>
      <c r="R70" s="274"/>
      <c r="S70" s="274"/>
      <c r="T70" s="274"/>
      <c r="U70" s="274"/>
    </row>
    <row r="71" ht="15.75" customHeight="1">
      <c r="A71" s="285" t="s">
        <v>869</v>
      </c>
      <c r="B71" s="286">
        <v>62.0</v>
      </c>
      <c r="C71" s="287">
        <v>8.128027433E9</v>
      </c>
      <c r="D71" s="288" t="s">
        <v>432</v>
      </c>
      <c r="E71" s="289">
        <v>9.45887879E8</v>
      </c>
      <c r="F71" s="289" t="s">
        <v>870</v>
      </c>
      <c r="G71" s="289">
        <v>3.8086025402E10</v>
      </c>
      <c r="H71" s="316">
        <v>44883.0</v>
      </c>
      <c r="I71" s="289" t="s">
        <v>624</v>
      </c>
      <c r="J71" s="289">
        <v>1.3322635374019E13</v>
      </c>
      <c r="K71" s="289" t="s">
        <v>871</v>
      </c>
      <c r="L71" s="291"/>
      <c r="M71" s="291"/>
      <c r="N71" s="274"/>
      <c r="O71" s="274"/>
      <c r="P71" s="274"/>
      <c r="Q71" s="274"/>
      <c r="R71" s="274"/>
      <c r="S71" s="274"/>
      <c r="T71" s="274"/>
      <c r="U71" s="274"/>
    </row>
    <row r="72" ht="15.75" customHeight="1">
      <c r="A72" s="285" t="s">
        <v>872</v>
      </c>
      <c r="B72" s="286">
        <v>63.0</v>
      </c>
      <c r="C72" s="287">
        <v>8.324400323E9</v>
      </c>
      <c r="D72" s="288" t="s">
        <v>873</v>
      </c>
      <c r="E72" s="289">
        <v>8.26632096E8</v>
      </c>
      <c r="F72" s="289" t="s">
        <v>874</v>
      </c>
      <c r="G72" s="289">
        <v>3.508900476E10</v>
      </c>
      <c r="H72" s="290">
        <v>44315.0</v>
      </c>
      <c r="I72" s="289" t="s">
        <v>624</v>
      </c>
      <c r="J72" s="289">
        <v>1.9038861727015E13</v>
      </c>
      <c r="K72" s="289" t="s">
        <v>699</v>
      </c>
      <c r="L72" s="291"/>
      <c r="M72" s="291"/>
      <c r="N72" s="274"/>
      <c r="O72" s="274"/>
      <c r="P72" s="274"/>
      <c r="Q72" s="274"/>
      <c r="R72" s="274"/>
      <c r="S72" s="274"/>
      <c r="T72" s="274"/>
      <c r="U72" s="274"/>
    </row>
    <row r="73" ht="15.75" customHeight="1">
      <c r="A73" s="285" t="s">
        <v>875</v>
      </c>
      <c r="B73" s="286">
        <v>64.0</v>
      </c>
      <c r="C73" s="287">
        <v>8.882120193E9</v>
      </c>
      <c r="D73" s="288" t="s">
        <v>443</v>
      </c>
      <c r="E73" s="289">
        <v>9.66768112E8</v>
      </c>
      <c r="F73" s="289" t="s">
        <v>876</v>
      </c>
      <c r="G73" s="289">
        <v>2.2191010065E10</v>
      </c>
      <c r="H73" s="290">
        <v>44372.0</v>
      </c>
      <c r="I73" s="289" t="s">
        <v>624</v>
      </c>
      <c r="J73" s="289">
        <v>1.06880226222E11</v>
      </c>
      <c r="K73" s="289" t="s">
        <v>844</v>
      </c>
      <c r="L73" s="291"/>
      <c r="M73" s="291"/>
      <c r="N73" s="274"/>
      <c r="O73" s="274"/>
      <c r="P73" s="274"/>
      <c r="Q73" s="274"/>
      <c r="R73" s="274"/>
      <c r="S73" s="274"/>
      <c r="T73" s="274"/>
      <c r="U73" s="274"/>
    </row>
    <row r="74" ht="15.75" customHeight="1">
      <c r="A74" s="285" t="s">
        <v>877</v>
      </c>
      <c r="B74" s="286">
        <v>65.0</v>
      </c>
      <c r="C74" s="287">
        <v>8.03142543E9</v>
      </c>
      <c r="D74" s="288" t="s">
        <v>878</v>
      </c>
      <c r="E74" s="289">
        <v>8.03142543E9</v>
      </c>
      <c r="F74" s="289" t="s">
        <v>879</v>
      </c>
      <c r="G74" s="289">
        <v>2.6185000697E10</v>
      </c>
      <c r="H74" s="290">
        <v>44397.0</v>
      </c>
      <c r="I74" s="289" t="s">
        <v>624</v>
      </c>
      <c r="J74" s="289">
        <v>1.3322829137018E13</v>
      </c>
      <c r="K74" s="289" t="s">
        <v>699</v>
      </c>
      <c r="L74" s="291"/>
      <c r="M74" s="291"/>
      <c r="N74" s="274"/>
      <c r="O74" s="274"/>
      <c r="P74" s="274"/>
      <c r="Q74" s="274"/>
      <c r="R74" s="274"/>
      <c r="S74" s="274"/>
      <c r="T74" s="274"/>
      <c r="U74" s="274"/>
    </row>
    <row r="75" ht="15.75" customHeight="1">
      <c r="A75" s="285" t="s">
        <v>880</v>
      </c>
      <c r="B75" s="286">
        <v>66.0</v>
      </c>
      <c r="C75" s="287" t="s">
        <v>510</v>
      </c>
      <c r="D75" s="288" t="s">
        <v>599</v>
      </c>
      <c r="E75" s="289">
        <v>3.45441215E8</v>
      </c>
      <c r="F75" s="289" t="s">
        <v>881</v>
      </c>
      <c r="G75" s="289">
        <v>8.219200165E10</v>
      </c>
      <c r="H75" s="290">
        <v>44308.0</v>
      </c>
      <c r="I75" s="289" t="s">
        <v>624</v>
      </c>
      <c r="J75" s="289">
        <v>2887867.0</v>
      </c>
      <c r="K75" s="289" t="s">
        <v>735</v>
      </c>
      <c r="L75" s="291" t="s">
        <v>882</v>
      </c>
      <c r="M75" s="291" t="s">
        <v>883</v>
      </c>
      <c r="N75" s="274"/>
      <c r="O75" s="274"/>
      <c r="P75" s="274"/>
      <c r="Q75" s="274"/>
      <c r="R75" s="274"/>
      <c r="S75" s="274"/>
      <c r="T75" s="274"/>
      <c r="U75" s="274"/>
    </row>
    <row r="76" ht="15.75" customHeight="1">
      <c r="A76" s="285" t="s">
        <v>884</v>
      </c>
      <c r="B76" s="286">
        <v>67.0</v>
      </c>
      <c r="C76" s="287">
        <v>0.0</v>
      </c>
      <c r="D76" s="288" t="s">
        <v>885</v>
      </c>
      <c r="E76" s="289">
        <v>0.0</v>
      </c>
      <c r="F76" s="289">
        <v>0.0</v>
      </c>
      <c r="G76" s="289">
        <v>0.0</v>
      </c>
      <c r="H76" s="289">
        <v>0.0</v>
      </c>
      <c r="I76" s="289">
        <v>0.0</v>
      </c>
      <c r="J76" s="289">
        <v>0.0</v>
      </c>
      <c r="K76" s="289">
        <v>0.0</v>
      </c>
      <c r="L76" s="291" t="s">
        <v>886</v>
      </c>
      <c r="M76" s="291" t="s">
        <v>887</v>
      </c>
      <c r="N76" s="274"/>
      <c r="O76" s="274"/>
      <c r="P76" s="274"/>
      <c r="Q76" s="274"/>
      <c r="R76" s="274"/>
      <c r="S76" s="274"/>
      <c r="T76" s="274"/>
      <c r="U76" s="274"/>
    </row>
    <row r="77" ht="15.75" customHeight="1">
      <c r="A77" s="285" t="s">
        <v>888</v>
      </c>
      <c r="B77" s="286">
        <v>68.0</v>
      </c>
      <c r="C77" s="287">
        <v>8.09492123E9</v>
      </c>
      <c r="D77" s="288" t="s">
        <v>889</v>
      </c>
      <c r="E77" s="289">
        <v>9.86977809E8</v>
      </c>
      <c r="F77" s="289" t="s">
        <v>890</v>
      </c>
      <c r="G77" s="289">
        <v>7.9187014953E10</v>
      </c>
      <c r="H77" s="290">
        <v>44987.0</v>
      </c>
      <c r="I77" s="289" t="s">
        <v>624</v>
      </c>
      <c r="J77" s="289">
        <v>6.0173872898E10</v>
      </c>
      <c r="K77" s="289" t="s">
        <v>891</v>
      </c>
      <c r="L77" s="291"/>
      <c r="M77" s="291"/>
      <c r="N77" s="274"/>
      <c r="O77" s="274"/>
      <c r="P77" s="274"/>
      <c r="Q77" s="274"/>
      <c r="R77" s="274"/>
      <c r="S77" s="274"/>
      <c r="T77" s="274"/>
      <c r="U77" s="274"/>
    </row>
    <row r="78" ht="15.75" customHeight="1">
      <c r="A78" s="331"/>
      <c r="B78" s="332" t="s">
        <v>892</v>
      </c>
      <c r="C78" s="5"/>
      <c r="D78" s="5"/>
      <c r="E78" s="5"/>
      <c r="F78" s="5"/>
      <c r="G78" s="5"/>
      <c r="H78" s="5"/>
      <c r="I78" s="5"/>
      <c r="J78" s="5"/>
      <c r="K78" s="6"/>
      <c r="L78" s="291"/>
      <c r="M78" s="291"/>
      <c r="N78" s="274"/>
      <c r="O78" s="274"/>
      <c r="P78" s="274"/>
      <c r="Q78" s="274"/>
      <c r="R78" s="274"/>
      <c r="S78" s="274"/>
      <c r="T78" s="274"/>
      <c r="U78" s="274"/>
    </row>
    <row r="79" ht="15.75" customHeight="1">
      <c r="A79" s="272"/>
      <c r="B79" s="275"/>
      <c r="C79" s="272" t="s">
        <v>893</v>
      </c>
      <c r="D79" s="272" t="s">
        <v>894</v>
      </c>
      <c r="G79" s="272"/>
      <c r="H79" s="272"/>
      <c r="I79" s="272"/>
      <c r="J79" s="272"/>
      <c r="K79" s="275"/>
      <c r="L79" s="274"/>
      <c r="M79" s="274"/>
      <c r="N79" s="274"/>
      <c r="O79" s="274"/>
      <c r="P79" s="274"/>
      <c r="Q79" s="274"/>
      <c r="R79" s="274"/>
      <c r="S79" s="274"/>
      <c r="T79" s="274"/>
      <c r="U79" s="274"/>
    </row>
    <row r="80" ht="15.75" customHeight="1">
      <c r="A80" s="272"/>
      <c r="B80" s="275"/>
      <c r="C80" s="273"/>
      <c r="E80" s="272"/>
      <c r="F80" s="273"/>
      <c r="G80" s="272"/>
      <c r="H80" s="272"/>
      <c r="I80" s="273"/>
      <c r="J80" s="273"/>
      <c r="K80" s="275"/>
      <c r="L80" s="274"/>
      <c r="M80" s="274"/>
      <c r="N80" s="274"/>
      <c r="O80" s="274"/>
      <c r="P80" s="274"/>
      <c r="Q80" s="274"/>
      <c r="R80" s="274"/>
      <c r="S80" s="274"/>
      <c r="T80" s="274"/>
      <c r="U80" s="274"/>
    </row>
    <row r="81" ht="15.75" customHeight="1">
      <c r="A81" s="272"/>
      <c r="B81" s="275"/>
      <c r="C81" s="273" t="s">
        <v>895</v>
      </c>
      <c r="D81" s="333"/>
      <c r="E81" s="275"/>
      <c r="F81" s="333" t="s">
        <v>896</v>
      </c>
      <c r="G81" s="273"/>
      <c r="H81" s="273"/>
      <c r="I81" s="275"/>
      <c r="J81" s="273" t="s">
        <v>897</v>
      </c>
      <c r="L81" s="274"/>
      <c r="M81" s="274"/>
      <c r="N81" s="274"/>
      <c r="O81" s="274"/>
      <c r="P81" s="274"/>
      <c r="Q81" s="274"/>
      <c r="R81" s="274"/>
      <c r="S81" s="274"/>
      <c r="T81" s="274"/>
      <c r="U81" s="274"/>
    </row>
    <row r="82" ht="15.75" customHeight="1">
      <c r="A82" s="272"/>
      <c r="B82" s="275"/>
      <c r="C82" s="272"/>
      <c r="D82" s="272"/>
      <c r="E82" s="272"/>
      <c r="F82" s="272"/>
      <c r="G82" s="272"/>
      <c r="H82" s="272"/>
      <c r="I82" s="272"/>
      <c r="J82" s="272"/>
      <c r="K82" s="275"/>
      <c r="L82" s="274"/>
      <c r="M82" s="274"/>
      <c r="N82" s="274"/>
      <c r="O82" s="274"/>
      <c r="P82" s="274"/>
      <c r="Q82" s="274"/>
      <c r="R82" s="274"/>
      <c r="S82" s="274"/>
      <c r="T82" s="274"/>
      <c r="U82" s="274"/>
    </row>
    <row r="83" ht="15.75" customHeight="1">
      <c r="A83" s="272"/>
      <c r="B83" s="275"/>
      <c r="C83" s="272"/>
      <c r="D83" s="272"/>
      <c r="E83" s="272"/>
      <c r="F83" s="272"/>
      <c r="G83" s="272"/>
      <c r="H83" s="272"/>
      <c r="I83" s="272"/>
      <c r="J83" s="272"/>
      <c r="K83" s="275"/>
      <c r="L83" s="274"/>
      <c r="M83" s="274"/>
      <c r="N83" s="274"/>
      <c r="O83" s="274"/>
      <c r="P83" s="274"/>
      <c r="Q83" s="274"/>
      <c r="R83" s="274"/>
      <c r="S83" s="274"/>
      <c r="T83" s="274"/>
      <c r="U83" s="274"/>
    </row>
    <row r="84" ht="15.75" customHeight="1">
      <c r="A84" s="272"/>
      <c r="B84" s="275"/>
      <c r="C84" s="275"/>
      <c r="D84" s="334"/>
      <c r="E84" s="275"/>
      <c r="F84" s="334"/>
      <c r="G84" s="275"/>
      <c r="H84" s="275"/>
      <c r="I84" s="275"/>
      <c r="J84" s="275"/>
      <c r="K84" s="275"/>
      <c r="L84" s="274"/>
      <c r="M84" s="274"/>
      <c r="N84" s="274"/>
      <c r="O84" s="274"/>
      <c r="P84" s="274"/>
      <c r="Q84" s="274"/>
      <c r="R84" s="274"/>
      <c r="S84" s="274"/>
      <c r="T84" s="274"/>
      <c r="U84" s="274"/>
    </row>
    <row r="85" ht="15.75" customHeight="1">
      <c r="A85" s="272"/>
      <c r="B85" s="275"/>
      <c r="C85" s="275"/>
      <c r="D85" s="334"/>
      <c r="E85" s="275"/>
      <c r="F85" s="334"/>
      <c r="G85" s="275"/>
      <c r="H85" s="275"/>
      <c r="I85" s="275"/>
      <c r="J85" s="275"/>
      <c r="K85" s="275"/>
      <c r="L85" s="274"/>
      <c r="M85" s="274"/>
      <c r="N85" s="274"/>
      <c r="O85" s="274"/>
      <c r="P85" s="274"/>
      <c r="Q85" s="274"/>
      <c r="R85" s="274"/>
      <c r="S85" s="274"/>
      <c r="T85" s="274"/>
      <c r="U85" s="274"/>
    </row>
    <row r="86" ht="15.75" customHeight="1">
      <c r="A86" s="272"/>
      <c r="B86" s="275"/>
      <c r="C86" s="275"/>
      <c r="D86" s="334"/>
      <c r="E86" s="275"/>
      <c r="F86" s="334"/>
      <c r="G86" s="275"/>
      <c r="H86" s="275"/>
      <c r="I86" s="275"/>
      <c r="J86" s="275"/>
      <c r="K86" s="275"/>
      <c r="L86" s="274"/>
      <c r="M86" s="274"/>
      <c r="N86" s="274"/>
      <c r="O86" s="274"/>
      <c r="P86" s="274"/>
      <c r="Q86" s="274"/>
      <c r="R86" s="274"/>
      <c r="S86" s="274"/>
      <c r="T86" s="274"/>
      <c r="U86" s="274"/>
    </row>
    <row r="87" ht="15.75" customHeight="1">
      <c r="A87" s="272"/>
      <c r="B87" s="275"/>
      <c r="C87" s="273" t="s">
        <v>898</v>
      </c>
      <c r="D87" s="333"/>
      <c r="E87" s="275"/>
      <c r="F87" s="333" t="s">
        <v>899</v>
      </c>
      <c r="G87" s="273"/>
      <c r="H87" s="273"/>
      <c r="I87" s="275"/>
      <c r="J87" s="273" t="s">
        <v>900</v>
      </c>
      <c r="L87" s="274"/>
      <c r="M87" s="274"/>
      <c r="N87" s="274"/>
      <c r="O87" s="274"/>
      <c r="P87" s="274"/>
      <c r="Q87" s="274"/>
      <c r="R87" s="274"/>
      <c r="S87" s="274"/>
      <c r="T87" s="274"/>
      <c r="U87" s="274"/>
    </row>
    <row r="88" ht="15.75" customHeight="1">
      <c r="A88" s="274"/>
      <c r="B88" s="274"/>
      <c r="C88" s="274"/>
      <c r="D88" s="274"/>
      <c r="E88" s="274"/>
      <c r="F88" s="274"/>
      <c r="G88" s="274"/>
      <c r="H88" s="274"/>
      <c r="I88" s="274"/>
      <c r="J88" s="274"/>
      <c r="K88" s="274"/>
      <c r="L88" s="274"/>
      <c r="M88" s="274"/>
      <c r="N88" s="274"/>
      <c r="O88" s="274"/>
      <c r="P88" s="274"/>
      <c r="Q88" s="274"/>
      <c r="R88" s="274"/>
      <c r="S88" s="274"/>
      <c r="T88" s="274"/>
      <c r="U88" s="274"/>
    </row>
    <row r="89" ht="15.75" customHeight="1">
      <c r="A89" s="274"/>
      <c r="B89" s="274"/>
      <c r="C89" s="274"/>
      <c r="D89" s="274"/>
      <c r="E89" s="274"/>
      <c r="F89" s="274"/>
      <c r="G89" s="274"/>
      <c r="H89" s="274"/>
      <c r="I89" s="274"/>
      <c r="J89" s="274"/>
      <c r="K89" s="274"/>
      <c r="L89" s="274"/>
      <c r="M89" s="274"/>
      <c r="N89" s="274"/>
      <c r="O89" s="274"/>
      <c r="P89" s="274"/>
      <c r="Q89" s="274"/>
      <c r="R89" s="274"/>
      <c r="S89" s="274"/>
      <c r="T89" s="274"/>
      <c r="U89" s="274"/>
    </row>
    <row r="90" ht="15.75" customHeight="1">
      <c r="A90" s="274"/>
      <c r="B90" s="274"/>
      <c r="C90" s="274"/>
      <c r="D90" s="274"/>
      <c r="E90" s="274"/>
      <c r="F90" s="274"/>
      <c r="G90" s="274"/>
      <c r="H90" s="274"/>
      <c r="I90" s="274"/>
      <c r="J90" s="274"/>
      <c r="K90" s="274"/>
      <c r="L90" s="274"/>
      <c r="M90" s="274"/>
      <c r="N90" s="274"/>
      <c r="O90" s="274"/>
      <c r="P90" s="274"/>
      <c r="Q90" s="274"/>
      <c r="R90" s="274"/>
      <c r="S90" s="274"/>
      <c r="T90" s="274"/>
      <c r="U90" s="274"/>
    </row>
    <row r="91" ht="15.75" customHeight="1">
      <c r="A91" s="274"/>
      <c r="B91" s="274"/>
      <c r="C91" s="274"/>
      <c r="D91" s="274"/>
      <c r="E91" s="274"/>
      <c r="F91" s="274"/>
      <c r="G91" s="274"/>
      <c r="H91" s="274"/>
      <c r="I91" s="274"/>
      <c r="J91" s="274"/>
      <c r="K91" s="274"/>
      <c r="L91" s="274"/>
      <c r="M91" s="274"/>
      <c r="N91" s="274"/>
      <c r="O91" s="274"/>
      <c r="P91" s="274"/>
      <c r="Q91" s="274"/>
      <c r="R91" s="274"/>
      <c r="S91" s="274"/>
      <c r="T91" s="274"/>
      <c r="U91" s="274"/>
    </row>
    <row r="92" ht="15.75" customHeight="1">
      <c r="A92" s="274"/>
      <c r="B92" s="274"/>
      <c r="C92" s="274"/>
      <c r="D92" s="274"/>
      <c r="E92" s="274"/>
      <c r="F92" s="274"/>
      <c r="G92" s="274"/>
      <c r="H92" s="274"/>
      <c r="I92" s="274"/>
      <c r="J92" s="274"/>
      <c r="K92" s="274"/>
      <c r="L92" s="274"/>
      <c r="M92" s="274"/>
      <c r="N92" s="274"/>
      <c r="O92" s="274"/>
      <c r="P92" s="274"/>
      <c r="Q92" s="274"/>
      <c r="R92" s="274"/>
      <c r="S92" s="274"/>
      <c r="T92" s="274"/>
      <c r="U92" s="274"/>
    </row>
    <row r="93" ht="15.75" customHeight="1">
      <c r="A93" s="274"/>
      <c r="B93" s="274"/>
      <c r="C93" s="274"/>
      <c r="D93" s="274"/>
      <c r="E93" s="274"/>
      <c r="F93" s="274"/>
      <c r="G93" s="274"/>
      <c r="H93" s="274"/>
      <c r="I93" s="274"/>
      <c r="J93" s="274"/>
      <c r="K93" s="274"/>
      <c r="L93" s="274"/>
      <c r="M93" s="274"/>
      <c r="N93" s="274"/>
      <c r="O93" s="274"/>
      <c r="P93" s="274"/>
      <c r="Q93" s="274"/>
      <c r="R93" s="274"/>
      <c r="S93" s="274"/>
      <c r="T93" s="274"/>
      <c r="U93" s="274"/>
    </row>
    <row r="94" ht="15.75" customHeight="1">
      <c r="A94" s="274"/>
      <c r="B94" s="274"/>
      <c r="C94" s="274"/>
      <c r="D94" s="274"/>
      <c r="E94" s="274"/>
      <c r="F94" s="274"/>
      <c r="G94" s="274"/>
      <c r="H94" s="274"/>
      <c r="I94" s="274"/>
      <c r="J94" s="274"/>
      <c r="K94" s="274"/>
      <c r="L94" s="274"/>
      <c r="M94" s="274"/>
      <c r="N94" s="274"/>
      <c r="O94" s="274"/>
      <c r="P94" s="274"/>
      <c r="Q94" s="274"/>
      <c r="R94" s="274"/>
      <c r="S94" s="274"/>
      <c r="T94" s="274"/>
      <c r="U94" s="274"/>
    </row>
    <row r="95" ht="15.75" customHeight="1">
      <c r="A95" s="274"/>
      <c r="B95" s="274"/>
      <c r="C95" s="274"/>
      <c r="D95" s="274"/>
      <c r="E95" s="274"/>
      <c r="F95" s="274"/>
      <c r="G95" s="274"/>
      <c r="H95" s="274"/>
      <c r="I95" s="274"/>
      <c r="J95" s="274"/>
      <c r="K95" s="274"/>
      <c r="L95" s="274"/>
      <c r="M95" s="274"/>
      <c r="N95" s="274"/>
      <c r="O95" s="274"/>
      <c r="P95" s="274"/>
      <c r="Q95" s="274"/>
      <c r="R95" s="274"/>
      <c r="S95" s="274"/>
      <c r="T95" s="274"/>
      <c r="U95" s="274"/>
    </row>
    <row r="96" ht="15.75" customHeight="1">
      <c r="A96" s="274"/>
      <c r="B96" s="274"/>
      <c r="C96" s="274"/>
      <c r="D96" s="274"/>
      <c r="E96" s="274"/>
      <c r="F96" s="274"/>
      <c r="G96" s="274"/>
      <c r="H96" s="274"/>
      <c r="I96" s="274"/>
      <c r="J96" s="274"/>
      <c r="K96" s="274"/>
      <c r="L96" s="274"/>
      <c r="M96" s="274"/>
      <c r="N96" s="274"/>
      <c r="O96" s="274"/>
      <c r="P96" s="274"/>
      <c r="Q96" s="274"/>
      <c r="R96" s="274"/>
      <c r="S96" s="274"/>
      <c r="T96" s="274"/>
      <c r="U96" s="274"/>
    </row>
    <row r="97" ht="15.75" customHeight="1">
      <c r="A97" s="274"/>
      <c r="B97" s="274"/>
      <c r="C97" s="274"/>
      <c r="D97" s="274"/>
      <c r="E97" s="274"/>
      <c r="F97" s="274"/>
      <c r="G97" s="274"/>
      <c r="H97" s="274"/>
      <c r="I97" s="274"/>
      <c r="J97" s="274"/>
      <c r="K97" s="274"/>
      <c r="L97" s="274"/>
      <c r="M97" s="274"/>
      <c r="N97" s="274"/>
      <c r="O97" s="274"/>
      <c r="P97" s="274"/>
      <c r="Q97" s="274"/>
      <c r="R97" s="274"/>
      <c r="S97" s="274"/>
      <c r="T97" s="274"/>
      <c r="U97" s="274"/>
    </row>
    <row r="98" ht="15.75" customHeight="1">
      <c r="A98" s="274"/>
      <c r="B98" s="274"/>
      <c r="C98" s="274"/>
      <c r="D98" s="274"/>
      <c r="E98" s="274"/>
      <c r="F98" s="274"/>
      <c r="G98" s="274"/>
      <c r="H98" s="274"/>
      <c r="I98" s="274"/>
      <c r="J98" s="274"/>
      <c r="K98" s="274"/>
      <c r="L98" s="274"/>
      <c r="M98" s="274"/>
      <c r="N98" s="274"/>
      <c r="O98" s="274"/>
      <c r="P98" s="274"/>
      <c r="Q98" s="274"/>
      <c r="R98" s="274"/>
      <c r="S98" s="274"/>
      <c r="T98" s="274"/>
      <c r="U98" s="274"/>
    </row>
    <row r="99" ht="15.75" customHeight="1">
      <c r="A99" s="274"/>
      <c r="B99" s="274"/>
      <c r="C99" s="274"/>
      <c r="D99" s="274"/>
      <c r="E99" s="274"/>
      <c r="F99" s="274"/>
      <c r="G99" s="274"/>
      <c r="H99" s="274"/>
      <c r="I99" s="274"/>
      <c r="J99" s="274"/>
      <c r="K99" s="274"/>
      <c r="L99" s="274"/>
      <c r="M99" s="274"/>
      <c r="N99" s="274"/>
      <c r="O99" s="274"/>
      <c r="P99" s="274"/>
      <c r="Q99" s="274"/>
      <c r="R99" s="274"/>
      <c r="S99" s="274"/>
      <c r="T99" s="274"/>
      <c r="U99" s="274"/>
    </row>
    <row r="100" ht="15.75" customHeight="1">
      <c r="A100" s="274"/>
      <c r="B100" s="274"/>
      <c r="C100" s="274"/>
      <c r="D100" s="274"/>
      <c r="E100" s="274"/>
      <c r="F100" s="274"/>
      <c r="G100" s="274"/>
      <c r="H100" s="274"/>
      <c r="I100" s="274"/>
      <c r="J100" s="274"/>
      <c r="K100" s="274"/>
      <c r="L100" s="274"/>
      <c r="M100" s="274"/>
      <c r="N100" s="274"/>
      <c r="O100" s="274"/>
      <c r="P100" s="274"/>
      <c r="Q100" s="274"/>
      <c r="R100" s="274"/>
      <c r="S100" s="274"/>
      <c r="T100" s="274"/>
      <c r="U100" s="274"/>
    </row>
    <row r="101" ht="15.75" customHeight="1">
      <c r="A101" s="274"/>
      <c r="B101" s="274"/>
      <c r="C101" s="274"/>
      <c r="D101" s="274"/>
      <c r="E101" s="274"/>
      <c r="F101" s="274"/>
      <c r="G101" s="274"/>
      <c r="H101" s="274"/>
      <c r="I101" s="274"/>
      <c r="J101" s="274"/>
      <c r="K101" s="274"/>
      <c r="L101" s="274"/>
      <c r="M101" s="274"/>
      <c r="N101" s="274"/>
      <c r="O101" s="274"/>
      <c r="P101" s="274"/>
      <c r="Q101" s="274"/>
      <c r="R101" s="274"/>
      <c r="S101" s="274"/>
      <c r="T101" s="274"/>
      <c r="U101" s="274"/>
    </row>
    <row r="102" ht="15.75" customHeight="1">
      <c r="A102" s="274"/>
      <c r="B102" s="274"/>
      <c r="C102" s="274"/>
      <c r="D102" s="274"/>
      <c r="E102" s="274"/>
      <c r="F102" s="274"/>
      <c r="G102" s="274"/>
      <c r="H102" s="274"/>
      <c r="I102" s="274"/>
      <c r="J102" s="274"/>
      <c r="K102" s="274"/>
      <c r="L102" s="274"/>
      <c r="M102" s="274"/>
      <c r="N102" s="274"/>
      <c r="O102" s="274"/>
      <c r="P102" s="274"/>
      <c r="Q102" s="274"/>
      <c r="R102" s="274"/>
      <c r="S102" s="274"/>
      <c r="T102" s="274"/>
      <c r="U102" s="274"/>
    </row>
    <row r="103" ht="15.75" customHeight="1">
      <c r="A103" s="274"/>
      <c r="B103" s="274"/>
      <c r="C103" s="274"/>
      <c r="D103" s="274"/>
      <c r="E103" s="274"/>
      <c r="F103" s="274"/>
      <c r="G103" s="274"/>
      <c r="H103" s="274"/>
      <c r="I103" s="274"/>
      <c r="J103" s="274"/>
      <c r="K103" s="274"/>
      <c r="L103" s="274"/>
      <c r="M103" s="274"/>
      <c r="N103" s="274"/>
      <c r="O103" s="274"/>
      <c r="P103" s="274"/>
      <c r="Q103" s="274"/>
      <c r="R103" s="274"/>
      <c r="S103" s="274"/>
      <c r="T103" s="274"/>
      <c r="U103" s="274"/>
    </row>
    <row r="104" ht="15.75" customHeight="1">
      <c r="A104" s="274"/>
      <c r="B104" s="274"/>
      <c r="C104" s="274"/>
      <c r="D104" s="274"/>
      <c r="E104" s="274"/>
      <c r="F104" s="274"/>
      <c r="G104" s="274"/>
      <c r="H104" s="274"/>
      <c r="I104" s="274"/>
      <c r="J104" s="274"/>
      <c r="K104" s="274"/>
      <c r="L104" s="274"/>
      <c r="M104" s="274"/>
      <c r="N104" s="274"/>
      <c r="O104" s="274"/>
      <c r="P104" s="274"/>
      <c r="Q104" s="274"/>
      <c r="R104" s="274"/>
      <c r="S104" s="274"/>
      <c r="T104" s="274"/>
      <c r="U104" s="274"/>
    </row>
    <row r="105" ht="15.75" customHeight="1">
      <c r="A105" s="274"/>
      <c r="B105" s="274"/>
      <c r="C105" s="274"/>
      <c r="D105" s="274"/>
      <c r="E105" s="274"/>
      <c r="F105" s="274"/>
      <c r="G105" s="274"/>
      <c r="H105" s="274"/>
      <c r="I105" s="274"/>
      <c r="J105" s="274"/>
      <c r="K105" s="274"/>
      <c r="L105" s="274"/>
      <c r="M105" s="274"/>
      <c r="N105" s="274"/>
      <c r="O105" s="274"/>
      <c r="P105" s="274"/>
      <c r="Q105" s="274"/>
      <c r="R105" s="274"/>
      <c r="S105" s="274"/>
      <c r="T105" s="274"/>
      <c r="U105" s="274"/>
    </row>
    <row r="106" ht="15.75" customHeight="1">
      <c r="A106" s="274"/>
      <c r="B106" s="274"/>
      <c r="C106" s="274"/>
      <c r="D106" s="274"/>
      <c r="E106" s="274"/>
      <c r="F106" s="274"/>
      <c r="G106" s="274"/>
      <c r="H106" s="274"/>
      <c r="I106" s="274"/>
      <c r="J106" s="274"/>
      <c r="K106" s="274"/>
      <c r="L106" s="274"/>
      <c r="M106" s="274"/>
      <c r="N106" s="274"/>
      <c r="O106" s="274"/>
      <c r="P106" s="274"/>
      <c r="Q106" s="274"/>
      <c r="R106" s="274"/>
      <c r="S106" s="274"/>
      <c r="T106" s="274"/>
      <c r="U106" s="274"/>
    </row>
    <row r="107" ht="15.75" customHeight="1">
      <c r="A107" s="274"/>
      <c r="B107" s="274"/>
      <c r="C107" s="274"/>
      <c r="D107" s="274"/>
      <c r="E107" s="274"/>
      <c r="F107" s="274"/>
      <c r="G107" s="274"/>
      <c r="H107" s="274"/>
      <c r="I107" s="274"/>
      <c r="J107" s="274"/>
      <c r="K107" s="274"/>
      <c r="L107" s="274"/>
      <c r="M107" s="274"/>
      <c r="N107" s="274"/>
      <c r="O107" s="274"/>
      <c r="P107" s="274"/>
      <c r="Q107" s="274"/>
      <c r="R107" s="274"/>
      <c r="S107" s="274"/>
      <c r="T107" s="274"/>
      <c r="U107" s="274"/>
    </row>
    <row r="108" ht="15.75" customHeight="1">
      <c r="A108" s="274"/>
      <c r="B108" s="274"/>
      <c r="C108" s="274"/>
      <c r="D108" s="274"/>
      <c r="E108" s="274"/>
      <c r="F108" s="274"/>
      <c r="G108" s="274"/>
      <c r="H108" s="274"/>
      <c r="I108" s="274"/>
      <c r="J108" s="274"/>
      <c r="K108" s="274"/>
      <c r="L108" s="274"/>
      <c r="M108" s="274"/>
      <c r="N108" s="274"/>
      <c r="O108" s="274"/>
      <c r="P108" s="274"/>
      <c r="Q108" s="274"/>
      <c r="R108" s="274"/>
      <c r="S108" s="274"/>
      <c r="T108" s="274"/>
      <c r="U108" s="274"/>
    </row>
    <row r="109" ht="15.75" customHeight="1">
      <c r="A109" s="274"/>
      <c r="B109" s="274"/>
      <c r="C109" s="274"/>
      <c r="D109" s="274"/>
      <c r="E109" s="274"/>
      <c r="F109" s="274"/>
      <c r="G109" s="274"/>
      <c r="H109" s="274"/>
      <c r="I109" s="274"/>
      <c r="J109" s="274"/>
      <c r="K109" s="274"/>
      <c r="L109" s="274"/>
      <c r="M109" s="274"/>
      <c r="N109" s="274"/>
      <c r="O109" s="274"/>
      <c r="P109" s="274"/>
      <c r="Q109" s="274"/>
      <c r="R109" s="274"/>
      <c r="S109" s="274"/>
      <c r="T109" s="274"/>
      <c r="U109" s="274"/>
    </row>
    <row r="110" ht="15.75" customHeight="1">
      <c r="A110" s="274"/>
      <c r="B110" s="274"/>
      <c r="C110" s="274"/>
      <c r="D110" s="274"/>
      <c r="E110" s="274"/>
      <c r="F110" s="274"/>
      <c r="G110" s="274"/>
      <c r="H110" s="274"/>
      <c r="I110" s="274"/>
      <c r="J110" s="274"/>
      <c r="K110" s="274"/>
      <c r="L110" s="274"/>
      <c r="M110" s="274"/>
      <c r="N110" s="274"/>
      <c r="O110" s="274"/>
      <c r="P110" s="274"/>
      <c r="Q110" s="274"/>
      <c r="R110" s="274"/>
      <c r="S110" s="274"/>
      <c r="T110" s="274"/>
      <c r="U110" s="274"/>
    </row>
    <row r="111" ht="15.75" customHeight="1">
      <c r="A111" s="274"/>
      <c r="B111" s="274"/>
      <c r="C111" s="274"/>
      <c r="D111" s="274"/>
      <c r="E111" s="274"/>
      <c r="F111" s="274"/>
      <c r="G111" s="274"/>
      <c r="H111" s="274"/>
      <c r="I111" s="274"/>
      <c r="J111" s="274"/>
      <c r="K111" s="274"/>
      <c r="L111" s="274"/>
      <c r="M111" s="274"/>
      <c r="N111" s="274"/>
      <c r="O111" s="274"/>
      <c r="P111" s="274"/>
      <c r="Q111" s="274"/>
      <c r="R111" s="274"/>
      <c r="S111" s="274"/>
      <c r="T111" s="274"/>
      <c r="U111" s="274"/>
    </row>
    <row r="112" ht="15.75" customHeight="1">
      <c r="A112" s="274"/>
      <c r="B112" s="274"/>
      <c r="C112" s="274"/>
      <c r="D112" s="274"/>
      <c r="E112" s="274"/>
      <c r="F112" s="274"/>
      <c r="G112" s="274"/>
      <c r="H112" s="274"/>
      <c r="I112" s="274"/>
      <c r="J112" s="274"/>
      <c r="K112" s="274"/>
      <c r="L112" s="274"/>
      <c r="M112" s="274"/>
      <c r="N112" s="274"/>
      <c r="O112" s="274"/>
      <c r="P112" s="274"/>
      <c r="Q112" s="274"/>
      <c r="R112" s="274"/>
      <c r="S112" s="274"/>
      <c r="T112" s="274"/>
      <c r="U112" s="274"/>
    </row>
    <row r="113" ht="15.75" customHeight="1">
      <c r="A113" s="274"/>
      <c r="B113" s="274"/>
      <c r="C113" s="274"/>
      <c r="D113" s="274"/>
      <c r="E113" s="274"/>
      <c r="F113" s="274"/>
      <c r="G113" s="274"/>
      <c r="H113" s="274"/>
      <c r="I113" s="274"/>
      <c r="J113" s="274"/>
      <c r="K113" s="274"/>
      <c r="L113" s="274"/>
      <c r="M113" s="274"/>
      <c r="N113" s="274"/>
      <c r="O113" s="274"/>
      <c r="P113" s="274"/>
      <c r="Q113" s="274"/>
      <c r="R113" s="274"/>
      <c r="S113" s="274"/>
      <c r="T113" s="274"/>
      <c r="U113" s="274"/>
    </row>
    <row r="114" ht="15.75" customHeight="1">
      <c r="A114" s="274"/>
      <c r="B114" s="274"/>
      <c r="C114" s="274"/>
      <c r="D114" s="274"/>
      <c r="E114" s="274"/>
      <c r="F114" s="274"/>
      <c r="G114" s="274"/>
      <c r="H114" s="274"/>
      <c r="I114" s="274"/>
      <c r="J114" s="274"/>
      <c r="K114" s="274"/>
      <c r="L114" s="274"/>
      <c r="M114" s="274"/>
      <c r="N114" s="274"/>
      <c r="O114" s="274"/>
      <c r="P114" s="274"/>
      <c r="Q114" s="274"/>
      <c r="R114" s="274"/>
      <c r="S114" s="274"/>
      <c r="T114" s="274"/>
      <c r="U114" s="274"/>
    </row>
    <row r="115" ht="15.75" customHeight="1">
      <c r="A115" s="274"/>
      <c r="B115" s="274"/>
      <c r="C115" s="274"/>
      <c r="D115" s="274"/>
      <c r="E115" s="274"/>
      <c r="F115" s="274"/>
      <c r="G115" s="274"/>
      <c r="H115" s="274"/>
      <c r="I115" s="274"/>
      <c r="J115" s="274"/>
      <c r="K115" s="274"/>
      <c r="L115" s="274"/>
      <c r="M115" s="274"/>
      <c r="N115" s="274"/>
      <c r="O115" s="274"/>
      <c r="P115" s="274"/>
      <c r="Q115" s="274"/>
      <c r="R115" s="274"/>
      <c r="S115" s="274"/>
      <c r="T115" s="274"/>
      <c r="U115" s="274"/>
    </row>
    <row r="116" ht="15.75" customHeight="1">
      <c r="A116" s="274"/>
      <c r="B116" s="274"/>
      <c r="C116" s="274"/>
      <c r="D116" s="274"/>
      <c r="E116" s="274"/>
      <c r="F116" s="274"/>
      <c r="G116" s="274"/>
      <c r="H116" s="274"/>
      <c r="I116" s="274"/>
      <c r="J116" s="274"/>
      <c r="K116" s="274"/>
      <c r="L116" s="274"/>
      <c r="M116" s="274"/>
      <c r="N116" s="274"/>
      <c r="O116" s="274"/>
      <c r="P116" s="274"/>
      <c r="Q116" s="274"/>
      <c r="R116" s="274"/>
      <c r="S116" s="274"/>
      <c r="T116" s="274"/>
      <c r="U116" s="274"/>
    </row>
    <row r="117" ht="15.75" customHeight="1">
      <c r="A117" s="274"/>
      <c r="B117" s="274"/>
      <c r="C117" s="274"/>
      <c r="D117" s="274"/>
      <c r="E117" s="274"/>
      <c r="F117" s="274"/>
      <c r="G117" s="274"/>
      <c r="H117" s="274"/>
      <c r="I117" s="274"/>
      <c r="J117" s="274"/>
      <c r="K117" s="274"/>
      <c r="L117" s="274"/>
      <c r="M117" s="274"/>
      <c r="N117" s="274"/>
      <c r="O117" s="274"/>
      <c r="P117" s="274"/>
      <c r="Q117" s="274"/>
      <c r="R117" s="274"/>
      <c r="S117" s="274"/>
      <c r="T117" s="274"/>
      <c r="U117" s="274"/>
    </row>
    <row r="118" ht="15.75" customHeight="1">
      <c r="A118" s="274"/>
      <c r="B118" s="274"/>
      <c r="C118" s="274"/>
      <c r="D118" s="274"/>
      <c r="E118" s="274"/>
      <c r="F118" s="274"/>
      <c r="G118" s="274"/>
      <c r="H118" s="274"/>
      <c r="I118" s="274"/>
      <c r="J118" s="274"/>
      <c r="K118" s="274"/>
      <c r="L118" s="274"/>
      <c r="M118" s="274"/>
      <c r="N118" s="274"/>
      <c r="O118" s="274"/>
      <c r="P118" s="274"/>
      <c r="Q118" s="274"/>
      <c r="R118" s="274"/>
      <c r="S118" s="274"/>
      <c r="T118" s="274"/>
      <c r="U118" s="274"/>
    </row>
    <row r="119" ht="15.75" customHeight="1">
      <c r="A119" s="274"/>
      <c r="B119" s="274"/>
      <c r="C119" s="274"/>
      <c r="D119" s="274"/>
      <c r="E119" s="274"/>
      <c r="F119" s="274"/>
      <c r="G119" s="274"/>
      <c r="H119" s="274"/>
      <c r="I119" s="274"/>
      <c r="J119" s="274"/>
      <c r="K119" s="274"/>
      <c r="L119" s="274"/>
      <c r="M119" s="274"/>
      <c r="N119" s="274"/>
      <c r="O119" s="274"/>
      <c r="P119" s="274"/>
      <c r="Q119" s="274"/>
      <c r="R119" s="274"/>
      <c r="S119" s="274"/>
      <c r="T119" s="274"/>
      <c r="U119" s="274"/>
    </row>
    <row r="120" ht="15.75" customHeight="1">
      <c r="A120" s="274"/>
      <c r="B120" s="274"/>
      <c r="C120" s="274"/>
      <c r="D120" s="274"/>
      <c r="E120" s="274"/>
      <c r="F120" s="274"/>
      <c r="G120" s="274"/>
      <c r="H120" s="274"/>
      <c r="I120" s="274"/>
      <c r="J120" s="274"/>
      <c r="K120" s="274"/>
      <c r="L120" s="274"/>
      <c r="M120" s="274"/>
      <c r="N120" s="274"/>
      <c r="O120" s="274"/>
      <c r="P120" s="274"/>
      <c r="Q120" s="274"/>
      <c r="R120" s="274"/>
      <c r="S120" s="274"/>
      <c r="T120" s="274"/>
      <c r="U120" s="274"/>
    </row>
    <row r="121" ht="15.75" customHeight="1">
      <c r="A121" s="274"/>
      <c r="B121" s="274"/>
      <c r="C121" s="274"/>
      <c r="D121" s="274"/>
      <c r="E121" s="274"/>
      <c r="F121" s="274"/>
      <c r="G121" s="274"/>
      <c r="H121" s="274"/>
      <c r="I121" s="274"/>
      <c r="J121" s="274"/>
      <c r="K121" s="274"/>
      <c r="L121" s="274"/>
      <c r="M121" s="274"/>
      <c r="N121" s="274"/>
      <c r="O121" s="274"/>
      <c r="P121" s="274"/>
      <c r="Q121" s="274"/>
      <c r="R121" s="274"/>
      <c r="S121" s="274"/>
      <c r="T121" s="274"/>
      <c r="U121" s="274"/>
    </row>
    <row r="122" ht="15.75" customHeight="1">
      <c r="A122" s="274"/>
      <c r="B122" s="274"/>
      <c r="C122" s="274"/>
      <c r="D122" s="274"/>
      <c r="E122" s="274"/>
      <c r="F122" s="274"/>
      <c r="G122" s="274"/>
      <c r="H122" s="274"/>
      <c r="I122" s="274"/>
      <c r="J122" s="274"/>
      <c r="K122" s="274"/>
      <c r="L122" s="274"/>
      <c r="M122" s="274"/>
      <c r="N122" s="274"/>
      <c r="O122" s="274"/>
      <c r="P122" s="274"/>
      <c r="Q122" s="274"/>
      <c r="R122" s="274"/>
      <c r="S122" s="274"/>
      <c r="T122" s="274"/>
      <c r="U122" s="274"/>
    </row>
    <row r="123" ht="15.75" customHeight="1">
      <c r="A123" s="274"/>
      <c r="B123" s="274"/>
      <c r="C123" s="274"/>
      <c r="D123" s="274"/>
      <c r="E123" s="274"/>
      <c r="F123" s="274"/>
      <c r="G123" s="274"/>
      <c r="H123" s="274"/>
      <c r="I123" s="274"/>
      <c r="J123" s="274"/>
      <c r="K123" s="274"/>
      <c r="L123" s="274"/>
      <c r="M123" s="274"/>
      <c r="N123" s="274"/>
      <c r="O123" s="274"/>
      <c r="P123" s="274"/>
      <c r="Q123" s="274"/>
      <c r="R123" s="274"/>
      <c r="S123" s="274"/>
      <c r="T123" s="274"/>
      <c r="U123" s="274"/>
    </row>
    <row r="124" ht="15.75" customHeight="1">
      <c r="A124" s="274"/>
      <c r="B124" s="274"/>
      <c r="C124" s="274"/>
      <c r="D124" s="274"/>
      <c r="E124" s="274"/>
      <c r="F124" s="274"/>
      <c r="G124" s="274"/>
      <c r="H124" s="274"/>
      <c r="I124" s="274"/>
      <c r="J124" s="274"/>
      <c r="K124" s="274"/>
      <c r="L124" s="274"/>
      <c r="M124" s="274"/>
      <c r="N124" s="274"/>
      <c r="O124" s="274"/>
      <c r="P124" s="274"/>
      <c r="Q124" s="274"/>
      <c r="R124" s="274"/>
      <c r="S124" s="274"/>
      <c r="T124" s="274"/>
      <c r="U124" s="274"/>
    </row>
    <row r="125" ht="15.75" customHeight="1">
      <c r="A125" s="274"/>
      <c r="B125" s="274"/>
      <c r="C125" s="274"/>
      <c r="D125" s="274"/>
      <c r="E125" s="274"/>
      <c r="F125" s="274"/>
      <c r="G125" s="274"/>
      <c r="H125" s="274"/>
      <c r="I125" s="274"/>
      <c r="J125" s="274"/>
      <c r="K125" s="274"/>
      <c r="L125" s="274"/>
      <c r="M125" s="274"/>
      <c r="N125" s="274"/>
      <c r="O125" s="274"/>
      <c r="P125" s="274"/>
      <c r="Q125" s="274"/>
      <c r="R125" s="274"/>
      <c r="S125" s="274"/>
      <c r="T125" s="274"/>
      <c r="U125" s="274"/>
    </row>
    <row r="126" ht="15.75" customHeight="1">
      <c r="A126" s="274"/>
      <c r="B126" s="274"/>
      <c r="C126" s="274"/>
      <c r="D126" s="274"/>
      <c r="E126" s="274"/>
      <c r="F126" s="274"/>
      <c r="G126" s="274"/>
      <c r="H126" s="274"/>
      <c r="I126" s="274"/>
      <c r="J126" s="274"/>
      <c r="K126" s="274"/>
      <c r="L126" s="274"/>
      <c r="M126" s="274"/>
      <c r="N126" s="274"/>
      <c r="O126" s="274"/>
      <c r="P126" s="274"/>
      <c r="Q126" s="274"/>
      <c r="R126" s="274"/>
      <c r="S126" s="274"/>
      <c r="T126" s="274"/>
      <c r="U126" s="274"/>
    </row>
    <row r="127" ht="15.75" customHeight="1">
      <c r="A127" s="274"/>
      <c r="B127" s="274"/>
      <c r="C127" s="274"/>
      <c r="D127" s="274"/>
      <c r="E127" s="274"/>
      <c r="F127" s="274"/>
      <c r="G127" s="274"/>
      <c r="H127" s="274"/>
      <c r="I127" s="274"/>
      <c r="J127" s="274"/>
      <c r="K127" s="274"/>
      <c r="L127" s="274"/>
      <c r="M127" s="274"/>
      <c r="N127" s="274"/>
      <c r="O127" s="274"/>
      <c r="P127" s="274"/>
      <c r="Q127" s="274"/>
      <c r="R127" s="274"/>
      <c r="S127" s="274"/>
      <c r="T127" s="274"/>
      <c r="U127" s="274"/>
    </row>
    <row r="128" ht="15.75" customHeight="1">
      <c r="A128" s="274"/>
      <c r="B128" s="274"/>
      <c r="C128" s="274"/>
      <c r="D128" s="274"/>
      <c r="E128" s="274"/>
      <c r="F128" s="274"/>
      <c r="G128" s="274"/>
      <c r="H128" s="274"/>
      <c r="I128" s="274"/>
      <c r="J128" s="274"/>
      <c r="K128" s="274"/>
      <c r="L128" s="274"/>
      <c r="M128" s="274"/>
      <c r="N128" s="274"/>
      <c r="O128" s="274"/>
      <c r="P128" s="274"/>
      <c r="Q128" s="274"/>
      <c r="R128" s="274"/>
      <c r="S128" s="274"/>
      <c r="T128" s="274"/>
      <c r="U128" s="274"/>
    </row>
    <row r="129" ht="15.75" customHeight="1">
      <c r="A129" s="274"/>
      <c r="B129" s="274"/>
      <c r="C129" s="274"/>
      <c r="D129" s="274"/>
      <c r="E129" s="274"/>
      <c r="F129" s="274"/>
      <c r="G129" s="274"/>
      <c r="H129" s="274"/>
      <c r="I129" s="274"/>
      <c r="J129" s="274"/>
      <c r="K129" s="274"/>
      <c r="L129" s="274"/>
      <c r="M129" s="274"/>
      <c r="N129" s="274"/>
      <c r="O129" s="274"/>
      <c r="P129" s="274"/>
      <c r="Q129" s="274"/>
      <c r="R129" s="274"/>
      <c r="S129" s="274"/>
      <c r="T129" s="274"/>
      <c r="U129" s="274"/>
    </row>
    <row r="130" ht="15.75" customHeight="1">
      <c r="A130" s="274"/>
      <c r="B130" s="274"/>
      <c r="C130" s="274"/>
      <c r="D130" s="274"/>
      <c r="E130" s="274"/>
      <c r="F130" s="274"/>
      <c r="G130" s="274"/>
      <c r="H130" s="274"/>
      <c r="I130" s="274"/>
      <c r="J130" s="274"/>
      <c r="K130" s="274"/>
      <c r="L130" s="274"/>
      <c r="M130" s="274"/>
      <c r="N130" s="274"/>
      <c r="O130" s="274"/>
      <c r="P130" s="274"/>
      <c r="Q130" s="274"/>
      <c r="R130" s="274"/>
      <c r="S130" s="274"/>
      <c r="T130" s="274"/>
      <c r="U130" s="274"/>
    </row>
    <row r="131" ht="15.75" customHeight="1">
      <c r="A131" s="274"/>
      <c r="B131" s="274"/>
      <c r="C131" s="274"/>
      <c r="D131" s="274"/>
      <c r="E131" s="274"/>
      <c r="F131" s="274"/>
      <c r="G131" s="274"/>
      <c r="H131" s="274"/>
      <c r="I131" s="274"/>
      <c r="J131" s="274"/>
      <c r="K131" s="274"/>
      <c r="L131" s="274"/>
      <c r="M131" s="274"/>
      <c r="N131" s="274"/>
      <c r="O131" s="274"/>
      <c r="P131" s="274"/>
      <c r="Q131" s="274"/>
      <c r="R131" s="274"/>
      <c r="S131" s="274"/>
      <c r="T131" s="274"/>
      <c r="U131" s="274"/>
    </row>
    <row r="132" ht="15.75" customHeight="1">
      <c r="A132" s="274"/>
      <c r="B132" s="274"/>
      <c r="C132" s="274"/>
      <c r="D132" s="274"/>
      <c r="E132" s="274"/>
      <c r="F132" s="274"/>
      <c r="G132" s="274"/>
      <c r="H132" s="274"/>
      <c r="I132" s="274"/>
      <c r="J132" s="274"/>
      <c r="K132" s="274"/>
      <c r="L132" s="274"/>
      <c r="M132" s="274"/>
      <c r="N132" s="274"/>
      <c r="O132" s="274"/>
      <c r="P132" s="274"/>
      <c r="Q132" s="274"/>
      <c r="R132" s="274"/>
      <c r="S132" s="274"/>
      <c r="T132" s="274"/>
      <c r="U132" s="274"/>
    </row>
    <row r="133" ht="15.75" customHeight="1">
      <c r="A133" s="274"/>
      <c r="B133" s="274"/>
      <c r="C133" s="274"/>
      <c r="D133" s="274"/>
      <c r="E133" s="274"/>
      <c r="F133" s="274"/>
      <c r="G133" s="274"/>
      <c r="H133" s="274"/>
      <c r="I133" s="274"/>
      <c r="J133" s="274"/>
      <c r="K133" s="274"/>
      <c r="L133" s="274"/>
      <c r="M133" s="274"/>
      <c r="N133" s="274"/>
      <c r="O133" s="274"/>
      <c r="P133" s="274"/>
      <c r="Q133" s="274"/>
      <c r="R133" s="274"/>
      <c r="S133" s="274"/>
      <c r="T133" s="274"/>
      <c r="U133" s="274"/>
    </row>
    <row r="134" ht="15.75" customHeight="1">
      <c r="A134" s="274"/>
      <c r="B134" s="274"/>
      <c r="C134" s="274"/>
      <c r="D134" s="274"/>
      <c r="E134" s="274"/>
      <c r="F134" s="274"/>
      <c r="G134" s="274"/>
      <c r="H134" s="274"/>
      <c r="I134" s="274"/>
      <c r="J134" s="274"/>
      <c r="K134" s="274"/>
      <c r="L134" s="274"/>
      <c r="M134" s="274"/>
      <c r="N134" s="274"/>
      <c r="O134" s="274"/>
      <c r="P134" s="274"/>
      <c r="Q134" s="274"/>
      <c r="R134" s="274"/>
      <c r="S134" s="274"/>
      <c r="T134" s="274"/>
      <c r="U134" s="274"/>
    </row>
    <row r="135" ht="15.75" customHeight="1">
      <c r="A135" s="274"/>
      <c r="B135" s="274"/>
      <c r="C135" s="274"/>
      <c r="D135" s="274"/>
      <c r="E135" s="274"/>
      <c r="F135" s="274"/>
      <c r="G135" s="274"/>
      <c r="H135" s="274"/>
      <c r="I135" s="274"/>
      <c r="J135" s="274"/>
      <c r="K135" s="274"/>
      <c r="L135" s="274"/>
      <c r="M135" s="274"/>
      <c r="N135" s="274"/>
      <c r="O135" s="274"/>
      <c r="P135" s="274"/>
      <c r="Q135" s="274"/>
      <c r="R135" s="274"/>
      <c r="S135" s="274"/>
      <c r="T135" s="274"/>
      <c r="U135" s="274"/>
    </row>
    <row r="136" ht="15.75" customHeight="1">
      <c r="A136" s="274"/>
      <c r="B136" s="274"/>
      <c r="C136" s="274"/>
      <c r="D136" s="274"/>
      <c r="E136" s="274"/>
      <c r="F136" s="274"/>
      <c r="G136" s="274"/>
      <c r="H136" s="274"/>
      <c r="I136" s="274"/>
      <c r="J136" s="274"/>
      <c r="K136" s="274"/>
      <c r="L136" s="274"/>
      <c r="M136" s="274"/>
      <c r="N136" s="274"/>
      <c r="O136" s="274"/>
      <c r="P136" s="274"/>
      <c r="Q136" s="274"/>
      <c r="R136" s="274"/>
      <c r="S136" s="274"/>
      <c r="T136" s="274"/>
      <c r="U136" s="274"/>
    </row>
    <row r="137" ht="15.75" customHeight="1">
      <c r="A137" s="274"/>
      <c r="B137" s="274"/>
      <c r="C137" s="274"/>
      <c r="D137" s="274"/>
      <c r="E137" s="274"/>
      <c r="F137" s="274"/>
      <c r="G137" s="274"/>
      <c r="H137" s="274"/>
      <c r="I137" s="274"/>
      <c r="J137" s="274"/>
      <c r="K137" s="274"/>
      <c r="L137" s="274"/>
      <c r="M137" s="274"/>
      <c r="N137" s="274"/>
      <c r="O137" s="274"/>
      <c r="P137" s="274"/>
      <c r="Q137" s="274"/>
      <c r="R137" s="274"/>
      <c r="S137" s="274"/>
      <c r="T137" s="274"/>
      <c r="U137" s="274"/>
    </row>
    <row r="138" ht="15.75" customHeight="1">
      <c r="A138" s="274"/>
      <c r="B138" s="274"/>
      <c r="C138" s="274"/>
      <c r="D138" s="274"/>
      <c r="E138" s="274"/>
      <c r="F138" s="274"/>
      <c r="G138" s="274"/>
      <c r="H138" s="274"/>
      <c r="I138" s="274"/>
      <c r="J138" s="274"/>
      <c r="K138" s="274"/>
      <c r="L138" s="274"/>
      <c r="M138" s="274"/>
      <c r="N138" s="274"/>
      <c r="O138" s="274"/>
      <c r="P138" s="274"/>
      <c r="Q138" s="274"/>
      <c r="R138" s="274"/>
      <c r="S138" s="274"/>
      <c r="T138" s="274"/>
      <c r="U138" s="274"/>
    </row>
    <row r="139" ht="15.75" customHeight="1">
      <c r="A139" s="274"/>
      <c r="B139" s="274"/>
      <c r="C139" s="274"/>
      <c r="D139" s="274"/>
      <c r="E139" s="274"/>
      <c r="F139" s="274"/>
      <c r="G139" s="274"/>
      <c r="H139" s="274"/>
      <c r="I139" s="274"/>
      <c r="J139" s="274"/>
      <c r="K139" s="274"/>
      <c r="L139" s="274"/>
      <c r="M139" s="274"/>
      <c r="N139" s="274"/>
      <c r="O139" s="274"/>
      <c r="P139" s="274"/>
      <c r="Q139" s="274"/>
      <c r="R139" s="274"/>
      <c r="S139" s="274"/>
      <c r="T139" s="274"/>
      <c r="U139" s="274"/>
    </row>
    <row r="140" ht="15.75" customHeight="1">
      <c r="A140" s="274"/>
      <c r="B140" s="274"/>
      <c r="C140" s="274"/>
      <c r="D140" s="274"/>
      <c r="E140" s="274"/>
      <c r="F140" s="274"/>
      <c r="G140" s="274"/>
      <c r="H140" s="274"/>
      <c r="I140" s="274"/>
      <c r="J140" s="274"/>
      <c r="K140" s="274"/>
      <c r="L140" s="274"/>
      <c r="M140" s="274"/>
      <c r="N140" s="274"/>
      <c r="O140" s="274"/>
      <c r="P140" s="274"/>
      <c r="Q140" s="274"/>
      <c r="R140" s="274"/>
      <c r="S140" s="274"/>
      <c r="T140" s="274"/>
      <c r="U140" s="274"/>
    </row>
    <row r="141" ht="15.75" customHeight="1">
      <c r="A141" s="274"/>
      <c r="B141" s="274"/>
      <c r="C141" s="274"/>
      <c r="D141" s="274"/>
      <c r="E141" s="274"/>
      <c r="F141" s="274"/>
      <c r="G141" s="274"/>
      <c r="H141" s="274"/>
      <c r="I141" s="274"/>
      <c r="J141" s="274"/>
      <c r="K141" s="274"/>
      <c r="L141" s="274"/>
      <c r="M141" s="274"/>
      <c r="N141" s="274"/>
      <c r="O141" s="274"/>
      <c r="P141" s="274"/>
      <c r="Q141" s="274"/>
      <c r="R141" s="274"/>
      <c r="S141" s="274"/>
      <c r="T141" s="274"/>
      <c r="U141" s="274"/>
    </row>
    <row r="142" ht="15.75" customHeight="1">
      <c r="A142" s="274"/>
      <c r="B142" s="274"/>
      <c r="C142" s="274"/>
      <c r="D142" s="274"/>
      <c r="E142" s="274"/>
      <c r="F142" s="274"/>
      <c r="G142" s="274"/>
      <c r="H142" s="274"/>
      <c r="I142" s="274"/>
      <c r="J142" s="274"/>
      <c r="K142" s="274"/>
      <c r="L142" s="274"/>
      <c r="M142" s="274"/>
      <c r="N142" s="274"/>
      <c r="O142" s="274"/>
      <c r="P142" s="274"/>
      <c r="Q142" s="274"/>
      <c r="R142" s="274"/>
      <c r="S142" s="274"/>
      <c r="T142" s="274"/>
      <c r="U142" s="274"/>
    </row>
    <row r="143" ht="15.75" customHeight="1">
      <c r="A143" s="274"/>
      <c r="B143" s="274"/>
      <c r="C143" s="274"/>
      <c r="D143" s="274"/>
      <c r="E143" s="274"/>
      <c r="F143" s="274"/>
      <c r="G143" s="274"/>
      <c r="H143" s="274"/>
      <c r="I143" s="274"/>
      <c r="J143" s="274"/>
      <c r="K143" s="274"/>
      <c r="L143" s="274"/>
      <c r="M143" s="274"/>
      <c r="N143" s="274"/>
      <c r="O143" s="274"/>
      <c r="P143" s="274"/>
      <c r="Q143" s="274"/>
      <c r="R143" s="274"/>
      <c r="S143" s="274"/>
      <c r="T143" s="274"/>
      <c r="U143" s="274"/>
    </row>
    <row r="144" ht="15.75" customHeight="1">
      <c r="A144" s="274"/>
      <c r="B144" s="274"/>
      <c r="C144" s="274"/>
      <c r="D144" s="274"/>
      <c r="E144" s="274"/>
      <c r="F144" s="274"/>
      <c r="G144" s="274"/>
      <c r="H144" s="274"/>
      <c r="I144" s="274"/>
      <c r="J144" s="274"/>
      <c r="K144" s="274"/>
      <c r="L144" s="274"/>
      <c r="M144" s="274"/>
      <c r="N144" s="274"/>
      <c r="O144" s="274"/>
      <c r="P144" s="274"/>
      <c r="Q144" s="274"/>
      <c r="R144" s="274"/>
      <c r="S144" s="274"/>
      <c r="T144" s="274"/>
      <c r="U144" s="274"/>
    </row>
    <row r="145" ht="15.75" customHeight="1">
      <c r="A145" s="274"/>
      <c r="B145" s="274"/>
      <c r="C145" s="274"/>
      <c r="D145" s="274"/>
      <c r="E145" s="274"/>
      <c r="F145" s="274"/>
      <c r="G145" s="274"/>
      <c r="H145" s="274"/>
      <c r="I145" s="274"/>
      <c r="J145" s="274"/>
      <c r="K145" s="274"/>
      <c r="L145" s="274"/>
      <c r="M145" s="274"/>
      <c r="N145" s="274"/>
      <c r="O145" s="274"/>
      <c r="P145" s="274"/>
      <c r="Q145" s="274"/>
      <c r="R145" s="274"/>
      <c r="S145" s="274"/>
      <c r="T145" s="274"/>
      <c r="U145" s="274"/>
    </row>
    <row r="146" ht="15.75" customHeight="1">
      <c r="A146" s="274"/>
      <c r="B146" s="274"/>
      <c r="C146" s="274"/>
      <c r="D146" s="274"/>
      <c r="E146" s="274"/>
      <c r="F146" s="274"/>
      <c r="G146" s="274"/>
      <c r="H146" s="274"/>
      <c r="I146" s="274"/>
      <c r="J146" s="274"/>
      <c r="K146" s="274"/>
      <c r="L146" s="274"/>
      <c r="M146" s="274"/>
      <c r="N146" s="274"/>
      <c r="O146" s="274"/>
      <c r="P146" s="274"/>
      <c r="Q146" s="274"/>
      <c r="R146" s="274"/>
      <c r="S146" s="274"/>
      <c r="T146" s="274"/>
      <c r="U146" s="274"/>
    </row>
    <row r="147" ht="15.75" customHeight="1">
      <c r="A147" s="274"/>
      <c r="B147" s="274"/>
      <c r="C147" s="274"/>
      <c r="D147" s="274"/>
      <c r="E147" s="274"/>
      <c r="F147" s="274"/>
      <c r="G147" s="274"/>
      <c r="H147" s="274"/>
      <c r="I147" s="274"/>
      <c r="J147" s="274"/>
      <c r="K147" s="274"/>
      <c r="L147" s="274"/>
      <c r="M147" s="274"/>
      <c r="N147" s="274"/>
      <c r="O147" s="274"/>
      <c r="P147" s="274"/>
      <c r="Q147" s="274"/>
      <c r="R147" s="274"/>
      <c r="S147" s="274"/>
      <c r="T147" s="274"/>
      <c r="U147" s="274"/>
    </row>
    <row r="148" ht="15.75" customHeight="1">
      <c r="A148" s="274"/>
      <c r="B148" s="274"/>
      <c r="C148" s="274"/>
      <c r="D148" s="274"/>
      <c r="E148" s="274"/>
      <c r="F148" s="274"/>
      <c r="G148" s="274"/>
      <c r="H148" s="274"/>
      <c r="I148" s="274"/>
      <c r="J148" s="274"/>
      <c r="K148" s="274"/>
      <c r="L148" s="274"/>
      <c r="M148" s="274"/>
      <c r="N148" s="274"/>
      <c r="O148" s="274"/>
      <c r="P148" s="274"/>
      <c r="Q148" s="274"/>
      <c r="R148" s="274"/>
      <c r="S148" s="274"/>
      <c r="T148" s="274"/>
      <c r="U148" s="274"/>
    </row>
    <row r="149" ht="15.75" customHeight="1">
      <c r="A149" s="274"/>
      <c r="B149" s="274"/>
      <c r="C149" s="274"/>
      <c r="D149" s="274"/>
      <c r="E149" s="274"/>
      <c r="F149" s="274"/>
      <c r="G149" s="274"/>
      <c r="H149" s="274"/>
      <c r="I149" s="274"/>
      <c r="J149" s="274"/>
      <c r="K149" s="274"/>
      <c r="L149" s="274"/>
      <c r="M149" s="274"/>
      <c r="N149" s="274"/>
      <c r="O149" s="274"/>
      <c r="P149" s="274"/>
      <c r="Q149" s="274"/>
      <c r="R149" s="274"/>
      <c r="S149" s="274"/>
      <c r="T149" s="274"/>
      <c r="U149" s="274"/>
    </row>
    <row r="150" ht="15.75" customHeight="1">
      <c r="A150" s="274"/>
      <c r="B150" s="274"/>
      <c r="C150" s="274"/>
      <c r="D150" s="274"/>
      <c r="E150" s="274"/>
      <c r="F150" s="274"/>
      <c r="G150" s="274"/>
      <c r="H150" s="274"/>
      <c r="I150" s="274"/>
      <c r="J150" s="274"/>
      <c r="K150" s="274"/>
      <c r="L150" s="274"/>
      <c r="M150" s="274"/>
      <c r="N150" s="274"/>
      <c r="O150" s="274"/>
      <c r="P150" s="274"/>
      <c r="Q150" s="274"/>
      <c r="R150" s="274"/>
      <c r="S150" s="274"/>
      <c r="T150" s="274"/>
      <c r="U150" s="274"/>
    </row>
    <row r="151" ht="15.75" customHeight="1">
      <c r="A151" s="274"/>
      <c r="B151" s="274"/>
      <c r="C151" s="274"/>
      <c r="D151" s="274"/>
      <c r="E151" s="274"/>
      <c r="F151" s="274"/>
      <c r="G151" s="274"/>
      <c r="H151" s="274"/>
      <c r="I151" s="274"/>
      <c r="J151" s="274"/>
      <c r="K151" s="274"/>
      <c r="L151" s="274"/>
      <c r="M151" s="274"/>
      <c r="N151" s="274"/>
      <c r="O151" s="274"/>
      <c r="P151" s="274"/>
      <c r="Q151" s="274"/>
      <c r="R151" s="274"/>
      <c r="S151" s="274"/>
      <c r="T151" s="274"/>
      <c r="U151" s="274"/>
    </row>
    <row r="152" ht="15.75" customHeight="1">
      <c r="A152" s="274"/>
      <c r="B152" s="274"/>
      <c r="C152" s="274"/>
      <c r="D152" s="274"/>
      <c r="E152" s="274"/>
      <c r="F152" s="274"/>
      <c r="G152" s="274"/>
      <c r="H152" s="274"/>
      <c r="I152" s="274"/>
      <c r="J152" s="274"/>
      <c r="K152" s="274"/>
      <c r="L152" s="274"/>
      <c r="M152" s="274"/>
      <c r="N152" s="274"/>
      <c r="O152" s="274"/>
      <c r="P152" s="274"/>
      <c r="Q152" s="274"/>
      <c r="R152" s="274"/>
      <c r="S152" s="274"/>
      <c r="T152" s="274"/>
      <c r="U152" s="274"/>
    </row>
    <row r="153" ht="15.75" customHeight="1">
      <c r="A153" s="274"/>
      <c r="B153" s="274"/>
      <c r="C153" s="274"/>
      <c r="D153" s="274"/>
      <c r="E153" s="274"/>
      <c r="F153" s="274"/>
      <c r="G153" s="274"/>
      <c r="H153" s="274"/>
      <c r="I153" s="274"/>
      <c r="J153" s="274"/>
      <c r="K153" s="274"/>
      <c r="L153" s="274"/>
      <c r="M153" s="274"/>
      <c r="N153" s="274"/>
      <c r="O153" s="274"/>
      <c r="P153" s="274"/>
      <c r="Q153" s="274"/>
      <c r="R153" s="274"/>
      <c r="S153" s="274"/>
      <c r="T153" s="274"/>
      <c r="U153" s="274"/>
    </row>
    <row r="154" ht="15.75" customHeight="1">
      <c r="A154" s="274"/>
      <c r="B154" s="274"/>
      <c r="C154" s="274"/>
      <c r="D154" s="274"/>
      <c r="E154" s="274"/>
      <c r="F154" s="274"/>
      <c r="G154" s="274"/>
      <c r="H154" s="274"/>
      <c r="I154" s="274"/>
      <c r="J154" s="274"/>
      <c r="K154" s="274"/>
      <c r="L154" s="274"/>
      <c r="M154" s="274"/>
      <c r="N154" s="274"/>
      <c r="O154" s="274"/>
      <c r="P154" s="274"/>
      <c r="Q154" s="274"/>
      <c r="R154" s="274"/>
      <c r="S154" s="274"/>
      <c r="T154" s="274"/>
      <c r="U154" s="274"/>
    </row>
    <row r="155" ht="15.75" customHeight="1">
      <c r="A155" s="274"/>
      <c r="B155" s="274"/>
      <c r="C155" s="274"/>
      <c r="D155" s="274"/>
      <c r="E155" s="274"/>
      <c r="F155" s="274"/>
      <c r="G155" s="274"/>
      <c r="H155" s="274"/>
      <c r="I155" s="274"/>
      <c r="J155" s="274"/>
      <c r="K155" s="274"/>
      <c r="L155" s="274"/>
      <c r="M155" s="274"/>
      <c r="N155" s="274"/>
      <c r="O155" s="274"/>
      <c r="P155" s="274"/>
      <c r="Q155" s="274"/>
      <c r="R155" s="274"/>
      <c r="S155" s="274"/>
      <c r="T155" s="274"/>
      <c r="U155" s="274"/>
    </row>
    <row r="156" ht="15.75" customHeight="1">
      <c r="A156" s="274"/>
      <c r="B156" s="274"/>
      <c r="C156" s="274"/>
      <c r="D156" s="274"/>
      <c r="E156" s="274"/>
      <c r="F156" s="274"/>
      <c r="G156" s="274"/>
      <c r="H156" s="274"/>
      <c r="I156" s="274"/>
      <c r="J156" s="274"/>
      <c r="K156" s="274"/>
      <c r="L156" s="274"/>
      <c r="M156" s="274"/>
      <c r="N156" s="274"/>
      <c r="O156" s="274"/>
      <c r="P156" s="274"/>
      <c r="Q156" s="274"/>
      <c r="R156" s="274"/>
      <c r="S156" s="274"/>
      <c r="T156" s="274"/>
      <c r="U156" s="274"/>
    </row>
    <row r="157" ht="15.75" customHeight="1">
      <c r="A157" s="274"/>
      <c r="B157" s="274"/>
      <c r="C157" s="274"/>
      <c r="D157" s="274"/>
      <c r="E157" s="274"/>
      <c r="F157" s="274"/>
      <c r="G157" s="274"/>
      <c r="H157" s="274"/>
      <c r="I157" s="274"/>
      <c r="J157" s="274"/>
      <c r="K157" s="274"/>
      <c r="L157" s="274"/>
      <c r="M157" s="274"/>
      <c r="N157" s="274"/>
      <c r="O157" s="274"/>
      <c r="P157" s="274"/>
      <c r="Q157" s="274"/>
      <c r="R157" s="274"/>
      <c r="S157" s="274"/>
      <c r="T157" s="274"/>
      <c r="U157" s="274"/>
    </row>
    <row r="158" ht="15.75" customHeight="1">
      <c r="A158" s="274"/>
      <c r="B158" s="274"/>
      <c r="C158" s="274"/>
      <c r="D158" s="274"/>
      <c r="E158" s="274"/>
      <c r="F158" s="274"/>
      <c r="G158" s="274"/>
      <c r="H158" s="274"/>
      <c r="I158" s="274"/>
      <c r="J158" s="274"/>
      <c r="K158" s="274"/>
      <c r="L158" s="274"/>
      <c r="M158" s="274"/>
      <c r="N158" s="274"/>
      <c r="O158" s="274"/>
      <c r="P158" s="274"/>
      <c r="Q158" s="274"/>
      <c r="R158" s="274"/>
      <c r="S158" s="274"/>
      <c r="T158" s="274"/>
      <c r="U158" s="274"/>
    </row>
    <row r="159" ht="15.75" customHeight="1">
      <c r="A159" s="274"/>
      <c r="B159" s="274"/>
      <c r="C159" s="274"/>
      <c r="D159" s="274"/>
      <c r="E159" s="274"/>
      <c r="F159" s="274"/>
      <c r="G159" s="274"/>
      <c r="H159" s="274"/>
      <c r="I159" s="274"/>
      <c r="J159" s="274"/>
      <c r="K159" s="274"/>
      <c r="L159" s="274"/>
      <c r="M159" s="274"/>
      <c r="N159" s="274"/>
      <c r="O159" s="274"/>
      <c r="P159" s="274"/>
      <c r="Q159" s="274"/>
      <c r="R159" s="274"/>
      <c r="S159" s="274"/>
      <c r="T159" s="274"/>
      <c r="U159" s="274"/>
    </row>
    <row r="160" ht="15.75" customHeight="1">
      <c r="A160" s="274"/>
      <c r="B160" s="274"/>
      <c r="C160" s="274"/>
      <c r="D160" s="274"/>
      <c r="E160" s="274"/>
      <c r="F160" s="274"/>
      <c r="G160" s="274"/>
      <c r="H160" s="274"/>
      <c r="I160" s="274"/>
      <c r="J160" s="274"/>
      <c r="K160" s="274"/>
      <c r="L160" s="274"/>
      <c r="M160" s="274"/>
      <c r="N160" s="274"/>
      <c r="O160" s="274"/>
      <c r="P160" s="274"/>
      <c r="Q160" s="274"/>
      <c r="R160" s="274"/>
      <c r="S160" s="274"/>
      <c r="T160" s="274"/>
      <c r="U160" s="274"/>
    </row>
    <row r="161" ht="15.75" customHeight="1">
      <c r="A161" s="274"/>
      <c r="B161" s="274"/>
      <c r="C161" s="274"/>
      <c r="D161" s="274"/>
      <c r="E161" s="274"/>
      <c r="F161" s="274"/>
      <c r="G161" s="274"/>
      <c r="H161" s="274"/>
      <c r="I161" s="274"/>
      <c r="J161" s="274"/>
      <c r="K161" s="274"/>
      <c r="L161" s="274"/>
      <c r="M161" s="274"/>
      <c r="N161" s="274"/>
      <c r="O161" s="274"/>
      <c r="P161" s="274"/>
      <c r="Q161" s="274"/>
      <c r="R161" s="274"/>
      <c r="S161" s="274"/>
      <c r="T161" s="274"/>
      <c r="U161" s="274"/>
    </row>
    <row r="162" ht="15.75" customHeight="1">
      <c r="A162" s="274"/>
      <c r="B162" s="274"/>
      <c r="C162" s="274"/>
      <c r="D162" s="274"/>
      <c r="E162" s="274"/>
      <c r="F162" s="274"/>
      <c r="G162" s="274"/>
      <c r="H162" s="274"/>
      <c r="I162" s="274"/>
      <c r="J162" s="274"/>
      <c r="K162" s="274"/>
      <c r="L162" s="274"/>
      <c r="M162" s="274"/>
      <c r="N162" s="274"/>
      <c r="O162" s="274"/>
      <c r="P162" s="274"/>
      <c r="Q162" s="274"/>
      <c r="R162" s="274"/>
      <c r="S162" s="274"/>
      <c r="T162" s="274"/>
      <c r="U162" s="274"/>
    </row>
    <row r="163" ht="15.75" customHeight="1">
      <c r="A163" s="274"/>
      <c r="B163" s="274"/>
      <c r="C163" s="274"/>
      <c r="D163" s="274"/>
      <c r="E163" s="274"/>
      <c r="F163" s="274"/>
      <c r="G163" s="274"/>
      <c r="H163" s="274"/>
      <c r="I163" s="274"/>
      <c r="J163" s="274"/>
      <c r="K163" s="274"/>
      <c r="L163" s="274"/>
      <c r="M163" s="274"/>
      <c r="N163" s="274"/>
      <c r="O163" s="274"/>
      <c r="P163" s="274"/>
      <c r="Q163" s="274"/>
      <c r="R163" s="274"/>
      <c r="S163" s="274"/>
      <c r="T163" s="274"/>
      <c r="U163" s="274"/>
    </row>
    <row r="164" ht="15.75" customHeight="1">
      <c r="A164" s="274"/>
      <c r="B164" s="274"/>
      <c r="C164" s="274"/>
      <c r="D164" s="274"/>
      <c r="E164" s="274"/>
      <c r="F164" s="274"/>
      <c r="G164" s="274"/>
      <c r="H164" s="274"/>
      <c r="I164" s="274"/>
      <c r="J164" s="274"/>
      <c r="K164" s="274"/>
      <c r="L164" s="274"/>
      <c r="M164" s="274"/>
      <c r="N164" s="274"/>
      <c r="O164" s="274"/>
      <c r="P164" s="274"/>
      <c r="Q164" s="274"/>
      <c r="R164" s="274"/>
      <c r="S164" s="274"/>
      <c r="T164" s="274"/>
      <c r="U164" s="274"/>
    </row>
    <row r="165" ht="15.75" customHeight="1">
      <c r="A165" s="274"/>
      <c r="B165" s="274"/>
      <c r="C165" s="274"/>
      <c r="D165" s="274"/>
      <c r="E165" s="274"/>
      <c r="F165" s="274"/>
      <c r="G165" s="274"/>
      <c r="H165" s="274"/>
      <c r="I165" s="274"/>
      <c r="J165" s="274"/>
      <c r="K165" s="274"/>
      <c r="L165" s="274"/>
      <c r="M165" s="274"/>
      <c r="N165" s="274"/>
      <c r="O165" s="274"/>
      <c r="P165" s="274"/>
      <c r="Q165" s="274"/>
      <c r="R165" s="274"/>
      <c r="S165" s="274"/>
      <c r="T165" s="274"/>
      <c r="U165" s="274"/>
    </row>
    <row r="166" ht="15.75" customHeight="1">
      <c r="A166" s="274"/>
      <c r="B166" s="274"/>
      <c r="C166" s="274"/>
      <c r="D166" s="274"/>
      <c r="E166" s="274"/>
      <c r="F166" s="274"/>
      <c r="G166" s="274"/>
      <c r="H166" s="274"/>
      <c r="I166" s="274"/>
      <c r="J166" s="274"/>
      <c r="K166" s="274"/>
      <c r="L166" s="274"/>
      <c r="M166" s="274"/>
      <c r="N166" s="274"/>
      <c r="O166" s="274"/>
      <c r="P166" s="274"/>
      <c r="Q166" s="274"/>
      <c r="R166" s="274"/>
      <c r="S166" s="274"/>
      <c r="T166" s="274"/>
      <c r="U166" s="274"/>
    </row>
    <row r="167" ht="15.75" customHeight="1">
      <c r="A167" s="274"/>
      <c r="B167" s="274"/>
      <c r="C167" s="274"/>
      <c r="D167" s="274"/>
      <c r="E167" s="274"/>
      <c r="F167" s="274"/>
      <c r="G167" s="274"/>
      <c r="H167" s="274"/>
      <c r="I167" s="274"/>
      <c r="J167" s="274"/>
      <c r="K167" s="274"/>
      <c r="L167" s="274"/>
      <c r="M167" s="274"/>
      <c r="N167" s="274"/>
      <c r="O167" s="274"/>
      <c r="P167" s="274"/>
      <c r="Q167" s="274"/>
      <c r="R167" s="274"/>
      <c r="S167" s="274"/>
      <c r="T167" s="274"/>
      <c r="U167" s="274"/>
    </row>
    <row r="168" ht="15.75" customHeight="1">
      <c r="A168" s="274"/>
      <c r="B168" s="274"/>
      <c r="C168" s="274"/>
      <c r="D168" s="274"/>
      <c r="E168" s="274"/>
      <c r="F168" s="274"/>
      <c r="G168" s="274"/>
      <c r="H168" s="274"/>
      <c r="I168" s="274"/>
      <c r="J168" s="274"/>
      <c r="K168" s="274"/>
      <c r="L168" s="274"/>
      <c r="M168" s="274"/>
      <c r="N168" s="274"/>
      <c r="O168" s="274"/>
      <c r="P168" s="274"/>
      <c r="Q168" s="274"/>
      <c r="R168" s="274"/>
      <c r="S168" s="274"/>
      <c r="T168" s="274"/>
      <c r="U168" s="274"/>
    </row>
    <row r="169" ht="15.75" customHeight="1">
      <c r="A169" s="274"/>
      <c r="B169" s="274"/>
      <c r="C169" s="274"/>
      <c r="D169" s="274"/>
      <c r="E169" s="274"/>
      <c r="F169" s="274"/>
      <c r="G169" s="274"/>
      <c r="H169" s="274"/>
      <c r="I169" s="274"/>
      <c r="J169" s="274"/>
      <c r="K169" s="274"/>
      <c r="L169" s="274"/>
      <c r="M169" s="274"/>
      <c r="N169" s="274"/>
      <c r="O169" s="274"/>
      <c r="P169" s="274"/>
      <c r="Q169" s="274"/>
      <c r="R169" s="274"/>
      <c r="S169" s="274"/>
      <c r="T169" s="274"/>
      <c r="U169" s="274"/>
    </row>
    <row r="170" ht="15.75" customHeight="1">
      <c r="A170" s="274"/>
      <c r="B170" s="274"/>
      <c r="C170" s="274"/>
      <c r="D170" s="274"/>
      <c r="E170" s="274"/>
      <c r="F170" s="274"/>
      <c r="G170" s="274"/>
      <c r="H170" s="274"/>
      <c r="I170" s="274"/>
      <c r="J170" s="274"/>
      <c r="K170" s="274"/>
      <c r="L170" s="274"/>
      <c r="M170" s="274"/>
      <c r="N170" s="274"/>
      <c r="O170" s="274"/>
      <c r="P170" s="274"/>
      <c r="Q170" s="274"/>
      <c r="R170" s="274"/>
      <c r="S170" s="274"/>
      <c r="T170" s="274"/>
      <c r="U170" s="274"/>
    </row>
    <row r="171" ht="15.75" customHeight="1">
      <c r="A171" s="274"/>
      <c r="B171" s="274"/>
      <c r="C171" s="274"/>
      <c r="D171" s="274"/>
      <c r="E171" s="274"/>
      <c r="F171" s="274"/>
      <c r="G171" s="274"/>
      <c r="H171" s="274"/>
      <c r="I171" s="274"/>
      <c r="J171" s="274"/>
      <c r="K171" s="274"/>
      <c r="L171" s="274"/>
      <c r="M171" s="274"/>
      <c r="N171" s="274"/>
      <c r="O171" s="274"/>
      <c r="P171" s="274"/>
      <c r="Q171" s="274"/>
      <c r="R171" s="274"/>
      <c r="S171" s="274"/>
      <c r="T171" s="274"/>
      <c r="U171" s="274"/>
    </row>
    <row r="172" ht="15.75" customHeight="1">
      <c r="A172" s="274"/>
      <c r="B172" s="274"/>
      <c r="C172" s="274"/>
      <c r="D172" s="274"/>
      <c r="E172" s="274"/>
      <c r="F172" s="274"/>
      <c r="G172" s="274"/>
      <c r="H172" s="274"/>
      <c r="I172" s="274"/>
      <c r="J172" s="274"/>
      <c r="K172" s="274"/>
      <c r="L172" s="274"/>
      <c r="M172" s="274"/>
      <c r="N172" s="274"/>
      <c r="O172" s="274"/>
      <c r="P172" s="274"/>
      <c r="Q172" s="274"/>
      <c r="R172" s="274"/>
      <c r="S172" s="274"/>
      <c r="T172" s="274"/>
      <c r="U172" s="274"/>
    </row>
    <row r="173" ht="15.75" customHeight="1">
      <c r="A173" s="274"/>
      <c r="B173" s="274"/>
      <c r="C173" s="274"/>
      <c r="D173" s="274"/>
      <c r="E173" s="274"/>
      <c r="F173" s="274"/>
      <c r="G173" s="274"/>
      <c r="H173" s="274"/>
      <c r="I173" s="274"/>
      <c r="J173" s="274"/>
      <c r="K173" s="274"/>
      <c r="L173" s="274"/>
      <c r="M173" s="274"/>
      <c r="N173" s="274"/>
      <c r="O173" s="274"/>
      <c r="P173" s="274"/>
      <c r="Q173" s="274"/>
      <c r="R173" s="274"/>
      <c r="S173" s="274"/>
      <c r="T173" s="274"/>
      <c r="U173" s="274"/>
    </row>
    <row r="174" ht="15.75" customHeight="1">
      <c r="A174" s="274"/>
      <c r="B174" s="274"/>
      <c r="C174" s="274"/>
      <c r="D174" s="274"/>
      <c r="E174" s="274"/>
      <c r="F174" s="274"/>
      <c r="G174" s="274"/>
      <c r="H174" s="274"/>
      <c r="I174" s="274"/>
      <c r="J174" s="274"/>
      <c r="K174" s="274"/>
      <c r="L174" s="274"/>
      <c r="M174" s="274"/>
      <c r="N174" s="274"/>
      <c r="O174" s="274"/>
      <c r="P174" s="274"/>
      <c r="Q174" s="274"/>
      <c r="R174" s="274"/>
      <c r="S174" s="274"/>
      <c r="T174" s="274"/>
      <c r="U174" s="274"/>
    </row>
    <row r="175" ht="15.75" customHeight="1">
      <c r="A175" s="274"/>
      <c r="B175" s="274"/>
      <c r="C175" s="274"/>
      <c r="D175" s="274"/>
      <c r="E175" s="274"/>
      <c r="F175" s="274"/>
      <c r="G175" s="274"/>
      <c r="H175" s="274"/>
      <c r="I175" s="274"/>
      <c r="J175" s="274"/>
      <c r="K175" s="274"/>
      <c r="L175" s="274"/>
      <c r="M175" s="274"/>
      <c r="N175" s="274"/>
      <c r="O175" s="274"/>
      <c r="P175" s="274"/>
      <c r="Q175" s="274"/>
      <c r="R175" s="274"/>
      <c r="S175" s="274"/>
      <c r="T175" s="274"/>
      <c r="U175" s="274"/>
    </row>
    <row r="176" ht="15.75" customHeight="1">
      <c r="A176" s="274"/>
      <c r="B176" s="274"/>
      <c r="C176" s="274"/>
      <c r="D176" s="274"/>
      <c r="E176" s="274"/>
      <c r="F176" s="274"/>
      <c r="G176" s="274"/>
      <c r="H176" s="274"/>
      <c r="I176" s="274"/>
      <c r="J176" s="274"/>
      <c r="K176" s="274"/>
      <c r="L176" s="274"/>
      <c r="M176" s="274"/>
      <c r="N176" s="274"/>
      <c r="O176" s="274"/>
      <c r="P176" s="274"/>
      <c r="Q176" s="274"/>
      <c r="R176" s="274"/>
      <c r="S176" s="274"/>
      <c r="T176" s="274"/>
      <c r="U176" s="274"/>
    </row>
    <row r="177" ht="15.75" customHeight="1">
      <c r="A177" s="274"/>
      <c r="B177" s="274"/>
      <c r="C177" s="274"/>
      <c r="D177" s="274"/>
      <c r="E177" s="274"/>
      <c r="F177" s="274"/>
      <c r="G177" s="274"/>
      <c r="H177" s="274"/>
      <c r="I177" s="274"/>
      <c r="J177" s="274"/>
      <c r="K177" s="274"/>
      <c r="L177" s="274"/>
      <c r="M177" s="274"/>
      <c r="N177" s="274"/>
      <c r="O177" s="274"/>
      <c r="P177" s="274"/>
      <c r="Q177" s="274"/>
      <c r="R177" s="274"/>
      <c r="S177" s="274"/>
      <c r="T177" s="274"/>
      <c r="U177" s="274"/>
    </row>
    <row r="178" ht="15.75" customHeight="1">
      <c r="A178" s="274"/>
      <c r="B178" s="274"/>
      <c r="C178" s="274"/>
      <c r="D178" s="274"/>
      <c r="E178" s="274"/>
      <c r="F178" s="274"/>
      <c r="G178" s="274"/>
      <c r="H178" s="274"/>
      <c r="I178" s="274"/>
      <c r="J178" s="274"/>
      <c r="K178" s="274"/>
      <c r="L178" s="274"/>
      <c r="M178" s="274"/>
      <c r="N178" s="274"/>
      <c r="O178" s="274"/>
      <c r="P178" s="274"/>
      <c r="Q178" s="274"/>
      <c r="R178" s="274"/>
      <c r="S178" s="274"/>
      <c r="T178" s="274"/>
      <c r="U178" s="274"/>
    </row>
    <row r="179" ht="15.75" customHeight="1">
      <c r="A179" s="274"/>
      <c r="B179" s="274"/>
      <c r="C179" s="274"/>
      <c r="D179" s="274"/>
      <c r="E179" s="274"/>
      <c r="F179" s="274"/>
      <c r="G179" s="274"/>
      <c r="H179" s="274"/>
      <c r="I179" s="274"/>
      <c r="J179" s="274"/>
      <c r="K179" s="274"/>
      <c r="L179" s="274"/>
      <c r="M179" s="274"/>
      <c r="N179" s="274"/>
      <c r="O179" s="274"/>
      <c r="P179" s="274"/>
      <c r="Q179" s="274"/>
      <c r="R179" s="274"/>
      <c r="S179" s="274"/>
      <c r="T179" s="274"/>
      <c r="U179" s="274"/>
    </row>
    <row r="180" ht="15.75" customHeight="1">
      <c r="A180" s="274"/>
      <c r="B180" s="274"/>
      <c r="C180" s="274"/>
      <c r="D180" s="274"/>
      <c r="E180" s="274"/>
      <c r="F180" s="274"/>
      <c r="G180" s="274"/>
      <c r="H180" s="274"/>
      <c r="I180" s="274"/>
      <c r="J180" s="274"/>
      <c r="K180" s="274"/>
      <c r="L180" s="274"/>
      <c r="M180" s="274"/>
      <c r="N180" s="274"/>
      <c r="O180" s="274"/>
      <c r="P180" s="274"/>
      <c r="Q180" s="274"/>
      <c r="R180" s="274"/>
      <c r="S180" s="274"/>
      <c r="T180" s="274"/>
      <c r="U180" s="274"/>
    </row>
    <row r="181" ht="15.75" customHeight="1">
      <c r="A181" s="274"/>
      <c r="B181" s="274"/>
      <c r="C181" s="274"/>
      <c r="D181" s="274"/>
      <c r="E181" s="274"/>
      <c r="F181" s="274"/>
      <c r="G181" s="274"/>
      <c r="H181" s="274"/>
      <c r="I181" s="274"/>
      <c r="J181" s="274"/>
      <c r="K181" s="274"/>
      <c r="L181" s="274"/>
      <c r="M181" s="274"/>
      <c r="N181" s="274"/>
      <c r="O181" s="274"/>
      <c r="P181" s="274"/>
      <c r="Q181" s="274"/>
      <c r="R181" s="274"/>
      <c r="S181" s="274"/>
      <c r="T181" s="274"/>
      <c r="U181" s="274"/>
    </row>
    <row r="182" ht="15.75" customHeight="1">
      <c r="A182" s="274"/>
      <c r="B182" s="274"/>
      <c r="C182" s="274"/>
      <c r="D182" s="274"/>
      <c r="E182" s="274"/>
      <c r="F182" s="274"/>
      <c r="G182" s="274"/>
      <c r="H182" s="274"/>
      <c r="I182" s="274"/>
      <c r="J182" s="274"/>
      <c r="K182" s="274"/>
      <c r="L182" s="274"/>
      <c r="M182" s="274"/>
      <c r="N182" s="274"/>
      <c r="O182" s="274"/>
      <c r="P182" s="274"/>
      <c r="Q182" s="274"/>
      <c r="R182" s="274"/>
      <c r="S182" s="274"/>
      <c r="T182" s="274"/>
      <c r="U182" s="274"/>
    </row>
    <row r="183" ht="15.75" customHeight="1">
      <c r="A183" s="274"/>
      <c r="B183" s="274"/>
      <c r="C183" s="274"/>
      <c r="D183" s="274"/>
      <c r="E183" s="274"/>
      <c r="F183" s="274"/>
      <c r="G183" s="274"/>
      <c r="H183" s="274"/>
      <c r="I183" s="274"/>
      <c r="J183" s="274"/>
      <c r="K183" s="274"/>
      <c r="L183" s="274"/>
      <c r="M183" s="274"/>
      <c r="N183" s="274"/>
      <c r="O183" s="274"/>
      <c r="P183" s="274"/>
      <c r="Q183" s="274"/>
      <c r="R183" s="274"/>
      <c r="S183" s="274"/>
      <c r="T183" s="274"/>
      <c r="U183" s="274"/>
    </row>
    <row r="184" ht="15.75" customHeight="1">
      <c r="A184" s="274"/>
      <c r="B184" s="274"/>
      <c r="C184" s="274"/>
      <c r="D184" s="274"/>
      <c r="E184" s="274"/>
      <c r="F184" s="274"/>
      <c r="G184" s="274"/>
      <c r="H184" s="274"/>
      <c r="I184" s="274"/>
      <c r="J184" s="274"/>
      <c r="K184" s="274"/>
      <c r="L184" s="274"/>
      <c r="M184" s="274"/>
      <c r="N184" s="274"/>
      <c r="O184" s="274"/>
      <c r="P184" s="274"/>
      <c r="Q184" s="274"/>
      <c r="R184" s="274"/>
      <c r="S184" s="274"/>
      <c r="T184" s="274"/>
      <c r="U184" s="274"/>
    </row>
    <row r="185" ht="15.75" customHeight="1">
      <c r="A185" s="274"/>
      <c r="B185" s="274"/>
      <c r="C185" s="274"/>
      <c r="D185" s="274"/>
      <c r="E185" s="274"/>
      <c r="F185" s="274"/>
      <c r="G185" s="274"/>
      <c r="H185" s="274"/>
      <c r="I185" s="274"/>
      <c r="J185" s="274"/>
      <c r="K185" s="274"/>
      <c r="L185" s="274"/>
      <c r="M185" s="274"/>
      <c r="N185" s="274"/>
      <c r="O185" s="274"/>
      <c r="P185" s="274"/>
      <c r="Q185" s="274"/>
      <c r="R185" s="274"/>
      <c r="S185" s="274"/>
      <c r="T185" s="274"/>
      <c r="U185" s="274"/>
    </row>
    <row r="186" ht="15.75" customHeight="1">
      <c r="A186" s="274"/>
      <c r="B186" s="274"/>
      <c r="C186" s="274"/>
      <c r="D186" s="274"/>
      <c r="E186" s="274"/>
      <c r="F186" s="274"/>
      <c r="G186" s="274"/>
      <c r="H186" s="274"/>
      <c r="I186" s="274"/>
      <c r="J186" s="274"/>
      <c r="K186" s="274"/>
      <c r="L186" s="274"/>
      <c r="M186" s="274"/>
      <c r="N186" s="274"/>
      <c r="O186" s="274"/>
      <c r="P186" s="274"/>
      <c r="Q186" s="274"/>
      <c r="R186" s="274"/>
      <c r="S186" s="274"/>
      <c r="T186" s="274"/>
      <c r="U186" s="274"/>
    </row>
    <row r="187" ht="15.75" customHeight="1">
      <c r="A187" s="274"/>
      <c r="B187" s="274"/>
      <c r="C187" s="274"/>
      <c r="D187" s="274"/>
      <c r="E187" s="274"/>
      <c r="F187" s="274"/>
      <c r="G187" s="274"/>
      <c r="H187" s="274"/>
      <c r="I187" s="274"/>
      <c r="J187" s="274"/>
      <c r="K187" s="274"/>
      <c r="L187" s="274"/>
      <c r="M187" s="274"/>
      <c r="N187" s="274"/>
      <c r="O187" s="274"/>
      <c r="P187" s="274"/>
      <c r="Q187" s="274"/>
      <c r="R187" s="274"/>
      <c r="S187" s="274"/>
      <c r="T187" s="274"/>
      <c r="U187" s="274"/>
    </row>
    <row r="188" ht="15.75" customHeight="1">
      <c r="A188" s="274"/>
      <c r="B188" s="274"/>
      <c r="C188" s="274"/>
      <c r="D188" s="274"/>
      <c r="E188" s="274"/>
      <c r="F188" s="274"/>
      <c r="G188" s="274"/>
      <c r="H188" s="274"/>
      <c r="I188" s="274"/>
      <c r="J188" s="274"/>
      <c r="K188" s="274"/>
      <c r="L188" s="274"/>
      <c r="M188" s="274"/>
      <c r="N188" s="274"/>
      <c r="O188" s="274"/>
      <c r="P188" s="274"/>
      <c r="Q188" s="274"/>
      <c r="R188" s="274"/>
      <c r="S188" s="274"/>
      <c r="T188" s="274"/>
      <c r="U188" s="274"/>
    </row>
    <row r="189" ht="15.75" customHeight="1">
      <c r="A189" s="274"/>
      <c r="B189" s="274"/>
      <c r="C189" s="274"/>
      <c r="D189" s="274"/>
      <c r="E189" s="274"/>
      <c r="F189" s="274"/>
      <c r="G189" s="274"/>
      <c r="H189" s="274"/>
      <c r="I189" s="274"/>
      <c r="J189" s="274"/>
      <c r="K189" s="274"/>
      <c r="L189" s="274"/>
      <c r="M189" s="274"/>
      <c r="N189" s="274"/>
      <c r="O189" s="274"/>
      <c r="P189" s="274"/>
      <c r="Q189" s="274"/>
      <c r="R189" s="274"/>
      <c r="S189" s="274"/>
      <c r="T189" s="274"/>
      <c r="U189" s="274"/>
    </row>
    <row r="190" ht="15.75" customHeight="1">
      <c r="A190" s="274"/>
      <c r="B190" s="274"/>
      <c r="C190" s="274"/>
      <c r="D190" s="274"/>
      <c r="E190" s="274"/>
      <c r="F190" s="274"/>
      <c r="G190" s="274"/>
      <c r="H190" s="274"/>
      <c r="I190" s="274"/>
      <c r="J190" s="274"/>
      <c r="K190" s="274"/>
      <c r="L190" s="274"/>
      <c r="M190" s="274"/>
      <c r="N190" s="274"/>
      <c r="O190" s="274"/>
      <c r="P190" s="274"/>
      <c r="Q190" s="274"/>
      <c r="R190" s="274"/>
      <c r="S190" s="274"/>
      <c r="T190" s="274"/>
      <c r="U190" s="274"/>
    </row>
    <row r="191" ht="15.75" customHeight="1">
      <c r="A191" s="274"/>
      <c r="B191" s="274"/>
      <c r="C191" s="274"/>
      <c r="D191" s="274"/>
      <c r="E191" s="274"/>
      <c r="F191" s="274"/>
      <c r="G191" s="274"/>
      <c r="H191" s="274"/>
      <c r="I191" s="274"/>
      <c r="J191" s="274"/>
      <c r="K191" s="274"/>
      <c r="L191" s="274"/>
      <c r="M191" s="274"/>
      <c r="N191" s="274"/>
      <c r="O191" s="274"/>
      <c r="P191" s="274"/>
      <c r="Q191" s="274"/>
      <c r="R191" s="274"/>
      <c r="S191" s="274"/>
      <c r="T191" s="274"/>
      <c r="U191" s="274"/>
    </row>
    <row r="192" ht="15.75" customHeight="1">
      <c r="A192" s="274"/>
      <c r="B192" s="274"/>
      <c r="C192" s="274"/>
      <c r="D192" s="274"/>
      <c r="E192" s="274"/>
      <c r="F192" s="274"/>
      <c r="G192" s="274"/>
      <c r="H192" s="274"/>
      <c r="I192" s="274"/>
      <c r="J192" s="274"/>
      <c r="K192" s="274"/>
      <c r="L192" s="274"/>
      <c r="M192" s="274"/>
      <c r="N192" s="274"/>
      <c r="O192" s="274"/>
      <c r="P192" s="274"/>
      <c r="Q192" s="274"/>
      <c r="R192" s="274"/>
      <c r="S192" s="274"/>
      <c r="T192" s="274"/>
      <c r="U192" s="274"/>
    </row>
    <row r="193" ht="15.75" customHeight="1">
      <c r="A193" s="274"/>
      <c r="B193" s="274"/>
      <c r="C193" s="274"/>
      <c r="D193" s="274"/>
      <c r="E193" s="274"/>
      <c r="F193" s="274"/>
      <c r="G193" s="274"/>
      <c r="H193" s="274"/>
      <c r="I193" s="274"/>
      <c r="J193" s="274"/>
      <c r="K193" s="274"/>
      <c r="L193" s="274"/>
      <c r="M193" s="274"/>
      <c r="N193" s="274"/>
      <c r="O193" s="274"/>
      <c r="P193" s="274"/>
      <c r="Q193" s="274"/>
      <c r="R193" s="274"/>
      <c r="S193" s="274"/>
      <c r="T193" s="274"/>
      <c r="U193" s="274"/>
    </row>
    <row r="194" ht="15.75" customHeight="1">
      <c r="A194" s="274"/>
      <c r="B194" s="274"/>
      <c r="C194" s="274"/>
      <c r="D194" s="274"/>
      <c r="E194" s="274"/>
      <c r="F194" s="274"/>
      <c r="G194" s="274"/>
      <c r="H194" s="274"/>
      <c r="I194" s="274"/>
      <c r="J194" s="274"/>
      <c r="K194" s="274"/>
      <c r="L194" s="274"/>
      <c r="M194" s="274"/>
      <c r="N194" s="274"/>
      <c r="O194" s="274"/>
      <c r="P194" s="274"/>
      <c r="Q194" s="274"/>
      <c r="R194" s="274"/>
      <c r="S194" s="274"/>
      <c r="T194" s="274"/>
      <c r="U194" s="274"/>
    </row>
    <row r="195" ht="15.75" customHeight="1">
      <c r="A195" s="274"/>
      <c r="B195" s="274"/>
      <c r="C195" s="274"/>
      <c r="D195" s="274"/>
      <c r="E195" s="274"/>
      <c r="F195" s="274"/>
      <c r="G195" s="274"/>
      <c r="H195" s="274"/>
      <c r="I195" s="274"/>
      <c r="J195" s="274"/>
      <c r="K195" s="274"/>
      <c r="L195" s="274"/>
      <c r="M195" s="274"/>
      <c r="N195" s="274"/>
      <c r="O195" s="274"/>
      <c r="P195" s="274"/>
      <c r="Q195" s="274"/>
      <c r="R195" s="274"/>
      <c r="S195" s="274"/>
      <c r="T195" s="274"/>
      <c r="U195" s="274"/>
    </row>
    <row r="196" ht="15.75" customHeight="1">
      <c r="A196" s="274"/>
      <c r="B196" s="274"/>
      <c r="C196" s="274"/>
      <c r="D196" s="274"/>
      <c r="E196" s="274"/>
      <c r="F196" s="274"/>
      <c r="G196" s="274"/>
      <c r="H196" s="274"/>
      <c r="I196" s="274"/>
      <c r="J196" s="274"/>
      <c r="K196" s="274"/>
      <c r="L196" s="274"/>
      <c r="M196" s="274"/>
      <c r="N196" s="274"/>
      <c r="O196" s="274"/>
      <c r="P196" s="274"/>
      <c r="Q196" s="274"/>
      <c r="R196" s="274"/>
      <c r="S196" s="274"/>
      <c r="T196" s="274"/>
      <c r="U196" s="274"/>
    </row>
    <row r="197" ht="15.75" customHeight="1">
      <c r="A197" s="274"/>
      <c r="B197" s="274"/>
      <c r="C197" s="274"/>
      <c r="D197" s="274"/>
      <c r="E197" s="274"/>
      <c r="F197" s="274"/>
      <c r="G197" s="274"/>
      <c r="H197" s="274"/>
      <c r="I197" s="274"/>
      <c r="J197" s="274"/>
      <c r="K197" s="274"/>
      <c r="L197" s="274"/>
      <c r="M197" s="274"/>
      <c r="N197" s="274"/>
      <c r="O197" s="274"/>
      <c r="P197" s="274"/>
      <c r="Q197" s="274"/>
      <c r="R197" s="274"/>
      <c r="S197" s="274"/>
      <c r="T197" s="274"/>
      <c r="U197" s="274"/>
    </row>
    <row r="198" ht="15.75" customHeight="1">
      <c r="A198" s="274"/>
      <c r="B198" s="274"/>
      <c r="C198" s="274"/>
      <c r="D198" s="274"/>
      <c r="E198" s="274"/>
      <c r="F198" s="274"/>
      <c r="G198" s="274"/>
      <c r="H198" s="274"/>
      <c r="I198" s="274"/>
      <c r="J198" s="274"/>
      <c r="K198" s="274"/>
      <c r="L198" s="274"/>
      <c r="M198" s="274"/>
      <c r="N198" s="274"/>
      <c r="O198" s="274"/>
      <c r="P198" s="274"/>
      <c r="Q198" s="274"/>
      <c r="R198" s="274"/>
      <c r="S198" s="274"/>
      <c r="T198" s="274"/>
      <c r="U198" s="274"/>
    </row>
    <row r="199" ht="15.75" customHeight="1">
      <c r="A199" s="274"/>
      <c r="B199" s="274"/>
      <c r="C199" s="274"/>
      <c r="D199" s="274"/>
      <c r="E199" s="274"/>
      <c r="F199" s="274"/>
      <c r="G199" s="274"/>
      <c r="H199" s="274"/>
      <c r="I199" s="274"/>
      <c r="J199" s="274"/>
      <c r="K199" s="274"/>
      <c r="L199" s="274"/>
      <c r="M199" s="274"/>
      <c r="N199" s="274"/>
      <c r="O199" s="274"/>
      <c r="P199" s="274"/>
      <c r="Q199" s="274"/>
      <c r="R199" s="274"/>
      <c r="S199" s="274"/>
      <c r="T199" s="274"/>
      <c r="U199" s="274"/>
    </row>
    <row r="200" ht="15.75" customHeight="1">
      <c r="A200" s="274"/>
      <c r="B200" s="274"/>
      <c r="C200" s="274"/>
      <c r="D200" s="274"/>
      <c r="E200" s="274"/>
      <c r="F200" s="274"/>
      <c r="G200" s="274"/>
      <c r="H200" s="274"/>
      <c r="I200" s="274"/>
      <c r="J200" s="274"/>
      <c r="K200" s="274"/>
      <c r="L200" s="274"/>
      <c r="M200" s="274"/>
      <c r="N200" s="274"/>
      <c r="O200" s="274"/>
      <c r="P200" s="274"/>
      <c r="Q200" s="274"/>
      <c r="R200" s="274"/>
      <c r="S200" s="274"/>
      <c r="T200" s="274"/>
      <c r="U200" s="274"/>
    </row>
    <row r="201" ht="15.75" customHeight="1">
      <c r="A201" s="274"/>
      <c r="B201" s="274"/>
      <c r="C201" s="274"/>
      <c r="D201" s="274"/>
      <c r="E201" s="274"/>
      <c r="F201" s="274"/>
      <c r="G201" s="274"/>
      <c r="H201" s="274"/>
      <c r="I201" s="274"/>
      <c r="J201" s="274"/>
      <c r="K201" s="274"/>
      <c r="L201" s="274"/>
      <c r="M201" s="274"/>
      <c r="N201" s="274"/>
      <c r="O201" s="274"/>
      <c r="P201" s="274"/>
      <c r="Q201" s="274"/>
      <c r="R201" s="274"/>
      <c r="S201" s="274"/>
      <c r="T201" s="274"/>
      <c r="U201" s="274"/>
    </row>
    <row r="202" ht="15.75" customHeight="1">
      <c r="A202" s="274"/>
      <c r="B202" s="274"/>
      <c r="C202" s="274"/>
      <c r="D202" s="274"/>
      <c r="E202" s="274"/>
      <c r="F202" s="274"/>
      <c r="G202" s="274"/>
      <c r="H202" s="274"/>
      <c r="I202" s="274"/>
      <c r="J202" s="274"/>
      <c r="K202" s="274"/>
      <c r="L202" s="274"/>
      <c r="M202" s="274"/>
      <c r="N202" s="274"/>
      <c r="O202" s="274"/>
      <c r="P202" s="274"/>
      <c r="Q202" s="274"/>
      <c r="R202" s="274"/>
      <c r="S202" s="274"/>
      <c r="T202" s="274"/>
      <c r="U202" s="274"/>
    </row>
    <row r="203" ht="15.75" customHeight="1">
      <c r="A203" s="274"/>
      <c r="B203" s="274"/>
      <c r="C203" s="274"/>
      <c r="D203" s="274"/>
      <c r="E203" s="274"/>
      <c r="F203" s="274"/>
      <c r="G203" s="274"/>
      <c r="H203" s="274"/>
      <c r="I203" s="274"/>
      <c r="J203" s="274"/>
      <c r="K203" s="274"/>
      <c r="L203" s="274"/>
      <c r="M203" s="274"/>
      <c r="N203" s="274"/>
      <c r="O203" s="274"/>
      <c r="P203" s="274"/>
      <c r="Q203" s="274"/>
      <c r="R203" s="274"/>
      <c r="S203" s="274"/>
      <c r="T203" s="274"/>
      <c r="U203" s="274"/>
    </row>
    <row r="204" ht="15.75" customHeight="1">
      <c r="A204" s="274"/>
      <c r="B204" s="274"/>
      <c r="C204" s="274"/>
      <c r="D204" s="274"/>
      <c r="E204" s="274"/>
      <c r="F204" s="274"/>
      <c r="G204" s="274"/>
      <c r="H204" s="274"/>
      <c r="I204" s="274"/>
      <c r="J204" s="274"/>
      <c r="K204" s="274"/>
      <c r="L204" s="274"/>
      <c r="M204" s="274"/>
      <c r="N204" s="274"/>
      <c r="O204" s="274"/>
      <c r="P204" s="274"/>
      <c r="Q204" s="274"/>
      <c r="R204" s="274"/>
      <c r="S204" s="274"/>
      <c r="T204" s="274"/>
      <c r="U204" s="274"/>
    </row>
    <row r="205" ht="15.75" customHeight="1">
      <c r="A205" s="274"/>
      <c r="B205" s="274"/>
      <c r="C205" s="274"/>
      <c r="D205" s="274"/>
      <c r="E205" s="274"/>
      <c r="F205" s="274"/>
      <c r="G205" s="274"/>
      <c r="H205" s="274"/>
      <c r="I205" s="274"/>
      <c r="J205" s="274"/>
      <c r="K205" s="274"/>
      <c r="L205" s="274"/>
      <c r="M205" s="274"/>
      <c r="N205" s="274"/>
      <c r="O205" s="274"/>
      <c r="P205" s="274"/>
      <c r="Q205" s="274"/>
      <c r="R205" s="274"/>
      <c r="S205" s="274"/>
      <c r="T205" s="274"/>
      <c r="U205" s="274"/>
    </row>
    <row r="206" ht="15.75" customHeight="1">
      <c r="A206" s="274"/>
      <c r="B206" s="274"/>
      <c r="C206" s="274"/>
      <c r="D206" s="274"/>
      <c r="E206" s="274"/>
      <c r="F206" s="274"/>
      <c r="G206" s="274"/>
      <c r="H206" s="274"/>
      <c r="I206" s="274"/>
      <c r="J206" s="274"/>
      <c r="K206" s="274"/>
      <c r="L206" s="274"/>
      <c r="M206" s="274"/>
      <c r="N206" s="274"/>
      <c r="O206" s="274"/>
      <c r="P206" s="274"/>
      <c r="Q206" s="274"/>
      <c r="R206" s="274"/>
      <c r="S206" s="274"/>
      <c r="T206" s="274"/>
      <c r="U206" s="274"/>
    </row>
    <row r="207" ht="15.75" customHeight="1">
      <c r="A207" s="274"/>
      <c r="B207" s="274"/>
      <c r="C207" s="274"/>
      <c r="D207" s="274"/>
      <c r="E207" s="274"/>
      <c r="F207" s="274"/>
      <c r="G207" s="274"/>
      <c r="H207" s="274"/>
      <c r="I207" s="274"/>
      <c r="J207" s="274"/>
      <c r="K207" s="274"/>
      <c r="L207" s="274"/>
      <c r="M207" s="274"/>
      <c r="N207" s="274"/>
      <c r="O207" s="274"/>
      <c r="P207" s="274"/>
      <c r="Q207" s="274"/>
      <c r="R207" s="274"/>
      <c r="S207" s="274"/>
      <c r="T207" s="274"/>
      <c r="U207" s="274"/>
    </row>
    <row r="208" ht="15.75" customHeight="1">
      <c r="A208" s="274"/>
      <c r="B208" s="274"/>
      <c r="C208" s="274"/>
      <c r="D208" s="274"/>
      <c r="E208" s="274"/>
      <c r="F208" s="274"/>
      <c r="G208" s="274"/>
      <c r="H208" s="274"/>
      <c r="I208" s="274"/>
      <c r="J208" s="274"/>
      <c r="K208" s="274"/>
      <c r="L208" s="274"/>
      <c r="M208" s="274"/>
      <c r="N208" s="274"/>
      <c r="O208" s="274"/>
      <c r="P208" s="274"/>
      <c r="Q208" s="274"/>
      <c r="R208" s="274"/>
      <c r="S208" s="274"/>
      <c r="T208" s="274"/>
      <c r="U208" s="274"/>
    </row>
    <row r="209" ht="15.75" customHeight="1">
      <c r="A209" s="274"/>
      <c r="B209" s="274"/>
      <c r="C209" s="274"/>
      <c r="D209" s="274"/>
      <c r="E209" s="274"/>
      <c r="F209" s="274"/>
      <c r="G209" s="274"/>
      <c r="H209" s="274"/>
      <c r="I209" s="274"/>
      <c r="J209" s="274"/>
      <c r="K209" s="274"/>
      <c r="L209" s="274"/>
      <c r="M209" s="274"/>
      <c r="N209" s="274"/>
      <c r="O209" s="274"/>
      <c r="P209" s="274"/>
      <c r="Q209" s="274"/>
      <c r="R209" s="274"/>
      <c r="S209" s="274"/>
      <c r="T209" s="274"/>
      <c r="U209" s="274"/>
    </row>
    <row r="210" ht="15.75" customHeight="1">
      <c r="A210" s="274"/>
      <c r="B210" s="274"/>
      <c r="C210" s="274"/>
      <c r="D210" s="274"/>
      <c r="E210" s="274"/>
      <c r="F210" s="274"/>
      <c r="G210" s="274"/>
      <c r="H210" s="274"/>
      <c r="I210" s="274"/>
      <c r="J210" s="274"/>
      <c r="K210" s="274"/>
      <c r="L210" s="274"/>
      <c r="M210" s="274"/>
      <c r="N210" s="274"/>
      <c r="O210" s="274"/>
      <c r="P210" s="274"/>
      <c r="Q210" s="274"/>
      <c r="R210" s="274"/>
      <c r="S210" s="274"/>
      <c r="T210" s="274"/>
      <c r="U210" s="274"/>
    </row>
    <row r="211" ht="15.75" customHeight="1">
      <c r="A211" s="274"/>
      <c r="B211" s="274"/>
      <c r="C211" s="274"/>
      <c r="D211" s="274"/>
      <c r="E211" s="274"/>
      <c r="F211" s="274"/>
      <c r="G211" s="274"/>
      <c r="H211" s="274"/>
      <c r="I211" s="274"/>
      <c r="J211" s="274"/>
      <c r="K211" s="274"/>
      <c r="L211" s="274"/>
      <c r="M211" s="274"/>
      <c r="N211" s="274"/>
      <c r="O211" s="274"/>
      <c r="P211" s="274"/>
      <c r="Q211" s="274"/>
      <c r="R211" s="274"/>
      <c r="S211" s="274"/>
      <c r="T211" s="274"/>
      <c r="U211" s="274"/>
    </row>
    <row r="212" ht="15.75" customHeight="1">
      <c r="A212" s="274"/>
      <c r="B212" s="274"/>
      <c r="C212" s="274"/>
      <c r="D212" s="274"/>
      <c r="E212" s="274"/>
      <c r="F212" s="274"/>
      <c r="G212" s="274"/>
      <c r="H212" s="274"/>
      <c r="I212" s="274"/>
      <c r="J212" s="274"/>
      <c r="K212" s="274"/>
      <c r="L212" s="274"/>
      <c r="M212" s="274"/>
      <c r="N212" s="274"/>
      <c r="O212" s="274"/>
      <c r="P212" s="274"/>
      <c r="Q212" s="274"/>
      <c r="R212" s="274"/>
      <c r="S212" s="274"/>
      <c r="T212" s="274"/>
      <c r="U212" s="274"/>
    </row>
    <row r="213" ht="15.75" customHeight="1">
      <c r="A213" s="274"/>
      <c r="B213" s="274"/>
      <c r="C213" s="274"/>
      <c r="D213" s="274"/>
      <c r="E213" s="274"/>
      <c r="F213" s="274"/>
      <c r="G213" s="274"/>
      <c r="H213" s="274"/>
      <c r="I213" s="274"/>
      <c r="J213" s="274"/>
      <c r="K213" s="274"/>
      <c r="L213" s="274"/>
      <c r="M213" s="274"/>
      <c r="N213" s="274"/>
      <c r="O213" s="274"/>
      <c r="P213" s="274"/>
      <c r="Q213" s="274"/>
      <c r="R213" s="274"/>
      <c r="S213" s="274"/>
      <c r="T213" s="274"/>
      <c r="U213" s="274"/>
    </row>
    <row r="214" ht="15.75" customHeight="1">
      <c r="A214" s="274"/>
      <c r="B214" s="274"/>
      <c r="C214" s="274"/>
      <c r="D214" s="274"/>
      <c r="E214" s="274"/>
      <c r="F214" s="274"/>
      <c r="G214" s="274"/>
      <c r="H214" s="274"/>
      <c r="I214" s="274"/>
      <c r="J214" s="274"/>
      <c r="K214" s="274"/>
      <c r="L214" s="274"/>
      <c r="M214" s="274"/>
      <c r="N214" s="274"/>
      <c r="O214" s="274"/>
      <c r="P214" s="274"/>
      <c r="Q214" s="274"/>
      <c r="R214" s="274"/>
      <c r="S214" s="274"/>
      <c r="T214" s="274"/>
      <c r="U214" s="274"/>
    </row>
    <row r="215" ht="15.75" customHeight="1">
      <c r="A215" s="274"/>
      <c r="B215" s="274"/>
      <c r="C215" s="274"/>
      <c r="D215" s="274"/>
      <c r="E215" s="274"/>
      <c r="F215" s="274"/>
      <c r="G215" s="274"/>
      <c r="H215" s="274"/>
      <c r="I215" s="274"/>
      <c r="J215" s="274"/>
      <c r="K215" s="274"/>
      <c r="L215" s="274"/>
      <c r="M215" s="274"/>
      <c r="N215" s="274"/>
      <c r="O215" s="274"/>
      <c r="P215" s="274"/>
      <c r="Q215" s="274"/>
      <c r="R215" s="274"/>
      <c r="S215" s="274"/>
      <c r="T215" s="274"/>
      <c r="U215" s="274"/>
    </row>
    <row r="216" ht="15.75" customHeight="1">
      <c r="A216" s="274"/>
      <c r="B216" s="274"/>
      <c r="C216" s="274"/>
      <c r="D216" s="274"/>
      <c r="E216" s="274"/>
      <c r="F216" s="274"/>
      <c r="G216" s="274"/>
      <c r="H216" s="274"/>
      <c r="I216" s="274"/>
      <c r="J216" s="274"/>
      <c r="K216" s="274"/>
      <c r="L216" s="274"/>
      <c r="M216" s="274"/>
      <c r="N216" s="274"/>
      <c r="O216" s="274"/>
      <c r="P216" s="274"/>
      <c r="Q216" s="274"/>
      <c r="R216" s="274"/>
      <c r="S216" s="274"/>
      <c r="T216" s="274"/>
      <c r="U216" s="274"/>
    </row>
    <row r="217" ht="15.75" customHeight="1">
      <c r="A217" s="274"/>
      <c r="B217" s="274"/>
      <c r="C217" s="274"/>
      <c r="D217" s="274"/>
      <c r="E217" s="274"/>
      <c r="F217" s="274"/>
      <c r="G217" s="274"/>
      <c r="H217" s="274"/>
      <c r="I217" s="274"/>
      <c r="J217" s="274"/>
      <c r="K217" s="274"/>
      <c r="L217" s="274"/>
      <c r="M217" s="274"/>
      <c r="N217" s="274"/>
      <c r="O217" s="274"/>
      <c r="P217" s="274"/>
      <c r="Q217" s="274"/>
      <c r="R217" s="274"/>
      <c r="S217" s="274"/>
      <c r="T217" s="274"/>
      <c r="U217" s="274"/>
    </row>
    <row r="218" ht="15.75" customHeight="1">
      <c r="A218" s="274"/>
      <c r="B218" s="274"/>
      <c r="C218" s="274"/>
      <c r="D218" s="274"/>
      <c r="E218" s="274"/>
      <c r="F218" s="274"/>
      <c r="G218" s="274"/>
      <c r="H218" s="274"/>
      <c r="I218" s="274"/>
      <c r="J218" s="274"/>
      <c r="K218" s="274"/>
      <c r="L218" s="274"/>
      <c r="M218" s="274"/>
      <c r="N218" s="274"/>
      <c r="O218" s="274"/>
      <c r="P218" s="274"/>
      <c r="Q218" s="274"/>
      <c r="R218" s="274"/>
      <c r="S218" s="274"/>
      <c r="T218" s="274"/>
      <c r="U218" s="274"/>
    </row>
    <row r="219" ht="15.75" customHeight="1">
      <c r="A219" s="274"/>
      <c r="B219" s="274"/>
      <c r="C219" s="274"/>
      <c r="D219" s="274"/>
      <c r="E219" s="274"/>
      <c r="F219" s="274"/>
      <c r="G219" s="274"/>
      <c r="H219" s="274"/>
      <c r="I219" s="274"/>
      <c r="J219" s="274"/>
      <c r="K219" s="274"/>
      <c r="L219" s="274"/>
      <c r="M219" s="274"/>
      <c r="N219" s="274"/>
      <c r="O219" s="274"/>
      <c r="P219" s="274"/>
      <c r="Q219" s="274"/>
      <c r="R219" s="274"/>
      <c r="S219" s="274"/>
      <c r="T219" s="274"/>
      <c r="U219" s="274"/>
    </row>
    <row r="220" ht="15.75" customHeight="1">
      <c r="A220" s="274"/>
      <c r="B220" s="274"/>
      <c r="C220" s="274"/>
      <c r="D220" s="274"/>
      <c r="E220" s="274"/>
      <c r="F220" s="274"/>
      <c r="G220" s="274"/>
      <c r="H220" s="274"/>
      <c r="I220" s="274"/>
      <c r="J220" s="274"/>
      <c r="K220" s="274"/>
      <c r="L220" s="274"/>
      <c r="M220" s="274"/>
      <c r="N220" s="274"/>
      <c r="O220" s="274"/>
      <c r="P220" s="274"/>
      <c r="Q220" s="274"/>
      <c r="R220" s="274"/>
      <c r="S220" s="274"/>
      <c r="T220" s="274"/>
      <c r="U220" s="274"/>
    </row>
    <row r="221" ht="15.75" customHeight="1">
      <c r="A221" s="274"/>
      <c r="B221" s="274"/>
      <c r="C221" s="274"/>
      <c r="D221" s="274"/>
      <c r="E221" s="274"/>
      <c r="F221" s="274"/>
      <c r="G221" s="274"/>
      <c r="H221" s="274"/>
      <c r="I221" s="274"/>
      <c r="J221" s="274"/>
      <c r="K221" s="274"/>
      <c r="L221" s="274"/>
      <c r="M221" s="274"/>
      <c r="N221" s="274"/>
      <c r="O221" s="274"/>
      <c r="P221" s="274"/>
      <c r="Q221" s="274"/>
      <c r="R221" s="274"/>
      <c r="S221" s="274"/>
      <c r="T221" s="274"/>
      <c r="U221" s="274"/>
    </row>
    <row r="222" ht="15.75" customHeight="1">
      <c r="A222" s="274"/>
      <c r="B222" s="274"/>
      <c r="C222" s="274"/>
      <c r="D222" s="274"/>
      <c r="E222" s="274"/>
      <c r="F222" s="274"/>
      <c r="G222" s="274"/>
      <c r="H222" s="274"/>
      <c r="I222" s="274"/>
      <c r="J222" s="274"/>
      <c r="K222" s="274"/>
      <c r="L222" s="274"/>
      <c r="M222" s="274"/>
      <c r="N222" s="274"/>
      <c r="O222" s="274"/>
      <c r="P222" s="274"/>
      <c r="Q222" s="274"/>
      <c r="R222" s="274"/>
      <c r="S222" s="274"/>
      <c r="T222" s="274"/>
      <c r="U222" s="274"/>
    </row>
    <row r="223" ht="15.75" customHeight="1">
      <c r="A223" s="274"/>
      <c r="B223" s="274"/>
      <c r="C223" s="274"/>
      <c r="D223" s="274"/>
      <c r="E223" s="274"/>
      <c r="F223" s="274"/>
      <c r="G223" s="274"/>
      <c r="H223" s="274"/>
      <c r="I223" s="274"/>
      <c r="J223" s="274"/>
      <c r="K223" s="274"/>
      <c r="L223" s="274"/>
      <c r="M223" s="274"/>
      <c r="N223" s="274"/>
      <c r="O223" s="274"/>
      <c r="P223" s="274"/>
      <c r="Q223" s="274"/>
      <c r="R223" s="274"/>
      <c r="S223" s="274"/>
      <c r="T223" s="274"/>
      <c r="U223" s="274"/>
    </row>
    <row r="224" ht="15.75" customHeight="1">
      <c r="A224" s="274"/>
      <c r="B224" s="274"/>
      <c r="C224" s="274"/>
      <c r="D224" s="274"/>
      <c r="E224" s="274"/>
      <c r="F224" s="274"/>
      <c r="G224" s="274"/>
      <c r="H224" s="274"/>
      <c r="I224" s="274"/>
      <c r="J224" s="274"/>
      <c r="K224" s="274"/>
      <c r="L224" s="274"/>
      <c r="M224" s="274"/>
      <c r="N224" s="274"/>
      <c r="O224" s="274"/>
      <c r="P224" s="274"/>
      <c r="Q224" s="274"/>
      <c r="R224" s="274"/>
      <c r="S224" s="274"/>
      <c r="T224" s="274"/>
      <c r="U224" s="274"/>
    </row>
    <row r="225" ht="15.75" customHeight="1">
      <c r="A225" s="274"/>
      <c r="B225" s="274"/>
      <c r="C225" s="274"/>
      <c r="D225" s="274"/>
      <c r="E225" s="274"/>
      <c r="F225" s="274"/>
      <c r="G225" s="274"/>
      <c r="H225" s="274"/>
      <c r="I225" s="274"/>
      <c r="J225" s="274"/>
      <c r="K225" s="274"/>
      <c r="L225" s="274"/>
      <c r="M225" s="274"/>
      <c r="N225" s="274"/>
      <c r="O225" s="274"/>
      <c r="P225" s="274"/>
      <c r="Q225" s="274"/>
      <c r="R225" s="274"/>
      <c r="S225" s="274"/>
      <c r="T225" s="274"/>
      <c r="U225" s="274"/>
    </row>
    <row r="226" ht="15.75" customHeight="1">
      <c r="A226" s="274"/>
      <c r="B226" s="274"/>
      <c r="C226" s="274"/>
      <c r="D226" s="274"/>
      <c r="E226" s="274"/>
      <c r="F226" s="274"/>
      <c r="G226" s="274"/>
      <c r="H226" s="274"/>
      <c r="I226" s="274"/>
      <c r="J226" s="274"/>
      <c r="K226" s="274"/>
      <c r="L226" s="274"/>
      <c r="M226" s="274"/>
      <c r="N226" s="274"/>
      <c r="O226" s="274"/>
      <c r="P226" s="274"/>
      <c r="Q226" s="274"/>
      <c r="R226" s="274"/>
      <c r="S226" s="274"/>
      <c r="T226" s="274"/>
      <c r="U226" s="274"/>
    </row>
    <row r="227" ht="15.75" customHeight="1">
      <c r="A227" s="274"/>
      <c r="B227" s="274"/>
      <c r="C227" s="274"/>
      <c r="D227" s="274"/>
      <c r="E227" s="274"/>
      <c r="F227" s="274"/>
      <c r="G227" s="274"/>
      <c r="H227" s="274"/>
      <c r="I227" s="274"/>
      <c r="J227" s="274"/>
      <c r="K227" s="274"/>
      <c r="L227" s="274"/>
      <c r="M227" s="274"/>
      <c r="N227" s="274"/>
      <c r="O227" s="274"/>
      <c r="P227" s="274"/>
      <c r="Q227" s="274"/>
      <c r="R227" s="274"/>
      <c r="S227" s="274"/>
      <c r="T227" s="274"/>
      <c r="U227" s="274"/>
    </row>
    <row r="228" ht="15.75" customHeight="1">
      <c r="A228" s="274"/>
      <c r="B228" s="274"/>
      <c r="C228" s="274"/>
      <c r="D228" s="274"/>
      <c r="E228" s="274"/>
      <c r="F228" s="274"/>
      <c r="G228" s="274"/>
      <c r="H228" s="274"/>
      <c r="I228" s="274"/>
      <c r="J228" s="274"/>
      <c r="K228" s="274"/>
      <c r="L228" s="274"/>
      <c r="M228" s="274"/>
      <c r="N228" s="274"/>
      <c r="O228" s="274"/>
      <c r="P228" s="274"/>
      <c r="Q228" s="274"/>
      <c r="R228" s="274"/>
      <c r="S228" s="274"/>
      <c r="T228" s="274"/>
      <c r="U228" s="274"/>
    </row>
    <row r="229" ht="15.75" customHeight="1">
      <c r="A229" s="274"/>
      <c r="B229" s="274"/>
      <c r="C229" s="274"/>
      <c r="D229" s="274"/>
      <c r="E229" s="274"/>
      <c r="F229" s="274"/>
      <c r="G229" s="274"/>
      <c r="H229" s="274"/>
      <c r="I229" s="274"/>
      <c r="J229" s="274"/>
      <c r="K229" s="274"/>
      <c r="L229" s="274"/>
      <c r="M229" s="274"/>
      <c r="N229" s="274"/>
      <c r="O229" s="274"/>
      <c r="P229" s="274"/>
      <c r="Q229" s="274"/>
      <c r="R229" s="274"/>
      <c r="S229" s="274"/>
      <c r="T229" s="274"/>
      <c r="U229" s="274"/>
    </row>
    <row r="230" ht="15.75" customHeight="1">
      <c r="A230" s="274"/>
      <c r="B230" s="274"/>
      <c r="C230" s="274"/>
      <c r="D230" s="274"/>
      <c r="E230" s="274"/>
      <c r="F230" s="274"/>
      <c r="G230" s="274"/>
      <c r="H230" s="274"/>
      <c r="I230" s="274"/>
      <c r="J230" s="274"/>
      <c r="K230" s="274"/>
      <c r="L230" s="274"/>
      <c r="M230" s="274"/>
      <c r="N230" s="274"/>
      <c r="O230" s="274"/>
      <c r="P230" s="274"/>
      <c r="Q230" s="274"/>
      <c r="R230" s="274"/>
      <c r="S230" s="274"/>
      <c r="T230" s="274"/>
      <c r="U230" s="274"/>
    </row>
    <row r="231" ht="15.75" customHeight="1">
      <c r="A231" s="274"/>
      <c r="B231" s="274"/>
      <c r="C231" s="274"/>
      <c r="D231" s="274"/>
      <c r="E231" s="274"/>
      <c r="F231" s="274"/>
      <c r="G231" s="274"/>
      <c r="H231" s="274"/>
      <c r="I231" s="274"/>
      <c r="J231" s="274"/>
      <c r="K231" s="274"/>
      <c r="L231" s="274"/>
      <c r="M231" s="274"/>
      <c r="N231" s="274"/>
      <c r="O231" s="274"/>
      <c r="P231" s="274"/>
      <c r="Q231" s="274"/>
      <c r="R231" s="274"/>
      <c r="S231" s="274"/>
      <c r="T231" s="274"/>
      <c r="U231" s="274"/>
    </row>
    <row r="232" ht="15.75" customHeight="1">
      <c r="A232" s="274"/>
      <c r="B232" s="274"/>
      <c r="C232" s="274"/>
      <c r="D232" s="274"/>
      <c r="E232" s="274"/>
      <c r="F232" s="274"/>
      <c r="G232" s="274"/>
      <c r="H232" s="274"/>
      <c r="I232" s="274"/>
      <c r="J232" s="274"/>
      <c r="K232" s="274"/>
      <c r="L232" s="274"/>
      <c r="M232" s="274"/>
      <c r="N232" s="274"/>
      <c r="O232" s="274"/>
      <c r="P232" s="274"/>
      <c r="Q232" s="274"/>
      <c r="R232" s="274"/>
      <c r="S232" s="274"/>
      <c r="T232" s="274"/>
      <c r="U232" s="274"/>
    </row>
    <row r="233" ht="15.75" customHeight="1">
      <c r="A233" s="274"/>
      <c r="B233" s="274"/>
      <c r="C233" s="274"/>
      <c r="D233" s="274"/>
      <c r="E233" s="274"/>
      <c r="F233" s="274"/>
      <c r="G233" s="274"/>
      <c r="H233" s="274"/>
      <c r="I233" s="274"/>
      <c r="J233" s="274"/>
      <c r="K233" s="274"/>
      <c r="L233" s="274"/>
      <c r="M233" s="274"/>
      <c r="N233" s="274"/>
      <c r="O233" s="274"/>
      <c r="P233" s="274"/>
      <c r="Q233" s="274"/>
      <c r="R233" s="274"/>
      <c r="S233" s="274"/>
      <c r="T233" s="274"/>
      <c r="U233" s="274"/>
    </row>
    <row r="234" ht="15.75" customHeight="1">
      <c r="A234" s="274"/>
      <c r="B234" s="274"/>
      <c r="C234" s="274"/>
      <c r="D234" s="274"/>
      <c r="E234" s="274"/>
      <c r="F234" s="274"/>
      <c r="G234" s="274"/>
      <c r="H234" s="274"/>
      <c r="I234" s="274"/>
      <c r="J234" s="274"/>
      <c r="K234" s="274"/>
      <c r="L234" s="274"/>
      <c r="M234" s="274"/>
      <c r="N234" s="274"/>
      <c r="O234" s="274"/>
      <c r="P234" s="274"/>
      <c r="Q234" s="274"/>
      <c r="R234" s="274"/>
      <c r="S234" s="274"/>
      <c r="T234" s="274"/>
      <c r="U234" s="274"/>
    </row>
    <row r="235" ht="15.75" customHeight="1">
      <c r="A235" s="274"/>
      <c r="B235" s="274"/>
      <c r="C235" s="274"/>
      <c r="D235" s="274"/>
      <c r="E235" s="274"/>
      <c r="F235" s="274"/>
      <c r="G235" s="274"/>
      <c r="H235" s="274"/>
      <c r="I235" s="274"/>
      <c r="J235" s="274"/>
      <c r="K235" s="274"/>
      <c r="L235" s="274"/>
      <c r="M235" s="274"/>
      <c r="N235" s="274"/>
      <c r="O235" s="274"/>
      <c r="P235" s="274"/>
      <c r="Q235" s="274"/>
      <c r="R235" s="274"/>
      <c r="S235" s="274"/>
      <c r="T235" s="274"/>
      <c r="U235" s="274"/>
    </row>
    <row r="236" ht="15.75" customHeight="1">
      <c r="A236" s="274"/>
      <c r="B236" s="274"/>
      <c r="C236" s="274"/>
      <c r="D236" s="274"/>
      <c r="E236" s="274"/>
      <c r="F236" s="274"/>
      <c r="G236" s="274"/>
      <c r="H236" s="274"/>
      <c r="I236" s="274"/>
      <c r="J236" s="274"/>
      <c r="K236" s="274"/>
      <c r="L236" s="274"/>
      <c r="M236" s="274"/>
      <c r="N236" s="274"/>
      <c r="O236" s="274"/>
      <c r="P236" s="274"/>
      <c r="Q236" s="274"/>
      <c r="R236" s="274"/>
      <c r="S236" s="274"/>
      <c r="T236" s="274"/>
      <c r="U236" s="274"/>
    </row>
    <row r="237" ht="15.75" customHeight="1">
      <c r="A237" s="274"/>
      <c r="B237" s="274"/>
      <c r="C237" s="274"/>
      <c r="D237" s="274"/>
      <c r="E237" s="274"/>
      <c r="F237" s="274"/>
      <c r="G237" s="274"/>
      <c r="H237" s="274"/>
      <c r="I237" s="274"/>
      <c r="J237" s="274"/>
      <c r="K237" s="274"/>
      <c r="L237" s="274"/>
      <c r="M237" s="274"/>
      <c r="N237" s="274"/>
      <c r="O237" s="274"/>
      <c r="P237" s="274"/>
      <c r="Q237" s="274"/>
      <c r="R237" s="274"/>
      <c r="S237" s="274"/>
      <c r="T237" s="274"/>
      <c r="U237" s="274"/>
    </row>
    <row r="238" ht="15.75" customHeight="1">
      <c r="A238" s="274"/>
      <c r="B238" s="274"/>
      <c r="C238" s="274"/>
      <c r="D238" s="274"/>
      <c r="E238" s="274"/>
      <c r="F238" s="274"/>
      <c r="G238" s="274"/>
      <c r="H238" s="274"/>
      <c r="I238" s="274"/>
      <c r="J238" s="274"/>
      <c r="K238" s="274"/>
      <c r="L238" s="274"/>
      <c r="M238" s="274"/>
      <c r="N238" s="274"/>
      <c r="O238" s="274"/>
      <c r="P238" s="274"/>
      <c r="Q238" s="274"/>
      <c r="R238" s="274"/>
      <c r="S238" s="274"/>
      <c r="T238" s="274"/>
      <c r="U238" s="274"/>
    </row>
    <row r="239" ht="15.75" customHeight="1">
      <c r="A239" s="274"/>
      <c r="B239" s="274"/>
      <c r="C239" s="274"/>
      <c r="D239" s="274"/>
      <c r="E239" s="274"/>
      <c r="F239" s="274"/>
      <c r="G239" s="274"/>
      <c r="H239" s="274"/>
      <c r="I239" s="274"/>
      <c r="J239" s="274"/>
      <c r="K239" s="274"/>
      <c r="L239" s="274"/>
      <c r="M239" s="274"/>
      <c r="N239" s="274"/>
      <c r="O239" s="274"/>
      <c r="P239" s="274"/>
      <c r="Q239" s="274"/>
      <c r="R239" s="274"/>
      <c r="S239" s="274"/>
      <c r="T239" s="274"/>
      <c r="U239" s="274"/>
    </row>
    <row r="240" ht="15.75" customHeight="1">
      <c r="A240" s="274"/>
      <c r="B240" s="274"/>
      <c r="C240" s="274"/>
      <c r="D240" s="274"/>
      <c r="E240" s="274"/>
      <c r="F240" s="274"/>
      <c r="G240" s="274"/>
      <c r="H240" s="274"/>
      <c r="I240" s="274"/>
      <c r="J240" s="274"/>
      <c r="K240" s="274"/>
      <c r="L240" s="274"/>
      <c r="M240" s="274"/>
      <c r="N240" s="274"/>
      <c r="O240" s="274"/>
      <c r="P240" s="274"/>
      <c r="Q240" s="274"/>
      <c r="R240" s="274"/>
      <c r="S240" s="274"/>
      <c r="T240" s="274"/>
      <c r="U240" s="274"/>
    </row>
    <row r="241" ht="15.75" customHeight="1">
      <c r="A241" s="274"/>
      <c r="B241" s="274"/>
      <c r="C241" s="274"/>
      <c r="D241" s="274"/>
      <c r="E241" s="274"/>
      <c r="F241" s="274"/>
      <c r="G241" s="274"/>
      <c r="H241" s="274"/>
      <c r="I241" s="274"/>
      <c r="J241" s="274"/>
      <c r="K241" s="274"/>
      <c r="L241" s="274"/>
      <c r="M241" s="274"/>
      <c r="N241" s="274"/>
      <c r="O241" s="274"/>
      <c r="P241" s="274"/>
      <c r="Q241" s="274"/>
      <c r="R241" s="274"/>
      <c r="S241" s="274"/>
      <c r="T241" s="274"/>
      <c r="U241" s="274"/>
    </row>
    <row r="242" ht="15.75" customHeight="1">
      <c r="A242" s="274"/>
      <c r="B242" s="274"/>
      <c r="C242" s="274"/>
      <c r="D242" s="274"/>
      <c r="E242" s="274"/>
      <c r="F242" s="274"/>
      <c r="G242" s="274"/>
      <c r="H242" s="274"/>
      <c r="I242" s="274"/>
      <c r="J242" s="274"/>
      <c r="K242" s="274"/>
      <c r="L242" s="274"/>
      <c r="M242" s="274"/>
      <c r="N242" s="274"/>
      <c r="O242" s="274"/>
      <c r="P242" s="274"/>
      <c r="Q242" s="274"/>
      <c r="R242" s="274"/>
      <c r="S242" s="274"/>
      <c r="T242" s="274"/>
      <c r="U242" s="274"/>
    </row>
    <row r="243" ht="15.75" customHeight="1">
      <c r="A243" s="274"/>
      <c r="B243" s="274"/>
      <c r="C243" s="274"/>
      <c r="D243" s="274"/>
      <c r="E243" s="274"/>
      <c r="F243" s="274"/>
      <c r="G243" s="274"/>
      <c r="H243" s="274"/>
      <c r="I243" s="274"/>
      <c r="J243" s="274"/>
      <c r="K243" s="274"/>
      <c r="L243" s="274"/>
      <c r="M243" s="274"/>
      <c r="N243" s="274"/>
      <c r="O243" s="274"/>
      <c r="P243" s="274"/>
      <c r="Q243" s="274"/>
      <c r="R243" s="274"/>
      <c r="S243" s="274"/>
      <c r="T243" s="274"/>
      <c r="U243" s="274"/>
    </row>
    <row r="244" ht="15.75" customHeight="1">
      <c r="A244" s="274"/>
      <c r="B244" s="274"/>
      <c r="C244" s="274"/>
      <c r="D244" s="274"/>
      <c r="E244" s="274"/>
      <c r="F244" s="274"/>
      <c r="G244" s="274"/>
      <c r="H244" s="274"/>
      <c r="I244" s="274"/>
      <c r="J244" s="274"/>
      <c r="K244" s="274"/>
      <c r="L244" s="274"/>
      <c r="M244" s="274"/>
      <c r="N244" s="274"/>
      <c r="O244" s="274"/>
      <c r="P244" s="274"/>
      <c r="Q244" s="274"/>
      <c r="R244" s="274"/>
      <c r="S244" s="274"/>
      <c r="T244" s="274"/>
      <c r="U244" s="274"/>
    </row>
    <row r="245" ht="15.75" customHeight="1">
      <c r="A245" s="274"/>
      <c r="B245" s="274"/>
      <c r="C245" s="274"/>
      <c r="D245" s="274"/>
      <c r="E245" s="274"/>
      <c r="F245" s="274"/>
      <c r="G245" s="274"/>
      <c r="H245" s="274"/>
      <c r="I245" s="274"/>
      <c r="J245" s="274"/>
      <c r="K245" s="274"/>
      <c r="L245" s="274"/>
      <c r="M245" s="274"/>
      <c r="N245" s="274"/>
      <c r="O245" s="274"/>
      <c r="P245" s="274"/>
      <c r="Q245" s="274"/>
      <c r="R245" s="274"/>
      <c r="S245" s="274"/>
      <c r="T245" s="274"/>
      <c r="U245" s="274"/>
    </row>
    <row r="246" ht="15.75" customHeight="1">
      <c r="A246" s="274"/>
      <c r="B246" s="274"/>
      <c r="C246" s="274"/>
      <c r="D246" s="274"/>
      <c r="E246" s="274"/>
      <c r="F246" s="274"/>
      <c r="G246" s="274"/>
      <c r="H246" s="274"/>
      <c r="I246" s="274"/>
      <c r="J246" s="274"/>
      <c r="K246" s="274"/>
      <c r="L246" s="274"/>
      <c r="M246" s="274"/>
      <c r="N246" s="274"/>
      <c r="O246" s="274"/>
      <c r="P246" s="274"/>
      <c r="Q246" s="274"/>
      <c r="R246" s="274"/>
      <c r="S246" s="274"/>
      <c r="T246" s="274"/>
      <c r="U246" s="274"/>
    </row>
    <row r="247" ht="15.75" customHeight="1">
      <c r="A247" s="274"/>
      <c r="B247" s="274"/>
      <c r="C247" s="274"/>
      <c r="D247" s="274"/>
      <c r="E247" s="274"/>
      <c r="F247" s="274"/>
      <c r="G247" s="274"/>
      <c r="H247" s="274"/>
      <c r="I247" s="274"/>
      <c r="J247" s="274"/>
      <c r="K247" s="274"/>
      <c r="L247" s="274"/>
      <c r="M247" s="274"/>
      <c r="N247" s="274"/>
      <c r="O247" s="274"/>
      <c r="P247" s="274"/>
      <c r="Q247" s="274"/>
      <c r="R247" s="274"/>
      <c r="S247" s="274"/>
      <c r="T247" s="274"/>
      <c r="U247" s="274"/>
    </row>
    <row r="248" ht="15.75" customHeight="1">
      <c r="A248" s="274"/>
      <c r="B248" s="274"/>
      <c r="C248" s="274"/>
      <c r="D248" s="274"/>
      <c r="E248" s="274"/>
      <c r="F248" s="274"/>
      <c r="G248" s="274"/>
      <c r="H248" s="274"/>
      <c r="I248" s="274"/>
      <c r="J248" s="274"/>
      <c r="K248" s="274"/>
      <c r="L248" s="274"/>
      <c r="M248" s="274"/>
      <c r="N248" s="274"/>
      <c r="O248" s="274"/>
      <c r="P248" s="274"/>
      <c r="Q248" s="274"/>
      <c r="R248" s="274"/>
      <c r="S248" s="274"/>
      <c r="T248" s="274"/>
      <c r="U248" s="274"/>
    </row>
    <row r="249" ht="15.75" customHeight="1">
      <c r="A249" s="274"/>
      <c r="B249" s="274"/>
      <c r="C249" s="274"/>
      <c r="D249" s="274"/>
      <c r="E249" s="274"/>
      <c r="F249" s="274"/>
      <c r="G249" s="274"/>
      <c r="H249" s="274"/>
      <c r="I249" s="274"/>
      <c r="J249" s="274"/>
      <c r="K249" s="274"/>
      <c r="L249" s="274"/>
      <c r="M249" s="274"/>
      <c r="N249" s="274"/>
      <c r="O249" s="274"/>
      <c r="P249" s="274"/>
      <c r="Q249" s="274"/>
      <c r="R249" s="274"/>
      <c r="S249" s="274"/>
      <c r="T249" s="274"/>
      <c r="U249" s="274"/>
    </row>
    <row r="250" ht="15.75" customHeight="1">
      <c r="A250" s="274"/>
      <c r="B250" s="274"/>
      <c r="C250" s="274"/>
      <c r="D250" s="274"/>
      <c r="E250" s="274"/>
      <c r="F250" s="274"/>
      <c r="G250" s="274"/>
      <c r="H250" s="274"/>
      <c r="I250" s="274"/>
      <c r="J250" s="274"/>
      <c r="K250" s="274"/>
      <c r="L250" s="274"/>
      <c r="M250" s="274"/>
      <c r="N250" s="274"/>
      <c r="O250" s="274"/>
      <c r="P250" s="274"/>
      <c r="Q250" s="274"/>
      <c r="R250" s="274"/>
      <c r="S250" s="274"/>
      <c r="T250" s="274"/>
      <c r="U250" s="274"/>
    </row>
    <row r="251" ht="15.75" customHeight="1">
      <c r="A251" s="274"/>
      <c r="B251" s="274"/>
      <c r="C251" s="274"/>
      <c r="D251" s="274"/>
      <c r="E251" s="274"/>
      <c r="F251" s="274"/>
      <c r="G251" s="274"/>
      <c r="H251" s="274"/>
      <c r="I251" s="274"/>
      <c r="J251" s="274"/>
      <c r="K251" s="274"/>
      <c r="L251" s="274"/>
      <c r="M251" s="274"/>
      <c r="N251" s="274"/>
      <c r="O251" s="274"/>
      <c r="P251" s="274"/>
      <c r="Q251" s="274"/>
      <c r="R251" s="274"/>
      <c r="S251" s="274"/>
      <c r="T251" s="274"/>
      <c r="U251" s="274"/>
    </row>
    <row r="252" ht="15.75" customHeight="1">
      <c r="A252" s="274"/>
      <c r="B252" s="274"/>
      <c r="C252" s="274"/>
      <c r="D252" s="274"/>
      <c r="E252" s="274"/>
      <c r="F252" s="274"/>
      <c r="G252" s="274"/>
      <c r="H252" s="274"/>
      <c r="I252" s="274"/>
      <c r="J252" s="274"/>
      <c r="K252" s="274"/>
      <c r="L252" s="274"/>
      <c r="M252" s="274"/>
      <c r="N252" s="274"/>
      <c r="O252" s="274"/>
      <c r="P252" s="274"/>
      <c r="Q252" s="274"/>
      <c r="R252" s="274"/>
      <c r="S252" s="274"/>
      <c r="T252" s="274"/>
      <c r="U252" s="274"/>
    </row>
    <row r="253" ht="15.75" customHeight="1">
      <c r="A253" s="274"/>
      <c r="B253" s="274"/>
      <c r="C253" s="274"/>
      <c r="D253" s="274"/>
      <c r="E253" s="274"/>
      <c r="F253" s="274"/>
      <c r="G253" s="274"/>
      <c r="H253" s="274"/>
      <c r="I253" s="274"/>
      <c r="J253" s="274"/>
      <c r="K253" s="274"/>
      <c r="L253" s="274"/>
      <c r="M253" s="274"/>
      <c r="N253" s="274"/>
      <c r="O253" s="274"/>
      <c r="P253" s="274"/>
      <c r="Q253" s="274"/>
      <c r="R253" s="274"/>
      <c r="S253" s="274"/>
      <c r="T253" s="274"/>
      <c r="U253" s="274"/>
    </row>
    <row r="254" ht="15.75" customHeight="1">
      <c r="A254" s="274"/>
      <c r="B254" s="274"/>
      <c r="C254" s="274"/>
      <c r="D254" s="274"/>
      <c r="E254" s="274"/>
      <c r="F254" s="274"/>
      <c r="G254" s="274"/>
      <c r="H254" s="274"/>
      <c r="I254" s="274"/>
      <c r="J254" s="274"/>
      <c r="K254" s="274"/>
      <c r="L254" s="274"/>
      <c r="M254" s="274"/>
      <c r="N254" s="274"/>
      <c r="O254" s="274"/>
      <c r="P254" s="274"/>
      <c r="Q254" s="274"/>
      <c r="R254" s="274"/>
      <c r="S254" s="274"/>
      <c r="T254" s="274"/>
      <c r="U254" s="274"/>
    </row>
    <row r="255" ht="15.75" customHeight="1">
      <c r="A255" s="274"/>
      <c r="B255" s="274"/>
      <c r="C255" s="274"/>
      <c r="D255" s="274"/>
      <c r="E255" s="274"/>
      <c r="F255" s="274"/>
      <c r="G255" s="274"/>
      <c r="H255" s="274"/>
      <c r="I255" s="274"/>
      <c r="J255" s="274"/>
      <c r="K255" s="274"/>
      <c r="L255" s="274"/>
      <c r="M255" s="274"/>
      <c r="N255" s="274"/>
      <c r="O255" s="274"/>
      <c r="P255" s="274"/>
      <c r="Q255" s="274"/>
      <c r="R255" s="274"/>
      <c r="S255" s="274"/>
      <c r="T255" s="274"/>
      <c r="U255" s="274"/>
    </row>
    <row r="256" ht="15.75" customHeight="1">
      <c r="A256" s="274"/>
      <c r="B256" s="274"/>
      <c r="C256" s="274"/>
      <c r="D256" s="274"/>
      <c r="E256" s="274"/>
      <c r="F256" s="274"/>
      <c r="G256" s="274"/>
      <c r="H256" s="274"/>
      <c r="I256" s="274"/>
      <c r="J256" s="274"/>
      <c r="K256" s="274"/>
      <c r="L256" s="274"/>
      <c r="M256" s="274"/>
      <c r="N256" s="274"/>
      <c r="O256" s="274"/>
      <c r="P256" s="274"/>
      <c r="Q256" s="274"/>
      <c r="R256" s="274"/>
      <c r="S256" s="274"/>
      <c r="T256" s="274"/>
      <c r="U256" s="274"/>
    </row>
    <row r="257" ht="15.75" customHeight="1">
      <c r="A257" s="274"/>
      <c r="B257" s="274"/>
      <c r="C257" s="274"/>
      <c r="D257" s="274"/>
      <c r="E257" s="274"/>
      <c r="F257" s="274"/>
      <c r="G257" s="274"/>
      <c r="H257" s="274"/>
      <c r="I257" s="274"/>
      <c r="J257" s="274"/>
      <c r="K257" s="274"/>
      <c r="L257" s="274"/>
      <c r="M257" s="274"/>
      <c r="N257" s="274"/>
      <c r="O257" s="274"/>
      <c r="P257" s="274"/>
      <c r="Q257" s="274"/>
      <c r="R257" s="274"/>
      <c r="S257" s="274"/>
      <c r="T257" s="274"/>
      <c r="U257" s="274"/>
    </row>
    <row r="258" ht="15.75" customHeight="1">
      <c r="A258" s="274"/>
      <c r="B258" s="274"/>
      <c r="C258" s="274"/>
      <c r="D258" s="274"/>
      <c r="E258" s="274"/>
      <c r="F258" s="274"/>
      <c r="G258" s="274"/>
      <c r="H258" s="274"/>
      <c r="I258" s="274"/>
      <c r="J258" s="274"/>
      <c r="K258" s="274"/>
      <c r="L258" s="274"/>
      <c r="M258" s="274"/>
      <c r="N258" s="274"/>
      <c r="O258" s="274"/>
      <c r="P258" s="274"/>
      <c r="Q258" s="274"/>
      <c r="R258" s="274"/>
      <c r="S258" s="274"/>
      <c r="T258" s="274"/>
      <c r="U258" s="274"/>
    </row>
    <row r="259" ht="15.75" customHeight="1">
      <c r="A259" s="274"/>
      <c r="B259" s="274"/>
      <c r="C259" s="274"/>
      <c r="D259" s="274"/>
      <c r="E259" s="274"/>
      <c r="F259" s="274"/>
      <c r="G259" s="274"/>
      <c r="H259" s="274"/>
      <c r="I259" s="274"/>
      <c r="J259" s="274"/>
      <c r="K259" s="274"/>
      <c r="L259" s="274"/>
      <c r="M259" s="274"/>
      <c r="N259" s="274"/>
      <c r="O259" s="274"/>
      <c r="P259" s="274"/>
      <c r="Q259" s="274"/>
      <c r="R259" s="274"/>
      <c r="S259" s="274"/>
      <c r="T259" s="274"/>
      <c r="U259" s="274"/>
    </row>
    <row r="260" ht="15.75" customHeight="1">
      <c r="A260" s="274"/>
      <c r="B260" s="274"/>
      <c r="C260" s="274"/>
      <c r="D260" s="274"/>
      <c r="E260" s="274"/>
      <c r="F260" s="274"/>
      <c r="G260" s="274"/>
      <c r="H260" s="274"/>
      <c r="I260" s="274"/>
      <c r="J260" s="274"/>
      <c r="K260" s="274"/>
      <c r="L260" s="274"/>
      <c r="M260" s="274"/>
      <c r="N260" s="274"/>
      <c r="O260" s="274"/>
      <c r="P260" s="274"/>
      <c r="Q260" s="274"/>
      <c r="R260" s="274"/>
      <c r="S260" s="274"/>
      <c r="T260" s="274"/>
      <c r="U260" s="274"/>
    </row>
    <row r="261" ht="15.75" customHeight="1">
      <c r="A261" s="274"/>
      <c r="B261" s="274"/>
      <c r="C261" s="274"/>
      <c r="D261" s="274"/>
      <c r="E261" s="274"/>
      <c r="F261" s="274"/>
      <c r="G261" s="274"/>
      <c r="H261" s="274"/>
      <c r="I261" s="274"/>
      <c r="J261" s="274"/>
      <c r="K261" s="274"/>
      <c r="L261" s="274"/>
      <c r="M261" s="274"/>
      <c r="N261" s="274"/>
      <c r="O261" s="274"/>
      <c r="P261" s="274"/>
      <c r="Q261" s="274"/>
      <c r="R261" s="274"/>
      <c r="S261" s="274"/>
      <c r="T261" s="274"/>
      <c r="U261" s="274"/>
    </row>
    <row r="262" ht="15.75" customHeight="1">
      <c r="A262" s="274"/>
      <c r="B262" s="274"/>
      <c r="C262" s="274"/>
      <c r="D262" s="274"/>
      <c r="E262" s="274"/>
      <c r="F262" s="274"/>
      <c r="G262" s="274"/>
      <c r="H262" s="274"/>
      <c r="I262" s="274"/>
      <c r="J262" s="274"/>
      <c r="K262" s="274"/>
      <c r="L262" s="274"/>
      <c r="M262" s="274"/>
      <c r="N262" s="274"/>
      <c r="O262" s="274"/>
      <c r="P262" s="274"/>
      <c r="Q262" s="274"/>
      <c r="R262" s="274"/>
      <c r="S262" s="274"/>
      <c r="T262" s="274"/>
      <c r="U262" s="274"/>
    </row>
    <row r="263" ht="15.75" customHeight="1">
      <c r="A263" s="274"/>
      <c r="B263" s="274"/>
      <c r="C263" s="274"/>
      <c r="D263" s="274"/>
      <c r="E263" s="274"/>
      <c r="F263" s="274"/>
      <c r="G263" s="274"/>
      <c r="H263" s="274"/>
      <c r="I263" s="274"/>
      <c r="J263" s="274"/>
      <c r="K263" s="274"/>
      <c r="L263" s="274"/>
      <c r="M263" s="274"/>
      <c r="N263" s="274"/>
      <c r="O263" s="274"/>
      <c r="P263" s="274"/>
      <c r="Q263" s="274"/>
      <c r="R263" s="274"/>
      <c r="S263" s="274"/>
      <c r="T263" s="274"/>
      <c r="U263" s="274"/>
    </row>
    <row r="264" ht="15.75" customHeight="1">
      <c r="A264" s="274"/>
      <c r="B264" s="274"/>
      <c r="C264" s="274"/>
      <c r="D264" s="274"/>
      <c r="E264" s="274"/>
      <c r="F264" s="274"/>
      <c r="G264" s="274"/>
      <c r="H264" s="274"/>
      <c r="I264" s="274"/>
      <c r="J264" s="274"/>
      <c r="K264" s="274"/>
      <c r="L264" s="274"/>
      <c r="M264" s="274"/>
      <c r="N264" s="274"/>
      <c r="O264" s="274"/>
      <c r="P264" s="274"/>
      <c r="Q264" s="274"/>
      <c r="R264" s="274"/>
      <c r="S264" s="274"/>
      <c r="T264" s="274"/>
      <c r="U264" s="274"/>
    </row>
    <row r="265" ht="15.75" customHeight="1">
      <c r="A265" s="274"/>
      <c r="B265" s="274"/>
      <c r="C265" s="274"/>
      <c r="D265" s="274"/>
      <c r="E265" s="274"/>
      <c r="F265" s="274"/>
      <c r="G265" s="274"/>
      <c r="H265" s="274"/>
      <c r="I265" s="274"/>
      <c r="J265" s="274"/>
      <c r="K265" s="274"/>
      <c r="L265" s="274"/>
      <c r="M265" s="274"/>
      <c r="N265" s="274"/>
      <c r="O265" s="274"/>
      <c r="P265" s="274"/>
      <c r="Q265" s="274"/>
      <c r="R265" s="274"/>
      <c r="S265" s="274"/>
      <c r="T265" s="274"/>
      <c r="U265" s="274"/>
    </row>
    <row r="266" ht="15.75" customHeight="1">
      <c r="A266" s="274"/>
      <c r="B266" s="274"/>
      <c r="C266" s="274"/>
      <c r="D266" s="274"/>
      <c r="E266" s="274"/>
      <c r="F266" s="274"/>
      <c r="G266" s="274"/>
      <c r="H266" s="274"/>
      <c r="I266" s="274"/>
      <c r="J266" s="274"/>
      <c r="K266" s="274"/>
      <c r="L266" s="274"/>
      <c r="M266" s="274"/>
      <c r="N266" s="274"/>
      <c r="O266" s="274"/>
      <c r="P266" s="274"/>
      <c r="Q266" s="274"/>
      <c r="R266" s="274"/>
      <c r="S266" s="274"/>
      <c r="T266" s="274"/>
      <c r="U266" s="274"/>
    </row>
    <row r="267" ht="15.75" customHeight="1">
      <c r="A267" s="274"/>
      <c r="B267" s="274"/>
      <c r="C267" s="274"/>
      <c r="D267" s="274"/>
      <c r="E267" s="274"/>
      <c r="F267" s="274"/>
      <c r="G267" s="274"/>
      <c r="H267" s="274"/>
      <c r="I267" s="274"/>
      <c r="J267" s="274"/>
      <c r="K267" s="274"/>
      <c r="L267" s="274"/>
      <c r="M267" s="274"/>
      <c r="N267" s="274"/>
      <c r="O267" s="274"/>
      <c r="P267" s="274"/>
      <c r="Q267" s="274"/>
      <c r="R267" s="274"/>
      <c r="S267" s="274"/>
      <c r="T267" s="274"/>
      <c r="U267" s="274"/>
    </row>
    <row r="268" ht="15.75" customHeight="1">
      <c r="A268" s="274"/>
      <c r="B268" s="274"/>
      <c r="C268" s="274"/>
      <c r="D268" s="274"/>
      <c r="E268" s="274"/>
      <c r="F268" s="274"/>
      <c r="G268" s="274"/>
      <c r="H268" s="274"/>
      <c r="I268" s="274"/>
      <c r="J268" s="274"/>
      <c r="K268" s="274"/>
      <c r="L268" s="274"/>
      <c r="M268" s="274"/>
      <c r="N268" s="274"/>
      <c r="O268" s="274"/>
      <c r="P268" s="274"/>
      <c r="Q268" s="274"/>
      <c r="R268" s="274"/>
      <c r="S268" s="274"/>
      <c r="T268" s="274"/>
      <c r="U268" s="274"/>
    </row>
    <row r="269" ht="15.75" customHeight="1">
      <c r="A269" s="274"/>
      <c r="B269" s="274"/>
      <c r="C269" s="274"/>
      <c r="D269" s="274"/>
      <c r="E269" s="274"/>
      <c r="F269" s="274"/>
      <c r="G269" s="274"/>
      <c r="H269" s="274"/>
      <c r="I269" s="274"/>
      <c r="J269" s="274"/>
      <c r="K269" s="274"/>
      <c r="L269" s="274"/>
      <c r="M269" s="274"/>
      <c r="N269" s="274"/>
      <c r="O269" s="274"/>
      <c r="P269" s="274"/>
      <c r="Q269" s="274"/>
      <c r="R269" s="274"/>
      <c r="S269" s="274"/>
      <c r="T269" s="274"/>
      <c r="U269" s="274"/>
    </row>
    <row r="270" ht="15.75" customHeight="1">
      <c r="A270" s="274"/>
      <c r="B270" s="274"/>
      <c r="C270" s="274"/>
      <c r="D270" s="274"/>
      <c r="E270" s="274"/>
      <c r="F270" s="274"/>
      <c r="G270" s="274"/>
      <c r="H270" s="274"/>
      <c r="I270" s="274"/>
      <c r="J270" s="274"/>
      <c r="K270" s="274"/>
      <c r="L270" s="274"/>
      <c r="M270" s="274"/>
      <c r="N270" s="274"/>
      <c r="O270" s="274"/>
      <c r="P270" s="274"/>
      <c r="Q270" s="274"/>
      <c r="R270" s="274"/>
      <c r="S270" s="274"/>
      <c r="T270" s="274"/>
      <c r="U270" s="274"/>
    </row>
    <row r="271" ht="15.75" customHeight="1">
      <c r="A271" s="274"/>
      <c r="B271" s="274"/>
      <c r="C271" s="274"/>
      <c r="D271" s="274"/>
      <c r="E271" s="274"/>
      <c r="F271" s="274"/>
      <c r="G271" s="274"/>
      <c r="H271" s="274"/>
      <c r="I271" s="274"/>
      <c r="J271" s="274"/>
      <c r="K271" s="274"/>
      <c r="L271" s="274"/>
      <c r="M271" s="274"/>
      <c r="N271" s="274"/>
      <c r="O271" s="274"/>
      <c r="P271" s="274"/>
      <c r="Q271" s="274"/>
      <c r="R271" s="274"/>
      <c r="S271" s="274"/>
      <c r="T271" s="274"/>
      <c r="U271" s="274"/>
    </row>
    <row r="272" ht="15.75" customHeight="1">
      <c r="A272" s="274"/>
      <c r="B272" s="274"/>
      <c r="C272" s="274"/>
      <c r="D272" s="274"/>
      <c r="E272" s="274"/>
      <c r="F272" s="274"/>
      <c r="G272" s="274"/>
      <c r="H272" s="274"/>
      <c r="I272" s="274"/>
      <c r="J272" s="274"/>
      <c r="K272" s="274"/>
      <c r="L272" s="274"/>
      <c r="M272" s="274"/>
      <c r="N272" s="274"/>
      <c r="O272" s="274"/>
      <c r="P272" s="274"/>
      <c r="Q272" s="274"/>
      <c r="R272" s="274"/>
      <c r="S272" s="274"/>
      <c r="T272" s="274"/>
      <c r="U272" s="274"/>
    </row>
    <row r="273" ht="15.75" customHeight="1">
      <c r="A273" s="274"/>
      <c r="B273" s="274"/>
      <c r="C273" s="274"/>
      <c r="D273" s="274"/>
      <c r="E273" s="274"/>
      <c r="F273" s="274"/>
      <c r="G273" s="274"/>
      <c r="H273" s="274"/>
      <c r="I273" s="274"/>
      <c r="J273" s="274"/>
      <c r="K273" s="274"/>
      <c r="L273" s="274"/>
      <c r="M273" s="274"/>
      <c r="N273" s="274"/>
      <c r="O273" s="274"/>
      <c r="P273" s="274"/>
      <c r="Q273" s="274"/>
      <c r="R273" s="274"/>
      <c r="S273" s="274"/>
      <c r="T273" s="274"/>
      <c r="U273" s="274"/>
    </row>
    <row r="274" ht="15.75" customHeight="1">
      <c r="A274" s="274"/>
      <c r="B274" s="274"/>
      <c r="C274" s="274"/>
      <c r="D274" s="274"/>
      <c r="E274" s="274"/>
      <c r="F274" s="274"/>
      <c r="G274" s="274"/>
      <c r="H274" s="274"/>
      <c r="I274" s="274"/>
      <c r="J274" s="274"/>
      <c r="K274" s="274"/>
      <c r="L274" s="274"/>
      <c r="M274" s="274"/>
      <c r="N274" s="274"/>
      <c r="O274" s="274"/>
      <c r="P274" s="274"/>
      <c r="Q274" s="274"/>
      <c r="R274" s="274"/>
      <c r="S274" s="274"/>
      <c r="T274" s="274"/>
      <c r="U274" s="274"/>
    </row>
    <row r="275" ht="15.75" customHeight="1">
      <c r="A275" s="274"/>
      <c r="B275" s="274"/>
      <c r="C275" s="274"/>
      <c r="D275" s="274"/>
      <c r="E275" s="274"/>
      <c r="F275" s="274"/>
      <c r="G275" s="274"/>
      <c r="H275" s="274"/>
      <c r="I275" s="274"/>
      <c r="J275" s="274"/>
      <c r="K275" s="274"/>
      <c r="L275" s="274"/>
      <c r="M275" s="274"/>
      <c r="N275" s="274"/>
      <c r="O275" s="274"/>
      <c r="P275" s="274"/>
      <c r="Q275" s="274"/>
      <c r="R275" s="274"/>
      <c r="S275" s="274"/>
      <c r="T275" s="274"/>
      <c r="U275" s="274"/>
    </row>
    <row r="276" ht="15.75" customHeight="1">
      <c r="A276" s="274"/>
      <c r="B276" s="274"/>
      <c r="C276" s="274"/>
      <c r="D276" s="274"/>
      <c r="E276" s="274"/>
      <c r="F276" s="274"/>
      <c r="G276" s="274"/>
      <c r="H276" s="274"/>
      <c r="I276" s="274"/>
      <c r="J276" s="274"/>
      <c r="K276" s="274"/>
      <c r="L276" s="274"/>
      <c r="M276" s="274"/>
      <c r="N276" s="274"/>
      <c r="O276" s="274"/>
      <c r="P276" s="274"/>
      <c r="Q276" s="274"/>
      <c r="R276" s="274"/>
      <c r="S276" s="274"/>
      <c r="T276" s="274"/>
      <c r="U276" s="274"/>
    </row>
    <row r="277" ht="15.75" customHeight="1">
      <c r="A277" s="274"/>
      <c r="B277" s="274"/>
      <c r="C277" s="274"/>
      <c r="D277" s="274"/>
      <c r="E277" s="274"/>
      <c r="F277" s="274"/>
      <c r="G277" s="274"/>
      <c r="H277" s="274"/>
      <c r="I277" s="274"/>
      <c r="J277" s="274"/>
      <c r="K277" s="274"/>
      <c r="L277" s="274"/>
      <c r="M277" s="274"/>
      <c r="N277" s="274"/>
      <c r="O277" s="274"/>
      <c r="P277" s="274"/>
      <c r="Q277" s="274"/>
      <c r="R277" s="274"/>
      <c r="S277" s="274"/>
      <c r="T277" s="274"/>
      <c r="U277" s="274"/>
    </row>
    <row r="278" ht="15.75" customHeight="1">
      <c r="A278" s="274"/>
      <c r="B278" s="274"/>
      <c r="C278" s="274"/>
      <c r="D278" s="274"/>
      <c r="E278" s="274"/>
      <c r="F278" s="274"/>
      <c r="G278" s="274"/>
      <c r="H278" s="274"/>
      <c r="I278" s="274"/>
      <c r="J278" s="274"/>
      <c r="K278" s="274"/>
      <c r="L278" s="274"/>
      <c r="M278" s="274"/>
      <c r="N278" s="274"/>
      <c r="O278" s="274"/>
      <c r="P278" s="274"/>
      <c r="Q278" s="274"/>
      <c r="R278" s="274"/>
      <c r="S278" s="274"/>
      <c r="T278" s="274"/>
      <c r="U278" s="274"/>
    </row>
    <row r="279" ht="15.75" customHeight="1">
      <c r="A279" s="274"/>
      <c r="B279" s="274"/>
      <c r="C279" s="274"/>
      <c r="D279" s="274"/>
      <c r="E279" s="274"/>
      <c r="F279" s="274"/>
      <c r="G279" s="274"/>
      <c r="H279" s="274"/>
      <c r="I279" s="274"/>
      <c r="J279" s="274"/>
      <c r="K279" s="274"/>
      <c r="L279" s="274"/>
      <c r="M279" s="274"/>
      <c r="N279" s="274"/>
      <c r="O279" s="274"/>
      <c r="P279" s="274"/>
      <c r="Q279" s="274"/>
      <c r="R279" s="274"/>
      <c r="S279" s="274"/>
      <c r="T279" s="274"/>
      <c r="U279" s="274"/>
    </row>
    <row r="280" ht="15.75" customHeight="1">
      <c r="A280" s="274"/>
      <c r="B280" s="274"/>
      <c r="C280" s="274"/>
      <c r="D280" s="274"/>
      <c r="E280" s="274"/>
      <c r="F280" s="274"/>
      <c r="G280" s="274"/>
      <c r="H280" s="274"/>
      <c r="I280" s="274"/>
      <c r="J280" s="274"/>
      <c r="K280" s="274"/>
      <c r="L280" s="274"/>
      <c r="M280" s="274"/>
      <c r="N280" s="274"/>
      <c r="O280" s="274"/>
      <c r="P280" s="274"/>
      <c r="Q280" s="274"/>
      <c r="R280" s="274"/>
      <c r="S280" s="274"/>
      <c r="T280" s="274"/>
      <c r="U280" s="274"/>
    </row>
    <row r="281" ht="15.75" customHeight="1">
      <c r="A281" s="274"/>
      <c r="B281" s="274"/>
      <c r="C281" s="274"/>
      <c r="D281" s="274"/>
      <c r="E281" s="274"/>
      <c r="F281" s="274"/>
      <c r="G281" s="274"/>
      <c r="H281" s="274"/>
      <c r="I281" s="274"/>
      <c r="J281" s="274"/>
      <c r="K281" s="274"/>
      <c r="L281" s="274"/>
      <c r="M281" s="274"/>
      <c r="N281" s="274"/>
      <c r="O281" s="274"/>
      <c r="P281" s="274"/>
      <c r="Q281" s="274"/>
      <c r="R281" s="274"/>
      <c r="S281" s="274"/>
      <c r="T281" s="274"/>
      <c r="U281" s="274"/>
    </row>
    <row r="282" ht="15.75" customHeight="1">
      <c r="A282" s="274"/>
      <c r="B282" s="274"/>
      <c r="C282" s="274"/>
      <c r="D282" s="274"/>
      <c r="E282" s="274"/>
      <c r="F282" s="274"/>
      <c r="G282" s="274"/>
      <c r="H282" s="274"/>
      <c r="I282" s="274"/>
      <c r="J282" s="274"/>
      <c r="K282" s="274"/>
      <c r="L282" s="274"/>
      <c r="M282" s="274"/>
      <c r="N282" s="274"/>
      <c r="O282" s="274"/>
      <c r="P282" s="274"/>
      <c r="Q282" s="274"/>
      <c r="R282" s="274"/>
      <c r="S282" s="274"/>
      <c r="T282" s="274"/>
      <c r="U282" s="274"/>
    </row>
    <row r="283" ht="15.75" customHeight="1">
      <c r="A283" s="274"/>
      <c r="B283" s="274"/>
      <c r="C283" s="274"/>
      <c r="D283" s="274"/>
      <c r="E283" s="274"/>
      <c r="F283" s="274"/>
      <c r="G283" s="274"/>
      <c r="H283" s="274"/>
      <c r="I283" s="274"/>
      <c r="J283" s="274"/>
      <c r="K283" s="274"/>
      <c r="L283" s="274"/>
      <c r="M283" s="274"/>
      <c r="N283" s="274"/>
      <c r="O283" s="274"/>
      <c r="P283" s="274"/>
      <c r="Q283" s="274"/>
      <c r="R283" s="274"/>
      <c r="S283" s="274"/>
      <c r="T283" s="274"/>
      <c r="U283" s="274"/>
    </row>
    <row r="284" ht="15.75" customHeight="1">
      <c r="A284" s="274"/>
      <c r="B284" s="274"/>
      <c r="C284" s="274"/>
      <c r="D284" s="274"/>
      <c r="E284" s="274"/>
      <c r="F284" s="274"/>
      <c r="G284" s="274"/>
      <c r="H284" s="274"/>
      <c r="I284" s="274"/>
      <c r="J284" s="274"/>
      <c r="K284" s="274"/>
      <c r="L284" s="274"/>
      <c r="M284" s="274"/>
      <c r="N284" s="274"/>
      <c r="O284" s="274"/>
      <c r="P284" s="274"/>
      <c r="Q284" s="274"/>
      <c r="R284" s="274"/>
      <c r="S284" s="274"/>
      <c r="T284" s="274"/>
      <c r="U284" s="274"/>
    </row>
    <row r="285" ht="15.75" customHeight="1">
      <c r="A285" s="274"/>
      <c r="B285" s="274"/>
      <c r="C285" s="274"/>
      <c r="D285" s="274"/>
      <c r="E285" s="274"/>
      <c r="F285" s="274"/>
      <c r="G285" s="274"/>
      <c r="H285" s="274"/>
      <c r="I285" s="274"/>
      <c r="J285" s="274"/>
      <c r="K285" s="274"/>
      <c r="L285" s="274"/>
      <c r="M285" s="274"/>
      <c r="N285" s="274"/>
      <c r="O285" s="274"/>
      <c r="P285" s="274"/>
      <c r="Q285" s="274"/>
      <c r="R285" s="274"/>
      <c r="S285" s="274"/>
      <c r="T285" s="274"/>
      <c r="U285" s="274"/>
    </row>
    <row r="286" ht="15.75" customHeight="1">
      <c r="A286" s="274"/>
      <c r="B286" s="274"/>
      <c r="C286" s="274"/>
      <c r="D286" s="274"/>
      <c r="E286" s="274"/>
      <c r="F286" s="274"/>
      <c r="G286" s="274"/>
      <c r="H286" s="274"/>
      <c r="I286" s="274"/>
      <c r="J286" s="274"/>
      <c r="K286" s="274"/>
      <c r="L286" s="274"/>
      <c r="M286" s="274"/>
      <c r="N286" s="274"/>
      <c r="O286" s="274"/>
      <c r="P286" s="274"/>
      <c r="Q286" s="274"/>
      <c r="R286" s="274"/>
      <c r="S286" s="274"/>
      <c r="T286" s="274"/>
      <c r="U286" s="274"/>
    </row>
    <row r="287" ht="15.75" customHeight="1">
      <c r="A287" s="274"/>
      <c r="B287" s="274"/>
      <c r="C287" s="274"/>
      <c r="D287" s="274"/>
      <c r="E287" s="274"/>
      <c r="F287" s="274"/>
      <c r="G287" s="274"/>
      <c r="H287" s="274"/>
      <c r="I287" s="274"/>
      <c r="J287" s="274"/>
      <c r="K287" s="274"/>
      <c r="L287" s="274"/>
      <c r="M287" s="274"/>
      <c r="N287" s="274"/>
      <c r="O287" s="274"/>
      <c r="P287" s="274"/>
      <c r="Q287" s="274"/>
      <c r="R287" s="274"/>
      <c r="S287" s="274"/>
      <c r="T287" s="274"/>
      <c r="U287" s="274"/>
    </row>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B78:K78"/>
    <mergeCell ref="D79:F79"/>
    <mergeCell ref="C80:D80"/>
    <mergeCell ref="J81:K81"/>
    <mergeCell ref="J87:K87"/>
    <mergeCell ref="B1:H1"/>
    <mergeCell ref="I1:K1"/>
    <mergeCell ref="B2:K2"/>
    <mergeCell ref="B3:K3"/>
    <mergeCell ref="B4:I4"/>
    <mergeCell ref="J4:K4"/>
    <mergeCell ref="A6:A7"/>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1.0"/>
    <col customWidth="1" min="2" max="2" width="14.25"/>
    <col customWidth="1" min="3" max="3" width="23.5"/>
    <col customWidth="1" min="4" max="5" width="11.0"/>
    <col customWidth="1" min="6" max="6" width="42.75"/>
    <col customWidth="1" min="7" max="8" width="14.88"/>
    <col customWidth="1" min="9" max="9" width="19.75"/>
    <col customWidth="1" min="10" max="10" width="18.63"/>
    <col customWidth="1" min="11" max="27" width="11.0"/>
  </cols>
  <sheetData>
    <row r="1" ht="56.25" customHeight="1">
      <c r="A1" s="335" t="s">
        <v>901</v>
      </c>
      <c r="B1" s="335" t="s">
        <v>902</v>
      </c>
      <c r="C1" s="335" t="s">
        <v>498</v>
      </c>
      <c r="D1" s="335" t="s">
        <v>903</v>
      </c>
      <c r="E1" s="335" t="s">
        <v>621</v>
      </c>
      <c r="F1" s="336" t="s">
        <v>904</v>
      </c>
      <c r="G1" s="337" t="s">
        <v>905</v>
      </c>
      <c r="H1" s="337" t="s">
        <v>906</v>
      </c>
      <c r="I1" s="337" t="s">
        <v>907</v>
      </c>
      <c r="J1" s="337" t="s">
        <v>908</v>
      </c>
      <c r="K1" s="338"/>
      <c r="L1" s="338"/>
      <c r="M1" s="338"/>
      <c r="N1" s="338"/>
      <c r="O1" s="338"/>
      <c r="P1" s="338"/>
      <c r="Q1" s="338"/>
      <c r="R1" s="338"/>
      <c r="S1" s="338"/>
      <c r="T1" s="338"/>
      <c r="U1" s="338"/>
      <c r="V1" s="338"/>
      <c r="W1" s="338"/>
      <c r="X1" s="338"/>
      <c r="Y1" s="338"/>
      <c r="Z1" s="338"/>
      <c r="AA1" s="338"/>
    </row>
    <row r="2" ht="15.75" customHeight="1">
      <c r="A2" s="339">
        <v>1.0</v>
      </c>
      <c r="B2" s="339" t="s">
        <v>909</v>
      </c>
      <c r="C2" s="340" t="s">
        <v>873</v>
      </c>
      <c r="D2" s="339" t="s">
        <v>910</v>
      </c>
      <c r="E2" s="339" t="s">
        <v>699</v>
      </c>
      <c r="F2" s="339">
        <v>1.9038861727015E13</v>
      </c>
      <c r="G2" s="341" t="s">
        <v>872</v>
      </c>
      <c r="H2" s="342"/>
      <c r="I2" s="342"/>
      <c r="J2" s="342"/>
      <c r="K2" s="338"/>
      <c r="L2" s="338"/>
      <c r="M2" s="338"/>
      <c r="N2" s="338"/>
      <c r="O2" s="338"/>
      <c r="P2" s="338"/>
      <c r="Q2" s="338"/>
      <c r="R2" s="338"/>
      <c r="S2" s="338"/>
      <c r="T2" s="338"/>
      <c r="U2" s="338"/>
      <c r="V2" s="338"/>
      <c r="W2" s="338"/>
      <c r="X2" s="338"/>
      <c r="Y2" s="338"/>
      <c r="Z2" s="338"/>
      <c r="AA2" s="338"/>
    </row>
    <row r="3" ht="15.75" customHeight="1">
      <c r="A3" s="339">
        <v>2.0</v>
      </c>
      <c r="B3" s="343" t="s">
        <v>911</v>
      </c>
      <c r="C3" s="339" t="s">
        <v>912</v>
      </c>
      <c r="D3" s="339" t="s">
        <v>913</v>
      </c>
      <c r="E3" s="339"/>
      <c r="F3" s="339"/>
      <c r="G3" s="342"/>
      <c r="H3" s="342"/>
      <c r="I3" s="342"/>
      <c r="J3" s="342"/>
      <c r="K3" s="338"/>
      <c r="L3" s="338"/>
      <c r="M3" s="338"/>
      <c r="N3" s="338"/>
      <c r="O3" s="338"/>
      <c r="P3" s="338"/>
      <c r="Q3" s="338"/>
      <c r="R3" s="338"/>
      <c r="S3" s="338"/>
      <c r="T3" s="338"/>
      <c r="U3" s="338"/>
      <c r="V3" s="338"/>
      <c r="W3" s="338"/>
      <c r="X3" s="338"/>
      <c r="Y3" s="338"/>
      <c r="Z3" s="338"/>
      <c r="AA3" s="338"/>
    </row>
    <row r="4" ht="15.75" customHeight="1">
      <c r="A4" s="339">
        <v>3.0</v>
      </c>
      <c r="B4" s="343" t="s">
        <v>914</v>
      </c>
      <c r="C4" s="339" t="s">
        <v>915</v>
      </c>
      <c r="D4" s="339" t="s">
        <v>916</v>
      </c>
      <c r="E4" s="339" t="s">
        <v>917</v>
      </c>
      <c r="F4" s="339">
        <v>3.1000676357E10</v>
      </c>
      <c r="G4" s="342"/>
      <c r="H4" s="342"/>
      <c r="I4" s="342"/>
      <c r="J4" s="342"/>
      <c r="K4" s="338"/>
      <c r="L4" s="338"/>
      <c r="M4" s="338"/>
      <c r="N4" s="338"/>
      <c r="O4" s="338"/>
      <c r="P4" s="338"/>
      <c r="Q4" s="338"/>
      <c r="R4" s="338"/>
      <c r="S4" s="338"/>
      <c r="T4" s="338"/>
      <c r="U4" s="338"/>
      <c r="V4" s="338"/>
      <c r="W4" s="338"/>
      <c r="X4" s="338"/>
      <c r="Y4" s="338"/>
      <c r="Z4" s="338"/>
      <c r="AA4" s="338"/>
    </row>
    <row r="5" ht="15.75" customHeight="1">
      <c r="A5" s="339">
        <v>4.0</v>
      </c>
      <c r="B5" s="339" t="s">
        <v>918</v>
      </c>
      <c r="C5" s="339" t="s">
        <v>919</v>
      </c>
      <c r="D5" s="339" t="s">
        <v>920</v>
      </c>
      <c r="E5" s="339" t="s">
        <v>743</v>
      </c>
      <c r="F5" s="339">
        <v>3.8481727E7</v>
      </c>
      <c r="G5" s="342"/>
      <c r="H5" s="342"/>
      <c r="I5" s="342"/>
      <c r="J5" s="342"/>
      <c r="K5" s="338"/>
      <c r="L5" s="338"/>
      <c r="M5" s="338"/>
      <c r="N5" s="338"/>
      <c r="O5" s="338"/>
      <c r="P5" s="338"/>
      <c r="Q5" s="338"/>
      <c r="R5" s="338"/>
      <c r="S5" s="338"/>
      <c r="T5" s="338"/>
      <c r="U5" s="338"/>
      <c r="V5" s="338"/>
      <c r="W5" s="338"/>
      <c r="X5" s="338"/>
      <c r="Y5" s="338"/>
      <c r="Z5" s="338"/>
      <c r="AA5" s="338"/>
    </row>
    <row r="6" ht="15.75" customHeight="1">
      <c r="A6" s="339">
        <v>5.0</v>
      </c>
      <c r="B6" s="339" t="s">
        <v>921</v>
      </c>
      <c r="C6" s="339" t="s">
        <v>922</v>
      </c>
      <c r="D6" s="339" t="s">
        <v>923</v>
      </c>
      <c r="E6" s="339"/>
      <c r="F6" s="339"/>
      <c r="G6" s="342"/>
      <c r="H6" s="342"/>
      <c r="I6" s="342"/>
      <c r="J6" s="342"/>
      <c r="K6" s="338"/>
      <c r="L6" s="338"/>
      <c r="M6" s="338"/>
      <c r="N6" s="338"/>
      <c r="O6" s="338"/>
      <c r="P6" s="338"/>
      <c r="Q6" s="338"/>
      <c r="R6" s="338"/>
      <c r="S6" s="338"/>
      <c r="T6" s="338"/>
      <c r="U6" s="338"/>
      <c r="V6" s="338"/>
      <c r="W6" s="338"/>
      <c r="X6" s="338"/>
      <c r="Y6" s="338"/>
      <c r="Z6" s="338"/>
      <c r="AA6" s="338"/>
    </row>
    <row r="7" ht="15.75" customHeight="1">
      <c r="A7" s="339">
        <v>6.0</v>
      </c>
      <c r="B7" s="339" t="s">
        <v>924</v>
      </c>
      <c r="C7" s="339" t="s">
        <v>925</v>
      </c>
      <c r="D7" s="339" t="s">
        <v>926</v>
      </c>
      <c r="E7" s="339" t="s">
        <v>699</v>
      </c>
      <c r="F7" s="339">
        <v>1.3820552053016E13</v>
      </c>
      <c r="G7" s="342" t="s">
        <v>924</v>
      </c>
      <c r="H7" s="339" t="s">
        <v>699</v>
      </c>
      <c r="I7" s="342"/>
      <c r="J7" s="342" t="s">
        <v>927</v>
      </c>
      <c r="K7" s="338"/>
      <c r="L7" s="338"/>
      <c r="M7" s="338"/>
      <c r="N7" s="338"/>
      <c r="O7" s="338"/>
      <c r="P7" s="338"/>
      <c r="Q7" s="338"/>
      <c r="R7" s="338"/>
      <c r="S7" s="338"/>
      <c r="T7" s="338"/>
      <c r="U7" s="338"/>
      <c r="V7" s="338"/>
      <c r="W7" s="338"/>
      <c r="X7" s="338"/>
      <c r="Y7" s="338"/>
      <c r="Z7" s="338"/>
      <c r="AA7" s="338"/>
    </row>
    <row r="8" ht="15.75" customHeight="1">
      <c r="A8" s="339">
        <v>7.0</v>
      </c>
      <c r="B8" s="339" t="s">
        <v>928</v>
      </c>
      <c r="C8" s="339" t="s">
        <v>402</v>
      </c>
      <c r="D8" s="339" t="s">
        <v>929</v>
      </c>
      <c r="E8" s="339" t="s">
        <v>930</v>
      </c>
      <c r="F8" s="339">
        <v>1.09868572929E11</v>
      </c>
      <c r="G8" s="342"/>
      <c r="H8" s="342"/>
      <c r="I8" s="342"/>
      <c r="J8" s="342"/>
      <c r="K8" s="338"/>
      <c r="L8" s="338"/>
      <c r="M8" s="338"/>
      <c r="N8" s="338"/>
      <c r="O8" s="338"/>
      <c r="P8" s="338"/>
      <c r="Q8" s="338"/>
      <c r="R8" s="338"/>
      <c r="S8" s="338"/>
      <c r="T8" s="338"/>
      <c r="U8" s="338"/>
      <c r="V8" s="338"/>
      <c r="W8" s="338"/>
      <c r="X8" s="338"/>
      <c r="Y8" s="338"/>
      <c r="Z8" s="338"/>
      <c r="AA8" s="338"/>
    </row>
    <row r="9" ht="15.75" customHeight="1">
      <c r="A9" s="339">
        <v>8.0</v>
      </c>
      <c r="B9" s="339" t="s">
        <v>931</v>
      </c>
      <c r="C9" s="339" t="s">
        <v>932</v>
      </c>
      <c r="D9" s="339" t="s">
        <v>933</v>
      </c>
      <c r="E9" s="339" t="s">
        <v>934</v>
      </c>
      <c r="F9" s="339">
        <v>2.4950280001E10</v>
      </c>
      <c r="G9" s="344"/>
      <c r="H9" s="344"/>
      <c r="I9" s="342"/>
      <c r="J9" s="342"/>
      <c r="K9" s="338"/>
      <c r="L9" s="338"/>
      <c r="M9" s="338"/>
      <c r="N9" s="338"/>
      <c r="O9" s="338"/>
      <c r="P9" s="338"/>
      <c r="Q9" s="338"/>
      <c r="R9" s="338"/>
      <c r="S9" s="338"/>
      <c r="T9" s="338"/>
      <c r="U9" s="338"/>
      <c r="V9" s="338"/>
      <c r="W9" s="338"/>
      <c r="X9" s="338"/>
      <c r="Y9" s="338"/>
      <c r="Z9" s="338"/>
      <c r="AA9" s="338"/>
    </row>
    <row r="10" ht="15.75" customHeight="1">
      <c r="A10" s="339">
        <v>9.0</v>
      </c>
      <c r="B10" s="339" t="s">
        <v>935</v>
      </c>
      <c r="C10" s="339" t="s">
        <v>936</v>
      </c>
      <c r="D10" s="339" t="s">
        <v>937</v>
      </c>
      <c r="E10" s="339" t="s">
        <v>938</v>
      </c>
      <c r="F10" s="339">
        <v>3.9010000222931E13</v>
      </c>
      <c r="G10" s="342"/>
      <c r="H10" s="342"/>
      <c r="I10" s="342"/>
      <c r="J10" s="342"/>
      <c r="K10" s="338"/>
      <c r="L10" s="338"/>
      <c r="M10" s="338"/>
      <c r="N10" s="338"/>
      <c r="O10" s="338"/>
      <c r="P10" s="338"/>
      <c r="Q10" s="338"/>
      <c r="R10" s="338"/>
      <c r="S10" s="338"/>
      <c r="T10" s="338"/>
      <c r="U10" s="338"/>
      <c r="V10" s="338"/>
      <c r="W10" s="338"/>
      <c r="X10" s="338"/>
      <c r="Y10" s="338"/>
      <c r="Z10" s="338"/>
      <c r="AA10" s="338"/>
    </row>
    <row r="11" ht="15.75" customHeight="1">
      <c r="A11" s="339">
        <v>10.0</v>
      </c>
      <c r="B11" s="339" t="s">
        <v>939</v>
      </c>
      <c r="C11" s="339" t="s">
        <v>940</v>
      </c>
      <c r="D11" s="339" t="s">
        <v>941</v>
      </c>
      <c r="E11" s="339" t="s">
        <v>942</v>
      </c>
      <c r="F11" s="339">
        <v>3.4100175531E11</v>
      </c>
      <c r="G11" s="342"/>
      <c r="H11" s="342"/>
      <c r="I11" s="342"/>
      <c r="J11" s="342"/>
      <c r="K11" s="338"/>
      <c r="L11" s="338"/>
      <c r="M11" s="338"/>
      <c r="N11" s="338"/>
      <c r="O11" s="338"/>
      <c r="P11" s="338"/>
      <c r="Q11" s="338"/>
      <c r="R11" s="338"/>
      <c r="S11" s="338"/>
      <c r="T11" s="338"/>
      <c r="U11" s="338"/>
      <c r="V11" s="338"/>
      <c r="W11" s="338"/>
      <c r="X11" s="338"/>
      <c r="Y11" s="338"/>
      <c r="Z11" s="338"/>
      <c r="AA11" s="338"/>
    </row>
    <row r="12" ht="15.75" customHeight="1">
      <c r="A12" s="339">
        <v>11.0</v>
      </c>
      <c r="B12" s="339" t="s">
        <v>943</v>
      </c>
      <c r="C12" s="339" t="s">
        <v>944</v>
      </c>
      <c r="D12" s="339" t="s">
        <v>945</v>
      </c>
      <c r="E12" s="339" t="s">
        <v>946</v>
      </c>
      <c r="F12" s="339">
        <v>9.8482393E7</v>
      </c>
      <c r="G12" s="342"/>
      <c r="H12" s="342"/>
      <c r="I12" s="342"/>
      <c r="J12" s="342"/>
      <c r="K12" s="338"/>
      <c r="L12" s="338"/>
      <c r="M12" s="338"/>
      <c r="N12" s="338"/>
      <c r="O12" s="338"/>
      <c r="P12" s="338"/>
      <c r="Q12" s="338"/>
      <c r="R12" s="338"/>
      <c r="S12" s="338"/>
      <c r="T12" s="338"/>
      <c r="U12" s="338"/>
      <c r="V12" s="338"/>
      <c r="W12" s="338"/>
      <c r="X12" s="338"/>
      <c r="Y12" s="338"/>
      <c r="Z12" s="338"/>
      <c r="AA12" s="338"/>
    </row>
    <row r="13" ht="15.75" customHeight="1">
      <c r="A13" s="339">
        <v>12.0</v>
      </c>
      <c r="B13" s="339" t="s">
        <v>947</v>
      </c>
      <c r="C13" s="339" t="s">
        <v>948</v>
      </c>
      <c r="D13" s="339" t="s">
        <v>949</v>
      </c>
      <c r="E13" s="339" t="s">
        <v>950</v>
      </c>
      <c r="F13" s="339">
        <v>2.501205146505E12</v>
      </c>
      <c r="G13" s="344"/>
      <c r="H13" s="344"/>
      <c r="I13" s="342"/>
      <c r="J13" s="342"/>
      <c r="K13" s="338"/>
      <c r="L13" s="338"/>
      <c r="M13" s="338"/>
      <c r="N13" s="338"/>
      <c r="O13" s="338"/>
      <c r="P13" s="338"/>
      <c r="Q13" s="338"/>
      <c r="R13" s="338"/>
      <c r="S13" s="338"/>
      <c r="T13" s="338"/>
      <c r="U13" s="338"/>
      <c r="V13" s="338"/>
      <c r="W13" s="338"/>
      <c r="X13" s="338"/>
      <c r="Y13" s="338"/>
      <c r="Z13" s="338"/>
      <c r="AA13" s="338"/>
    </row>
    <row r="14" ht="15.75" customHeight="1">
      <c r="A14" s="339">
        <v>13.0</v>
      </c>
      <c r="B14" s="343" t="s">
        <v>951</v>
      </c>
      <c r="C14" s="339" t="s">
        <v>594</v>
      </c>
      <c r="D14" s="339" t="s">
        <v>952</v>
      </c>
      <c r="E14" s="339" t="s">
        <v>953</v>
      </c>
      <c r="F14" s="339">
        <v>52701.0</v>
      </c>
      <c r="G14" s="342"/>
      <c r="H14" s="342"/>
      <c r="I14" s="342"/>
      <c r="J14" s="342"/>
      <c r="K14" s="338"/>
      <c r="L14" s="338"/>
      <c r="M14" s="338"/>
      <c r="N14" s="338"/>
      <c r="O14" s="338"/>
      <c r="P14" s="338"/>
      <c r="Q14" s="338"/>
      <c r="R14" s="338"/>
      <c r="S14" s="338"/>
      <c r="T14" s="338"/>
      <c r="U14" s="338"/>
      <c r="V14" s="338"/>
      <c r="W14" s="338"/>
      <c r="X14" s="338"/>
      <c r="Y14" s="338"/>
      <c r="Z14" s="338"/>
      <c r="AA14" s="338"/>
    </row>
    <row r="15" ht="15.75" customHeight="1">
      <c r="A15" s="339">
        <v>14.0</v>
      </c>
      <c r="B15" s="343" t="s">
        <v>954</v>
      </c>
      <c r="C15" s="339" t="s">
        <v>955</v>
      </c>
      <c r="D15" s="339" t="s">
        <v>956</v>
      </c>
      <c r="E15" s="339" t="s">
        <v>957</v>
      </c>
      <c r="F15" s="339">
        <v>1.00003921549E11</v>
      </c>
      <c r="G15" s="342"/>
      <c r="H15" s="342"/>
      <c r="I15" s="342"/>
      <c r="J15" s="342"/>
      <c r="K15" s="338"/>
      <c r="L15" s="338"/>
      <c r="M15" s="338"/>
      <c r="N15" s="338"/>
      <c r="O15" s="338"/>
      <c r="P15" s="338"/>
      <c r="Q15" s="338"/>
      <c r="R15" s="338"/>
      <c r="S15" s="338"/>
      <c r="T15" s="338"/>
      <c r="U15" s="338"/>
      <c r="V15" s="338"/>
      <c r="W15" s="338"/>
      <c r="X15" s="338"/>
      <c r="Y15" s="338"/>
      <c r="Z15" s="338"/>
      <c r="AA15" s="338"/>
    </row>
    <row r="16" ht="15.75" customHeight="1">
      <c r="A16" s="339">
        <v>15.0</v>
      </c>
      <c r="B16" s="339" t="s">
        <v>958</v>
      </c>
      <c r="C16" s="339" t="s">
        <v>959</v>
      </c>
      <c r="D16" s="339" t="s">
        <v>960</v>
      </c>
      <c r="E16" s="339" t="s">
        <v>961</v>
      </c>
      <c r="F16" s="339">
        <v>6.22220539232E12</v>
      </c>
      <c r="G16" s="342"/>
      <c r="H16" s="342"/>
      <c r="I16" s="342"/>
      <c r="J16" s="342"/>
      <c r="K16" s="338"/>
      <c r="L16" s="338"/>
      <c r="M16" s="338"/>
      <c r="N16" s="338"/>
      <c r="O16" s="338"/>
      <c r="P16" s="338"/>
      <c r="Q16" s="338"/>
      <c r="R16" s="338"/>
      <c r="S16" s="338"/>
      <c r="T16" s="338"/>
      <c r="U16" s="338"/>
      <c r="V16" s="338"/>
      <c r="W16" s="338"/>
      <c r="X16" s="338"/>
      <c r="Y16" s="338"/>
      <c r="Z16" s="338"/>
      <c r="AA16" s="338"/>
    </row>
    <row r="17" ht="15.75" customHeight="1">
      <c r="A17" s="339">
        <v>16.0</v>
      </c>
      <c r="B17" s="343" t="s">
        <v>962</v>
      </c>
      <c r="C17" s="339" t="s">
        <v>963</v>
      </c>
      <c r="D17" s="339" t="s">
        <v>964</v>
      </c>
      <c r="E17" s="339" t="s">
        <v>965</v>
      </c>
      <c r="F17" s="339" t="s">
        <v>966</v>
      </c>
      <c r="G17" s="342"/>
      <c r="H17" s="342"/>
      <c r="I17" s="342"/>
      <c r="J17" s="342"/>
      <c r="K17" s="338"/>
      <c r="L17" s="338"/>
      <c r="M17" s="338"/>
      <c r="N17" s="338"/>
      <c r="O17" s="338"/>
      <c r="P17" s="338"/>
      <c r="Q17" s="338"/>
      <c r="R17" s="338"/>
      <c r="S17" s="338"/>
      <c r="T17" s="338"/>
      <c r="U17" s="338"/>
      <c r="V17" s="338"/>
      <c r="W17" s="338"/>
      <c r="X17" s="338"/>
      <c r="Y17" s="338"/>
      <c r="Z17" s="338"/>
      <c r="AA17" s="338"/>
    </row>
    <row r="18" ht="15.75" customHeight="1">
      <c r="A18" s="339">
        <v>17.0</v>
      </c>
      <c r="B18" s="339" t="s">
        <v>845</v>
      </c>
      <c r="C18" s="339" t="s">
        <v>846</v>
      </c>
      <c r="D18" s="339" t="s">
        <v>967</v>
      </c>
      <c r="E18" s="339" t="s">
        <v>848</v>
      </c>
      <c r="F18" s="339">
        <v>3.8475967E7</v>
      </c>
      <c r="G18" s="339" t="s">
        <v>845</v>
      </c>
      <c r="H18" s="342"/>
      <c r="I18" s="342"/>
      <c r="J18" s="342" t="s">
        <v>927</v>
      </c>
      <c r="K18" s="338"/>
      <c r="L18" s="338"/>
      <c r="M18" s="338"/>
      <c r="N18" s="338"/>
      <c r="O18" s="338"/>
      <c r="P18" s="338"/>
      <c r="Q18" s="338"/>
      <c r="R18" s="338"/>
      <c r="S18" s="338"/>
      <c r="T18" s="338"/>
      <c r="U18" s="338"/>
      <c r="V18" s="338"/>
      <c r="W18" s="338"/>
      <c r="X18" s="338"/>
      <c r="Y18" s="338"/>
      <c r="Z18" s="338"/>
      <c r="AA18" s="338"/>
    </row>
    <row r="19" ht="15.75" customHeight="1">
      <c r="A19" s="339">
        <v>18.0</v>
      </c>
      <c r="B19" s="343" t="s">
        <v>968</v>
      </c>
      <c r="C19" s="340" t="s">
        <v>969</v>
      </c>
      <c r="D19" s="339" t="s">
        <v>381</v>
      </c>
      <c r="E19" s="339" t="s">
        <v>970</v>
      </c>
      <c r="F19" s="339">
        <v>7.610111112008E12</v>
      </c>
      <c r="G19" s="342"/>
      <c r="H19" s="342"/>
      <c r="I19" s="342"/>
      <c r="J19" s="342"/>
      <c r="K19" s="338"/>
      <c r="L19" s="338"/>
      <c r="M19" s="338"/>
      <c r="N19" s="338"/>
      <c r="O19" s="338"/>
      <c r="P19" s="338"/>
      <c r="Q19" s="338"/>
      <c r="R19" s="338"/>
      <c r="S19" s="338"/>
      <c r="T19" s="338"/>
      <c r="U19" s="338"/>
      <c r="V19" s="338"/>
      <c r="W19" s="338"/>
      <c r="X19" s="338"/>
      <c r="Y19" s="338"/>
      <c r="Z19" s="338"/>
      <c r="AA19" s="338"/>
    </row>
    <row r="20" ht="15.75" customHeight="1">
      <c r="A20" s="339">
        <v>19.0</v>
      </c>
      <c r="B20" s="339" t="s">
        <v>971</v>
      </c>
      <c r="C20" s="339" t="s">
        <v>972</v>
      </c>
      <c r="D20" s="339" t="s">
        <v>973</v>
      </c>
      <c r="E20" s="339" t="s">
        <v>748</v>
      </c>
      <c r="F20" s="339">
        <v>8.500215005887E12</v>
      </c>
      <c r="G20" s="342"/>
      <c r="H20" s="342"/>
      <c r="I20" s="342"/>
      <c r="J20" s="342"/>
      <c r="K20" s="338"/>
      <c r="L20" s="338"/>
      <c r="M20" s="338"/>
      <c r="N20" s="338"/>
      <c r="O20" s="338"/>
      <c r="P20" s="338"/>
      <c r="Q20" s="338"/>
      <c r="R20" s="338"/>
      <c r="S20" s="338"/>
      <c r="T20" s="338"/>
      <c r="U20" s="338"/>
      <c r="V20" s="338"/>
      <c r="W20" s="338"/>
      <c r="X20" s="338"/>
      <c r="Y20" s="338"/>
      <c r="Z20" s="338"/>
      <c r="AA20" s="338"/>
    </row>
    <row r="21" ht="15.75" customHeight="1">
      <c r="A21" s="339">
        <v>20.0</v>
      </c>
      <c r="B21" s="343" t="s">
        <v>974</v>
      </c>
      <c r="C21" s="339" t="s">
        <v>975</v>
      </c>
      <c r="D21" s="339" t="s">
        <v>976</v>
      </c>
      <c r="E21" s="339" t="s">
        <v>977</v>
      </c>
      <c r="F21" s="339">
        <v>2.1510000567829E13</v>
      </c>
      <c r="G21" s="342"/>
      <c r="H21" s="342"/>
      <c r="I21" s="342"/>
      <c r="J21" s="342" t="s">
        <v>532</v>
      </c>
      <c r="K21" s="338"/>
      <c r="L21" s="338"/>
      <c r="M21" s="338"/>
      <c r="N21" s="338"/>
      <c r="O21" s="338"/>
      <c r="P21" s="338"/>
      <c r="Q21" s="338"/>
      <c r="R21" s="338"/>
      <c r="S21" s="338"/>
      <c r="T21" s="338"/>
      <c r="U21" s="338"/>
      <c r="V21" s="338"/>
      <c r="W21" s="338"/>
      <c r="X21" s="338"/>
      <c r="Y21" s="338"/>
      <c r="Z21" s="338"/>
      <c r="AA21" s="338"/>
    </row>
    <row r="22" ht="15.75" customHeight="1">
      <c r="A22" s="339">
        <v>21.0</v>
      </c>
      <c r="B22" s="339" t="s">
        <v>978</v>
      </c>
      <c r="C22" s="339" t="s">
        <v>471</v>
      </c>
      <c r="D22" s="339" t="s">
        <v>979</v>
      </c>
      <c r="E22" s="339" t="s">
        <v>980</v>
      </c>
      <c r="F22" s="339">
        <v>1.97489723E8</v>
      </c>
      <c r="G22" s="342"/>
      <c r="H22" s="342"/>
      <c r="I22" s="342"/>
      <c r="J22" s="342"/>
      <c r="K22" s="338"/>
      <c r="L22" s="338"/>
      <c r="M22" s="338"/>
      <c r="N22" s="338"/>
      <c r="O22" s="338"/>
      <c r="P22" s="338"/>
      <c r="Q22" s="338"/>
      <c r="R22" s="338"/>
      <c r="S22" s="338"/>
      <c r="T22" s="338"/>
      <c r="U22" s="338"/>
      <c r="V22" s="338"/>
      <c r="W22" s="338"/>
      <c r="X22" s="338"/>
      <c r="Y22" s="338"/>
      <c r="Z22" s="338"/>
      <c r="AA22" s="338"/>
    </row>
    <row r="23" ht="15.75" customHeight="1">
      <c r="A23" s="339">
        <v>22.0</v>
      </c>
      <c r="B23" s="339" t="s">
        <v>981</v>
      </c>
      <c r="C23" s="339" t="s">
        <v>982</v>
      </c>
      <c r="D23" s="339" t="s">
        <v>923</v>
      </c>
      <c r="E23" s="339"/>
      <c r="F23" s="339"/>
      <c r="G23" s="342"/>
      <c r="H23" s="342"/>
      <c r="I23" s="342"/>
      <c r="J23" s="342"/>
      <c r="K23" s="338"/>
      <c r="L23" s="338"/>
      <c r="M23" s="338"/>
      <c r="N23" s="338"/>
      <c r="O23" s="338"/>
      <c r="P23" s="338"/>
      <c r="Q23" s="338"/>
      <c r="R23" s="338"/>
      <c r="S23" s="338"/>
      <c r="T23" s="338"/>
      <c r="U23" s="338"/>
      <c r="V23" s="338"/>
      <c r="W23" s="338"/>
      <c r="X23" s="338"/>
      <c r="Y23" s="338"/>
      <c r="Z23" s="338"/>
      <c r="AA23" s="338"/>
    </row>
    <row r="24" ht="15.75" customHeight="1">
      <c r="A24" s="339">
        <v>23.0</v>
      </c>
      <c r="B24" s="343" t="s">
        <v>983</v>
      </c>
      <c r="C24" s="339" t="s">
        <v>984</v>
      </c>
      <c r="D24" s="339" t="s">
        <v>985</v>
      </c>
      <c r="E24" s="339" t="s">
        <v>986</v>
      </c>
      <c r="F24" s="339">
        <v>1.41000772368E11</v>
      </c>
      <c r="G24" s="342" t="s">
        <v>987</v>
      </c>
      <c r="H24" s="342"/>
      <c r="I24" s="342"/>
      <c r="J24" s="342" t="s">
        <v>927</v>
      </c>
      <c r="K24" s="338"/>
      <c r="L24" s="338"/>
      <c r="M24" s="338"/>
      <c r="N24" s="338"/>
      <c r="O24" s="338"/>
      <c r="P24" s="338"/>
      <c r="Q24" s="338"/>
      <c r="R24" s="338"/>
      <c r="S24" s="338"/>
      <c r="T24" s="338"/>
      <c r="U24" s="338"/>
      <c r="V24" s="338"/>
      <c r="W24" s="338"/>
      <c r="X24" s="338"/>
      <c r="Y24" s="338"/>
      <c r="Z24" s="338"/>
      <c r="AA24" s="338"/>
    </row>
    <row r="25" ht="15.75" customHeight="1">
      <c r="A25" s="339">
        <v>24.0</v>
      </c>
      <c r="B25" s="339" t="s">
        <v>988</v>
      </c>
      <c r="C25" s="339" t="s">
        <v>989</v>
      </c>
      <c r="D25" s="339" t="s">
        <v>990</v>
      </c>
      <c r="E25" s="339" t="s">
        <v>991</v>
      </c>
      <c r="F25" s="339">
        <v>3.01000365294E11</v>
      </c>
      <c r="G25" s="342"/>
      <c r="H25" s="342"/>
      <c r="I25" s="342"/>
      <c r="J25" s="342"/>
      <c r="K25" s="338"/>
      <c r="L25" s="338"/>
      <c r="M25" s="338"/>
      <c r="N25" s="338"/>
      <c r="O25" s="338"/>
      <c r="P25" s="338"/>
      <c r="Q25" s="338"/>
      <c r="R25" s="338"/>
      <c r="S25" s="338"/>
      <c r="T25" s="338"/>
      <c r="U25" s="338"/>
      <c r="V25" s="338"/>
      <c r="W25" s="338"/>
      <c r="X25" s="338"/>
      <c r="Y25" s="338"/>
      <c r="Z25" s="338"/>
      <c r="AA25" s="338"/>
    </row>
    <row r="26" ht="15.75" customHeight="1">
      <c r="A26" s="339">
        <v>25.0</v>
      </c>
      <c r="B26" s="339" t="s">
        <v>992</v>
      </c>
      <c r="C26" s="339" t="s">
        <v>993</v>
      </c>
      <c r="D26" s="339" t="s">
        <v>994</v>
      </c>
      <c r="E26" s="339" t="s">
        <v>995</v>
      </c>
      <c r="F26" s="339">
        <v>1.9035497161011E13</v>
      </c>
      <c r="G26" s="342"/>
      <c r="H26" s="342"/>
      <c r="I26" s="342"/>
      <c r="J26" s="342"/>
      <c r="K26" s="338"/>
      <c r="L26" s="338"/>
      <c r="M26" s="338"/>
      <c r="N26" s="338"/>
      <c r="O26" s="338"/>
      <c r="P26" s="338"/>
      <c r="Q26" s="338"/>
      <c r="R26" s="338"/>
      <c r="S26" s="338"/>
      <c r="T26" s="338"/>
      <c r="U26" s="338"/>
      <c r="V26" s="338"/>
      <c r="W26" s="338"/>
      <c r="X26" s="338"/>
      <c r="Y26" s="338"/>
      <c r="Z26" s="338"/>
      <c r="AA26" s="338"/>
    </row>
    <row r="27" ht="15.75" customHeight="1">
      <c r="A27" s="339">
        <v>26.0</v>
      </c>
      <c r="B27" s="343" t="s">
        <v>996</v>
      </c>
      <c r="C27" s="339" t="s">
        <v>997</v>
      </c>
      <c r="D27" s="339" t="s">
        <v>998</v>
      </c>
      <c r="E27" s="339" t="s">
        <v>999</v>
      </c>
      <c r="F27" s="339">
        <v>2.2211166E7</v>
      </c>
      <c r="G27" s="342"/>
      <c r="H27" s="342"/>
      <c r="I27" s="342"/>
      <c r="J27" s="342"/>
      <c r="K27" s="338"/>
      <c r="L27" s="338"/>
      <c r="M27" s="338"/>
      <c r="N27" s="338"/>
      <c r="O27" s="338"/>
      <c r="P27" s="338"/>
      <c r="Q27" s="338"/>
      <c r="R27" s="338"/>
      <c r="S27" s="338"/>
      <c r="T27" s="338"/>
      <c r="U27" s="338"/>
      <c r="V27" s="338"/>
      <c r="W27" s="338"/>
      <c r="X27" s="338"/>
      <c r="Y27" s="338"/>
      <c r="Z27" s="338"/>
      <c r="AA27" s="338"/>
    </row>
    <row r="28" ht="15.75" customHeight="1">
      <c r="A28" s="339">
        <v>27.0</v>
      </c>
      <c r="B28" s="343" t="s">
        <v>1000</v>
      </c>
      <c r="C28" s="339" t="s">
        <v>1001</v>
      </c>
      <c r="D28" s="339" t="s">
        <v>1002</v>
      </c>
      <c r="E28" s="339" t="s">
        <v>1003</v>
      </c>
      <c r="F28" s="339">
        <v>9.16884747E8</v>
      </c>
      <c r="G28" s="342"/>
      <c r="H28" s="342"/>
      <c r="I28" s="342"/>
      <c r="J28" s="342"/>
      <c r="K28" s="338"/>
      <c r="L28" s="338"/>
      <c r="M28" s="338"/>
      <c r="N28" s="338"/>
      <c r="O28" s="338"/>
      <c r="P28" s="338"/>
      <c r="Q28" s="338"/>
      <c r="R28" s="338"/>
      <c r="S28" s="338"/>
      <c r="T28" s="338"/>
      <c r="U28" s="338"/>
      <c r="V28" s="338"/>
      <c r="W28" s="338"/>
      <c r="X28" s="338"/>
      <c r="Y28" s="338"/>
      <c r="Z28" s="338"/>
      <c r="AA28" s="338"/>
    </row>
    <row r="29" ht="15.75" customHeight="1">
      <c r="A29" s="339">
        <v>28.0</v>
      </c>
      <c r="B29" s="343" t="s">
        <v>1004</v>
      </c>
      <c r="C29" s="339" t="s">
        <v>1005</v>
      </c>
      <c r="D29" s="339" t="s">
        <v>381</v>
      </c>
      <c r="E29" s="339" t="s">
        <v>1006</v>
      </c>
      <c r="F29" s="339">
        <v>4.6510000574099E13</v>
      </c>
      <c r="G29" s="342"/>
      <c r="H29" s="342"/>
      <c r="I29" s="342"/>
      <c r="J29" s="342"/>
      <c r="K29" s="338"/>
      <c r="L29" s="338"/>
      <c r="M29" s="338"/>
      <c r="N29" s="338"/>
      <c r="O29" s="338"/>
      <c r="P29" s="338"/>
      <c r="Q29" s="338"/>
      <c r="R29" s="338"/>
      <c r="S29" s="338"/>
      <c r="T29" s="338"/>
      <c r="U29" s="338"/>
      <c r="V29" s="338"/>
      <c r="W29" s="338"/>
      <c r="X29" s="338"/>
      <c r="Y29" s="338"/>
      <c r="Z29" s="338"/>
      <c r="AA29" s="338"/>
    </row>
    <row r="30" ht="15.75" customHeight="1">
      <c r="A30" s="339">
        <v>29.0</v>
      </c>
      <c r="B30" s="343" t="s">
        <v>1007</v>
      </c>
      <c r="C30" s="339" t="s">
        <v>380</v>
      </c>
      <c r="D30" s="339" t="s">
        <v>1008</v>
      </c>
      <c r="E30" s="339" t="s">
        <v>1009</v>
      </c>
      <c r="F30" s="345">
        <v>1.90341E18</v>
      </c>
      <c r="G30" s="342"/>
      <c r="H30" s="342"/>
      <c r="I30" s="342"/>
      <c r="J30" s="342"/>
      <c r="K30" s="338"/>
      <c r="L30" s="338"/>
      <c r="M30" s="338"/>
      <c r="N30" s="338"/>
      <c r="O30" s="338"/>
      <c r="P30" s="338"/>
      <c r="Q30" s="338"/>
      <c r="R30" s="338"/>
      <c r="S30" s="338"/>
      <c r="T30" s="338"/>
      <c r="U30" s="338"/>
      <c r="V30" s="338"/>
      <c r="W30" s="338"/>
      <c r="X30" s="338"/>
      <c r="Y30" s="338"/>
      <c r="Z30" s="338"/>
      <c r="AA30" s="338"/>
    </row>
    <row r="31" ht="15.75" customHeight="1">
      <c r="A31" s="339">
        <v>30.0</v>
      </c>
      <c r="B31" s="343" t="s">
        <v>1010</v>
      </c>
      <c r="C31" s="339" t="s">
        <v>1011</v>
      </c>
      <c r="D31" s="339" t="s">
        <v>1012</v>
      </c>
      <c r="E31" s="339" t="s">
        <v>1013</v>
      </c>
      <c r="F31" s="339">
        <v>1.04855406666E11</v>
      </c>
      <c r="G31" s="342"/>
      <c r="H31" s="342"/>
      <c r="I31" s="342"/>
      <c r="J31" s="342"/>
      <c r="K31" s="338"/>
      <c r="L31" s="338"/>
      <c r="M31" s="338"/>
      <c r="N31" s="338"/>
      <c r="O31" s="338"/>
      <c r="P31" s="338"/>
      <c r="Q31" s="338"/>
      <c r="R31" s="338"/>
      <c r="S31" s="338"/>
      <c r="T31" s="338"/>
      <c r="U31" s="338"/>
      <c r="V31" s="338"/>
      <c r="W31" s="338"/>
      <c r="X31" s="338"/>
      <c r="Y31" s="338"/>
      <c r="Z31" s="338"/>
      <c r="AA31" s="338"/>
    </row>
    <row r="32" ht="15.75" customHeight="1">
      <c r="A32" s="339">
        <v>31.0</v>
      </c>
      <c r="B32" s="343" t="s">
        <v>1014</v>
      </c>
      <c r="C32" s="339" t="s">
        <v>1015</v>
      </c>
      <c r="D32" s="339" t="s">
        <v>1016</v>
      </c>
      <c r="E32" s="339"/>
      <c r="F32" s="339"/>
      <c r="G32" s="342"/>
      <c r="H32" s="342"/>
      <c r="I32" s="342"/>
      <c r="J32" s="342"/>
      <c r="K32" s="338"/>
      <c r="L32" s="338"/>
      <c r="M32" s="338"/>
      <c r="N32" s="338"/>
      <c r="O32" s="338"/>
      <c r="P32" s="338"/>
      <c r="Q32" s="338"/>
      <c r="R32" s="338"/>
      <c r="S32" s="338"/>
      <c r="T32" s="338"/>
      <c r="U32" s="338"/>
      <c r="V32" s="338"/>
      <c r="W32" s="338"/>
      <c r="X32" s="338"/>
      <c r="Y32" s="338"/>
      <c r="Z32" s="338"/>
      <c r="AA32" s="338"/>
    </row>
    <row r="33" ht="15.75" customHeight="1">
      <c r="A33" s="339">
        <v>32.0</v>
      </c>
      <c r="B33" s="343" t="s">
        <v>1017</v>
      </c>
      <c r="C33" s="339" t="s">
        <v>1018</v>
      </c>
      <c r="D33" s="339" t="s">
        <v>973</v>
      </c>
      <c r="E33" s="339" t="s">
        <v>1019</v>
      </c>
      <c r="F33" s="339">
        <v>1.02267891E9</v>
      </c>
      <c r="G33" s="342"/>
      <c r="H33" s="342"/>
      <c r="I33" s="342"/>
      <c r="J33" s="342"/>
      <c r="K33" s="338"/>
      <c r="L33" s="338"/>
      <c r="M33" s="338"/>
      <c r="N33" s="338"/>
      <c r="O33" s="338"/>
      <c r="P33" s="338"/>
      <c r="Q33" s="338"/>
      <c r="R33" s="338"/>
      <c r="S33" s="338"/>
      <c r="T33" s="338"/>
      <c r="U33" s="338"/>
      <c r="V33" s="338"/>
      <c r="W33" s="338"/>
      <c r="X33" s="338"/>
      <c r="Y33" s="338"/>
      <c r="Z33" s="338"/>
      <c r="AA33" s="338"/>
    </row>
    <row r="34" ht="15.75" customHeight="1">
      <c r="A34" s="339">
        <v>33.0</v>
      </c>
      <c r="B34" s="343" t="s">
        <v>1020</v>
      </c>
      <c r="C34" s="339" t="s">
        <v>1021</v>
      </c>
      <c r="D34" s="339" t="s">
        <v>1022</v>
      </c>
      <c r="E34" s="339" t="s">
        <v>1023</v>
      </c>
      <c r="F34" s="339">
        <v>3.601000015965E13</v>
      </c>
      <c r="G34" s="342"/>
      <c r="H34" s="342"/>
      <c r="I34" s="342"/>
      <c r="J34" s="342"/>
      <c r="K34" s="338"/>
      <c r="L34" s="338"/>
      <c r="M34" s="338"/>
      <c r="N34" s="338"/>
      <c r="O34" s="338"/>
      <c r="P34" s="338"/>
      <c r="Q34" s="338"/>
      <c r="R34" s="338"/>
      <c r="S34" s="338"/>
      <c r="T34" s="338"/>
      <c r="U34" s="338"/>
      <c r="V34" s="338"/>
      <c r="W34" s="338"/>
      <c r="X34" s="338"/>
      <c r="Y34" s="338"/>
      <c r="Z34" s="338"/>
      <c r="AA34" s="338"/>
    </row>
    <row r="35" ht="15.75" customHeight="1">
      <c r="A35" s="339">
        <v>34.0</v>
      </c>
      <c r="B35" s="343" t="s">
        <v>720</v>
      </c>
      <c r="C35" s="339" t="s">
        <v>404</v>
      </c>
      <c r="D35" s="339" t="s">
        <v>1024</v>
      </c>
      <c r="E35" s="339" t="s">
        <v>723</v>
      </c>
      <c r="F35" s="339">
        <v>2.1710000176779E13</v>
      </c>
      <c r="G35" s="343" t="s">
        <v>720</v>
      </c>
      <c r="H35" s="342" t="s">
        <v>659</v>
      </c>
      <c r="I35" s="342">
        <v>2.170176779E9</v>
      </c>
      <c r="J35" s="342" t="s">
        <v>532</v>
      </c>
      <c r="K35" s="338"/>
      <c r="L35" s="338"/>
      <c r="M35" s="338"/>
      <c r="N35" s="338"/>
      <c r="O35" s="338"/>
      <c r="P35" s="338"/>
      <c r="Q35" s="338"/>
      <c r="R35" s="338"/>
      <c r="S35" s="338"/>
      <c r="T35" s="338"/>
      <c r="U35" s="338"/>
      <c r="V35" s="338"/>
      <c r="W35" s="338"/>
      <c r="X35" s="338"/>
      <c r="Y35" s="338"/>
      <c r="Z35" s="338"/>
      <c r="AA35" s="338"/>
    </row>
    <row r="36" ht="15.75" customHeight="1">
      <c r="A36" s="339">
        <v>35.0</v>
      </c>
      <c r="B36" s="339" t="s">
        <v>1025</v>
      </c>
      <c r="C36" s="339" t="s">
        <v>1026</v>
      </c>
      <c r="D36" s="339" t="s">
        <v>1027</v>
      </c>
      <c r="E36" s="339" t="s">
        <v>1028</v>
      </c>
      <c r="F36" s="339">
        <v>2.168797979E9</v>
      </c>
      <c r="G36" s="342"/>
      <c r="H36" s="342"/>
      <c r="I36" s="342"/>
      <c r="J36" s="342"/>
      <c r="K36" s="338"/>
      <c r="L36" s="338"/>
      <c r="M36" s="338"/>
      <c r="N36" s="338"/>
      <c r="O36" s="338"/>
      <c r="P36" s="338"/>
      <c r="Q36" s="338"/>
      <c r="R36" s="338"/>
      <c r="S36" s="338"/>
      <c r="T36" s="338"/>
      <c r="U36" s="338"/>
      <c r="V36" s="338"/>
      <c r="W36" s="338"/>
      <c r="X36" s="338"/>
      <c r="Y36" s="338"/>
      <c r="Z36" s="338"/>
      <c r="AA36" s="338"/>
    </row>
    <row r="37" ht="15.75" customHeight="1">
      <c r="A37" s="339">
        <v>36.0</v>
      </c>
      <c r="B37" s="343" t="s">
        <v>1029</v>
      </c>
      <c r="C37" s="339" t="s">
        <v>1030</v>
      </c>
      <c r="D37" s="339" t="s">
        <v>1016</v>
      </c>
      <c r="E37" s="339"/>
      <c r="F37" s="339"/>
      <c r="G37" s="342"/>
      <c r="H37" s="342"/>
      <c r="I37" s="342"/>
      <c r="J37" s="342"/>
      <c r="K37" s="338"/>
      <c r="L37" s="338"/>
      <c r="M37" s="338"/>
      <c r="N37" s="338"/>
      <c r="O37" s="338"/>
      <c r="P37" s="338"/>
      <c r="Q37" s="338"/>
      <c r="R37" s="338"/>
      <c r="S37" s="338"/>
      <c r="T37" s="338"/>
      <c r="U37" s="338"/>
      <c r="V37" s="338"/>
      <c r="W37" s="338"/>
      <c r="X37" s="338"/>
      <c r="Y37" s="338"/>
      <c r="Z37" s="338"/>
      <c r="AA37" s="338"/>
    </row>
    <row r="38" ht="15.75" customHeight="1">
      <c r="A38" s="339">
        <v>37.0</v>
      </c>
      <c r="B38" s="343" t="s">
        <v>1031</v>
      </c>
      <c r="C38" s="339" t="s">
        <v>1032</v>
      </c>
      <c r="D38" s="339" t="s">
        <v>1033</v>
      </c>
      <c r="E38" s="339" t="s">
        <v>1034</v>
      </c>
      <c r="F38" s="339">
        <v>9.69715804E8</v>
      </c>
      <c r="G38" s="342"/>
      <c r="H38" s="342"/>
      <c r="I38" s="342"/>
      <c r="J38" s="342"/>
      <c r="K38" s="338"/>
      <c r="L38" s="338"/>
      <c r="M38" s="338"/>
      <c r="N38" s="338"/>
      <c r="O38" s="338"/>
      <c r="P38" s="338"/>
      <c r="Q38" s="338"/>
      <c r="R38" s="338"/>
      <c r="S38" s="338"/>
      <c r="T38" s="338"/>
      <c r="U38" s="338"/>
      <c r="V38" s="338"/>
      <c r="W38" s="338"/>
      <c r="X38" s="338"/>
      <c r="Y38" s="338"/>
      <c r="Z38" s="338"/>
      <c r="AA38" s="338"/>
    </row>
    <row r="39" ht="15.75" customHeight="1">
      <c r="A39" s="339">
        <v>38.0</v>
      </c>
      <c r="B39" s="343" t="s">
        <v>1035</v>
      </c>
      <c r="C39" s="339" t="s">
        <v>1036</v>
      </c>
      <c r="D39" s="339" t="s">
        <v>1037</v>
      </c>
      <c r="E39" s="339" t="s">
        <v>1038</v>
      </c>
      <c r="F39" s="339">
        <v>1.65583671E8</v>
      </c>
      <c r="G39" s="342"/>
      <c r="H39" s="342"/>
      <c r="I39" s="342"/>
      <c r="J39" s="342"/>
      <c r="K39" s="338"/>
      <c r="L39" s="338"/>
      <c r="M39" s="338"/>
      <c r="N39" s="338"/>
      <c r="O39" s="338"/>
      <c r="P39" s="338"/>
      <c r="Q39" s="338"/>
      <c r="R39" s="338"/>
      <c r="S39" s="338"/>
      <c r="T39" s="338"/>
      <c r="U39" s="338"/>
      <c r="V39" s="338"/>
      <c r="W39" s="338"/>
      <c r="X39" s="338"/>
      <c r="Y39" s="338"/>
      <c r="Z39" s="338"/>
      <c r="AA39" s="338"/>
    </row>
    <row r="40" ht="15.75" customHeight="1">
      <c r="A40" s="339">
        <v>39.0</v>
      </c>
      <c r="B40" s="343" t="s">
        <v>1039</v>
      </c>
      <c r="C40" s="339" t="s">
        <v>1040</v>
      </c>
      <c r="D40" s="339" t="s">
        <v>1041</v>
      </c>
      <c r="E40" s="339" t="s">
        <v>1042</v>
      </c>
      <c r="F40" s="339">
        <v>1.9033244285011E13</v>
      </c>
      <c r="G40" s="342"/>
      <c r="H40" s="342"/>
      <c r="I40" s="342"/>
      <c r="J40" s="342"/>
      <c r="K40" s="338"/>
      <c r="L40" s="338"/>
      <c r="M40" s="338"/>
      <c r="N40" s="338"/>
      <c r="O40" s="338"/>
      <c r="P40" s="338"/>
      <c r="Q40" s="338"/>
      <c r="R40" s="338"/>
      <c r="S40" s="338"/>
      <c r="T40" s="338"/>
      <c r="U40" s="338"/>
      <c r="V40" s="338"/>
      <c r="W40" s="338"/>
      <c r="X40" s="338"/>
      <c r="Y40" s="338"/>
      <c r="Z40" s="338"/>
      <c r="AA40" s="338"/>
    </row>
    <row r="41" ht="15.75" customHeight="1">
      <c r="A41" s="339">
        <v>40.0</v>
      </c>
      <c r="B41" s="343" t="s">
        <v>1043</v>
      </c>
      <c r="C41" s="340" t="s">
        <v>1044</v>
      </c>
      <c r="D41" s="339" t="s">
        <v>937</v>
      </c>
      <c r="E41" s="339" t="s">
        <v>1045</v>
      </c>
      <c r="F41" s="339">
        <v>3.6010000190844E13</v>
      </c>
      <c r="G41" s="342"/>
      <c r="H41" s="342"/>
      <c r="I41" s="342"/>
      <c r="J41" s="342"/>
      <c r="K41" s="338"/>
      <c r="L41" s="338"/>
      <c r="M41" s="338"/>
      <c r="N41" s="338"/>
      <c r="O41" s="338"/>
      <c r="P41" s="338"/>
      <c r="Q41" s="338"/>
      <c r="R41" s="338"/>
      <c r="S41" s="338"/>
      <c r="T41" s="338"/>
      <c r="U41" s="338"/>
      <c r="V41" s="338"/>
      <c r="W41" s="338"/>
      <c r="X41" s="338"/>
      <c r="Y41" s="338"/>
      <c r="Z41" s="338"/>
      <c r="AA41" s="338"/>
    </row>
    <row r="42" ht="15.75" customHeight="1">
      <c r="A42" s="339">
        <v>41.0</v>
      </c>
      <c r="B42" s="343" t="s">
        <v>1046</v>
      </c>
      <c r="C42" s="339" t="s">
        <v>1047</v>
      </c>
      <c r="D42" s="339" t="s">
        <v>1048</v>
      </c>
      <c r="E42" s="339" t="s">
        <v>1049</v>
      </c>
      <c r="F42" s="339">
        <v>1.902900563801E13</v>
      </c>
      <c r="G42" s="342" t="s">
        <v>1050</v>
      </c>
      <c r="H42" s="342"/>
      <c r="I42" s="342"/>
      <c r="J42" s="342" t="s">
        <v>927</v>
      </c>
      <c r="K42" s="338"/>
      <c r="L42" s="338"/>
      <c r="M42" s="338"/>
      <c r="N42" s="338"/>
      <c r="O42" s="338"/>
      <c r="P42" s="338"/>
      <c r="Q42" s="338"/>
      <c r="R42" s="338"/>
      <c r="S42" s="338"/>
      <c r="T42" s="338"/>
      <c r="U42" s="338"/>
      <c r="V42" s="338"/>
      <c r="W42" s="338"/>
      <c r="X42" s="338"/>
      <c r="Y42" s="338"/>
      <c r="Z42" s="338"/>
      <c r="AA42" s="338"/>
    </row>
    <row r="43" ht="15.75" customHeight="1">
      <c r="A43" s="339">
        <v>42.0</v>
      </c>
      <c r="B43" s="343" t="s">
        <v>1051</v>
      </c>
      <c r="C43" s="339" t="s">
        <v>1052</v>
      </c>
      <c r="D43" s="339" t="s">
        <v>1053</v>
      </c>
      <c r="E43" s="339" t="s">
        <v>1054</v>
      </c>
      <c r="F43" s="339">
        <v>9.990108536007E12</v>
      </c>
      <c r="G43" s="342" t="s">
        <v>1055</v>
      </c>
      <c r="H43" s="342"/>
      <c r="I43" s="342"/>
      <c r="J43" s="342" t="s">
        <v>1056</v>
      </c>
      <c r="K43" s="338"/>
      <c r="L43" s="338"/>
      <c r="M43" s="338"/>
      <c r="N43" s="338"/>
      <c r="O43" s="338"/>
      <c r="P43" s="338"/>
      <c r="Q43" s="338"/>
      <c r="R43" s="338"/>
      <c r="S43" s="338"/>
      <c r="T43" s="338"/>
      <c r="U43" s="338"/>
      <c r="V43" s="338"/>
      <c r="W43" s="338"/>
      <c r="X43" s="338"/>
      <c r="Y43" s="338"/>
      <c r="Z43" s="338"/>
      <c r="AA43" s="338"/>
    </row>
    <row r="44" ht="15.75" customHeight="1">
      <c r="A44" s="339">
        <v>43.0</v>
      </c>
      <c r="B44" s="339" t="s">
        <v>1057</v>
      </c>
      <c r="C44" s="339" t="s">
        <v>1058</v>
      </c>
      <c r="D44" s="339" t="s">
        <v>1059</v>
      </c>
      <c r="E44" s="339" t="s">
        <v>1060</v>
      </c>
      <c r="F44" s="339">
        <v>2.213205018784E12</v>
      </c>
      <c r="G44" s="342" t="s">
        <v>1061</v>
      </c>
      <c r="H44" s="342"/>
      <c r="I44" s="342"/>
      <c r="J44" s="342" t="s">
        <v>927</v>
      </c>
      <c r="K44" s="338"/>
      <c r="L44" s="338"/>
      <c r="M44" s="338"/>
      <c r="N44" s="338"/>
      <c r="O44" s="338"/>
      <c r="P44" s="338"/>
      <c r="Q44" s="338"/>
      <c r="R44" s="338"/>
      <c r="S44" s="338"/>
      <c r="T44" s="338"/>
      <c r="U44" s="338"/>
      <c r="V44" s="338"/>
      <c r="W44" s="338"/>
      <c r="X44" s="338"/>
      <c r="Y44" s="338"/>
      <c r="Z44" s="338"/>
      <c r="AA44" s="338"/>
    </row>
    <row r="45" ht="15.75" customHeight="1">
      <c r="A45" s="339">
        <v>44.0</v>
      </c>
      <c r="B45" s="339" t="s">
        <v>1062</v>
      </c>
      <c r="C45" s="339" t="s">
        <v>1063</v>
      </c>
      <c r="D45" s="339" t="s">
        <v>1064</v>
      </c>
      <c r="E45" s="339" t="s">
        <v>1065</v>
      </c>
      <c r="F45" s="339">
        <v>1.0620124502019E13</v>
      </c>
      <c r="G45" s="342" t="s">
        <v>1062</v>
      </c>
      <c r="H45" s="342"/>
      <c r="I45" s="342"/>
      <c r="J45" s="342" t="s">
        <v>927</v>
      </c>
      <c r="K45" s="338"/>
      <c r="L45" s="338"/>
      <c r="M45" s="338"/>
      <c r="N45" s="338"/>
      <c r="O45" s="338"/>
      <c r="P45" s="338"/>
      <c r="Q45" s="338"/>
      <c r="R45" s="338"/>
      <c r="S45" s="338"/>
      <c r="T45" s="338"/>
      <c r="U45" s="338"/>
      <c r="V45" s="338"/>
      <c r="W45" s="338"/>
      <c r="X45" s="338"/>
      <c r="Y45" s="338"/>
      <c r="Z45" s="338"/>
      <c r="AA45" s="338"/>
    </row>
    <row r="46" ht="15.75" customHeight="1">
      <c r="A46" s="339">
        <v>45.0</v>
      </c>
      <c r="B46" s="343" t="s">
        <v>1066</v>
      </c>
      <c r="C46" s="340" t="s">
        <v>567</v>
      </c>
      <c r="D46" s="339" t="s">
        <v>1067</v>
      </c>
      <c r="E46" s="339" t="s">
        <v>1068</v>
      </c>
      <c r="F46" s="339">
        <v>1.9021465186011E13</v>
      </c>
      <c r="G46" s="342"/>
      <c r="H46" s="342"/>
      <c r="I46" s="342"/>
      <c r="J46" s="342"/>
      <c r="K46" s="338"/>
      <c r="L46" s="338"/>
      <c r="M46" s="338"/>
      <c r="N46" s="338"/>
      <c r="O46" s="338"/>
      <c r="P46" s="338"/>
      <c r="Q46" s="338"/>
      <c r="R46" s="338"/>
      <c r="S46" s="338"/>
      <c r="T46" s="338"/>
      <c r="U46" s="338"/>
      <c r="V46" s="338"/>
      <c r="W46" s="338"/>
      <c r="X46" s="338"/>
      <c r="Y46" s="338"/>
      <c r="Z46" s="338"/>
      <c r="AA46" s="338"/>
    </row>
    <row r="47" ht="15.75" customHeight="1">
      <c r="A47" s="339">
        <v>46.0</v>
      </c>
      <c r="B47" s="339" t="s">
        <v>1069</v>
      </c>
      <c r="C47" s="339" t="s">
        <v>1070</v>
      </c>
      <c r="D47" s="339" t="s">
        <v>1071</v>
      </c>
      <c r="E47" s="339" t="s">
        <v>1072</v>
      </c>
      <c r="F47" s="339">
        <v>8.886789666E9</v>
      </c>
      <c r="G47" s="342"/>
      <c r="H47" s="342"/>
      <c r="I47" s="342"/>
      <c r="J47" s="342"/>
      <c r="K47" s="338"/>
      <c r="L47" s="338"/>
      <c r="M47" s="338"/>
      <c r="N47" s="338"/>
      <c r="O47" s="338"/>
      <c r="P47" s="338"/>
      <c r="Q47" s="338"/>
      <c r="R47" s="338"/>
      <c r="S47" s="338"/>
      <c r="T47" s="338"/>
      <c r="U47" s="338"/>
      <c r="V47" s="338"/>
      <c r="W47" s="338"/>
      <c r="X47" s="338"/>
      <c r="Y47" s="338"/>
      <c r="Z47" s="338"/>
      <c r="AA47" s="338"/>
    </row>
    <row r="48" ht="15.75" customHeight="1">
      <c r="A48" s="339">
        <v>47.0</v>
      </c>
      <c r="B48" s="339" t="s">
        <v>1073</v>
      </c>
      <c r="C48" s="339" t="s">
        <v>1074</v>
      </c>
      <c r="D48" s="339" t="s">
        <v>1075</v>
      </c>
      <c r="E48" s="339" t="s">
        <v>1076</v>
      </c>
      <c r="F48" s="339">
        <v>1.9026072117026E13</v>
      </c>
      <c r="G48" s="342"/>
      <c r="H48" s="342"/>
      <c r="I48" s="342"/>
      <c r="J48" s="342"/>
      <c r="K48" s="338"/>
      <c r="L48" s="338"/>
      <c r="M48" s="338"/>
      <c r="N48" s="338"/>
      <c r="O48" s="338"/>
      <c r="P48" s="338"/>
      <c r="Q48" s="338"/>
      <c r="R48" s="338"/>
      <c r="S48" s="338"/>
      <c r="T48" s="338"/>
      <c r="U48" s="338"/>
      <c r="V48" s="338"/>
      <c r="W48" s="338"/>
      <c r="X48" s="338"/>
      <c r="Y48" s="338"/>
      <c r="Z48" s="338"/>
      <c r="AA48" s="338"/>
    </row>
    <row r="49" ht="15.75" customHeight="1">
      <c r="A49" s="339">
        <v>48.0</v>
      </c>
      <c r="B49" s="343" t="s">
        <v>1077</v>
      </c>
      <c r="C49" s="339" t="s">
        <v>1078</v>
      </c>
      <c r="D49" s="339" t="s">
        <v>1079</v>
      </c>
      <c r="E49" s="339" t="s">
        <v>1080</v>
      </c>
      <c r="F49" s="339">
        <v>1.9027484213018E13</v>
      </c>
      <c r="G49" s="343" t="s">
        <v>1077</v>
      </c>
      <c r="H49" s="342"/>
      <c r="I49" s="342"/>
      <c r="J49" s="342" t="s">
        <v>1056</v>
      </c>
      <c r="K49" s="338"/>
      <c r="L49" s="338"/>
      <c r="M49" s="338"/>
      <c r="N49" s="338"/>
      <c r="O49" s="338"/>
      <c r="P49" s="338"/>
      <c r="Q49" s="338"/>
      <c r="R49" s="338"/>
      <c r="S49" s="338"/>
      <c r="T49" s="338"/>
      <c r="U49" s="338"/>
      <c r="V49" s="338"/>
      <c r="W49" s="338"/>
      <c r="X49" s="338"/>
      <c r="Y49" s="338"/>
      <c r="Z49" s="338"/>
      <c r="AA49" s="338"/>
    </row>
    <row r="50" ht="15.75" customHeight="1">
      <c r="A50" s="339">
        <v>49.0</v>
      </c>
      <c r="B50" s="339" t="s">
        <v>1081</v>
      </c>
      <c r="C50" s="340" t="s">
        <v>443</v>
      </c>
      <c r="D50" s="339" t="s">
        <v>1082</v>
      </c>
      <c r="E50" s="339" t="s">
        <v>1083</v>
      </c>
      <c r="F50" s="339">
        <v>9.66768112E8</v>
      </c>
      <c r="G50" s="342" t="s">
        <v>1084</v>
      </c>
      <c r="H50" s="342"/>
      <c r="I50" s="342"/>
      <c r="J50" s="342" t="s">
        <v>1056</v>
      </c>
      <c r="K50" s="338"/>
      <c r="L50" s="338"/>
      <c r="M50" s="338"/>
      <c r="N50" s="338"/>
      <c r="O50" s="338"/>
      <c r="P50" s="338"/>
      <c r="Q50" s="338"/>
      <c r="R50" s="338"/>
      <c r="S50" s="338"/>
      <c r="T50" s="338"/>
      <c r="U50" s="338"/>
      <c r="V50" s="338"/>
      <c r="W50" s="338"/>
      <c r="X50" s="338"/>
      <c r="Y50" s="338"/>
      <c r="Z50" s="338"/>
      <c r="AA50" s="338"/>
    </row>
    <row r="51" ht="15.75" customHeight="1">
      <c r="A51" s="339">
        <v>50.0</v>
      </c>
      <c r="B51" s="343" t="s">
        <v>1085</v>
      </c>
      <c r="C51" s="339" t="s">
        <v>1086</v>
      </c>
      <c r="D51" s="339" t="s">
        <v>1087</v>
      </c>
      <c r="E51" s="339" t="s">
        <v>1088</v>
      </c>
      <c r="F51" s="339">
        <v>2.23359809E8</v>
      </c>
      <c r="G51" s="342"/>
      <c r="H51" s="342"/>
      <c r="I51" s="342"/>
      <c r="J51" s="342"/>
      <c r="K51" s="338"/>
      <c r="L51" s="338"/>
      <c r="M51" s="338"/>
      <c r="N51" s="338"/>
      <c r="O51" s="338"/>
      <c r="P51" s="338"/>
      <c r="Q51" s="338"/>
      <c r="R51" s="338"/>
      <c r="S51" s="338"/>
      <c r="T51" s="338"/>
      <c r="U51" s="338"/>
      <c r="V51" s="338"/>
      <c r="W51" s="338"/>
      <c r="X51" s="338"/>
      <c r="Y51" s="338"/>
      <c r="Z51" s="338"/>
      <c r="AA51" s="338"/>
    </row>
    <row r="52" ht="15.75" customHeight="1">
      <c r="A52" s="339">
        <v>51.0</v>
      </c>
      <c r="B52" s="343" t="s">
        <v>1089</v>
      </c>
      <c r="C52" s="339" t="s">
        <v>1090</v>
      </c>
      <c r="D52" s="339" t="s">
        <v>1091</v>
      </c>
      <c r="E52" s="339" t="s">
        <v>1092</v>
      </c>
      <c r="F52" s="339">
        <v>5763182.0</v>
      </c>
      <c r="G52" s="342" t="s">
        <v>1093</v>
      </c>
      <c r="H52" s="342"/>
      <c r="I52" s="342"/>
      <c r="J52" s="342" t="s">
        <v>927</v>
      </c>
      <c r="K52" s="338"/>
      <c r="L52" s="338"/>
      <c r="M52" s="338"/>
      <c r="N52" s="338"/>
      <c r="O52" s="338"/>
      <c r="P52" s="338"/>
      <c r="Q52" s="338"/>
      <c r="R52" s="338"/>
      <c r="S52" s="338"/>
      <c r="T52" s="338"/>
      <c r="U52" s="338"/>
      <c r="V52" s="338"/>
      <c r="W52" s="338"/>
      <c r="X52" s="338"/>
      <c r="Y52" s="338"/>
      <c r="Z52" s="338"/>
      <c r="AA52" s="338"/>
    </row>
    <row r="53" ht="15.75" customHeight="1">
      <c r="A53" s="339">
        <v>52.0</v>
      </c>
      <c r="B53" s="339" t="s">
        <v>1094</v>
      </c>
      <c r="C53" s="339" t="s">
        <v>1095</v>
      </c>
      <c r="D53" s="339" t="s">
        <v>910</v>
      </c>
      <c r="E53" s="339" t="s">
        <v>1096</v>
      </c>
      <c r="F53" s="339">
        <v>2.601000016075E13</v>
      </c>
      <c r="G53" s="342"/>
      <c r="H53" s="342"/>
      <c r="I53" s="342"/>
      <c r="J53" s="342" t="s">
        <v>532</v>
      </c>
      <c r="K53" s="338"/>
      <c r="L53" s="338"/>
      <c r="M53" s="338"/>
      <c r="N53" s="338"/>
      <c r="O53" s="338"/>
      <c r="P53" s="338"/>
      <c r="Q53" s="338"/>
      <c r="R53" s="338"/>
      <c r="S53" s="338"/>
      <c r="T53" s="338"/>
      <c r="U53" s="338"/>
      <c r="V53" s="338"/>
      <c r="W53" s="338"/>
      <c r="X53" s="338"/>
      <c r="Y53" s="338"/>
      <c r="Z53" s="338"/>
      <c r="AA53" s="338"/>
    </row>
    <row r="54" ht="15.75" customHeight="1">
      <c r="A54" s="339">
        <v>53.0</v>
      </c>
      <c r="B54" s="343" t="s">
        <v>1097</v>
      </c>
      <c r="C54" s="339" t="s">
        <v>1098</v>
      </c>
      <c r="D54" s="339" t="s">
        <v>1099</v>
      </c>
      <c r="E54" s="339"/>
      <c r="F54" s="339"/>
      <c r="G54" s="342"/>
      <c r="H54" s="342"/>
      <c r="I54" s="342"/>
      <c r="J54" s="342"/>
      <c r="K54" s="338"/>
      <c r="L54" s="338"/>
      <c r="M54" s="338"/>
      <c r="N54" s="338"/>
      <c r="O54" s="338"/>
      <c r="P54" s="338"/>
      <c r="Q54" s="338"/>
      <c r="R54" s="338"/>
      <c r="S54" s="338"/>
      <c r="T54" s="338"/>
      <c r="U54" s="338"/>
      <c r="V54" s="338"/>
      <c r="W54" s="338"/>
      <c r="X54" s="338"/>
      <c r="Y54" s="338"/>
      <c r="Z54" s="338"/>
      <c r="AA54" s="338"/>
    </row>
    <row r="55" ht="15.75" customHeight="1">
      <c r="A55" s="339">
        <v>54.0</v>
      </c>
      <c r="B55" s="339" t="s">
        <v>1100</v>
      </c>
      <c r="C55" s="340" t="s">
        <v>1101</v>
      </c>
      <c r="D55" s="339" t="s">
        <v>1102</v>
      </c>
      <c r="E55" s="339" t="s">
        <v>1103</v>
      </c>
      <c r="F55" s="339">
        <v>4.3210000370233E13</v>
      </c>
      <c r="G55" s="342" t="s">
        <v>1104</v>
      </c>
      <c r="H55" s="346" t="s">
        <v>659</v>
      </c>
      <c r="I55" s="339">
        <v>4.320370233E9</v>
      </c>
      <c r="J55" s="342" t="s">
        <v>1056</v>
      </c>
      <c r="K55" s="338"/>
      <c r="L55" s="338"/>
      <c r="M55" s="338"/>
      <c r="N55" s="338"/>
      <c r="O55" s="338"/>
      <c r="P55" s="338"/>
      <c r="Q55" s="338"/>
      <c r="R55" s="338"/>
      <c r="S55" s="338"/>
      <c r="T55" s="338"/>
      <c r="U55" s="338"/>
      <c r="V55" s="338"/>
      <c r="W55" s="338"/>
      <c r="X55" s="338"/>
      <c r="Y55" s="338"/>
      <c r="Z55" s="338"/>
      <c r="AA55" s="338"/>
    </row>
    <row r="56" ht="15.75" customHeight="1">
      <c r="A56" s="339">
        <v>55.0</v>
      </c>
      <c r="B56" s="339" t="s">
        <v>1105</v>
      </c>
      <c r="C56" s="339" t="s">
        <v>1106</v>
      </c>
      <c r="D56" s="339" t="s">
        <v>933</v>
      </c>
      <c r="E56" s="339" t="s">
        <v>1107</v>
      </c>
      <c r="F56" s="339">
        <v>1.07001682016E11</v>
      </c>
      <c r="G56" s="344"/>
      <c r="H56" s="344"/>
      <c r="I56" s="342"/>
      <c r="J56" s="342"/>
      <c r="K56" s="338"/>
      <c r="L56" s="338"/>
      <c r="M56" s="338"/>
      <c r="N56" s="338"/>
      <c r="O56" s="338"/>
      <c r="P56" s="338"/>
      <c r="Q56" s="338"/>
      <c r="R56" s="338"/>
      <c r="S56" s="338"/>
      <c r="T56" s="338"/>
      <c r="U56" s="338"/>
      <c r="V56" s="338"/>
      <c r="W56" s="338"/>
      <c r="X56" s="338"/>
      <c r="Y56" s="338"/>
      <c r="Z56" s="338"/>
      <c r="AA56" s="338"/>
    </row>
    <row r="57" ht="15.75" customHeight="1">
      <c r="A57" s="339">
        <v>56.0</v>
      </c>
      <c r="B57" s="339" t="s">
        <v>1108</v>
      </c>
      <c r="C57" s="339" t="s">
        <v>1109</v>
      </c>
      <c r="D57" s="339" t="s">
        <v>1110</v>
      </c>
      <c r="E57" s="339" t="s">
        <v>1111</v>
      </c>
      <c r="F57" s="339">
        <v>8.51000030492E11</v>
      </c>
      <c r="G57" s="342"/>
      <c r="H57" s="342"/>
      <c r="I57" s="342"/>
      <c r="J57" s="342"/>
      <c r="K57" s="338"/>
      <c r="L57" s="338"/>
      <c r="M57" s="338"/>
      <c r="N57" s="338"/>
      <c r="O57" s="338"/>
      <c r="P57" s="338"/>
      <c r="Q57" s="338"/>
      <c r="R57" s="338"/>
      <c r="S57" s="338"/>
      <c r="T57" s="338"/>
      <c r="U57" s="338"/>
      <c r="V57" s="338"/>
      <c r="W57" s="338"/>
      <c r="X57" s="338"/>
      <c r="Y57" s="338"/>
      <c r="Z57" s="338"/>
      <c r="AA57" s="338"/>
    </row>
    <row r="58" ht="15.75" customHeight="1">
      <c r="A58" s="339">
        <v>57.0</v>
      </c>
      <c r="B58" s="339" t="s">
        <v>1112</v>
      </c>
      <c r="C58" s="339" t="s">
        <v>1113</v>
      </c>
      <c r="D58" s="339" t="s">
        <v>1114</v>
      </c>
      <c r="E58" s="339" t="s">
        <v>1115</v>
      </c>
      <c r="F58" s="339">
        <v>9.89652415E8</v>
      </c>
      <c r="G58" s="342"/>
      <c r="H58" s="342"/>
      <c r="I58" s="342"/>
      <c r="J58" s="342"/>
      <c r="K58" s="338"/>
      <c r="L58" s="338"/>
      <c r="M58" s="338"/>
      <c r="N58" s="338"/>
      <c r="O58" s="338"/>
      <c r="P58" s="338"/>
      <c r="Q58" s="338"/>
      <c r="R58" s="338"/>
      <c r="S58" s="338"/>
      <c r="T58" s="338"/>
      <c r="U58" s="338"/>
      <c r="V58" s="338"/>
      <c r="W58" s="338"/>
      <c r="X58" s="338"/>
      <c r="Y58" s="338"/>
      <c r="Z58" s="338"/>
      <c r="AA58" s="338"/>
    </row>
    <row r="59" ht="15.75" customHeight="1">
      <c r="A59" s="339">
        <v>58.0</v>
      </c>
      <c r="B59" s="339" t="s">
        <v>711</v>
      </c>
      <c r="C59" s="340" t="s">
        <v>712</v>
      </c>
      <c r="D59" s="339" t="s">
        <v>1116</v>
      </c>
      <c r="E59" s="339" t="s">
        <v>714</v>
      </c>
      <c r="F59" s="339">
        <v>1.9021166536012E13</v>
      </c>
      <c r="G59" s="342"/>
      <c r="H59" s="342"/>
      <c r="I59" s="342"/>
      <c r="J59" s="342"/>
      <c r="K59" s="338"/>
      <c r="L59" s="338"/>
      <c r="M59" s="338"/>
      <c r="N59" s="338"/>
      <c r="O59" s="338"/>
      <c r="P59" s="338"/>
      <c r="Q59" s="338"/>
      <c r="R59" s="338"/>
      <c r="S59" s="338"/>
      <c r="T59" s="338"/>
      <c r="U59" s="338"/>
      <c r="V59" s="338"/>
      <c r="W59" s="338"/>
      <c r="X59" s="338"/>
      <c r="Y59" s="338"/>
      <c r="Z59" s="338"/>
      <c r="AA59" s="338"/>
    </row>
    <row r="60" ht="15.75" customHeight="1">
      <c r="A60" s="339">
        <v>59.0</v>
      </c>
      <c r="B60" s="339" t="s">
        <v>1117</v>
      </c>
      <c r="C60" s="339" t="s">
        <v>1118</v>
      </c>
      <c r="D60" s="339" t="s">
        <v>1119</v>
      </c>
      <c r="E60" s="339" t="s">
        <v>1120</v>
      </c>
      <c r="F60" s="339">
        <v>1.9026037657026E13</v>
      </c>
      <c r="G60" s="342"/>
      <c r="H60" s="342"/>
      <c r="I60" s="342"/>
      <c r="J60" s="342"/>
      <c r="K60" s="338"/>
      <c r="L60" s="338"/>
      <c r="M60" s="338"/>
      <c r="N60" s="338"/>
      <c r="O60" s="338"/>
      <c r="P60" s="338"/>
      <c r="Q60" s="338"/>
      <c r="R60" s="338"/>
      <c r="S60" s="338"/>
      <c r="T60" s="338"/>
      <c r="U60" s="338"/>
      <c r="V60" s="338"/>
      <c r="W60" s="338"/>
      <c r="X60" s="338"/>
      <c r="Y60" s="338"/>
      <c r="Z60" s="338"/>
      <c r="AA60" s="338"/>
    </row>
    <row r="61" ht="15.75" customHeight="1">
      <c r="A61" s="339">
        <v>60.0</v>
      </c>
      <c r="B61" s="339" t="s">
        <v>1121</v>
      </c>
      <c r="C61" s="339" t="s">
        <v>1122</v>
      </c>
      <c r="D61" s="339" t="s">
        <v>1123</v>
      </c>
      <c r="E61" s="339" t="s">
        <v>1124</v>
      </c>
      <c r="F61" s="339">
        <v>1.9032819976015E13</v>
      </c>
      <c r="G61" s="342"/>
      <c r="H61" s="342"/>
      <c r="I61" s="342"/>
      <c r="J61" s="342"/>
      <c r="K61" s="338"/>
      <c r="L61" s="338"/>
      <c r="M61" s="338"/>
      <c r="N61" s="338"/>
      <c r="O61" s="338"/>
      <c r="P61" s="338"/>
      <c r="Q61" s="338"/>
      <c r="R61" s="338"/>
      <c r="S61" s="338"/>
      <c r="T61" s="338"/>
      <c r="U61" s="338"/>
      <c r="V61" s="338"/>
      <c r="W61" s="338"/>
      <c r="X61" s="338"/>
      <c r="Y61" s="338"/>
      <c r="Z61" s="338"/>
      <c r="AA61" s="338"/>
    </row>
    <row r="62" ht="15.75" customHeight="1">
      <c r="A62" s="339">
        <v>61.0</v>
      </c>
      <c r="B62" s="339" t="s">
        <v>1125</v>
      </c>
      <c r="C62" s="339" t="s">
        <v>1126</v>
      </c>
      <c r="D62" s="339" t="s">
        <v>1127</v>
      </c>
      <c r="E62" s="339" t="s">
        <v>1128</v>
      </c>
      <c r="F62" s="339">
        <v>1.04005135971E11</v>
      </c>
      <c r="G62" s="342"/>
      <c r="H62" s="342"/>
      <c r="I62" s="342"/>
      <c r="J62" s="342"/>
      <c r="K62" s="338"/>
      <c r="L62" s="338"/>
      <c r="M62" s="338"/>
      <c r="N62" s="338"/>
      <c r="O62" s="338"/>
      <c r="P62" s="338"/>
      <c r="Q62" s="338"/>
      <c r="R62" s="338"/>
      <c r="S62" s="338"/>
      <c r="T62" s="338"/>
      <c r="U62" s="338"/>
      <c r="V62" s="338"/>
      <c r="W62" s="338"/>
      <c r="X62" s="338"/>
      <c r="Y62" s="338"/>
      <c r="Z62" s="338"/>
      <c r="AA62" s="338"/>
    </row>
    <row r="63" ht="15.75" customHeight="1">
      <c r="A63" s="339">
        <v>62.0</v>
      </c>
      <c r="B63" s="339" t="s">
        <v>1129</v>
      </c>
      <c r="C63" s="339" t="s">
        <v>1130</v>
      </c>
      <c r="D63" s="339" t="s">
        <v>1131</v>
      </c>
      <c r="E63" s="339" t="s">
        <v>1132</v>
      </c>
      <c r="F63" s="339">
        <v>1.9027890209031E13</v>
      </c>
      <c r="G63" s="344"/>
      <c r="H63" s="344"/>
      <c r="I63" s="342"/>
      <c r="J63" s="342"/>
      <c r="K63" s="338"/>
      <c r="L63" s="338"/>
      <c r="M63" s="338"/>
      <c r="N63" s="338"/>
      <c r="O63" s="338"/>
      <c r="P63" s="338"/>
      <c r="Q63" s="338"/>
      <c r="R63" s="338"/>
      <c r="S63" s="338"/>
      <c r="T63" s="338"/>
      <c r="U63" s="338"/>
      <c r="V63" s="338"/>
      <c r="W63" s="338"/>
      <c r="X63" s="338"/>
      <c r="Y63" s="338"/>
      <c r="Z63" s="338"/>
      <c r="AA63" s="338"/>
    </row>
    <row r="64" ht="15.75" customHeight="1">
      <c r="A64" s="339">
        <v>63.0</v>
      </c>
      <c r="B64" s="343" t="s">
        <v>1133</v>
      </c>
      <c r="C64" s="339" t="s">
        <v>1134</v>
      </c>
      <c r="D64" s="339" t="s">
        <v>1135</v>
      </c>
      <c r="E64" s="339" t="s">
        <v>1136</v>
      </c>
      <c r="F64" s="339">
        <v>1.09872893946E11</v>
      </c>
      <c r="G64" s="342"/>
      <c r="H64" s="342"/>
      <c r="I64" s="342"/>
      <c r="J64" s="342"/>
      <c r="K64" s="338"/>
      <c r="L64" s="338"/>
      <c r="M64" s="338"/>
      <c r="N64" s="338"/>
      <c r="O64" s="338"/>
      <c r="P64" s="338"/>
      <c r="Q64" s="338"/>
      <c r="R64" s="338"/>
      <c r="S64" s="338"/>
      <c r="T64" s="338"/>
      <c r="U64" s="338"/>
      <c r="V64" s="338"/>
      <c r="W64" s="338"/>
      <c r="X64" s="338"/>
      <c r="Y64" s="338"/>
      <c r="Z64" s="338"/>
      <c r="AA64" s="338"/>
    </row>
    <row r="65" ht="15.75" customHeight="1">
      <c r="A65" s="339">
        <v>64.0</v>
      </c>
      <c r="B65" s="343" t="s">
        <v>1137</v>
      </c>
      <c r="C65" s="340" t="s">
        <v>1138</v>
      </c>
      <c r="D65" s="339" t="s">
        <v>1139</v>
      </c>
      <c r="E65" s="339" t="s">
        <v>1140</v>
      </c>
      <c r="F65" s="339">
        <v>8.706215026068E12</v>
      </c>
      <c r="G65" s="342"/>
      <c r="H65" s="342"/>
      <c r="I65" s="342"/>
      <c r="J65" s="342"/>
      <c r="K65" s="338"/>
      <c r="L65" s="338"/>
      <c r="M65" s="338"/>
      <c r="N65" s="338"/>
      <c r="O65" s="338"/>
      <c r="P65" s="338"/>
      <c r="Q65" s="338"/>
      <c r="R65" s="338"/>
      <c r="S65" s="338"/>
      <c r="T65" s="338"/>
      <c r="U65" s="338"/>
      <c r="V65" s="338"/>
      <c r="W65" s="338"/>
      <c r="X65" s="338"/>
      <c r="Y65" s="338"/>
      <c r="Z65" s="338"/>
      <c r="AA65" s="338"/>
    </row>
    <row r="66" ht="15.75" customHeight="1">
      <c r="A66" s="339">
        <v>65.0</v>
      </c>
      <c r="B66" s="343" t="s">
        <v>1141</v>
      </c>
      <c r="C66" s="340" t="s">
        <v>1138</v>
      </c>
      <c r="D66" s="339" t="s">
        <v>1139</v>
      </c>
      <c r="E66" s="339"/>
      <c r="F66" s="339"/>
      <c r="G66" s="342"/>
      <c r="H66" s="342"/>
      <c r="I66" s="342"/>
      <c r="J66" s="342"/>
      <c r="K66" s="338"/>
      <c r="L66" s="338"/>
      <c r="M66" s="338"/>
      <c r="N66" s="338"/>
      <c r="O66" s="338"/>
      <c r="P66" s="338"/>
      <c r="Q66" s="338"/>
      <c r="R66" s="338"/>
      <c r="S66" s="338"/>
      <c r="T66" s="338"/>
      <c r="U66" s="338"/>
      <c r="V66" s="338"/>
      <c r="W66" s="338"/>
      <c r="X66" s="338"/>
      <c r="Y66" s="338"/>
      <c r="Z66" s="338"/>
      <c r="AA66" s="338"/>
    </row>
    <row r="67" ht="15.75" customHeight="1">
      <c r="A67" s="339">
        <v>66.0</v>
      </c>
      <c r="B67" s="339" t="s">
        <v>1142</v>
      </c>
      <c r="C67" s="339" t="s">
        <v>1143</v>
      </c>
      <c r="D67" s="339" t="s">
        <v>973</v>
      </c>
      <c r="E67" s="339" t="s">
        <v>1144</v>
      </c>
      <c r="F67" s="339">
        <v>8.706215013848E12</v>
      </c>
      <c r="G67" s="342"/>
      <c r="H67" s="342"/>
      <c r="I67" s="342"/>
      <c r="J67" s="342"/>
      <c r="K67" s="338"/>
      <c r="L67" s="338"/>
      <c r="M67" s="338"/>
      <c r="N67" s="338"/>
      <c r="O67" s="338"/>
      <c r="P67" s="338"/>
      <c r="Q67" s="338"/>
      <c r="R67" s="338"/>
      <c r="S67" s="338"/>
      <c r="T67" s="338"/>
      <c r="U67" s="338"/>
      <c r="V67" s="338"/>
      <c r="W67" s="338"/>
      <c r="X67" s="338"/>
      <c r="Y67" s="338"/>
      <c r="Z67" s="338"/>
      <c r="AA67" s="338"/>
    </row>
    <row r="68" ht="15.75" customHeight="1">
      <c r="A68" s="339">
        <v>67.0</v>
      </c>
      <c r="B68" s="339" t="s">
        <v>1145</v>
      </c>
      <c r="C68" s="340" t="s">
        <v>567</v>
      </c>
      <c r="D68" s="339" t="s">
        <v>1067</v>
      </c>
      <c r="E68" s="339" t="s">
        <v>1146</v>
      </c>
      <c r="F68" s="339">
        <v>1.61001697912E11</v>
      </c>
      <c r="G68" s="342"/>
      <c r="H68" s="342"/>
      <c r="I68" s="342"/>
      <c r="J68" s="342"/>
      <c r="K68" s="338"/>
      <c r="L68" s="338"/>
      <c r="M68" s="338"/>
      <c r="N68" s="338"/>
      <c r="O68" s="338"/>
      <c r="P68" s="338"/>
      <c r="Q68" s="338"/>
      <c r="R68" s="338"/>
      <c r="S68" s="338"/>
      <c r="T68" s="338"/>
      <c r="U68" s="338"/>
      <c r="V68" s="338"/>
      <c r="W68" s="338"/>
      <c r="X68" s="338"/>
      <c r="Y68" s="338"/>
      <c r="Z68" s="338"/>
      <c r="AA68" s="338"/>
    </row>
    <row r="69" ht="15.75" customHeight="1">
      <c r="A69" s="339">
        <v>68.0</v>
      </c>
      <c r="B69" s="343" t="s">
        <v>1147</v>
      </c>
      <c r="C69" s="339" t="s">
        <v>1148</v>
      </c>
      <c r="D69" s="339" t="s">
        <v>1024</v>
      </c>
      <c r="E69" s="339"/>
      <c r="F69" s="339"/>
      <c r="G69" s="342"/>
      <c r="H69" s="342"/>
      <c r="I69" s="342"/>
      <c r="J69" s="342"/>
      <c r="K69" s="338"/>
      <c r="L69" s="338"/>
      <c r="M69" s="338"/>
      <c r="N69" s="338"/>
      <c r="O69" s="338"/>
      <c r="P69" s="338"/>
      <c r="Q69" s="338"/>
      <c r="R69" s="338"/>
      <c r="S69" s="338"/>
      <c r="T69" s="338"/>
      <c r="U69" s="338"/>
      <c r="V69" s="338"/>
      <c r="W69" s="338"/>
      <c r="X69" s="338"/>
      <c r="Y69" s="338"/>
      <c r="Z69" s="338"/>
      <c r="AA69" s="338"/>
    </row>
    <row r="70" ht="15.75" customHeight="1">
      <c r="A70" s="339">
        <v>69.0</v>
      </c>
      <c r="B70" s="343" t="s">
        <v>1149</v>
      </c>
      <c r="C70" s="339" t="s">
        <v>464</v>
      </c>
      <c r="D70" s="339" t="s">
        <v>923</v>
      </c>
      <c r="E70" s="339" t="s">
        <v>659</v>
      </c>
      <c r="F70" s="339">
        <v>3.9010000138038E13</v>
      </c>
      <c r="G70" s="342"/>
      <c r="H70" s="342"/>
      <c r="I70" s="342"/>
      <c r="J70" s="342"/>
      <c r="K70" s="338"/>
      <c r="L70" s="338"/>
      <c r="M70" s="338"/>
      <c r="N70" s="338"/>
      <c r="O70" s="338"/>
      <c r="P70" s="338"/>
      <c r="Q70" s="338"/>
      <c r="R70" s="338"/>
      <c r="S70" s="338"/>
      <c r="T70" s="338"/>
      <c r="U70" s="338"/>
      <c r="V70" s="338"/>
      <c r="W70" s="338"/>
      <c r="X70" s="338"/>
      <c r="Y70" s="338"/>
      <c r="Z70" s="338"/>
      <c r="AA70" s="338"/>
    </row>
    <row r="71" ht="15.75" customHeight="1">
      <c r="A71" s="339">
        <v>70.0</v>
      </c>
      <c r="B71" s="339" t="s">
        <v>1150</v>
      </c>
      <c r="C71" s="339" t="s">
        <v>1151</v>
      </c>
      <c r="D71" s="339" t="s">
        <v>1152</v>
      </c>
      <c r="E71" s="339" t="s">
        <v>1153</v>
      </c>
      <c r="F71" s="339">
        <v>5.915215029777E12</v>
      </c>
      <c r="G71" s="342"/>
      <c r="H71" s="342"/>
      <c r="I71" s="342"/>
      <c r="J71" s="342"/>
      <c r="K71" s="338"/>
      <c r="L71" s="338"/>
      <c r="M71" s="338"/>
      <c r="N71" s="338"/>
      <c r="O71" s="338"/>
      <c r="P71" s="338"/>
      <c r="Q71" s="338"/>
      <c r="R71" s="338"/>
      <c r="S71" s="338"/>
      <c r="T71" s="338"/>
      <c r="U71" s="338"/>
      <c r="V71" s="338"/>
      <c r="W71" s="338"/>
      <c r="X71" s="338"/>
      <c r="Y71" s="338"/>
      <c r="Z71" s="338"/>
      <c r="AA71" s="338"/>
    </row>
    <row r="72" ht="15.75" customHeight="1">
      <c r="A72" s="339">
        <v>71.0</v>
      </c>
      <c r="B72" s="339" t="s">
        <v>1154</v>
      </c>
      <c r="C72" s="339" t="s">
        <v>1155</v>
      </c>
      <c r="D72" s="339" t="s">
        <v>1156</v>
      </c>
      <c r="E72" s="339" t="s">
        <v>1157</v>
      </c>
      <c r="F72" s="339">
        <v>1.84695235E8</v>
      </c>
      <c r="G72" s="342"/>
      <c r="H72" s="342"/>
      <c r="I72" s="342"/>
      <c r="J72" s="342"/>
      <c r="K72" s="338"/>
      <c r="L72" s="338"/>
      <c r="M72" s="338"/>
      <c r="N72" s="338"/>
      <c r="O72" s="338"/>
      <c r="P72" s="338"/>
      <c r="Q72" s="338"/>
      <c r="R72" s="338"/>
      <c r="S72" s="338"/>
      <c r="T72" s="338"/>
      <c r="U72" s="338"/>
      <c r="V72" s="338"/>
      <c r="W72" s="338"/>
      <c r="X72" s="338"/>
      <c r="Y72" s="338"/>
      <c r="Z72" s="338"/>
      <c r="AA72" s="338"/>
    </row>
    <row r="73" ht="15.75" customHeight="1">
      <c r="A73" s="339">
        <v>72.0</v>
      </c>
      <c r="B73" s="343" t="s">
        <v>1158</v>
      </c>
      <c r="C73" s="339" t="s">
        <v>1159</v>
      </c>
      <c r="D73" s="339" t="s">
        <v>1160</v>
      </c>
      <c r="E73" s="339"/>
      <c r="F73" s="339"/>
      <c r="G73" s="342"/>
      <c r="H73" s="342"/>
      <c r="I73" s="342"/>
      <c r="J73" s="342"/>
      <c r="K73" s="338"/>
      <c r="L73" s="338"/>
      <c r="M73" s="338"/>
      <c r="N73" s="338"/>
      <c r="O73" s="338"/>
      <c r="P73" s="338"/>
      <c r="Q73" s="338"/>
      <c r="R73" s="338"/>
      <c r="S73" s="338"/>
      <c r="T73" s="338"/>
      <c r="U73" s="338"/>
      <c r="V73" s="338"/>
      <c r="W73" s="338"/>
      <c r="X73" s="338"/>
      <c r="Y73" s="338"/>
      <c r="Z73" s="338"/>
      <c r="AA73" s="338"/>
    </row>
    <row r="74" ht="15.75" customHeight="1">
      <c r="A74" s="339">
        <v>73.0</v>
      </c>
      <c r="B74" s="339" t="s">
        <v>1161</v>
      </c>
      <c r="C74" s="339" t="s">
        <v>1162</v>
      </c>
      <c r="D74" s="339" t="s">
        <v>1163</v>
      </c>
      <c r="E74" s="339"/>
      <c r="F74" s="339"/>
      <c r="G74" s="342"/>
      <c r="H74" s="342"/>
      <c r="I74" s="342"/>
      <c r="J74" s="342"/>
      <c r="K74" s="338"/>
      <c r="L74" s="338"/>
      <c r="M74" s="338"/>
      <c r="N74" s="338"/>
      <c r="O74" s="338"/>
      <c r="P74" s="338"/>
      <c r="Q74" s="338"/>
      <c r="R74" s="338"/>
      <c r="S74" s="338"/>
      <c r="T74" s="338"/>
      <c r="U74" s="338"/>
      <c r="V74" s="338"/>
      <c r="W74" s="338"/>
      <c r="X74" s="338"/>
      <c r="Y74" s="338"/>
      <c r="Z74" s="338"/>
      <c r="AA74" s="338"/>
    </row>
    <row r="75" ht="15.75" customHeight="1">
      <c r="A75" s="339">
        <v>74.0</v>
      </c>
      <c r="B75" s="339" t="s">
        <v>1164</v>
      </c>
      <c r="C75" s="339" t="s">
        <v>1165</v>
      </c>
      <c r="D75" s="339" t="s">
        <v>1166</v>
      </c>
      <c r="E75" s="339" t="s">
        <v>1167</v>
      </c>
      <c r="F75" s="339">
        <v>1.00868008321E11</v>
      </c>
      <c r="G75" s="342"/>
      <c r="H75" s="342"/>
      <c r="I75" s="342"/>
      <c r="J75" s="342"/>
      <c r="K75" s="338"/>
      <c r="L75" s="338"/>
      <c r="M75" s="338"/>
      <c r="N75" s="338"/>
      <c r="O75" s="338"/>
      <c r="P75" s="338"/>
      <c r="Q75" s="338"/>
      <c r="R75" s="338"/>
      <c r="S75" s="338"/>
      <c r="T75" s="338"/>
      <c r="U75" s="338"/>
      <c r="V75" s="338"/>
      <c r="W75" s="338"/>
      <c r="X75" s="338"/>
      <c r="Y75" s="338"/>
      <c r="Z75" s="338"/>
      <c r="AA75" s="338"/>
    </row>
    <row r="76" ht="15.75" customHeight="1">
      <c r="A76" s="339">
        <v>75.0</v>
      </c>
      <c r="B76" s="339" t="s">
        <v>1168</v>
      </c>
      <c r="C76" s="339" t="s">
        <v>1169</v>
      </c>
      <c r="D76" s="339" t="s">
        <v>1170</v>
      </c>
      <c r="E76" s="339" t="s">
        <v>1171</v>
      </c>
      <c r="F76" s="339">
        <v>5.100918686E9</v>
      </c>
      <c r="G76" s="342"/>
      <c r="H76" s="342"/>
      <c r="I76" s="342"/>
      <c r="J76" s="342"/>
      <c r="K76" s="338"/>
      <c r="L76" s="338"/>
      <c r="M76" s="338"/>
      <c r="N76" s="338"/>
      <c r="O76" s="338"/>
      <c r="P76" s="338"/>
      <c r="Q76" s="338"/>
      <c r="R76" s="338"/>
      <c r="S76" s="338"/>
      <c r="T76" s="338"/>
      <c r="U76" s="338"/>
      <c r="V76" s="338"/>
      <c r="W76" s="338"/>
      <c r="X76" s="338"/>
      <c r="Y76" s="338"/>
      <c r="Z76" s="338"/>
      <c r="AA76" s="338"/>
    </row>
    <row r="77" ht="15.75" customHeight="1">
      <c r="A77" s="339">
        <v>76.0</v>
      </c>
      <c r="B77" s="339" t="s">
        <v>1172</v>
      </c>
      <c r="C77" s="339" t="s">
        <v>1173</v>
      </c>
      <c r="D77" s="339" t="s">
        <v>1174</v>
      </c>
      <c r="E77" s="339" t="s">
        <v>730</v>
      </c>
      <c r="F77" s="339">
        <v>1.9035892726018E13</v>
      </c>
      <c r="G77" s="342"/>
      <c r="H77" s="342"/>
      <c r="I77" s="342"/>
      <c r="J77" s="342"/>
      <c r="K77" s="338"/>
      <c r="L77" s="338"/>
      <c r="M77" s="338"/>
      <c r="N77" s="338"/>
      <c r="O77" s="338"/>
      <c r="P77" s="338"/>
      <c r="Q77" s="338"/>
      <c r="R77" s="338"/>
      <c r="S77" s="338"/>
      <c r="T77" s="338"/>
      <c r="U77" s="338"/>
      <c r="V77" s="338"/>
      <c r="W77" s="338"/>
      <c r="X77" s="338"/>
      <c r="Y77" s="338"/>
      <c r="Z77" s="338"/>
      <c r="AA77" s="338"/>
    </row>
    <row r="78" ht="15.75" customHeight="1">
      <c r="A78" s="339">
        <v>77.0</v>
      </c>
      <c r="B78" s="339" t="s">
        <v>1175</v>
      </c>
      <c r="C78" s="339" t="s">
        <v>1176</v>
      </c>
      <c r="D78" s="339" t="s">
        <v>1160</v>
      </c>
      <c r="E78" s="339" t="s">
        <v>699</v>
      </c>
      <c r="F78" s="339">
        <v>1.903809970401E13</v>
      </c>
      <c r="G78" s="342"/>
      <c r="H78" s="342"/>
      <c r="I78" s="342"/>
      <c r="J78" s="342"/>
      <c r="K78" s="338"/>
      <c r="L78" s="338"/>
      <c r="M78" s="338"/>
      <c r="N78" s="338"/>
      <c r="O78" s="338"/>
      <c r="P78" s="338"/>
      <c r="Q78" s="338"/>
      <c r="R78" s="338"/>
      <c r="S78" s="338"/>
      <c r="T78" s="338"/>
      <c r="U78" s="338"/>
      <c r="V78" s="338"/>
      <c r="W78" s="338"/>
      <c r="X78" s="338"/>
      <c r="Y78" s="338"/>
      <c r="Z78" s="338"/>
      <c r="AA78" s="338"/>
    </row>
    <row r="79" ht="15.75" customHeight="1">
      <c r="A79" s="339">
        <v>78.0</v>
      </c>
      <c r="B79" s="343" t="s">
        <v>1177</v>
      </c>
      <c r="C79" s="339" t="s">
        <v>1178</v>
      </c>
      <c r="D79" s="339" t="s">
        <v>1179</v>
      </c>
      <c r="E79" s="339" t="s">
        <v>1180</v>
      </c>
      <c r="F79" s="339">
        <v>6.10020509285E12</v>
      </c>
      <c r="G79" s="342"/>
      <c r="H79" s="342"/>
      <c r="I79" s="342"/>
      <c r="J79" s="342"/>
      <c r="K79" s="338"/>
      <c r="L79" s="338"/>
      <c r="M79" s="338"/>
      <c r="N79" s="338"/>
      <c r="O79" s="338"/>
      <c r="P79" s="338"/>
      <c r="Q79" s="338"/>
      <c r="R79" s="338"/>
      <c r="S79" s="338"/>
      <c r="T79" s="338"/>
      <c r="U79" s="338"/>
      <c r="V79" s="338"/>
      <c r="W79" s="338"/>
      <c r="X79" s="338"/>
      <c r="Y79" s="338"/>
      <c r="Z79" s="338"/>
      <c r="AA79" s="338"/>
    </row>
    <row r="80" ht="15.75" customHeight="1">
      <c r="A80" s="339">
        <v>79.0</v>
      </c>
      <c r="B80" s="339" t="s">
        <v>859</v>
      </c>
      <c r="C80" s="339" t="s">
        <v>860</v>
      </c>
      <c r="D80" s="339" t="s">
        <v>1181</v>
      </c>
      <c r="E80" s="339" t="s">
        <v>862</v>
      </c>
      <c r="F80" s="339">
        <v>1.4021570918011E13</v>
      </c>
      <c r="G80" s="342"/>
      <c r="H80" s="342"/>
      <c r="I80" s="342"/>
      <c r="J80" s="342"/>
      <c r="K80" s="338"/>
      <c r="L80" s="338"/>
      <c r="M80" s="338"/>
      <c r="N80" s="338"/>
      <c r="O80" s="338"/>
      <c r="P80" s="338"/>
      <c r="Q80" s="338"/>
      <c r="R80" s="338"/>
      <c r="S80" s="338"/>
      <c r="T80" s="338"/>
      <c r="U80" s="338"/>
      <c r="V80" s="338"/>
      <c r="W80" s="338"/>
      <c r="X80" s="338"/>
      <c r="Y80" s="338"/>
      <c r="Z80" s="338"/>
      <c r="AA80" s="338"/>
    </row>
    <row r="81" ht="15.75" customHeight="1">
      <c r="A81" s="339">
        <v>80.0</v>
      </c>
      <c r="B81" s="339" t="s">
        <v>1182</v>
      </c>
      <c r="C81" s="339" t="s">
        <v>1183</v>
      </c>
      <c r="D81" s="339" t="s">
        <v>1184</v>
      </c>
      <c r="E81" s="339" t="s">
        <v>651</v>
      </c>
      <c r="F81" s="339">
        <v>5.300281009765E12</v>
      </c>
      <c r="G81" s="342"/>
      <c r="H81" s="342"/>
      <c r="I81" s="342"/>
      <c r="J81" s="342"/>
      <c r="K81" s="338"/>
      <c r="L81" s="338"/>
      <c r="M81" s="338"/>
      <c r="N81" s="338"/>
      <c r="O81" s="338"/>
      <c r="P81" s="338"/>
      <c r="Q81" s="338"/>
      <c r="R81" s="338"/>
      <c r="S81" s="338"/>
      <c r="T81" s="338"/>
      <c r="U81" s="338"/>
      <c r="V81" s="338"/>
      <c r="W81" s="338"/>
      <c r="X81" s="338"/>
      <c r="Y81" s="338"/>
      <c r="Z81" s="338"/>
      <c r="AA81" s="338"/>
    </row>
    <row r="82" ht="15.75" customHeight="1">
      <c r="A82" s="339">
        <v>81.0</v>
      </c>
      <c r="B82" s="343" t="s">
        <v>1185</v>
      </c>
      <c r="C82" s="339" t="s">
        <v>1186</v>
      </c>
      <c r="D82" s="339" t="s">
        <v>1067</v>
      </c>
      <c r="E82" s="339" t="s">
        <v>1187</v>
      </c>
      <c r="F82" s="339">
        <v>1.9035976297015E13</v>
      </c>
      <c r="G82" s="342"/>
      <c r="H82" s="342"/>
      <c r="I82" s="342"/>
      <c r="J82" s="342"/>
      <c r="K82" s="338"/>
      <c r="L82" s="338"/>
      <c r="M82" s="338"/>
      <c r="N82" s="338"/>
      <c r="O82" s="338"/>
      <c r="P82" s="338"/>
      <c r="Q82" s="338"/>
      <c r="R82" s="338"/>
      <c r="S82" s="338"/>
      <c r="T82" s="338"/>
      <c r="U82" s="338"/>
      <c r="V82" s="338"/>
      <c r="W82" s="338"/>
      <c r="X82" s="338"/>
      <c r="Y82" s="338"/>
      <c r="Z82" s="338"/>
      <c r="AA82" s="338"/>
    </row>
    <row r="83" ht="15.75" customHeight="1">
      <c r="A83" s="339">
        <v>82.0</v>
      </c>
      <c r="B83" s="339" t="s">
        <v>636</v>
      </c>
      <c r="C83" s="339" t="s">
        <v>367</v>
      </c>
      <c r="D83" s="339" t="s">
        <v>1188</v>
      </c>
      <c r="E83" s="339" t="s">
        <v>639</v>
      </c>
      <c r="F83" s="339">
        <v>9.20162222866E11</v>
      </c>
      <c r="G83" s="342"/>
      <c r="H83" s="342"/>
      <c r="I83" s="342"/>
      <c r="J83" s="342"/>
      <c r="K83" s="338"/>
      <c r="L83" s="338"/>
      <c r="M83" s="338"/>
      <c r="N83" s="338"/>
      <c r="O83" s="338"/>
      <c r="P83" s="338"/>
      <c r="Q83" s="338"/>
      <c r="R83" s="338"/>
      <c r="S83" s="338"/>
      <c r="T83" s="338"/>
      <c r="U83" s="338"/>
      <c r="V83" s="338"/>
      <c r="W83" s="338"/>
      <c r="X83" s="338"/>
      <c r="Y83" s="338"/>
      <c r="Z83" s="338"/>
      <c r="AA83" s="338"/>
    </row>
    <row r="84" ht="15.75" customHeight="1">
      <c r="A84" s="339">
        <v>83.0</v>
      </c>
      <c r="B84" s="339" t="s">
        <v>1189</v>
      </c>
      <c r="C84" s="339" t="s">
        <v>1190</v>
      </c>
      <c r="D84" s="339" t="s">
        <v>1191</v>
      </c>
      <c r="E84" s="339" t="s">
        <v>1192</v>
      </c>
      <c r="F84" s="339">
        <v>3.8502988E7</v>
      </c>
      <c r="G84" s="342"/>
      <c r="H84" s="342"/>
      <c r="I84" s="342"/>
      <c r="J84" s="342"/>
      <c r="K84" s="338"/>
      <c r="L84" s="338"/>
      <c r="M84" s="338"/>
      <c r="N84" s="338"/>
      <c r="O84" s="338"/>
      <c r="P84" s="338"/>
      <c r="Q84" s="338"/>
      <c r="R84" s="338"/>
      <c r="S84" s="338"/>
      <c r="T84" s="338"/>
      <c r="U84" s="338"/>
      <c r="V84" s="338"/>
      <c r="W84" s="338"/>
      <c r="X84" s="338"/>
      <c r="Y84" s="338"/>
      <c r="Z84" s="338"/>
      <c r="AA84" s="338"/>
    </row>
    <row r="85" ht="15.75" customHeight="1">
      <c r="A85" s="339">
        <v>84.0</v>
      </c>
      <c r="B85" s="339" t="s">
        <v>1193</v>
      </c>
      <c r="C85" s="339" t="s">
        <v>1194</v>
      </c>
      <c r="D85" s="339" t="s">
        <v>998</v>
      </c>
      <c r="E85" s="339" t="s">
        <v>1195</v>
      </c>
      <c r="F85" s="339">
        <v>6.0050911988E10</v>
      </c>
      <c r="G85" s="342"/>
      <c r="H85" s="342"/>
      <c r="I85" s="342"/>
      <c r="J85" s="342"/>
      <c r="K85" s="338"/>
      <c r="L85" s="338"/>
      <c r="M85" s="338"/>
      <c r="N85" s="338"/>
      <c r="O85" s="338"/>
      <c r="P85" s="338"/>
      <c r="Q85" s="338"/>
      <c r="R85" s="338"/>
      <c r="S85" s="338"/>
      <c r="T85" s="338"/>
      <c r="U85" s="338"/>
      <c r="V85" s="338"/>
      <c r="W85" s="338"/>
      <c r="X85" s="338"/>
      <c r="Y85" s="338"/>
      <c r="Z85" s="338"/>
      <c r="AA85" s="338"/>
    </row>
    <row r="86" ht="15.75" customHeight="1">
      <c r="A86" s="339">
        <v>85.0</v>
      </c>
      <c r="B86" s="339" t="s">
        <v>1196</v>
      </c>
      <c r="C86" s="339" t="s">
        <v>1197</v>
      </c>
      <c r="D86" s="339" t="s">
        <v>1198</v>
      </c>
      <c r="E86" s="339" t="s">
        <v>1199</v>
      </c>
      <c r="F86" s="339">
        <v>3.00103837007E11</v>
      </c>
      <c r="G86" s="342"/>
      <c r="H86" s="342"/>
      <c r="I86" s="342"/>
      <c r="J86" s="342"/>
      <c r="K86" s="338"/>
      <c r="L86" s="338"/>
      <c r="M86" s="338"/>
      <c r="N86" s="338"/>
      <c r="O86" s="338"/>
      <c r="P86" s="338"/>
      <c r="Q86" s="338"/>
      <c r="R86" s="338"/>
      <c r="S86" s="338"/>
      <c r="T86" s="338"/>
      <c r="U86" s="338"/>
      <c r="V86" s="338"/>
      <c r="W86" s="338"/>
      <c r="X86" s="338"/>
      <c r="Y86" s="338"/>
      <c r="Z86" s="338"/>
      <c r="AA86" s="338"/>
    </row>
    <row r="87" ht="15.75" customHeight="1">
      <c r="A87" s="339">
        <v>86.0</v>
      </c>
      <c r="B87" s="339" t="s">
        <v>809</v>
      </c>
      <c r="C87" s="339" t="s">
        <v>451</v>
      </c>
      <c r="D87" s="339" t="s">
        <v>1200</v>
      </c>
      <c r="E87" s="339" t="s">
        <v>812</v>
      </c>
      <c r="F87" s="339">
        <v>1.02805585E8</v>
      </c>
      <c r="G87" s="342"/>
      <c r="H87" s="342"/>
      <c r="I87" s="342"/>
      <c r="J87" s="342"/>
      <c r="K87" s="338"/>
      <c r="L87" s="338"/>
      <c r="M87" s="338"/>
      <c r="N87" s="338"/>
      <c r="O87" s="338"/>
      <c r="P87" s="338"/>
      <c r="Q87" s="338"/>
      <c r="R87" s="338"/>
      <c r="S87" s="338"/>
      <c r="T87" s="338"/>
      <c r="U87" s="338"/>
      <c r="V87" s="338"/>
      <c r="W87" s="338"/>
      <c r="X87" s="338"/>
      <c r="Y87" s="338"/>
      <c r="Z87" s="338"/>
      <c r="AA87" s="338"/>
    </row>
    <row r="88" ht="15.75" customHeight="1">
      <c r="A88" s="339">
        <v>87.0</v>
      </c>
      <c r="B88" s="343" t="s">
        <v>1201</v>
      </c>
      <c r="C88" s="339" t="s">
        <v>1202</v>
      </c>
      <c r="D88" s="339" t="s">
        <v>1203</v>
      </c>
      <c r="E88" s="339"/>
      <c r="F88" s="339"/>
      <c r="G88" s="342"/>
      <c r="H88" s="342"/>
      <c r="I88" s="342"/>
      <c r="J88" s="342"/>
      <c r="K88" s="338"/>
      <c r="L88" s="338"/>
      <c r="M88" s="338"/>
      <c r="N88" s="338"/>
      <c r="O88" s="338"/>
      <c r="P88" s="338"/>
      <c r="Q88" s="338"/>
      <c r="R88" s="338"/>
      <c r="S88" s="338"/>
      <c r="T88" s="338"/>
      <c r="U88" s="338"/>
      <c r="V88" s="338"/>
      <c r="W88" s="338"/>
      <c r="X88" s="338"/>
      <c r="Y88" s="338"/>
      <c r="Z88" s="338"/>
      <c r="AA88" s="338"/>
    </row>
    <row r="89" ht="15.75" customHeight="1">
      <c r="A89" s="339">
        <v>88.0</v>
      </c>
      <c r="B89" s="339" t="s">
        <v>1204</v>
      </c>
      <c r="C89" s="339" t="s">
        <v>1205</v>
      </c>
      <c r="D89" s="339" t="s">
        <v>1022</v>
      </c>
      <c r="E89" s="339" t="s">
        <v>1206</v>
      </c>
      <c r="F89" s="339">
        <v>2.4704060210948E13</v>
      </c>
      <c r="G89" s="342"/>
      <c r="H89" s="342"/>
      <c r="I89" s="342"/>
      <c r="J89" s="342"/>
      <c r="K89" s="338"/>
      <c r="L89" s="338"/>
      <c r="M89" s="338"/>
      <c r="N89" s="338"/>
      <c r="O89" s="338"/>
      <c r="P89" s="338"/>
      <c r="Q89" s="338"/>
      <c r="R89" s="338"/>
      <c r="S89" s="338"/>
      <c r="T89" s="338"/>
      <c r="U89" s="338"/>
      <c r="V89" s="338"/>
      <c r="W89" s="338"/>
      <c r="X89" s="338"/>
      <c r="Y89" s="338"/>
      <c r="Z89" s="338"/>
      <c r="AA89" s="338"/>
    </row>
    <row r="90" ht="15.75" customHeight="1">
      <c r="A90" s="339">
        <v>89.0</v>
      </c>
      <c r="B90" s="339" t="s">
        <v>1207</v>
      </c>
      <c r="C90" s="340" t="s">
        <v>1208</v>
      </c>
      <c r="D90" s="339" t="s">
        <v>1067</v>
      </c>
      <c r="E90" s="339" t="s">
        <v>1209</v>
      </c>
      <c r="F90" s="339">
        <v>3.388666881999E12</v>
      </c>
      <c r="G90" s="342"/>
      <c r="H90" s="342"/>
      <c r="I90" s="342"/>
      <c r="J90" s="342"/>
      <c r="K90" s="338"/>
      <c r="L90" s="338"/>
      <c r="M90" s="338"/>
      <c r="N90" s="338"/>
      <c r="O90" s="338"/>
      <c r="P90" s="338"/>
      <c r="Q90" s="338"/>
      <c r="R90" s="338"/>
      <c r="S90" s="338"/>
      <c r="T90" s="338"/>
      <c r="U90" s="338"/>
      <c r="V90" s="338"/>
      <c r="W90" s="338"/>
      <c r="X90" s="338"/>
      <c r="Y90" s="338"/>
      <c r="Z90" s="338"/>
      <c r="AA90" s="338"/>
    </row>
    <row r="91" ht="15.75" customHeight="1">
      <c r="A91" s="339">
        <v>90.0</v>
      </c>
      <c r="B91" s="339" t="s">
        <v>1210</v>
      </c>
      <c r="C91" s="339" t="s">
        <v>1211</v>
      </c>
      <c r="D91" s="339" t="s">
        <v>1212</v>
      </c>
      <c r="E91" s="339" t="s">
        <v>1213</v>
      </c>
      <c r="F91" s="339">
        <v>1.05867691556E11</v>
      </c>
      <c r="G91" s="342"/>
      <c r="H91" s="342"/>
      <c r="I91" s="342"/>
      <c r="J91" s="342"/>
      <c r="K91" s="338"/>
      <c r="L91" s="338"/>
      <c r="M91" s="338"/>
      <c r="N91" s="338"/>
      <c r="O91" s="338"/>
      <c r="P91" s="338"/>
      <c r="Q91" s="338"/>
      <c r="R91" s="338"/>
      <c r="S91" s="338"/>
      <c r="T91" s="338"/>
      <c r="U91" s="338"/>
      <c r="V91" s="338"/>
      <c r="W91" s="338"/>
      <c r="X91" s="338"/>
      <c r="Y91" s="338"/>
      <c r="Z91" s="338"/>
      <c r="AA91" s="338"/>
    </row>
    <row r="92" ht="15.75" customHeight="1">
      <c r="A92" s="339">
        <v>91.0</v>
      </c>
      <c r="B92" s="339" t="s">
        <v>1214</v>
      </c>
      <c r="C92" s="340" t="s">
        <v>358</v>
      </c>
      <c r="D92" s="339" t="s">
        <v>937</v>
      </c>
      <c r="E92" s="339" t="s">
        <v>938</v>
      </c>
      <c r="F92" s="339">
        <v>3.9010000627475E13</v>
      </c>
      <c r="G92" s="339" t="s">
        <v>1214</v>
      </c>
      <c r="H92" s="346" t="s">
        <v>659</v>
      </c>
      <c r="I92" s="346">
        <v>3.900627475E9</v>
      </c>
      <c r="J92" s="339" t="s">
        <v>1215</v>
      </c>
      <c r="K92" s="338"/>
      <c r="L92" s="338"/>
      <c r="M92" s="338"/>
      <c r="N92" s="338"/>
      <c r="O92" s="338"/>
      <c r="P92" s="338"/>
      <c r="Q92" s="338"/>
      <c r="R92" s="338"/>
      <c r="S92" s="338"/>
      <c r="T92" s="338"/>
      <c r="U92" s="338"/>
      <c r="V92" s="338"/>
      <c r="W92" s="338"/>
      <c r="X92" s="338"/>
      <c r="Y92" s="338"/>
      <c r="Z92" s="338"/>
      <c r="AA92" s="338"/>
    </row>
    <row r="93" ht="15.75" customHeight="1">
      <c r="A93" s="339">
        <v>92.0</v>
      </c>
      <c r="B93" s="343" t="s">
        <v>1216</v>
      </c>
      <c r="C93" s="339" t="s">
        <v>1217</v>
      </c>
      <c r="D93" s="339" t="s">
        <v>998</v>
      </c>
      <c r="E93" s="339" t="s">
        <v>699</v>
      </c>
      <c r="F93" s="339">
        <v>1.9028461937015E13</v>
      </c>
      <c r="G93" s="342"/>
      <c r="H93" s="342"/>
      <c r="I93" s="342"/>
      <c r="J93" s="342"/>
      <c r="K93" s="338"/>
      <c r="L93" s="338"/>
      <c r="M93" s="338"/>
      <c r="N93" s="338"/>
      <c r="O93" s="338"/>
      <c r="P93" s="338"/>
      <c r="Q93" s="338"/>
      <c r="R93" s="338"/>
      <c r="S93" s="338"/>
      <c r="T93" s="338"/>
      <c r="U93" s="338"/>
      <c r="V93" s="338"/>
      <c r="W93" s="338"/>
      <c r="X93" s="338"/>
      <c r="Y93" s="338"/>
      <c r="Z93" s="338"/>
      <c r="AA93" s="338"/>
    </row>
    <row r="94" ht="15.75" customHeight="1">
      <c r="A94" s="339">
        <v>93.0</v>
      </c>
      <c r="B94" s="343" t="s">
        <v>849</v>
      </c>
      <c r="C94" s="339" t="s">
        <v>388</v>
      </c>
      <c r="D94" s="339" t="s">
        <v>1218</v>
      </c>
      <c r="E94" s="339" t="s">
        <v>852</v>
      </c>
      <c r="F94" s="339">
        <v>2.1000274876E10</v>
      </c>
      <c r="G94" s="342"/>
      <c r="H94" s="342"/>
      <c r="I94" s="342"/>
      <c r="J94" s="342"/>
      <c r="K94" s="338"/>
      <c r="L94" s="338"/>
      <c r="M94" s="338"/>
      <c r="N94" s="338"/>
      <c r="O94" s="338"/>
      <c r="P94" s="338"/>
      <c r="Q94" s="338"/>
      <c r="R94" s="338"/>
      <c r="S94" s="338"/>
      <c r="T94" s="338"/>
      <c r="U94" s="338"/>
      <c r="V94" s="338"/>
      <c r="W94" s="338"/>
      <c r="X94" s="338"/>
      <c r="Y94" s="338"/>
      <c r="Z94" s="338"/>
      <c r="AA94" s="338"/>
    </row>
    <row r="95" ht="15.75" customHeight="1">
      <c r="A95" s="339">
        <v>94.0</v>
      </c>
      <c r="B95" s="339" t="s">
        <v>1219</v>
      </c>
      <c r="C95" s="339" t="s">
        <v>1220</v>
      </c>
      <c r="D95" s="339" t="s">
        <v>1221</v>
      </c>
      <c r="E95" s="339" t="s">
        <v>1199</v>
      </c>
      <c r="F95" s="339">
        <v>3.00108036005E11</v>
      </c>
      <c r="G95" s="342"/>
      <c r="H95" s="342"/>
      <c r="I95" s="342"/>
      <c r="J95" s="342"/>
      <c r="K95" s="338"/>
      <c r="L95" s="338"/>
      <c r="M95" s="338"/>
      <c r="N95" s="338"/>
      <c r="O95" s="338"/>
      <c r="P95" s="338"/>
      <c r="Q95" s="338"/>
      <c r="R95" s="338"/>
      <c r="S95" s="338"/>
      <c r="T95" s="338"/>
      <c r="U95" s="338"/>
      <c r="V95" s="338"/>
      <c r="W95" s="338"/>
      <c r="X95" s="338"/>
      <c r="Y95" s="338"/>
      <c r="Z95" s="338"/>
      <c r="AA95" s="338"/>
    </row>
    <row r="96" ht="15.75" customHeight="1">
      <c r="A96" s="339">
        <v>95.0</v>
      </c>
      <c r="B96" s="339" t="s">
        <v>1222</v>
      </c>
      <c r="C96" s="339" t="s">
        <v>1223</v>
      </c>
      <c r="D96" s="339" t="s">
        <v>1224</v>
      </c>
      <c r="E96" s="339" t="s">
        <v>1225</v>
      </c>
      <c r="F96" s="339">
        <v>1.02004514734E11</v>
      </c>
      <c r="G96" s="342"/>
      <c r="H96" s="342"/>
      <c r="I96" s="342"/>
      <c r="J96" s="342"/>
      <c r="K96" s="338"/>
      <c r="L96" s="338"/>
      <c r="M96" s="338"/>
      <c r="N96" s="338"/>
      <c r="O96" s="338"/>
      <c r="P96" s="338"/>
      <c r="Q96" s="338"/>
      <c r="R96" s="338"/>
      <c r="S96" s="338"/>
      <c r="T96" s="338"/>
      <c r="U96" s="338"/>
      <c r="V96" s="338"/>
      <c r="W96" s="338"/>
      <c r="X96" s="338"/>
      <c r="Y96" s="338"/>
      <c r="Z96" s="338"/>
      <c r="AA96" s="338"/>
    </row>
    <row r="97" ht="15.75" customHeight="1">
      <c r="A97" s="339">
        <v>96.0</v>
      </c>
      <c r="B97" s="339" t="s">
        <v>1226</v>
      </c>
      <c r="C97" s="340" t="s">
        <v>1227</v>
      </c>
      <c r="D97" s="339" t="s">
        <v>1228</v>
      </c>
      <c r="E97" s="339"/>
      <c r="F97" s="339"/>
      <c r="G97" s="342"/>
      <c r="H97" s="342"/>
      <c r="I97" s="342"/>
      <c r="J97" s="342"/>
      <c r="K97" s="338"/>
      <c r="L97" s="338"/>
      <c r="M97" s="338"/>
      <c r="N97" s="338"/>
      <c r="O97" s="338"/>
      <c r="P97" s="338"/>
      <c r="Q97" s="338"/>
      <c r="R97" s="338"/>
      <c r="S97" s="338"/>
      <c r="T97" s="338"/>
      <c r="U97" s="338"/>
      <c r="V97" s="338"/>
      <c r="W97" s="338"/>
      <c r="X97" s="338"/>
      <c r="Y97" s="338"/>
      <c r="Z97" s="338"/>
      <c r="AA97" s="338"/>
    </row>
    <row r="98" ht="15.75" customHeight="1">
      <c r="A98" s="339">
        <v>97.0</v>
      </c>
      <c r="B98" s="339" t="s">
        <v>1229</v>
      </c>
      <c r="C98" s="339" t="s">
        <v>1230</v>
      </c>
      <c r="D98" s="339" t="s">
        <v>1231</v>
      </c>
      <c r="E98" s="339" t="s">
        <v>1232</v>
      </c>
      <c r="F98" s="339">
        <v>9.12084559E8</v>
      </c>
      <c r="G98" s="342"/>
      <c r="H98" s="342"/>
      <c r="I98" s="342"/>
      <c r="J98" s="342"/>
      <c r="K98" s="338"/>
      <c r="L98" s="338"/>
      <c r="M98" s="338"/>
      <c r="N98" s="338"/>
      <c r="O98" s="338"/>
      <c r="P98" s="338"/>
      <c r="Q98" s="338"/>
      <c r="R98" s="338"/>
      <c r="S98" s="338"/>
      <c r="T98" s="338"/>
      <c r="U98" s="338"/>
      <c r="V98" s="338"/>
      <c r="W98" s="338"/>
      <c r="X98" s="338"/>
      <c r="Y98" s="338"/>
      <c r="Z98" s="338"/>
      <c r="AA98" s="338"/>
    </row>
    <row r="99" ht="15.75" customHeight="1">
      <c r="A99" s="339">
        <v>98.0</v>
      </c>
      <c r="B99" s="343" t="s">
        <v>819</v>
      </c>
      <c r="C99" s="339" t="s">
        <v>820</v>
      </c>
      <c r="D99" s="339" t="s">
        <v>956</v>
      </c>
      <c r="E99" s="339" t="s">
        <v>822</v>
      </c>
      <c r="F99" s="339">
        <v>1.80186668888E11</v>
      </c>
      <c r="G99" s="342" t="s">
        <v>1233</v>
      </c>
      <c r="H99" s="342" t="s">
        <v>1234</v>
      </c>
      <c r="I99" s="342"/>
      <c r="J99" s="342" t="s">
        <v>927</v>
      </c>
      <c r="K99" s="338"/>
      <c r="L99" s="338"/>
      <c r="M99" s="338"/>
      <c r="N99" s="338"/>
      <c r="O99" s="338"/>
      <c r="P99" s="338"/>
      <c r="Q99" s="338"/>
      <c r="R99" s="338"/>
      <c r="S99" s="338"/>
      <c r="T99" s="338"/>
      <c r="U99" s="338"/>
      <c r="V99" s="338"/>
      <c r="W99" s="338"/>
      <c r="X99" s="338"/>
      <c r="Y99" s="338"/>
      <c r="Z99" s="338"/>
      <c r="AA99" s="338"/>
    </row>
    <row r="100" ht="15.75" customHeight="1">
      <c r="A100" s="339">
        <v>99.0</v>
      </c>
      <c r="B100" s="343" t="s">
        <v>1235</v>
      </c>
      <c r="C100" s="339" t="s">
        <v>1236</v>
      </c>
      <c r="D100" s="339" t="s">
        <v>1237</v>
      </c>
      <c r="E100" s="339" t="s">
        <v>1238</v>
      </c>
      <c r="F100" s="345">
        <v>1.01867E16</v>
      </c>
      <c r="G100" s="342"/>
      <c r="H100" s="342"/>
      <c r="I100" s="342"/>
      <c r="J100" s="342"/>
      <c r="K100" s="338"/>
      <c r="L100" s="338"/>
      <c r="M100" s="338"/>
      <c r="N100" s="338"/>
      <c r="O100" s="338"/>
      <c r="P100" s="338"/>
      <c r="Q100" s="338"/>
      <c r="R100" s="338"/>
      <c r="S100" s="338"/>
      <c r="T100" s="338"/>
      <c r="U100" s="338"/>
      <c r="V100" s="338"/>
      <c r="W100" s="338"/>
      <c r="X100" s="338"/>
      <c r="Y100" s="338"/>
      <c r="Z100" s="338"/>
      <c r="AA100" s="338"/>
    </row>
    <row r="101" ht="15.75" customHeight="1">
      <c r="A101" s="339">
        <v>100.0</v>
      </c>
      <c r="B101" s="339" t="s">
        <v>1239</v>
      </c>
      <c r="C101" s="339" t="s">
        <v>1240</v>
      </c>
      <c r="D101" s="339" t="s">
        <v>1241</v>
      </c>
      <c r="E101" s="339" t="s">
        <v>1242</v>
      </c>
      <c r="F101" s="339">
        <v>1.48950458E8</v>
      </c>
      <c r="G101" s="342"/>
      <c r="H101" s="342"/>
      <c r="I101" s="342"/>
      <c r="J101" s="342"/>
      <c r="K101" s="338"/>
      <c r="L101" s="338"/>
      <c r="M101" s="338"/>
      <c r="N101" s="338"/>
      <c r="O101" s="338"/>
      <c r="P101" s="338"/>
      <c r="Q101" s="338"/>
      <c r="R101" s="338"/>
      <c r="S101" s="338"/>
      <c r="T101" s="338"/>
      <c r="U101" s="338"/>
      <c r="V101" s="338"/>
      <c r="W101" s="338"/>
      <c r="X101" s="338"/>
      <c r="Y101" s="338"/>
      <c r="Z101" s="338"/>
      <c r="AA101" s="338"/>
    </row>
    <row r="102" ht="15.75" customHeight="1">
      <c r="A102" s="339">
        <v>101.0</v>
      </c>
      <c r="B102" s="343" t="s">
        <v>1243</v>
      </c>
      <c r="C102" s="339" t="s">
        <v>436</v>
      </c>
      <c r="D102" s="339" t="s">
        <v>990</v>
      </c>
      <c r="E102" s="339" t="s">
        <v>659</v>
      </c>
      <c r="F102" s="339">
        <v>3.9010000309843E13</v>
      </c>
      <c r="G102" s="342" t="s">
        <v>1244</v>
      </c>
      <c r="H102" s="339" t="s">
        <v>659</v>
      </c>
      <c r="I102" s="339">
        <v>3.9010000309843E13</v>
      </c>
      <c r="J102" s="342" t="s">
        <v>1245</v>
      </c>
      <c r="K102" s="338"/>
      <c r="L102" s="338"/>
      <c r="M102" s="338"/>
      <c r="N102" s="338"/>
      <c r="O102" s="338"/>
      <c r="P102" s="338"/>
      <c r="Q102" s="338"/>
      <c r="R102" s="338"/>
      <c r="S102" s="338"/>
      <c r="T102" s="338"/>
      <c r="U102" s="338"/>
      <c r="V102" s="338"/>
      <c r="W102" s="338"/>
      <c r="X102" s="338"/>
      <c r="Y102" s="338"/>
      <c r="Z102" s="338"/>
      <c r="AA102" s="338"/>
    </row>
    <row r="103" ht="15.75" customHeight="1">
      <c r="A103" s="339">
        <v>102.0</v>
      </c>
      <c r="B103" s="339" t="s">
        <v>1246</v>
      </c>
      <c r="C103" s="339" t="s">
        <v>1247</v>
      </c>
      <c r="D103" s="339" t="s">
        <v>1248</v>
      </c>
      <c r="E103" s="339" t="s">
        <v>1249</v>
      </c>
      <c r="F103" s="339">
        <v>5.0632990001E10</v>
      </c>
      <c r="G103" s="342"/>
      <c r="H103" s="342"/>
      <c r="I103" s="342"/>
      <c r="J103" s="342"/>
      <c r="K103" s="338"/>
      <c r="L103" s="338"/>
      <c r="M103" s="338"/>
      <c r="N103" s="338"/>
      <c r="O103" s="338"/>
      <c r="P103" s="338"/>
      <c r="Q103" s="338"/>
      <c r="R103" s="338"/>
      <c r="S103" s="338"/>
      <c r="T103" s="338"/>
      <c r="U103" s="338"/>
      <c r="V103" s="338"/>
      <c r="W103" s="338"/>
      <c r="X103" s="338"/>
      <c r="Y103" s="338"/>
      <c r="Z103" s="338"/>
      <c r="AA103" s="338"/>
    </row>
    <row r="104" ht="15.75" customHeight="1">
      <c r="A104" s="339">
        <v>103.0</v>
      </c>
      <c r="B104" s="343" t="s">
        <v>1250</v>
      </c>
      <c r="C104" s="339" t="s">
        <v>1251</v>
      </c>
      <c r="D104" s="339" t="s">
        <v>1252</v>
      </c>
      <c r="E104" s="339" t="s">
        <v>1253</v>
      </c>
      <c r="F104" s="345">
        <v>1.9023E17</v>
      </c>
      <c r="G104" s="342"/>
      <c r="H104" s="342"/>
      <c r="I104" s="342"/>
      <c r="J104" s="342"/>
      <c r="K104" s="338"/>
      <c r="L104" s="338"/>
      <c r="M104" s="338"/>
      <c r="N104" s="338"/>
      <c r="O104" s="338"/>
      <c r="P104" s="338"/>
      <c r="Q104" s="338"/>
      <c r="R104" s="338"/>
      <c r="S104" s="338"/>
      <c r="T104" s="338"/>
      <c r="U104" s="338"/>
      <c r="V104" s="338"/>
      <c r="W104" s="338"/>
      <c r="X104" s="338"/>
      <c r="Y104" s="338"/>
      <c r="Z104" s="338"/>
      <c r="AA104" s="338"/>
    </row>
    <row r="105" ht="15.75" customHeight="1">
      <c r="A105" s="339">
        <v>104.0</v>
      </c>
      <c r="B105" s="343" t="s">
        <v>1254</v>
      </c>
      <c r="C105" s="339" t="s">
        <v>1255</v>
      </c>
      <c r="D105" s="339" t="s">
        <v>1256</v>
      </c>
      <c r="E105" s="339" t="s">
        <v>1257</v>
      </c>
      <c r="F105" s="339">
        <v>9.51004177075E11</v>
      </c>
      <c r="G105" s="342"/>
      <c r="H105" s="342"/>
      <c r="I105" s="342"/>
      <c r="J105" s="342"/>
      <c r="K105" s="338"/>
      <c r="L105" s="338"/>
      <c r="M105" s="338"/>
      <c r="N105" s="338"/>
      <c r="O105" s="338"/>
      <c r="P105" s="338"/>
      <c r="Q105" s="338"/>
      <c r="R105" s="338"/>
      <c r="S105" s="338"/>
      <c r="T105" s="338"/>
      <c r="U105" s="338"/>
      <c r="V105" s="338"/>
      <c r="W105" s="338"/>
      <c r="X105" s="338"/>
      <c r="Y105" s="338"/>
      <c r="Z105" s="338"/>
      <c r="AA105" s="338"/>
    </row>
    <row r="106" ht="15.75" customHeight="1">
      <c r="A106" s="339">
        <v>105.0</v>
      </c>
      <c r="B106" s="339" t="s">
        <v>1258</v>
      </c>
      <c r="C106" s="340" t="s">
        <v>526</v>
      </c>
      <c r="D106" s="339" t="s">
        <v>1156</v>
      </c>
      <c r="E106" s="339" t="s">
        <v>1259</v>
      </c>
      <c r="F106" s="339">
        <v>5.7310456E7</v>
      </c>
      <c r="G106" s="342" t="s">
        <v>1260</v>
      </c>
      <c r="H106" s="342" t="s">
        <v>743</v>
      </c>
      <c r="I106" s="342"/>
      <c r="J106" s="342" t="s">
        <v>1056</v>
      </c>
      <c r="K106" s="338"/>
      <c r="L106" s="338"/>
      <c r="M106" s="338"/>
      <c r="N106" s="338"/>
      <c r="O106" s="338"/>
      <c r="P106" s="338"/>
      <c r="Q106" s="338"/>
      <c r="R106" s="338"/>
      <c r="S106" s="338"/>
      <c r="T106" s="338"/>
      <c r="U106" s="338"/>
      <c r="V106" s="338"/>
      <c r="W106" s="338"/>
      <c r="X106" s="338"/>
      <c r="Y106" s="338"/>
      <c r="Z106" s="338"/>
      <c r="AA106" s="338"/>
    </row>
    <row r="107" ht="15.75" customHeight="1">
      <c r="A107" s="339">
        <v>106.0</v>
      </c>
      <c r="B107" s="339" t="s">
        <v>1261</v>
      </c>
      <c r="C107" s="339" t="s">
        <v>1262</v>
      </c>
      <c r="D107" s="339" t="s">
        <v>1008</v>
      </c>
      <c r="E107" s="339" t="s">
        <v>1263</v>
      </c>
      <c r="F107" s="339">
        <v>9.51004192426E11</v>
      </c>
      <c r="G107" s="342"/>
      <c r="H107" s="342"/>
      <c r="I107" s="342"/>
      <c r="J107" s="342"/>
      <c r="K107" s="338"/>
      <c r="L107" s="338"/>
      <c r="M107" s="338"/>
      <c r="N107" s="338"/>
      <c r="O107" s="338"/>
      <c r="P107" s="338"/>
      <c r="Q107" s="338"/>
      <c r="R107" s="338"/>
      <c r="S107" s="338"/>
      <c r="T107" s="338"/>
      <c r="U107" s="338"/>
      <c r="V107" s="338"/>
      <c r="W107" s="338"/>
      <c r="X107" s="338"/>
      <c r="Y107" s="338"/>
      <c r="Z107" s="338"/>
      <c r="AA107" s="338"/>
    </row>
    <row r="108" ht="15.75" customHeight="1">
      <c r="A108" s="339">
        <v>107.0</v>
      </c>
      <c r="B108" s="339" t="s">
        <v>1264</v>
      </c>
      <c r="C108" s="339" t="s">
        <v>1265</v>
      </c>
      <c r="D108" s="339" t="s">
        <v>1266</v>
      </c>
      <c r="E108" s="339" t="s">
        <v>1267</v>
      </c>
      <c r="F108" s="339">
        <v>2.300104849009E12</v>
      </c>
      <c r="G108" s="342"/>
      <c r="H108" s="342"/>
      <c r="I108" s="342"/>
      <c r="J108" s="342"/>
      <c r="K108" s="338"/>
      <c r="L108" s="338"/>
      <c r="M108" s="338"/>
      <c r="N108" s="338"/>
      <c r="O108" s="338"/>
      <c r="P108" s="338"/>
      <c r="Q108" s="338"/>
      <c r="R108" s="338"/>
      <c r="S108" s="338"/>
      <c r="T108" s="338"/>
      <c r="U108" s="338"/>
      <c r="V108" s="338"/>
      <c r="W108" s="338"/>
      <c r="X108" s="338"/>
      <c r="Y108" s="338"/>
      <c r="Z108" s="338"/>
      <c r="AA108" s="338"/>
    </row>
    <row r="109" ht="15.75" customHeight="1">
      <c r="A109" s="339">
        <v>108.0</v>
      </c>
      <c r="B109" s="343" t="s">
        <v>767</v>
      </c>
      <c r="C109" s="339" t="s">
        <v>453</v>
      </c>
      <c r="D109" s="339" t="s">
        <v>1184</v>
      </c>
      <c r="E109" s="339" t="s">
        <v>769</v>
      </c>
      <c r="F109" s="339">
        <v>7.200138121008E12</v>
      </c>
      <c r="G109" s="342"/>
      <c r="H109" s="342"/>
      <c r="I109" s="342"/>
      <c r="J109" s="342"/>
      <c r="K109" s="338"/>
      <c r="L109" s="338"/>
      <c r="M109" s="338"/>
      <c r="N109" s="338"/>
      <c r="O109" s="338"/>
      <c r="P109" s="338"/>
      <c r="Q109" s="338"/>
      <c r="R109" s="338"/>
      <c r="S109" s="338"/>
      <c r="T109" s="338"/>
      <c r="U109" s="338"/>
      <c r="V109" s="338"/>
      <c r="W109" s="338"/>
      <c r="X109" s="338"/>
      <c r="Y109" s="338"/>
      <c r="Z109" s="338"/>
      <c r="AA109" s="338"/>
    </row>
    <row r="110" ht="15.75" customHeight="1">
      <c r="A110" s="339">
        <v>109.0</v>
      </c>
      <c r="B110" s="339" t="s">
        <v>1268</v>
      </c>
      <c r="C110" s="339" t="s">
        <v>1269</v>
      </c>
      <c r="D110" s="339" t="s">
        <v>1270</v>
      </c>
      <c r="E110" s="339" t="s">
        <v>1271</v>
      </c>
      <c r="F110" s="339">
        <v>7.01003794208E11</v>
      </c>
      <c r="G110" s="342"/>
      <c r="H110" s="342"/>
      <c r="I110" s="342"/>
      <c r="J110" s="342"/>
      <c r="K110" s="338"/>
      <c r="L110" s="338"/>
      <c r="M110" s="338"/>
      <c r="N110" s="338"/>
      <c r="O110" s="338"/>
      <c r="P110" s="338"/>
      <c r="Q110" s="338"/>
      <c r="R110" s="338"/>
      <c r="S110" s="338"/>
      <c r="T110" s="338"/>
      <c r="U110" s="338"/>
      <c r="V110" s="338"/>
      <c r="W110" s="338"/>
      <c r="X110" s="338"/>
      <c r="Y110" s="338"/>
      <c r="Z110" s="338"/>
      <c r="AA110" s="338"/>
    </row>
    <row r="111" ht="15.75" customHeight="1">
      <c r="A111" s="339">
        <v>110.0</v>
      </c>
      <c r="B111" s="339" t="s">
        <v>1272</v>
      </c>
      <c r="C111" s="339" t="s">
        <v>1273</v>
      </c>
      <c r="D111" s="339" t="s">
        <v>1274</v>
      </c>
      <c r="E111" s="339" t="s">
        <v>1275</v>
      </c>
      <c r="F111" s="339">
        <v>3.9010000862267E13</v>
      </c>
      <c r="G111" s="342" t="s">
        <v>1276</v>
      </c>
      <c r="H111" s="342" t="s">
        <v>1277</v>
      </c>
      <c r="I111" s="339">
        <v>3.900862267E9</v>
      </c>
      <c r="J111" s="342" t="s">
        <v>927</v>
      </c>
      <c r="K111" s="338"/>
      <c r="L111" s="338"/>
      <c r="M111" s="338"/>
      <c r="N111" s="338"/>
      <c r="O111" s="338"/>
      <c r="P111" s="338"/>
      <c r="Q111" s="338"/>
      <c r="R111" s="338"/>
      <c r="S111" s="338"/>
      <c r="T111" s="338"/>
      <c r="U111" s="338"/>
      <c r="V111" s="338"/>
      <c r="W111" s="338"/>
      <c r="X111" s="338"/>
      <c r="Y111" s="338"/>
      <c r="Z111" s="338"/>
      <c r="AA111" s="338"/>
    </row>
    <row r="112" ht="15.75" customHeight="1">
      <c r="A112" s="339">
        <v>111.0</v>
      </c>
      <c r="B112" s="339" t="s">
        <v>1278</v>
      </c>
      <c r="C112" s="339" t="s">
        <v>1279</v>
      </c>
      <c r="D112" s="339" t="s">
        <v>1280</v>
      </c>
      <c r="E112" s="339" t="s">
        <v>1281</v>
      </c>
      <c r="F112" s="339">
        <v>8.020100188007E12</v>
      </c>
      <c r="G112" s="342"/>
      <c r="H112" s="342"/>
      <c r="I112" s="342"/>
      <c r="J112" s="342"/>
      <c r="K112" s="338"/>
      <c r="L112" s="338"/>
      <c r="M112" s="338"/>
      <c r="N112" s="338"/>
      <c r="O112" s="338"/>
      <c r="P112" s="338"/>
      <c r="Q112" s="338"/>
      <c r="R112" s="338"/>
      <c r="S112" s="338"/>
      <c r="T112" s="338"/>
      <c r="U112" s="338"/>
      <c r="V112" s="338"/>
      <c r="W112" s="338"/>
      <c r="X112" s="338"/>
      <c r="Y112" s="338"/>
      <c r="Z112" s="338"/>
      <c r="AA112" s="338"/>
    </row>
    <row r="113" ht="15.75" customHeight="1">
      <c r="A113" s="339">
        <v>112.0</v>
      </c>
      <c r="B113" s="339" t="s">
        <v>724</v>
      </c>
      <c r="C113" s="339" t="s">
        <v>441</v>
      </c>
      <c r="D113" s="339" t="s">
        <v>956</v>
      </c>
      <c r="E113" s="339" t="s">
        <v>727</v>
      </c>
      <c r="F113" s="339">
        <v>5.4315918E7</v>
      </c>
      <c r="G113" s="342" t="s">
        <v>1282</v>
      </c>
      <c r="H113" s="342" t="s">
        <v>743</v>
      </c>
      <c r="I113" s="342"/>
      <c r="J113" s="342" t="s">
        <v>927</v>
      </c>
      <c r="K113" s="338"/>
      <c r="L113" s="338"/>
      <c r="M113" s="338"/>
      <c r="N113" s="338"/>
      <c r="O113" s="338"/>
      <c r="P113" s="338"/>
      <c r="Q113" s="338"/>
      <c r="R113" s="338"/>
      <c r="S113" s="338"/>
      <c r="T113" s="338"/>
      <c r="U113" s="338"/>
      <c r="V113" s="338"/>
      <c r="W113" s="338"/>
      <c r="X113" s="338"/>
      <c r="Y113" s="338"/>
      <c r="Z113" s="338"/>
      <c r="AA113" s="338"/>
    </row>
    <row r="114" ht="15.75" customHeight="1">
      <c r="A114" s="339">
        <v>113.0</v>
      </c>
      <c r="B114" s="339" t="s">
        <v>1283</v>
      </c>
      <c r="C114" s="339" t="s">
        <v>1284</v>
      </c>
      <c r="D114" s="339" t="s">
        <v>1221</v>
      </c>
      <c r="E114" s="339" t="s">
        <v>1285</v>
      </c>
      <c r="F114" s="339">
        <v>3.0158886886E10</v>
      </c>
      <c r="G114" s="342"/>
      <c r="H114" s="342"/>
      <c r="I114" s="342"/>
      <c r="J114" s="342"/>
      <c r="K114" s="338"/>
      <c r="L114" s="338"/>
      <c r="M114" s="338"/>
      <c r="N114" s="338"/>
      <c r="O114" s="338"/>
      <c r="P114" s="338"/>
      <c r="Q114" s="338"/>
      <c r="R114" s="338"/>
      <c r="S114" s="338"/>
      <c r="T114" s="338"/>
      <c r="U114" s="338"/>
      <c r="V114" s="338"/>
      <c r="W114" s="338"/>
      <c r="X114" s="338"/>
      <c r="Y114" s="338"/>
      <c r="Z114" s="338"/>
      <c r="AA114" s="338"/>
    </row>
    <row r="115" ht="15.75" customHeight="1">
      <c r="A115" s="339">
        <v>114.0</v>
      </c>
      <c r="B115" s="339" t="s">
        <v>1286</v>
      </c>
      <c r="C115" s="339" t="s">
        <v>1287</v>
      </c>
      <c r="D115" s="339" t="s">
        <v>1288</v>
      </c>
      <c r="E115" s="339" t="s">
        <v>1289</v>
      </c>
      <c r="F115" s="339">
        <v>1.01000038123E11</v>
      </c>
      <c r="G115" s="342"/>
      <c r="H115" s="342"/>
      <c r="I115" s="342"/>
      <c r="J115" s="342"/>
      <c r="K115" s="338"/>
      <c r="L115" s="338"/>
      <c r="M115" s="338"/>
      <c r="N115" s="338"/>
      <c r="O115" s="338"/>
      <c r="P115" s="338"/>
      <c r="Q115" s="338"/>
      <c r="R115" s="338"/>
      <c r="S115" s="338"/>
      <c r="T115" s="338"/>
      <c r="U115" s="338"/>
      <c r="V115" s="338"/>
      <c r="W115" s="338"/>
      <c r="X115" s="338"/>
      <c r="Y115" s="338"/>
      <c r="Z115" s="338"/>
      <c r="AA115" s="338"/>
    </row>
    <row r="116" ht="15.75" customHeight="1">
      <c r="A116" s="339">
        <v>115.0</v>
      </c>
      <c r="B116" s="343" t="s">
        <v>1290</v>
      </c>
      <c r="C116" s="339" t="s">
        <v>1291</v>
      </c>
      <c r="D116" s="339" t="s">
        <v>1048</v>
      </c>
      <c r="E116" s="339" t="s">
        <v>699</v>
      </c>
      <c r="F116" s="345">
        <v>1.90361E18</v>
      </c>
      <c r="G116" s="342"/>
      <c r="H116" s="342"/>
      <c r="I116" s="342"/>
      <c r="J116" s="342"/>
      <c r="K116" s="338"/>
      <c r="L116" s="338"/>
      <c r="M116" s="338"/>
      <c r="N116" s="338"/>
      <c r="O116" s="338"/>
      <c r="P116" s="338"/>
      <c r="Q116" s="338"/>
      <c r="R116" s="338"/>
      <c r="S116" s="338"/>
      <c r="T116" s="338"/>
      <c r="U116" s="338"/>
      <c r="V116" s="338"/>
      <c r="W116" s="338"/>
      <c r="X116" s="338"/>
      <c r="Y116" s="338"/>
      <c r="Z116" s="338"/>
      <c r="AA116" s="338"/>
    </row>
    <row r="117" ht="15.75" customHeight="1">
      <c r="A117" s="339">
        <v>116.0</v>
      </c>
      <c r="B117" s="343" t="s">
        <v>1292</v>
      </c>
      <c r="C117" s="339" t="s">
        <v>459</v>
      </c>
      <c r="D117" s="339" t="s">
        <v>979</v>
      </c>
      <c r="E117" s="339" t="s">
        <v>1293</v>
      </c>
      <c r="F117" s="339">
        <v>1.08429054E8</v>
      </c>
      <c r="G117" s="342"/>
      <c r="H117" s="342"/>
      <c r="I117" s="342"/>
      <c r="J117" s="342"/>
      <c r="K117" s="338"/>
      <c r="L117" s="338"/>
      <c r="M117" s="338"/>
      <c r="N117" s="338"/>
      <c r="O117" s="338"/>
      <c r="P117" s="338"/>
      <c r="Q117" s="338"/>
      <c r="R117" s="338"/>
      <c r="S117" s="338"/>
      <c r="T117" s="338"/>
      <c r="U117" s="338"/>
      <c r="V117" s="338"/>
      <c r="W117" s="338"/>
      <c r="X117" s="338"/>
      <c r="Y117" s="338"/>
      <c r="Z117" s="338"/>
      <c r="AA117" s="338"/>
    </row>
    <row r="118" ht="15.75" customHeight="1">
      <c r="A118" s="339">
        <v>117.0</v>
      </c>
      <c r="B118" s="343" t="s">
        <v>1294</v>
      </c>
      <c r="C118" s="339" t="s">
        <v>1295</v>
      </c>
      <c r="D118" s="339" t="s">
        <v>1296</v>
      </c>
      <c r="E118" s="339" t="s">
        <v>1297</v>
      </c>
      <c r="F118" s="339">
        <v>8.39245456E8</v>
      </c>
      <c r="G118" s="342"/>
      <c r="H118" s="342"/>
      <c r="I118" s="342"/>
      <c r="J118" s="342"/>
      <c r="K118" s="338"/>
      <c r="L118" s="338"/>
      <c r="M118" s="338"/>
      <c r="N118" s="338"/>
      <c r="O118" s="338"/>
      <c r="P118" s="338"/>
      <c r="Q118" s="338"/>
      <c r="R118" s="338"/>
      <c r="S118" s="338"/>
      <c r="T118" s="338"/>
      <c r="U118" s="338"/>
      <c r="V118" s="338"/>
      <c r="W118" s="338"/>
      <c r="X118" s="338"/>
      <c r="Y118" s="338"/>
      <c r="Z118" s="338"/>
      <c r="AA118" s="338"/>
    </row>
    <row r="119" ht="15.75" customHeight="1">
      <c r="A119" s="339">
        <v>118.0</v>
      </c>
      <c r="B119" s="339" t="s">
        <v>1298</v>
      </c>
      <c r="C119" s="339" t="s">
        <v>1299</v>
      </c>
      <c r="D119" s="339" t="s">
        <v>1300</v>
      </c>
      <c r="E119" s="339"/>
      <c r="F119" s="339"/>
      <c r="G119" s="342"/>
      <c r="H119" s="342"/>
      <c r="I119" s="342"/>
      <c r="J119" s="342"/>
      <c r="K119" s="338"/>
      <c r="L119" s="338"/>
      <c r="M119" s="338"/>
      <c r="N119" s="338"/>
      <c r="O119" s="338"/>
      <c r="P119" s="338"/>
      <c r="Q119" s="338"/>
      <c r="R119" s="338"/>
      <c r="S119" s="338"/>
      <c r="T119" s="338"/>
      <c r="U119" s="338"/>
      <c r="V119" s="338"/>
      <c r="W119" s="338"/>
      <c r="X119" s="338"/>
      <c r="Y119" s="338"/>
      <c r="Z119" s="338"/>
      <c r="AA119" s="338"/>
    </row>
    <row r="120" ht="15.75" customHeight="1">
      <c r="A120" s="339">
        <v>119.0</v>
      </c>
      <c r="B120" s="339" t="s">
        <v>1301</v>
      </c>
      <c r="C120" s="339" t="s">
        <v>1302</v>
      </c>
      <c r="D120" s="339" t="s">
        <v>1303</v>
      </c>
      <c r="E120" s="339" t="s">
        <v>1304</v>
      </c>
      <c r="F120" s="339">
        <v>4.91000016347E11</v>
      </c>
      <c r="G120" s="342"/>
      <c r="H120" s="342"/>
      <c r="I120" s="342"/>
      <c r="J120" s="342"/>
      <c r="K120" s="338"/>
      <c r="L120" s="338"/>
      <c r="M120" s="338"/>
      <c r="N120" s="338"/>
      <c r="O120" s="338"/>
      <c r="P120" s="338"/>
      <c r="Q120" s="338"/>
      <c r="R120" s="338"/>
      <c r="S120" s="338"/>
      <c r="T120" s="338"/>
      <c r="U120" s="338"/>
      <c r="V120" s="338"/>
      <c r="W120" s="338"/>
      <c r="X120" s="338"/>
      <c r="Y120" s="338"/>
      <c r="Z120" s="338"/>
      <c r="AA120" s="338"/>
    </row>
    <row r="121" ht="15.75" customHeight="1">
      <c r="A121" s="339">
        <v>120.0</v>
      </c>
      <c r="B121" s="339" t="s">
        <v>1305</v>
      </c>
      <c r="C121" s="339" t="s">
        <v>1306</v>
      </c>
      <c r="D121" s="339" t="s">
        <v>1002</v>
      </c>
      <c r="E121" s="339" t="s">
        <v>1307</v>
      </c>
      <c r="F121" s="339">
        <v>2.1510000371668E13</v>
      </c>
      <c r="G121" s="344"/>
      <c r="H121" s="344"/>
      <c r="I121" s="342"/>
      <c r="J121" s="342"/>
      <c r="K121" s="338"/>
      <c r="L121" s="338"/>
      <c r="M121" s="338"/>
      <c r="N121" s="338"/>
      <c r="O121" s="338"/>
      <c r="P121" s="338"/>
      <c r="Q121" s="338"/>
      <c r="R121" s="338"/>
      <c r="S121" s="338"/>
      <c r="T121" s="338"/>
      <c r="U121" s="338"/>
      <c r="V121" s="338"/>
      <c r="W121" s="338"/>
      <c r="X121" s="338"/>
      <c r="Y121" s="338"/>
      <c r="Z121" s="338"/>
      <c r="AA121" s="338"/>
    </row>
    <row r="122" ht="15.75" customHeight="1">
      <c r="A122" s="339">
        <v>121.0</v>
      </c>
      <c r="B122" s="339" t="s">
        <v>1308</v>
      </c>
      <c r="C122" s="339" t="s">
        <v>1309</v>
      </c>
      <c r="D122" s="339" t="s">
        <v>923</v>
      </c>
      <c r="E122" s="339" t="s">
        <v>1310</v>
      </c>
      <c r="F122" s="339">
        <v>1.200209444998E12</v>
      </c>
      <c r="G122" s="342"/>
      <c r="H122" s="342"/>
      <c r="I122" s="342"/>
      <c r="J122" s="342"/>
      <c r="K122" s="338"/>
      <c r="L122" s="338"/>
      <c r="M122" s="338"/>
      <c r="N122" s="338"/>
      <c r="O122" s="338"/>
      <c r="P122" s="338"/>
      <c r="Q122" s="338"/>
      <c r="R122" s="338"/>
      <c r="S122" s="338"/>
      <c r="T122" s="338"/>
      <c r="U122" s="338"/>
      <c r="V122" s="338"/>
      <c r="W122" s="338"/>
      <c r="X122" s="338"/>
      <c r="Y122" s="338"/>
      <c r="Z122" s="338"/>
      <c r="AA122" s="338"/>
    </row>
    <row r="123" ht="15.75" customHeight="1">
      <c r="A123" s="339">
        <v>122.0</v>
      </c>
      <c r="B123" s="339" t="s">
        <v>1311</v>
      </c>
      <c r="C123" s="339" t="s">
        <v>1312</v>
      </c>
      <c r="D123" s="339" t="s">
        <v>1313</v>
      </c>
      <c r="E123" s="339" t="s">
        <v>1314</v>
      </c>
      <c r="F123" s="339">
        <v>6.3510000143902E13</v>
      </c>
      <c r="G123" s="342" t="s">
        <v>1311</v>
      </c>
      <c r="H123" s="342"/>
      <c r="I123" s="342"/>
      <c r="J123" s="342" t="s">
        <v>1056</v>
      </c>
      <c r="K123" s="338"/>
      <c r="L123" s="338"/>
      <c r="M123" s="338"/>
      <c r="N123" s="338"/>
      <c r="O123" s="338"/>
      <c r="P123" s="338"/>
      <c r="Q123" s="338"/>
      <c r="R123" s="338"/>
      <c r="S123" s="338"/>
      <c r="T123" s="338"/>
      <c r="U123" s="338"/>
      <c r="V123" s="338"/>
      <c r="W123" s="338"/>
      <c r="X123" s="338"/>
      <c r="Y123" s="338"/>
      <c r="Z123" s="338"/>
      <c r="AA123" s="338"/>
    </row>
    <row r="124" ht="15.75" customHeight="1">
      <c r="A124" s="339">
        <v>123.0</v>
      </c>
      <c r="B124" s="339" t="s">
        <v>1315</v>
      </c>
      <c r="C124" s="339" t="s">
        <v>1316</v>
      </c>
      <c r="D124" s="339" t="s">
        <v>1317</v>
      </c>
      <c r="E124" s="339" t="s">
        <v>1318</v>
      </c>
      <c r="F124" s="339">
        <v>2.1110000964769E13</v>
      </c>
      <c r="G124" s="339" t="s">
        <v>1315</v>
      </c>
      <c r="H124" s="342"/>
      <c r="I124" s="342"/>
      <c r="J124" s="342" t="s">
        <v>1056</v>
      </c>
      <c r="K124" s="338"/>
      <c r="L124" s="338"/>
      <c r="M124" s="338"/>
      <c r="N124" s="338"/>
      <c r="O124" s="338"/>
      <c r="P124" s="338"/>
      <c r="Q124" s="338"/>
      <c r="R124" s="338"/>
      <c r="S124" s="338"/>
      <c r="T124" s="338"/>
      <c r="U124" s="338"/>
      <c r="V124" s="338"/>
      <c r="W124" s="338"/>
      <c r="X124" s="338"/>
      <c r="Y124" s="338"/>
      <c r="Z124" s="338"/>
      <c r="AA124" s="338"/>
    </row>
    <row r="125" ht="15.75" customHeight="1">
      <c r="A125" s="339">
        <v>124.0</v>
      </c>
      <c r="B125" s="339" t="s">
        <v>1319</v>
      </c>
      <c r="C125" s="339" t="s">
        <v>1320</v>
      </c>
      <c r="D125" s="339" t="s">
        <v>990</v>
      </c>
      <c r="E125" s="339" t="s">
        <v>1321</v>
      </c>
      <c r="F125" s="339">
        <v>1.2010006353034E13</v>
      </c>
      <c r="G125" s="339" t="s">
        <v>1319</v>
      </c>
      <c r="H125" s="342"/>
      <c r="I125" s="342"/>
      <c r="J125" s="342" t="s">
        <v>1056</v>
      </c>
      <c r="K125" s="338"/>
      <c r="L125" s="338"/>
      <c r="M125" s="338"/>
      <c r="N125" s="338"/>
      <c r="O125" s="338"/>
      <c r="P125" s="338"/>
      <c r="Q125" s="338"/>
      <c r="R125" s="338"/>
      <c r="S125" s="338"/>
      <c r="T125" s="338"/>
      <c r="U125" s="338"/>
      <c r="V125" s="338"/>
      <c r="W125" s="338"/>
      <c r="X125" s="338"/>
      <c r="Y125" s="338"/>
      <c r="Z125" s="338"/>
      <c r="AA125" s="338"/>
    </row>
    <row r="126" ht="15.75" customHeight="1">
      <c r="A126" s="339">
        <v>125.0</v>
      </c>
      <c r="B126" s="339" t="s">
        <v>1322</v>
      </c>
      <c r="C126" s="339" t="s">
        <v>1323</v>
      </c>
      <c r="D126" s="339" t="s">
        <v>1324</v>
      </c>
      <c r="E126" s="339" t="s">
        <v>1325</v>
      </c>
      <c r="F126" s="339">
        <v>6.9110000045813E13</v>
      </c>
      <c r="G126" s="342"/>
      <c r="H126" s="342"/>
      <c r="I126" s="342"/>
      <c r="J126" s="342"/>
      <c r="K126" s="338"/>
      <c r="L126" s="338"/>
      <c r="M126" s="338"/>
      <c r="N126" s="338"/>
      <c r="O126" s="338"/>
      <c r="P126" s="338"/>
      <c r="Q126" s="338"/>
      <c r="R126" s="338"/>
      <c r="S126" s="338"/>
      <c r="T126" s="338"/>
      <c r="U126" s="338"/>
      <c r="V126" s="338"/>
      <c r="W126" s="338"/>
      <c r="X126" s="338"/>
      <c r="Y126" s="338"/>
      <c r="Z126" s="338"/>
      <c r="AA126" s="338"/>
    </row>
    <row r="127" ht="15.75" customHeight="1">
      <c r="A127" s="339">
        <v>126.0</v>
      </c>
      <c r="B127" s="339" t="s">
        <v>1326</v>
      </c>
      <c r="C127" s="339" t="s">
        <v>1327</v>
      </c>
      <c r="D127" s="339" t="s">
        <v>1152</v>
      </c>
      <c r="E127" s="339" t="s">
        <v>1328</v>
      </c>
      <c r="F127" s="339">
        <v>3.145129001E9</v>
      </c>
      <c r="G127" s="344"/>
      <c r="H127" s="344"/>
      <c r="I127" s="342"/>
      <c r="J127" s="342"/>
      <c r="K127" s="338"/>
      <c r="L127" s="338"/>
      <c r="M127" s="338"/>
      <c r="N127" s="338"/>
      <c r="O127" s="338"/>
      <c r="P127" s="338"/>
      <c r="Q127" s="338"/>
      <c r="R127" s="338"/>
      <c r="S127" s="338"/>
      <c r="T127" s="338"/>
      <c r="U127" s="338"/>
      <c r="V127" s="338"/>
      <c r="W127" s="338"/>
      <c r="X127" s="338"/>
      <c r="Y127" s="338"/>
      <c r="Z127" s="338"/>
      <c r="AA127" s="338"/>
    </row>
    <row r="128" ht="15.75" customHeight="1">
      <c r="A128" s="339">
        <v>127.0</v>
      </c>
      <c r="B128" s="339" t="s">
        <v>1329</v>
      </c>
      <c r="C128" s="339" t="s">
        <v>1330</v>
      </c>
      <c r="D128" s="339" t="s">
        <v>956</v>
      </c>
      <c r="E128" s="339"/>
      <c r="F128" s="339"/>
      <c r="G128" s="342"/>
      <c r="H128" s="342"/>
      <c r="I128" s="342"/>
      <c r="J128" s="342"/>
      <c r="K128" s="338"/>
      <c r="L128" s="338"/>
      <c r="M128" s="338"/>
      <c r="N128" s="338"/>
      <c r="O128" s="338"/>
      <c r="P128" s="338"/>
      <c r="Q128" s="338"/>
      <c r="R128" s="338"/>
      <c r="S128" s="338"/>
      <c r="T128" s="338"/>
      <c r="U128" s="338"/>
      <c r="V128" s="338"/>
      <c r="W128" s="338"/>
      <c r="X128" s="338"/>
      <c r="Y128" s="338"/>
      <c r="Z128" s="338"/>
      <c r="AA128" s="338"/>
    </row>
    <row r="129" ht="15.75" customHeight="1">
      <c r="A129" s="339">
        <v>128.0</v>
      </c>
      <c r="B129" s="343" t="s">
        <v>1331</v>
      </c>
      <c r="C129" s="339" t="s">
        <v>1332</v>
      </c>
      <c r="D129" s="339" t="s">
        <v>967</v>
      </c>
      <c r="E129" s="339" t="s">
        <v>1333</v>
      </c>
      <c r="F129" s="339">
        <v>8.880197866666E12</v>
      </c>
      <c r="G129" s="342"/>
      <c r="H129" s="342"/>
      <c r="I129" s="342"/>
      <c r="J129" s="342"/>
      <c r="K129" s="338"/>
      <c r="L129" s="338"/>
      <c r="M129" s="338"/>
      <c r="N129" s="338"/>
      <c r="O129" s="338"/>
      <c r="P129" s="338"/>
      <c r="Q129" s="338"/>
      <c r="R129" s="338"/>
      <c r="S129" s="338"/>
      <c r="T129" s="338"/>
      <c r="U129" s="338"/>
      <c r="V129" s="338"/>
      <c r="W129" s="338"/>
      <c r="X129" s="338"/>
      <c r="Y129" s="338"/>
      <c r="Z129" s="338"/>
      <c r="AA129" s="338"/>
    </row>
    <row r="130" ht="15.75" customHeight="1">
      <c r="A130" s="339">
        <v>129.0</v>
      </c>
      <c r="B130" s="343" t="s">
        <v>1334</v>
      </c>
      <c r="C130" s="339" t="s">
        <v>1335</v>
      </c>
      <c r="D130" s="339" t="s">
        <v>1336</v>
      </c>
      <c r="E130" s="339" t="s">
        <v>1337</v>
      </c>
      <c r="F130" s="339">
        <v>4.1110000018035E13</v>
      </c>
      <c r="G130" s="342"/>
      <c r="H130" s="342"/>
      <c r="I130" s="342"/>
      <c r="J130" s="342"/>
      <c r="K130" s="338"/>
      <c r="L130" s="338"/>
      <c r="M130" s="338"/>
      <c r="N130" s="338"/>
      <c r="O130" s="338"/>
      <c r="P130" s="338"/>
      <c r="Q130" s="338"/>
      <c r="R130" s="338"/>
      <c r="S130" s="338"/>
      <c r="T130" s="338"/>
      <c r="U130" s="338"/>
      <c r="V130" s="338"/>
      <c r="W130" s="338"/>
      <c r="X130" s="338"/>
      <c r="Y130" s="338"/>
      <c r="Z130" s="338"/>
      <c r="AA130" s="338"/>
    </row>
    <row r="131" ht="15.75" customHeight="1">
      <c r="A131" s="339">
        <v>130.0</v>
      </c>
      <c r="B131" s="343" t="s">
        <v>1338</v>
      </c>
      <c r="C131" s="339" t="s">
        <v>1339</v>
      </c>
      <c r="D131" s="339" t="s">
        <v>1340</v>
      </c>
      <c r="E131" s="339"/>
      <c r="F131" s="339"/>
      <c r="G131" s="342"/>
      <c r="H131" s="342"/>
      <c r="I131" s="342"/>
      <c r="J131" s="342"/>
      <c r="K131" s="338"/>
      <c r="L131" s="338"/>
      <c r="M131" s="338"/>
      <c r="N131" s="338"/>
      <c r="O131" s="338"/>
      <c r="P131" s="338"/>
      <c r="Q131" s="338"/>
      <c r="R131" s="338"/>
      <c r="S131" s="338"/>
      <c r="T131" s="338"/>
      <c r="U131" s="338"/>
      <c r="V131" s="338"/>
      <c r="W131" s="338"/>
      <c r="X131" s="338"/>
      <c r="Y131" s="338"/>
      <c r="Z131" s="338"/>
      <c r="AA131" s="338"/>
    </row>
    <row r="132" ht="15.75" customHeight="1">
      <c r="A132" s="339">
        <v>131.0</v>
      </c>
      <c r="B132" s="339" t="s">
        <v>1341</v>
      </c>
      <c r="C132" s="339" t="s">
        <v>1342</v>
      </c>
      <c r="D132" s="339" t="s">
        <v>994</v>
      </c>
      <c r="E132" s="339" t="s">
        <v>1343</v>
      </c>
      <c r="F132" s="339">
        <v>1.10940002E8</v>
      </c>
      <c r="G132" s="342"/>
      <c r="H132" s="342"/>
      <c r="I132" s="342"/>
      <c r="J132" s="342"/>
      <c r="K132" s="338"/>
      <c r="L132" s="338"/>
      <c r="M132" s="338"/>
      <c r="N132" s="338"/>
      <c r="O132" s="338"/>
      <c r="P132" s="338"/>
      <c r="Q132" s="338"/>
      <c r="R132" s="338"/>
      <c r="S132" s="338"/>
      <c r="T132" s="338"/>
      <c r="U132" s="338"/>
      <c r="V132" s="338"/>
      <c r="W132" s="338"/>
      <c r="X132" s="338"/>
      <c r="Y132" s="338"/>
      <c r="Z132" s="338"/>
      <c r="AA132" s="338"/>
    </row>
    <row r="133" ht="15.75" customHeight="1">
      <c r="A133" s="339">
        <v>132.0</v>
      </c>
      <c r="B133" s="343" t="s">
        <v>1344</v>
      </c>
      <c r="C133" s="339" t="s">
        <v>1345</v>
      </c>
      <c r="D133" s="339" t="s">
        <v>1346</v>
      </c>
      <c r="E133" s="339"/>
      <c r="F133" s="339"/>
      <c r="G133" s="342"/>
      <c r="H133" s="342"/>
      <c r="I133" s="342"/>
      <c r="J133" s="342"/>
      <c r="K133" s="338"/>
      <c r="L133" s="338"/>
      <c r="M133" s="338"/>
      <c r="N133" s="338"/>
      <c r="O133" s="338"/>
      <c r="P133" s="338"/>
      <c r="Q133" s="338"/>
      <c r="R133" s="338"/>
      <c r="S133" s="338"/>
      <c r="T133" s="338"/>
      <c r="U133" s="338"/>
      <c r="V133" s="338"/>
      <c r="W133" s="338"/>
      <c r="X133" s="338"/>
      <c r="Y133" s="338"/>
      <c r="Z133" s="338"/>
      <c r="AA133" s="338"/>
    </row>
    <row r="134" ht="15.75" customHeight="1">
      <c r="A134" s="339">
        <v>133.0</v>
      </c>
      <c r="B134" s="343" t="s">
        <v>1347</v>
      </c>
      <c r="C134" s="340" t="s">
        <v>1348</v>
      </c>
      <c r="D134" s="339" t="s">
        <v>1349</v>
      </c>
      <c r="E134" s="339"/>
      <c r="F134" s="339"/>
      <c r="G134" s="342"/>
      <c r="H134" s="342"/>
      <c r="I134" s="342"/>
      <c r="J134" s="342"/>
      <c r="K134" s="338"/>
      <c r="L134" s="338"/>
      <c r="M134" s="338"/>
      <c r="N134" s="338"/>
      <c r="O134" s="338"/>
      <c r="P134" s="338"/>
      <c r="Q134" s="338"/>
      <c r="R134" s="338"/>
      <c r="S134" s="338"/>
      <c r="T134" s="338"/>
      <c r="U134" s="338"/>
      <c r="V134" s="338"/>
      <c r="W134" s="338"/>
      <c r="X134" s="338"/>
      <c r="Y134" s="338"/>
      <c r="Z134" s="338"/>
      <c r="AA134" s="338"/>
    </row>
    <row r="135" ht="15.75" customHeight="1">
      <c r="A135" s="339">
        <v>134.0</v>
      </c>
      <c r="B135" s="347" t="s">
        <v>1350</v>
      </c>
      <c r="C135" s="340" t="s">
        <v>1348</v>
      </c>
      <c r="D135" s="339" t="s">
        <v>1349</v>
      </c>
      <c r="E135" s="339"/>
      <c r="F135" s="339"/>
      <c r="G135" s="342"/>
      <c r="H135" s="342"/>
      <c r="I135" s="342"/>
      <c r="J135" s="342"/>
      <c r="K135" s="338"/>
      <c r="L135" s="338"/>
      <c r="M135" s="338"/>
      <c r="N135" s="338"/>
      <c r="O135" s="338"/>
      <c r="P135" s="338"/>
      <c r="Q135" s="338"/>
      <c r="R135" s="338"/>
      <c r="S135" s="338"/>
      <c r="T135" s="338"/>
      <c r="U135" s="338"/>
      <c r="V135" s="338"/>
      <c r="W135" s="338"/>
      <c r="X135" s="338"/>
      <c r="Y135" s="338"/>
      <c r="Z135" s="338"/>
      <c r="AA135" s="338"/>
    </row>
    <row r="136" ht="15.75" customHeight="1">
      <c r="A136" s="339">
        <v>135.0</v>
      </c>
      <c r="B136" s="343" t="s">
        <v>1351</v>
      </c>
      <c r="C136" s="339" t="s">
        <v>1352</v>
      </c>
      <c r="D136" s="339" t="s">
        <v>910</v>
      </c>
      <c r="E136" s="339" t="s">
        <v>1353</v>
      </c>
      <c r="F136" s="339">
        <v>3.4510000297203E13</v>
      </c>
      <c r="G136" s="342"/>
      <c r="H136" s="342"/>
      <c r="I136" s="342"/>
      <c r="J136" s="342"/>
      <c r="K136" s="338"/>
      <c r="L136" s="338"/>
      <c r="M136" s="338"/>
      <c r="N136" s="338"/>
      <c r="O136" s="338"/>
      <c r="P136" s="338"/>
      <c r="Q136" s="338"/>
      <c r="R136" s="338"/>
      <c r="S136" s="338"/>
      <c r="T136" s="338"/>
      <c r="U136" s="338"/>
      <c r="V136" s="338"/>
      <c r="W136" s="338"/>
      <c r="X136" s="338"/>
      <c r="Y136" s="338"/>
      <c r="Z136" s="338"/>
      <c r="AA136" s="338"/>
    </row>
    <row r="137" ht="15.75" customHeight="1">
      <c r="A137" s="339">
        <v>136.0</v>
      </c>
      <c r="B137" s="343" t="s">
        <v>1354</v>
      </c>
      <c r="C137" s="339" t="s">
        <v>1355</v>
      </c>
      <c r="D137" s="339" t="s">
        <v>973</v>
      </c>
      <c r="E137" s="339" t="s">
        <v>1356</v>
      </c>
      <c r="F137" s="339">
        <v>7.800205007215E12</v>
      </c>
      <c r="G137" s="342"/>
      <c r="H137" s="342"/>
      <c r="I137" s="342"/>
      <c r="J137" s="342"/>
      <c r="K137" s="338"/>
      <c r="L137" s="338"/>
      <c r="M137" s="338"/>
      <c r="N137" s="338"/>
      <c r="O137" s="338"/>
      <c r="P137" s="338"/>
      <c r="Q137" s="338"/>
      <c r="R137" s="338"/>
      <c r="S137" s="338"/>
      <c r="T137" s="338"/>
      <c r="U137" s="338"/>
      <c r="V137" s="338"/>
      <c r="W137" s="338"/>
      <c r="X137" s="338"/>
      <c r="Y137" s="338"/>
      <c r="Z137" s="338"/>
      <c r="AA137" s="338"/>
    </row>
    <row r="138" ht="15.75" customHeight="1">
      <c r="A138" s="339">
        <v>137.0</v>
      </c>
      <c r="B138" s="339" t="s">
        <v>1357</v>
      </c>
      <c r="C138" s="339" t="s">
        <v>1358</v>
      </c>
      <c r="D138" s="339" t="s">
        <v>973</v>
      </c>
      <c r="E138" s="339" t="s">
        <v>1359</v>
      </c>
      <c r="F138" s="339">
        <v>4.2510000613158E13</v>
      </c>
      <c r="G138" s="342" t="s">
        <v>1357</v>
      </c>
      <c r="H138" s="342"/>
      <c r="I138" s="342"/>
      <c r="J138" s="342" t="s">
        <v>1056</v>
      </c>
      <c r="K138" s="338"/>
      <c r="L138" s="338"/>
      <c r="M138" s="338"/>
      <c r="N138" s="338"/>
      <c r="O138" s="338"/>
      <c r="P138" s="338"/>
      <c r="Q138" s="338"/>
      <c r="R138" s="338"/>
      <c r="S138" s="338"/>
      <c r="T138" s="338"/>
      <c r="U138" s="338"/>
      <c r="V138" s="338"/>
      <c r="W138" s="338"/>
      <c r="X138" s="338"/>
      <c r="Y138" s="338"/>
      <c r="Z138" s="338"/>
      <c r="AA138" s="338"/>
    </row>
    <row r="139" ht="15.75" customHeight="1">
      <c r="A139" s="339">
        <v>138.0</v>
      </c>
      <c r="B139" s="339" t="s">
        <v>1360</v>
      </c>
      <c r="C139" s="339" t="s">
        <v>1361</v>
      </c>
      <c r="D139" s="339" t="s">
        <v>1362</v>
      </c>
      <c r="E139" s="339" t="s">
        <v>1363</v>
      </c>
      <c r="F139" s="339">
        <v>2.0001010944461E13</v>
      </c>
      <c r="G139" s="342"/>
      <c r="H139" s="342"/>
      <c r="I139" s="342"/>
      <c r="J139" s="342"/>
      <c r="K139" s="338"/>
      <c r="L139" s="338"/>
      <c r="M139" s="338"/>
      <c r="N139" s="338"/>
      <c r="O139" s="338"/>
      <c r="P139" s="338"/>
      <c r="Q139" s="338"/>
      <c r="R139" s="338"/>
      <c r="S139" s="338"/>
      <c r="T139" s="338"/>
      <c r="U139" s="338"/>
      <c r="V139" s="338"/>
      <c r="W139" s="338"/>
      <c r="X139" s="338"/>
      <c r="Y139" s="338"/>
      <c r="Z139" s="338"/>
      <c r="AA139" s="338"/>
    </row>
    <row r="140" ht="15.75" customHeight="1">
      <c r="A140" s="339">
        <v>139.0</v>
      </c>
      <c r="B140" s="339" t="s">
        <v>1364</v>
      </c>
      <c r="C140" s="339" t="s">
        <v>1365</v>
      </c>
      <c r="D140" s="339" t="s">
        <v>1366</v>
      </c>
      <c r="E140" s="339" t="s">
        <v>1367</v>
      </c>
      <c r="F140" s="339">
        <v>1.902054679601E13</v>
      </c>
      <c r="G140" s="342"/>
      <c r="H140" s="342"/>
      <c r="I140" s="342"/>
      <c r="J140" s="342"/>
      <c r="K140" s="338"/>
      <c r="L140" s="338"/>
      <c r="M140" s="338"/>
      <c r="N140" s="338"/>
      <c r="O140" s="338"/>
      <c r="P140" s="338"/>
      <c r="Q140" s="338"/>
      <c r="R140" s="338"/>
      <c r="S140" s="338"/>
      <c r="T140" s="338"/>
      <c r="U140" s="338"/>
      <c r="V140" s="338"/>
      <c r="W140" s="338"/>
      <c r="X140" s="338"/>
      <c r="Y140" s="338"/>
      <c r="Z140" s="338"/>
      <c r="AA140" s="338"/>
    </row>
    <row r="141" ht="15.75" customHeight="1">
      <c r="A141" s="339">
        <v>140.0</v>
      </c>
      <c r="B141" s="343" t="s">
        <v>1368</v>
      </c>
      <c r="C141" s="339" t="s">
        <v>1369</v>
      </c>
      <c r="D141" s="339" t="s">
        <v>1300</v>
      </c>
      <c r="E141" s="339" t="s">
        <v>1370</v>
      </c>
      <c r="F141" s="339">
        <v>9.9365404E7</v>
      </c>
      <c r="G141" s="342"/>
      <c r="H141" s="342"/>
      <c r="I141" s="342"/>
      <c r="J141" s="342"/>
      <c r="K141" s="338"/>
      <c r="L141" s="338"/>
      <c r="M141" s="338"/>
      <c r="N141" s="338"/>
      <c r="O141" s="338"/>
      <c r="P141" s="338"/>
      <c r="Q141" s="338"/>
      <c r="R141" s="338"/>
      <c r="S141" s="338"/>
      <c r="T141" s="338"/>
      <c r="U141" s="338"/>
      <c r="V141" s="338"/>
      <c r="W141" s="338"/>
      <c r="X141" s="338"/>
      <c r="Y141" s="338"/>
      <c r="Z141" s="338"/>
      <c r="AA141" s="338"/>
    </row>
    <row r="142" ht="15.75" customHeight="1">
      <c r="A142" s="339">
        <v>141.0</v>
      </c>
      <c r="B142" s="339" t="s">
        <v>1371</v>
      </c>
      <c r="C142" s="339" t="s">
        <v>1372</v>
      </c>
      <c r="D142" s="339" t="s">
        <v>923</v>
      </c>
      <c r="E142" s="339" t="s">
        <v>1373</v>
      </c>
      <c r="F142" s="339">
        <v>4.8826768E7</v>
      </c>
      <c r="G142" s="342"/>
      <c r="H142" s="342"/>
      <c r="I142" s="342"/>
      <c r="J142" s="342"/>
      <c r="K142" s="338"/>
      <c r="L142" s="338"/>
      <c r="M142" s="338"/>
      <c r="N142" s="338"/>
      <c r="O142" s="338"/>
      <c r="P142" s="338"/>
      <c r="Q142" s="338"/>
      <c r="R142" s="338"/>
      <c r="S142" s="338"/>
      <c r="T142" s="338"/>
      <c r="U142" s="338"/>
      <c r="V142" s="338"/>
      <c r="W142" s="338"/>
      <c r="X142" s="338"/>
      <c r="Y142" s="338"/>
      <c r="Z142" s="338"/>
      <c r="AA142" s="338"/>
    </row>
    <row r="143" ht="15.75" customHeight="1">
      <c r="A143" s="339">
        <v>142.0</v>
      </c>
      <c r="B143" s="343" t="s">
        <v>1374</v>
      </c>
      <c r="C143" s="339" t="s">
        <v>1375</v>
      </c>
      <c r="D143" s="339" t="s">
        <v>1300</v>
      </c>
      <c r="E143" s="339"/>
      <c r="F143" s="339"/>
      <c r="G143" s="342"/>
      <c r="H143" s="342"/>
      <c r="I143" s="342"/>
      <c r="J143" s="342"/>
      <c r="K143" s="338"/>
      <c r="L143" s="338"/>
      <c r="M143" s="338"/>
      <c r="N143" s="338"/>
      <c r="O143" s="338"/>
      <c r="P143" s="338"/>
      <c r="Q143" s="338"/>
      <c r="R143" s="338"/>
      <c r="S143" s="338"/>
      <c r="T143" s="338"/>
      <c r="U143" s="338"/>
      <c r="V143" s="338"/>
      <c r="W143" s="338"/>
      <c r="X143" s="338"/>
      <c r="Y143" s="338"/>
      <c r="Z143" s="338"/>
      <c r="AA143" s="338"/>
    </row>
    <row r="144" ht="15.75" customHeight="1">
      <c r="A144" s="339">
        <v>143.0</v>
      </c>
      <c r="B144" s="339" t="s">
        <v>1376</v>
      </c>
      <c r="C144" s="339" t="s">
        <v>1377</v>
      </c>
      <c r="D144" s="339" t="s">
        <v>1082</v>
      </c>
      <c r="E144" s="339" t="s">
        <v>1378</v>
      </c>
      <c r="F144" s="339">
        <v>1.3320618774019E13</v>
      </c>
      <c r="G144" s="342"/>
      <c r="H144" s="342"/>
      <c r="I144" s="342"/>
      <c r="J144" s="342"/>
      <c r="K144" s="338"/>
      <c r="L144" s="338"/>
      <c r="M144" s="338"/>
      <c r="N144" s="338"/>
      <c r="O144" s="338"/>
      <c r="P144" s="338"/>
      <c r="Q144" s="338"/>
      <c r="R144" s="338"/>
      <c r="S144" s="338"/>
      <c r="T144" s="338"/>
      <c r="U144" s="338"/>
      <c r="V144" s="338"/>
      <c r="W144" s="338"/>
      <c r="X144" s="338"/>
      <c r="Y144" s="338"/>
      <c r="Z144" s="338"/>
      <c r="AA144" s="338"/>
    </row>
    <row r="145" ht="15.75" customHeight="1">
      <c r="A145" s="339">
        <v>144.0</v>
      </c>
      <c r="B145" s="343" t="s">
        <v>1379</v>
      </c>
      <c r="C145" s="339" t="s">
        <v>1380</v>
      </c>
      <c r="D145" s="339" t="s">
        <v>926</v>
      </c>
      <c r="E145" s="339" t="s">
        <v>1381</v>
      </c>
      <c r="F145" s="339">
        <v>1.0387028219E11</v>
      </c>
      <c r="G145" s="342"/>
      <c r="H145" s="342"/>
      <c r="I145" s="342"/>
      <c r="J145" s="342"/>
      <c r="K145" s="338"/>
      <c r="L145" s="338"/>
      <c r="M145" s="338"/>
      <c r="N145" s="338"/>
      <c r="O145" s="338"/>
      <c r="P145" s="338"/>
      <c r="Q145" s="338"/>
      <c r="R145" s="338"/>
      <c r="S145" s="338"/>
      <c r="T145" s="338"/>
      <c r="U145" s="338"/>
      <c r="V145" s="338"/>
      <c r="W145" s="338"/>
      <c r="X145" s="338"/>
      <c r="Y145" s="338"/>
      <c r="Z145" s="338"/>
      <c r="AA145" s="338"/>
    </row>
    <row r="146" ht="15.75" customHeight="1">
      <c r="A146" s="339">
        <v>145.0</v>
      </c>
      <c r="B146" s="343" t="s">
        <v>1382</v>
      </c>
      <c r="C146" s="339" t="s">
        <v>1383</v>
      </c>
      <c r="D146" s="339" t="s">
        <v>1384</v>
      </c>
      <c r="E146" s="339"/>
      <c r="F146" s="339"/>
      <c r="G146" s="342"/>
      <c r="H146" s="342"/>
      <c r="I146" s="342"/>
      <c r="J146" s="342"/>
      <c r="K146" s="338"/>
      <c r="L146" s="338"/>
      <c r="M146" s="338"/>
      <c r="N146" s="338"/>
      <c r="O146" s="338"/>
      <c r="P146" s="338"/>
      <c r="Q146" s="338"/>
      <c r="R146" s="338"/>
      <c r="S146" s="338"/>
      <c r="T146" s="338"/>
      <c r="U146" s="338"/>
      <c r="V146" s="338"/>
      <c r="W146" s="338"/>
      <c r="X146" s="338"/>
      <c r="Y146" s="338"/>
      <c r="Z146" s="338"/>
      <c r="AA146" s="338"/>
    </row>
    <row r="147" ht="15.75" customHeight="1">
      <c r="A147" s="339">
        <v>146.0</v>
      </c>
      <c r="B147" s="343" t="s">
        <v>1385</v>
      </c>
      <c r="C147" s="339" t="s">
        <v>1386</v>
      </c>
      <c r="D147" s="339" t="s">
        <v>1022</v>
      </c>
      <c r="E147" s="339" t="s">
        <v>1387</v>
      </c>
      <c r="F147" s="339">
        <v>1.100405595E10</v>
      </c>
      <c r="G147" s="342"/>
      <c r="H147" s="342"/>
      <c r="I147" s="342"/>
      <c r="J147" s="342"/>
      <c r="K147" s="338"/>
      <c r="L147" s="338"/>
      <c r="M147" s="338"/>
      <c r="N147" s="338"/>
      <c r="O147" s="338"/>
      <c r="P147" s="338"/>
      <c r="Q147" s="338"/>
      <c r="R147" s="338"/>
      <c r="S147" s="338"/>
      <c r="T147" s="338"/>
      <c r="U147" s="338"/>
      <c r="V147" s="338"/>
      <c r="W147" s="338"/>
      <c r="X147" s="338"/>
      <c r="Y147" s="338"/>
      <c r="Z147" s="338"/>
      <c r="AA147" s="338"/>
    </row>
    <row r="148" ht="15.75" customHeight="1">
      <c r="A148" s="339">
        <v>147.0</v>
      </c>
      <c r="B148" s="339" t="s">
        <v>1388</v>
      </c>
      <c r="C148" s="339" t="s">
        <v>1389</v>
      </c>
      <c r="D148" s="339" t="s">
        <v>923</v>
      </c>
      <c r="E148" s="339" t="s">
        <v>1390</v>
      </c>
      <c r="F148" s="339">
        <v>9.69030888E8</v>
      </c>
      <c r="G148" s="344"/>
      <c r="H148" s="344"/>
      <c r="I148" s="342"/>
      <c r="J148" s="342"/>
      <c r="K148" s="338"/>
      <c r="L148" s="338"/>
      <c r="M148" s="338"/>
      <c r="N148" s="338"/>
      <c r="O148" s="338"/>
      <c r="P148" s="338"/>
      <c r="Q148" s="338"/>
      <c r="R148" s="338"/>
      <c r="S148" s="338"/>
      <c r="T148" s="338"/>
      <c r="U148" s="338"/>
      <c r="V148" s="338"/>
      <c r="W148" s="338"/>
      <c r="X148" s="338"/>
      <c r="Y148" s="338"/>
      <c r="Z148" s="338"/>
      <c r="AA148" s="338"/>
    </row>
    <row r="149" ht="15.75" customHeight="1">
      <c r="A149" s="339">
        <v>148.0</v>
      </c>
      <c r="B149" s="343" t="s">
        <v>1391</v>
      </c>
      <c r="C149" s="339" t="s">
        <v>1392</v>
      </c>
      <c r="D149" s="339" t="s">
        <v>1393</v>
      </c>
      <c r="E149" s="339" t="s">
        <v>1394</v>
      </c>
      <c r="F149" s="339">
        <v>8.809215038253E12</v>
      </c>
      <c r="G149" s="342"/>
      <c r="H149" s="342"/>
      <c r="I149" s="342"/>
      <c r="J149" s="342"/>
      <c r="K149" s="338"/>
      <c r="L149" s="338"/>
      <c r="M149" s="338"/>
      <c r="N149" s="338"/>
      <c r="O149" s="338"/>
      <c r="P149" s="338"/>
      <c r="Q149" s="338"/>
      <c r="R149" s="338"/>
      <c r="S149" s="338"/>
      <c r="T149" s="338"/>
      <c r="U149" s="338"/>
      <c r="V149" s="338"/>
      <c r="W149" s="338"/>
      <c r="X149" s="338"/>
      <c r="Y149" s="338"/>
      <c r="Z149" s="338"/>
      <c r="AA149" s="338"/>
    </row>
    <row r="150" ht="15.75" customHeight="1">
      <c r="A150" s="339">
        <v>149.0</v>
      </c>
      <c r="B150" s="339" t="s">
        <v>1395</v>
      </c>
      <c r="C150" s="339" t="s">
        <v>1396</v>
      </c>
      <c r="D150" s="339" t="s">
        <v>1397</v>
      </c>
      <c r="E150" s="339" t="s">
        <v>1398</v>
      </c>
      <c r="F150" s="339">
        <v>3.10020521366E12</v>
      </c>
      <c r="G150" s="342"/>
      <c r="H150" s="342"/>
      <c r="I150" s="342"/>
      <c r="J150" s="342"/>
      <c r="K150" s="338"/>
      <c r="L150" s="338"/>
      <c r="M150" s="338"/>
      <c r="N150" s="338"/>
      <c r="O150" s="338"/>
      <c r="P150" s="338"/>
      <c r="Q150" s="338"/>
      <c r="R150" s="338"/>
      <c r="S150" s="338"/>
      <c r="T150" s="338"/>
      <c r="U150" s="338"/>
      <c r="V150" s="338"/>
      <c r="W150" s="338"/>
      <c r="X150" s="338"/>
      <c r="Y150" s="338"/>
      <c r="Z150" s="338"/>
      <c r="AA150" s="338"/>
    </row>
    <row r="151" ht="15.75" customHeight="1">
      <c r="A151" s="339">
        <v>150.0</v>
      </c>
      <c r="B151" s="339" t="s">
        <v>1399</v>
      </c>
      <c r="C151" s="339" t="s">
        <v>1400</v>
      </c>
      <c r="D151" s="339" t="s">
        <v>1266</v>
      </c>
      <c r="E151" s="339" t="s">
        <v>1401</v>
      </c>
      <c r="F151" s="339">
        <v>1.03004516948E11</v>
      </c>
      <c r="G151" s="342"/>
      <c r="H151" s="342"/>
      <c r="I151" s="342"/>
      <c r="J151" s="342"/>
      <c r="K151" s="338"/>
      <c r="L151" s="338"/>
      <c r="M151" s="338"/>
      <c r="N151" s="338"/>
      <c r="O151" s="338"/>
      <c r="P151" s="338"/>
      <c r="Q151" s="338"/>
      <c r="R151" s="338"/>
      <c r="S151" s="338"/>
      <c r="T151" s="338"/>
      <c r="U151" s="338"/>
      <c r="V151" s="338"/>
      <c r="W151" s="338"/>
      <c r="X151" s="338"/>
      <c r="Y151" s="338"/>
      <c r="Z151" s="338"/>
      <c r="AA151" s="338"/>
    </row>
    <row r="152" ht="15.75" customHeight="1">
      <c r="A152" s="339">
        <v>151.0</v>
      </c>
      <c r="B152" s="339" t="s">
        <v>1402</v>
      </c>
      <c r="C152" s="339" t="s">
        <v>1403</v>
      </c>
      <c r="D152" s="339" t="s">
        <v>926</v>
      </c>
      <c r="E152" s="339" t="s">
        <v>1404</v>
      </c>
      <c r="F152" s="339">
        <v>1.903557909901E13</v>
      </c>
      <c r="G152" s="342"/>
      <c r="H152" s="342"/>
      <c r="I152" s="342"/>
      <c r="J152" s="342"/>
      <c r="K152" s="338"/>
      <c r="L152" s="338"/>
      <c r="M152" s="338"/>
      <c r="N152" s="338"/>
      <c r="O152" s="338"/>
      <c r="P152" s="338"/>
      <c r="Q152" s="338"/>
      <c r="R152" s="338"/>
      <c r="S152" s="338"/>
      <c r="T152" s="338"/>
      <c r="U152" s="338"/>
      <c r="V152" s="338"/>
      <c r="W152" s="338"/>
      <c r="X152" s="338"/>
      <c r="Y152" s="338"/>
      <c r="Z152" s="338"/>
      <c r="AA152" s="338"/>
    </row>
    <row r="153" ht="15.75" customHeight="1">
      <c r="A153" s="339">
        <v>152.0</v>
      </c>
      <c r="B153" s="343" t="s">
        <v>1405</v>
      </c>
      <c r="C153" s="339" t="s">
        <v>1406</v>
      </c>
      <c r="D153" s="339" t="s">
        <v>1407</v>
      </c>
      <c r="E153" s="339"/>
      <c r="F153" s="339"/>
      <c r="G153" s="342"/>
      <c r="H153" s="342"/>
      <c r="I153" s="342"/>
      <c r="J153" s="342"/>
      <c r="K153" s="338"/>
      <c r="L153" s="338"/>
      <c r="M153" s="338"/>
      <c r="N153" s="338"/>
      <c r="O153" s="338"/>
      <c r="P153" s="338"/>
      <c r="Q153" s="338"/>
      <c r="R153" s="338"/>
      <c r="S153" s="338"/>
      <c r="T153" s="338"/>
      <c r="U153" s="338"/>
      <c r="V153" s="338"/>
      <c r="W153" s="338"/>
      <c r="X153" s="338"/>
      <c r="Y153" s="338"/>
      <c r="Z153" s="338"/>
      <c r="AA153" s="338"/>
    </row>
    <row r="154" ht="15.75" customHeight="1">
      <c r="A154" s="339">
        <v>153.0</v>
      </c>
      <c r="B154" s="339" t="s">
        <v>1408</v>
      </c>
      <c r="C154" s="339" t="s">
        <v>1409</v>
      </c>
      <c r="D154" s="339" t="s">
        <v>923</v>
      </c>
      <c r="E154" s="339" t="s">
        <v>1410</v>
      </c>
      <c r="F154" s="339">
        <v>6.91000351858E11</v>
      </c>
      <c r="G154" s="342"/>
      <c r="H154" s="342"/>
      <c r="I154" s="342"/>
      <c r="J154" s="342"/>
      <c r="K154" s="338"/>
      <c r="L154" s="338"/>
      <c r="M154" s="338"/>
      <c r="N154" s="338"/>
      <c r="O154" s="338"/>
      <c r="P154" s="338"/>
      <c r="Q154" s="338"/>
      <c r="R154" s="338"/>
      <c r="S154" s="338"/>
      <c r="T154" s="338"/>
      <c r="U154" s="338"/>
      <c r="V154" s="338"/>
      <c r="W154" s="338"/>
      <c r="X154" s="338"/>
      <c r="Y154" s="338"/>
      <c r="Z154" s="338"/>
      <c r="AA154" s="338"/>
    </row>
    <row r="155" ht="15.75" customHeight="1">
      <c r="A155" s="339">
        <v>154.0</v>
      </c>
      <c r="B155" s="339" t="s">
        <v>1411</v>
      </c>
      <c r="C155" s="339" t="s">
        <v>1412</v>
      </c>
      <c r="D155" s="339" t="s">
        <v>923</v>
      </c>
      <c r="E155" s="339" t="s">
        <v>1413</v>
      </c>
      <c r="F155" s="339">
        <v>1.9035969821019E13</v>
      </c>
      <c r="G155" s="342"/>
      <c r="H155" s="342"/>
      <c r="I155" s="342"/>
      <c r="J155" s="342"/>
      <c r="K155" s="338"/>
      <c r="L155" s="338"/>
      <c r="M155" s="338"/>
      <c r="N155" s="338"/>
      <c r="O155" s="338"/>
      <c r="P155" s="338"/>
      <c r="Q155" s="338"/>
      <c r="R155" s="338"/>
      <c r="S155" s="338"/>
      <c r="T155" s="338"/>
      <c r="U155" s="338"/>
      <c r="V155" s="338"/>
      <c r="W155" s="338"/>
      <c r="X155" s="338"/>
      <c r="Y155" s="338"/>
      <c r="Z155" s="338"/>
      <c r="AA155" s="338"/>
    </row>
    <row r="156" ht="15.75" customHeight="1">
      <c r="A156" s="339">
        <v>155.0</v>
      </c>
      <c r="B156" s="343" t="s">
        <v>1414</v>
      </c>
      <c r="C156" s="339" t="s">
        <v>1415</v>
      </c>
      <c r="D156" s="339" t="s">
        <v>1274</v>
      </c>
      <c r="E156" s="339" t="s">
        <v>1416</v>
      </c>
      <c r="F156" s="339">
        <v>9.82229311E8</v>
      </c>
      <c r="G156" s="342"/>
      <c r="H156" s="342"/>
      <c r="I156" s="342"/>
      <c r="J156" s="342"/>
      <c r="K156" s="338"/>
      <c r="L156" s="338"/>
      <c r="M156" s="338"/>
      <c r="N156" s="338"/>
      <c r="O156" s="338"/>
      <c r="P156" s="338"/>
      <c r="Q156" s="338"/>
      <c r="R156" s="338"/>
      <c r="S156" s="338"/>
      <c r="T156" s="338"/>
      <c r="U156" s="338"/>
      <c r="V156" s="338"/>
      <c r="W156" s="338"/>
      <c r="X156" s="338"/>
      <c r="Y156" s="338"/>
      <c r="Z156" s="338"/>
      <c r="AA156" s="338"/>
    </row>
    <row r="157" ht="15.75" customHeight="1">
      <c r="A157" s="339">
        <v>156.0</v>
      </c>
      <c r="B157" s="339" t="s">
        <v>1417</v>
      </c>
      <c r="C157" s="339" t="s">
        <v>1418</v>
      </c>
      <c r="D157" s="339" t="s">
        <v>1228</v>
      </c>
      <c r="E157" s="339" t="s">
        <v>1419</v>
      </c>
      <c r="F157" s="339">
        <v>8.000205219683E12</v>
      </c>
      <c r="G157" s="342"/>
      <c r="H157" s="342"/>
      <c r="I157" s="342"/>
      <c r="J157" s="342"/>
      <c r="K157" s="338"/>
      <c r="L157" s="338"/>
      <c r="M157" s="338"/>
      <c r="N157" s="338"/>
      <c r="O157" s="338"/>
      <c r="P157" s="338"/>
      <c r="Q157" s="338"/>
      <c r="R157" s="338"/>
      <c r="S157" s="338"/>
      <c r="T157" s="338"/>
      <c r="U157" s="338"/>
      <c r="V157" s="338"/>
      <c r="W157" s="338"/>
      <c r="X157" s="338"/>
      <c r="Y157" s="338"/>
      <c r="Z157" s="338"/>
      <c r="AA157" s="338"/>
    </row>
    <row r="158" ht="15.75" customHeight="1">
      <c r="A158" s="339">
        <v>157.0</v>
      </c>
      <c r="B158" s="339" t="s">
        <v>1420</v>
      </c>
      <c r="C158" s="339" t="s">
        <v>1421</v>
      </c>
      <c r="D158" s="339" t="s">
        <v>1422</v>
      </c>
      <c r="E158" s="339" t="s">
        <v>699</v>
      </c>
      <c r="F158" s="339">
        <v>1.9034961156011E13</v>
      </c>
      <c r="G158" s="342"/>
      <c r="H158" s="342"/>
      <c r="I158" s="342"/>
      <c r="J158" s="342"/>
      <c r="K158" s="338"/>
      <c r="L158" s="338"/>
      <c r="M158" s="338"/>
      <c r="N158" s="338"/>
      <c r="O158" s="338"/>
      <c r="P158" s="338"/>
      <c r="Q158" s="338"/>
      <c r="R158" s="338"/>
      <c r="S158" s="338"/>
      <c r="T158" s="338"/>
      <c r="U158" s="338"/>
      <c r="V158" s="338"/>
      <c r="W158" s="338"/>
      <c r="X158" s="338"/>
      <c r="Y158" s="338"/>
      <c r="Z158" s="338"/>
      <c r="AA158" s="338"/>
    </row>
    <row r="159" ht="15.75" customHeight="1">
      <c r="A159" s="339">
        <v>158.0</v>
      </c>
      <c r="B159" s="339" t="s">
        <v>1423</v>
      </c>
      <c r="C159" s="339" t="s">
        <v>1424</v>
      </c>
      <c r="D159" s="339" t="s">
        <v>960</v>
      </c>
      <c r="E159" s="339"/>
      <c r="F159" s="339"/>
      <c r="G159" s="342"/>
      <c r="H159" s="342"/>
      <c r="I159" s="342"/>
      <c r="J159" s="342"/>
      <c r="K159" s="338"/>
      <c r="L159" s="338"/>
      <c r="M159" s="338"/>
      <c r="N159" s="338"/>
      <c r="O159" s="338"/>
      <c r="P159" s="338"/>
      <c r="Q159" s="338"/>
      <c r="R159" s="338"/>
      <c r="S159" s="338"/>
      <c r="T159" s="338"/>
      <c r="U159" s="338"/>
      <c r="V159" s="338"/>
      <c r="W159" s="338"/>
      <c r="X159" s="338"/>
      <c r="Y159" s="338"/>
      <c r="Z159" s="338"/>
      <c r="AA159" s="338"/>
    </row>
    <row r="160" ht="15.75" customHeight="1">
      <c r="A160" s="339">
        <v>159.0</v>
      </c>
      <c r="B160" s="339" t="s">
        <v>1425</v>
      </c>
      <c r="C160" s="339" t="s">
        <v>1426</v>
      </c>
      <c r="D160" s="339" t="s">
        <v>1427</v>
      </c>
      <c r="E160" s="339" t="s">
        <v>1428</v>
      </c>
      <c r="F160" s="345">
        <v>2.151E16</v>
      </c>
      <c r="G160" s="342"/>
      <c r="H160" s="342"/>
      <c r="I160" s="342"/>
      <c r="J160" s="342"/>
      <c r="K160" s="338"/>
      <c r="L160" s="338"/>
      <c r="M160" s="338"/>
      <c r="N160" s="338"/>
      <c r="O160" s="338"/>
      <c r="P160" s="338"/>
      <c r="Q160" s="338"/>
      <c r="R160" s="338"/>
      <c r="S160" s="338"/>
      <c r="T160" s="338"/>
      <c r="U160" s="338"/>
      <c r="V160" s="338"/>
      <c r="W160" s="338"/>
      <c r="X160" s="338"/>
      <c r="Y160" s="338"/>
      <c r="Z160" s="338"/>
      <c r="AA160" s="338"/>
    </row>
    <row r="161" ht="15.75" customHeight="1">
      <c r="A161" s="339">
        <v>160.0</v>
      </c>
      <c r="B161" s="339" t="s">
        <v>1429</v>
      </c>
      <c r="C161" s="339" t="s">
        <v>1430</v>
      </c>
      <c r="D161" s="339" t="s">
        <v>1008</v>
      </c>
      <c r="E161" s="339"/>
      <c r="F161" s="339"/>
      <c r="G161" s="342"/>
      <c r="H161" s="342"/>
      <c r="I161" s="342"/>
      <c r="J161" s="342"/>
      <c r="K161" s="338"/>
      <c r="L161" s="338"/>
      <c r="M161" s="338"/>
      <c r="N161" s="338"/>
      <c r="O161" s="338"/>
      <c r="P161" s="338"/>
      <c r="Q161" s="338"/>
      <c r="R161" s="338"/>
      <c r="S161" s="338"/>
      <c r="T161" s="338"/>
      <c r="U161" s="338"/>
      <c r="V161" s="338"/>
      <c r="W161" s="338"/>
      <c r="X161" s="338"/>
      <c r="Y161" s="338"/>
      <c r="Z161" s="338"/>
      <c r="AA161" s="338"/>
    </row>
    <row r="162" ht="15.75" customHeight="1">
      <c r="A162" s="339">
        <v>161.0</v>
      </c>
      <c r="B162" s="339" t="s">
        <v>1431</v>
      </c>
      <c r="C162" s="339" t="s">
        <v>430</v>
      </c>
      <c r="D162" s="339" t="s">
        <v>1432</v>
      </c>
      <c r="E162" s="339" t="s">
        <v>1433</v>
      </c>
      <c r="F162" s="339">
        <v>2.2210003047696E13</v>
      </c>
      <c r="G162" s="341" t="s">
        <v>1434</v>
      </c>
      <c r="H162" s="342"/>
      <c r="I162" s="342"/>
      <c r="J162" s="342" t="s">
        <v>1435</v>
      </c>
      <c r="K162" s="338"/>
      <c r="L162" s="338"/>
      <c r="M162" s="338"/>
      <c r="N162" s="338"/>
      <c r="O162" s="338"/>
      <c r="P162" s="338"/>
      <c r="Q162" s="338"/>
      <c r="R162" s="338"/>
      <c r="S162" s="338"/>
      <c r="T162" s="338"/>
      <c r="U162" s="338"/>
      <c r="V162" s="338"/>
      <c r="W162" s="338"/>
      <c r="X162" s="338"/>
      <c r="Y162" s="338"/>
      <c r="Z162" s="338"/>
      <c r="AA162" s="338"/>
    </row>
    <row r="163" ht="15.75" customHeight="1">
      <c r="A163" s="339">
        <v>162.0</v>
      </c>
      <c r="B163" s="339" t="s">
        <v>1436</v>
      </c>
      <c r="C163" s="339" t="s">
        <v>1437</v>
      </c>
      <c r="D163" s="339" t="s">
        <v>964</v>
      </c>
      <c r="E163" s="339" t="s">
        <v>1438</v>
      </c>
      <c r="F163" s="339">
        <v>3.5110000016087E13</v>
      </c>
      <c r="G163" s="342"/>
      <c r="H163" s="342"/>
      <c r="I163" s="342"/>
      <c r="J163" s="342"/>
      <c r="K163" s="338"/>
      <c r="L163" s="338"/>
      <c r="M163" s="338"/>
      <c r="N163" s="338"/>
      <c r="O163" s="338"/>
      <c r="P163" s="338"/>
      <c r="Q163" s="338"/>
      <c r="R163" s="338"/>
      <c r="S163" s="338"/>
      <c r="T163" s="338"/>
      <c r="U163" s="338"/>
      <c r="V163" s="338"/>
      <c r="W163" s="338"/>
      <c r="X163" s="338"/>
      <c r="Y163" s="338"/>
      <c r="Z163" s="338"/>
      <c r="AA163" s="338"/>
    </row>
    <row r="164" ht="15.75" customHeight="1">
      <c r="A164" s="339">
        <v>163.0</v>
      </c>
      <c r="B164" s="343" t="s">
        <v>1439</v>
      </c>
      <c r="C164" s="339" t="s">
        <v>1440</v>
      </c>
      <c r="D164" s="339" t="s">
        <v>1441</v>
      </c>
      <c r="E164" s="339" t="s">
        <v>1442</v>
      </c>
      <c r="F164" s="339">
        <v>5.90720500011E12</v>
      </c>
      <c r="G164" s="342"/>
      <c r="H164" s="342"/>
      <c r="I164" s="342"/>
      <c r="J164" s="342"/>
      <c r="K164" s="338"/>
      <c r="L164" s="338"/>
      <c r="M164" s="338"/>
      <c r="N164" s="338"/>
      <c r="O164" s="338"/>
      <c r="P164" s="338"/>
      <c r="Q164" s="338"/>
      <c r="R164" s="338"/>
      <c r="S164" s="338"/>
      <c r="T164" s="338"/>
      <c r="U164" s="338"/>
      <c r="V164" s="338"/>
      <c r="W164" s="338"/>
      <c r="X164" s="338"/>
      <c r="Y164" s="338"/>
      <c r="Z164" s="338"/>
      <c r="AA164" s="338"/>
    </row>
    <row r="165" ht="15.75" customHeight="1">
      <c r="A165" s="339">
        <v>164.0</v>
      </c>
      <c r="B165" s="339" t="s">
        <v>1443</v>
      </c>
      <c r="C165" s="339" t="s">
        <v>1444</v>
      </c>
      <c r="D165" s="339" t="s">
        <v>1445</v>
      </c>
      <c r="E165" s="339" t="s">
        <v>1446</v>
      </c>
      <c r="F165" s="339">
        <v>9.36113298E8</v>
      </c>
      <c r="G165" s="342"/>
      <c r="H165" s="342"/>
      <c r="I165" s="342"/>
      <c r="J165" s="342"/>
      <c r="K165" s="338"/>
      <c r="L165" s="338"/>
      <c r="M165" s="338"/>
      <c r="N165" s="338"/>
      <c r="O165" s="338"/>
      <c r="P165" s="338"/>
      <c r="Q165" s="338"/>
      <c r="R165" s="338"/>
      <c r="S165" s="338"/>
      <c r="T165" s="338"/>
      <c r="U165" s="338"/>
      <c r="V165" s="338"/>
      <c r="W165" s="338"/>
      <c r="X165" s="338"/>
      <c r="Y165" s="338"/>
      <c r="Z165" s="338"/>
      <c r="AA165" s="338"/>
    </row>
    <row r="166" ht="15.75" customHeight="1">
      <c r="A166" s="339">
        <v>165.0</v>
      </c>
      <c r="B166" s="339" t="s">
        <v>1447</v>
      </c>
      <c r="C166" s="339" t="s">
        <v>1448</v>
      </c>
      <c r="D166" s="339" t="s">
        <v>1131</v>
      </c>
      <c r="E166" s="339" t="s">
        <v>1449</v>
      </c>
      <c r="F166" s="339">
        <v>1.013122222E9</v>
      </c>
      <c r="G166" s="342"/>
      <c r="H166" s="342"/>
      <c r="I166" s="342"/>
      <c r="J166" s="342"/>
      <c r="K166" s="338"/>
      <c r="L166" s="338"/>
      <c r="M166" s="338"/>
      <c r="N166" s="338"/>
      <c r="O166" s="338"/>
      <c r="P166" s="338"/>
      <c r="Q166" s="338"/>
      <c r="R166" s="338"/>
      <c r="S166" s="338"/>
      <c r="T166" s="338"/>
      <c r="U166" s="338"/>
      <c r="V166" s="338"/>
      <c r="W166" s="338"/>
      <c r="X166" s="338"/>
      <c r="Y166" s="338"/>
      <c r="Z166" s="338"/>
      <c r="AA166" s="338"/>
    </row>
    <row r="167" ht="15.75" customHeight="1">
      <c r="A167" s="339">
        <v>166.0</v>
      </c>
      <c r="B167" s="339" t="s">
        <v>1450</v>
      </c>
      <c r="C167" s="339" t="s">
        <v>1451</v>
      </c>
      <c r="D167" s="339" t="s">
        <v>979</v>
      </c>
      <c r="E167" s="339" t="s">
        <v>1452</v>
      </c>
      <c r="F167" s="339">
        <v>4.4110000357506E13</v>
      </c>
      <c r="G167" s="342"/>
      <c r="H167" s="342"/>
      <c r="I167" s="342"/>
      <c r="J167" s="342"/>
      <c r="K167" s="338"/>
      <c r="L167" s="338"/>
      <c r="M167" s="338"/>
      <c r="N167" s="338"/>
      <c r="O167" s="338"/>
      <c r="P167" s="338"/>
      <c r="Q167" s="338"/>
      <c r="R167" s="338"/>
      <c r="S167" s="338"/>
      <c r="T167" s="338"/>
      <c r="U167" s="338"/>
      <c r="V167" s="338"/>
      <c r="W167" s="338"/>
      <c r="X167" s="338"/>
      <c r="Y167" s="338"/>
      <c r="Z167" s="338"/>
      <c r="AA167" s="338"/>
    </row>
    <row r="168" ht="15.75" customHeight="1">
      <c r="A168" s="339">
        <v>167.0</v>
      </c>
      <c r="B168" s="343" t="s">
        <v>1453</v>
      </c>
      <c r="C168" s="339" t="s">
        <v>1454</v>
      </c>
      <c r="D168" s="339" t="s">
        <v>1455</v>
      </c>
      <c r="E168" s="339" t="s">
        <v>1456</v>
      </c>
      <c r="F168" s="339">
        <v>1.03872062518E11</v>
      </c>
      <c r="G168" s="342"/>
      <c r="H168" s="342"/>
      <c r="I168" s="342"/>
      <c r="J168" s="342"/>
      <c r="K168" s="338"/>
      <c r="L168" s="338"/>
      <c r="M168" s="338"/>
      <c r="N168" s="338"/>
      <c r="O168" s="338"/>
      <c r="P168" s="338"/>
      <c r="Q168" s="338"/>
      <c r="R168" s="338"/>
      <c r="S168" s="338"/>
      <c r="T168" s="338"/>
      <c r="U168" s="338"/>
      <c r="V168" s="338"/>
      <c r="W168" s="338"/>
      <c r="X168" s="338"/>
      <c r="Y168" s="338"/>
      <c r="Z168" s="338"/>
      <c r="AA168" s="338"/>
    </row>
    <row r="169" ht="15.75" customHeight="1">
      <c r="A169" s="339">
        <v>168.0</v>
      </c>
      <c r="B169" s="339" t="s">
        <v>1457</v>
      </c>
      <c r="C169" s="339" t="s">
        <v>1458</v>
      </c>
      <c r="D169" s="339" t="s">
        <v>1366</v>
      </c>
      <c r="E169" s="339"/>
      <c r="F169" s="339"/>
      <c r="G169" s="342"/>
      <c r="H169" s="342"/>
      <c r="I169" s="342"/>
      <c r="J169" s="342"/>
      <c r="K169" s="338"/>
      <c r="L169" s="338"/>
      <c r="M169" s="338"/>
      <c r="N169" s="338"/>
      <c r="O169" s="338"/>
      <c r="P169" s="338"/>
      <c r="Q169" s="338"/>
      <c r="R169" s="338"/>
      <c r="S169" s="338"/>
      <c r="T169" s="338"/>
      <c r="U169" s="338"/>
      <c r="V169" s="338"/>
      <c r="W169" s="338"/>
      <c r="X169" s="338"/>
      <c r="Y169" s="338"/>
      <c r="Z169" s="338"/>
      <c r="AA169" s="338"/>
    </row>
    <row r="170" ht="15.75" customHeight="1">
      <c r="A170" s="339">
        <v>169.0</v>
      </c>
      <c r="B170" s="343" t="s">
        <v>1459</v>
      </c>
      <c r="C170" s="339" t="s">
        <v>1460</v>
      </c>
      <c r="D170" s="339" t="s">
        <v>1461</v>
      </c>
      <c r="E170" s="339" t="s">
        <v>1462</v>
      </c>
      <c r="F170" s="339">
        <v>6.66100818866E11</v>
      </c>
      <c r="G170" s="342"/>
      <c r="H170" s="342"/>
      <c r="I170" s="342"/>
      <c r="J170" s="342"/>
      <c r="K170" s="338"/>
      <c r="L170" s="338"/>
      <c r="M170" s="338"/>
      <c r="N170" s="338"/>
      <c r="O170" s="338"/>
      <c r="P170" s="338"/>
      <c r="Q170" s="338"/>
      <c r="R170" s="338"/>
      <c r="S170" s="338"/>
      <c r="T170" s="338"/>
      <c r="U170" s="338"/>
      <c r="V170" s="338"/>
      <c r="W170" s="338"/>
      <c r="X170" s="338"/>
      <c r="Y170" s="338"/>
      <c r="Z170" s="338"/>
      <c r="AA170" s="338"/>
    </row>
    <row r="171" ht="15.75" customHeight="1">
      <c r="A171" s="339">
        <v>170.0</v>
      </c>
      <c r="B171" s="339" t="s">
        <v>1463</v>
      </c>
      <c r="C171" s="339" t="s">
        <v>1464</v>
      </c>
      <c r="D171" s="339" t="s">
        <v>1221</v>
      </c>
      <c r="E171" s="339" t="s">
        <v>1465</v>
      </c>
      <c r="F171" s="339">
        <v>7.31000785911E11</v>
      </c>
      <c r="G171" s="342"/>
      <c r="H171" s="342"/>
      <c r="I171" s="342"/>
      <c r="J171" s="342"/>
      <c r="K171" s="338"/>
      <c r="L171" s="338"/>
      <c r="M171" s="338"/>
      <c r="N171" s="338"/>
      <c r="O171" s="338"/>
      <c r="P171" s="338"/>
      <c r="Q171" s="338"/>
      <c r="R171" s="338"/>
      <c r="S171" s="338"/>
      <c r="T171" s="338"/>
      <c r="U171" s="338"/>
      <c r="V171" s="338"/>
      <c r="W171" s="338"/>
      <c r="X171" s="338"/>
      <c r="Y171" s="338"/>
      <c r="Z171" s="338"/>
      <c r="AA171" s="338"/>
    </row>
    <row r="172" ht="15.75" customHeight="1">
      <c r="A172" s="339">
        <v>171.0</v>
      </c>
      <c r="B172" s="343" t="s">
        <v>1466</v>
      </c>
      <c r="C172" s="339" t="s">
        <v>1467</v>
      </c>
      <c r="D172" s="339" t="s">
        <v>967</v>
      </c>
      <c r="E172" s="339" t="s">
        <v>1367</v>
      </c>
      <c r="F172" s="339">
        <v>1.902551923902E13</v>
      </c>
      <c r="G172" s="342"/>
      <c r="H172" s="342"/>
      <c r="I172" s="342"/>
      <c r="J172" s="342"/>
      <c r="K172" s="338"/>
      <c r="L172" s="338"/>
      <c r="M172" s="338"/>
      <c r="N172" s="338"/>
      <c r="O172" s="338"/>
      <c r="P172" s="338"/>
      <c r="Q172" s="338"/>
      <c r="R172" s="338"/>
      <c r="S172" s="338"/>
      <c r="T172" s="338"/>
      <c r="U172" s="338"/>
      <c r="V172" s="338"/>
      <c r="W172" s="338"/>
      <c r="X172" s="338"/>
      <c r="Y172" s="338"/>
      <c r="Z172" s="338"/>
      <c r="AA172" s="338"/>
    </row>
    <row r="173" ht="15.75" customHeight="1">
      <c r="A173" s="339">
        <v>172.0</v>
      </c>
      <c r="B173" s="343" t="s">
        <v>1468</v>
      </c>
      <c r="C173" s="339" t="s">
        <v>1469</v>
      </c>
      <c r="D173" s="339" t="s">
        <v>1470</v>
      </c>
      <c r="E173" s="339" t="s">
        <v>699</v>
      </c>
      <c r="F173" s="339">
        <v>1.9027780293035E13</v>
      </c>
      <c r="G173" s="342"/>
      <c r="H173" s="342"/>
      <c r="I173" s="342"/>
      <c r="J173" s="342"/>
      <c r="K173" s="338"/>
      <c r="L173" s="338"/>
      <c r="M173" s="338"/>
      <c r="N173" s="338"/>
      <c r="O173" s="338"/>
      <c r="P173" s="338"/>
      <c r="Q173" s="338"/>
      <c r="R173" s="338"/>
      <c r="S173" s="338"/>
      <c r="T173" s="338"/>
      <c r="U173" s="338"/>
      <c r="V173" s="338"/>
      <c r="W173" s="338"/>
      <c r="X173" s="338"/>
      <c r="Y173" s="338"/>
      <c r="Z173" s="338"/>
      <c r="AA173" s="338"/>
    </row>
    <row r="174" ht="15.75" customHeight="1">
      <c r="A174" s="339">
        <v>173.0</v>
      </c>
      <c r="B174" s="343" t="s">
        <v>1471</v>
      </c>
      <c r="C174" s="339" t="s">
        <v>1472</v>
      </c>
      <c r="D174" s="339" t="s">
        <v>1473</v>
      </c>
      <c r="E174" s="339" t="s">
        <v>1474</v>
      </c>
      <c r="F174" s="339">
        <v>8.60120552006E11</v>
      </c>
      <c r="G174" s="342"/>
      <c r="H174" s="342"/>
      <c r="I174" s="342"/>
      <c r="J174" s="342"/>
      <c r="K174" s="338"/>
      <c r="L174" s="338"/>
      <c r="M174" s="338"/>
      <c r="N174" s="338"/>
      <c r="O174" s="338"/>
      <c r="P174" s="338"/>
      <c r="Q174" s="338"/>
      <c r="R174" s="338"/>
      <c r="S174" s="338"/>
      <c r="T174" s="338"/>
      <c r="U174" s="338"/>
      <c r="V174" s="338"/>
      <c r="W174" s="338"/>
      <c r="X174" s="338"/>
      <c r="Y174" s="338"/>
      <c r="Z174" s="338"/>
      <c r="AA174" s="338"/>
    </row>
    <row r="175" ht="15.75" customHeight="1">
      <c r="A175" s="339">
        <v>174.0</v>
      </c>
      <c r="B175" s="343" t="s">
        <v>1475</v>
      </c>
      <c r="C175" s="339" t="s">
        <v>1476</v>
      </c>
      <c r="D175" s="339" t="s">
        <v>990</v>
      </c>
      <c r="E175" s="339" t="s">
        <v>1477</v>
      </c>
      <c r="F175" s="339">
        <v>863217.0</v>
      </c>
      <c r="G175" s="342"/>
      <c r="H175" s="342"/>
      <c r="I175" s="342"/>
      <c r="J175" s="342"/>
      <c r="K175" s="338"/>
      <c r="L175" s="338"/>
      <c r="M175" s="338"/>
      <c r="N175" s="338"/>
      <c r="O175" s="338"/>
      <c r="P175" s="338"/>
      <c r="Q175" s="338"/>
      <c r="R175" s="338"/>
      <c r="S175" s="338"/>
      <c r="T175" s="338"/>
      <c r="U175" s="338"/>
      <c r="V175" s="338"/>
      <c r="W175" s="338"/>
      <c r="X175" s="338"/>
      <c r="Y175" s="338"/>
      <c r="Z175" s="338"/>
      <c r="AA175" s="338"/>
    </row>
    <row r="176" ht="15.75" customHeight="1">
      <c r="A176" s="339">
        <v>175.0</v>
      </c>
      <c r="B176" s="339" t="s">
        <v>1478</v>
      </c>
      <c r="C176" s="339" t="s">
        <v>1479</v>
      </c>
      <c r="D176" s="339" t="s">
        <v>1079</v>
      </c>
      <c r="E176" s="339" t="s">
        <v>1480</v>
      </c>
      <c r="F176" s="339">
        <v>2.32100982E8</v>
      </c>
      <c r="G176" s="342"/>
      <c r="H176" s="342"/>
      <c r="I176" s="342"/>
      <c r="J176" s="342"/>
      <c r="K176" s="338"/>
      <c r="L176" s="338"/>
      <c r="M176" s="338"/>
      <c r="N176" s="338"/>
      <c r="O176" s="338"/>
      <c r="P176" s="338"/>
      <c r="Q176" s="338"/>
      <c r="R176" s="338"/>
      <c r="S176" s="338"/>
      <c r="T176" s="338"/>
      <c r="U176" s="338"/>
      <c r="V176" s="338"/>
      <c r="W176" s="338"/>
      <c r="X176" s="338"/>
      <c r="Y176" s="338"/>
      <c r="Z176" s="338"/>
      <c r="AA176" s="338"/>
    </row>
    <row r="177" ht="15.75" customHeight="1">
      <c r="A177" s="339">
        <v>176.0</v>
      </c>
      <c r="B177" s="339" t="s">
        <v>1481</v>
      </c>
      <c r="C177" s="339" t="s">
        <v>1482</v>
      </c>
      <c r="D177" s="339" t="s">
        <v>1483</v>
      </c>
      <c r="E177" s="339" t="s">
        <v>844</v>
      </c>
      <c r="F177" s="339">
        <v>1.06003657447E11</v>
      </c>
      <c r="G177" s="342"/>
      <c r="H177" s="342"/>
      <c r="I177" s="342"/>
      <c r="J177" s="342"/>
      <c r="K177" s="338"/>
      <c r="L177" s="338"/>
      <c r="M177" s="338"/>
      <c r="N177" s="338"/>
      <c r="O177" s="338"/>
      <c r="P177" s="338"/>
      <c r="Q177" s="338"/>
      <c r="R177" s="338"/>
      <c r="S177" s="338"/>
      <c r="T177" s="338"/>
      <c r="U177" s="338"/>
      <c r="V177" s="338"/>
      <c r="W177" s="338"/>
      <c r="X177" s="338"/>
      <c r="Y177" s="338"/>
      <c r="Z177" s="338"/>
      <c r="AA177" s="338"/>
    </row>
    <row r="178" ht="15.75" customHeight="1">
      <c r="A178" s="339">
        <v>177.0</v>
      </c>
      <c r="B178" s="339" t="s">
        <v>1484</v>
      </c>
      <c r="C178" s="339" t="s">
        <v>1485</v>
      </c>
      <c r="D178" s="339" t="s">
        <v>973</v>
      </c>
      <c r="E178" s="339" t="s">
        <v>1486</v>
      </c>
      <c r="F178" s="339">
        <v>9.200888888E9</v>
      </c>
      <c r="G178" s="342"/>
      <c r="H178" s="342"/>
      <c r="I178" s="342"/>
      <c r="J178" s="342"/>
      <c r="K178" s="338"/>
      <c r="L178" s="338"/>
      <c r="M178" s="338"/>
      <c r="N178" s="338"/>
      <c r="O178" s="338"/>
      <c r="P178" s="338"/>
      <c r="Q178" s="338"/>
      <c r="R178" s="338"/>
      <c r="S178" s="338"/>
      <c r="T178" s="338"/>
      <c r="U178" s="338"/>
      <c r="V178" s="338"/>
      <c r="W178" s="338"/>
      <c r="X178" s="338"/>
      <c r="Y178" s="338"/>
      <c r="Z178" s="338"/>
      <c r="AA178" s="338"/>
    </row>
    <row r="179" ht="15.75" customHeight="1">
      <c r="A179" s="339">
        <v>178.0</v>
      </c>
      <c r="B179" s="339" t="s">
        <v>1487</v>
      </c>
      <c r="C179" s="339" t="s">
        <v>1488</v>
      </c>
      <c r="D179" s="339" t="s">
        <v>1441</v>
      </c>
      <c r="E179" s="339" t="s">
        <v>1489</v>
      </c>
      <c r="F179" s="339">
        <v>1.00002908401E11</v>
      </c>
      <c r="G179" s="342"/>
      <c r="H179" s="342"/>
      <c r="I179" s="342"/>
      <c r="J179" s="342"/>
      <c r="K179" s="338"/>
      <c r="L179" s="338"/>
      <c r="M179" s="338"/>
      <c r="N179" s="338"/>
      <c r="O179" s="338"/>
      <c r="P179" s="338"/>
      <c r="Q179" s="338"/>
      <c r="R179" s="338"/>
      <c r="S179" s="338"/>
      <c r="T179" s="338"/>
      <c r="U179" s="338"/>
      <c r="V179" s="338"/>
      <c r="W179" s="338"/>
      <c r="X179" s="338"/>
      <c r="Y179" s="338"/>
      <c r="Z179" s="338"/>
      <c r="AA179" s="338"/>
    </row>
    <row r="180" ht="15.75" customHeight="1">
      <c r="A180" s="339">
        <v>179.0</v>
      </c>
      <c r="B180" s="339" t="s">
        <v>1490</v>
      </c>
      <c r="C180" s="339" t="s">
        <v>1491</v>
      </c>
      <c r="D180" s="339" t="s">
        <v>1300</v>
      </c>
      <c r="E180" s="339" t="s">
        <v>1492</v>
      </c>
      <c r="F180" s="339">
        <v>3.510011806E11</v>
      </c>
      <c r="G180" s="342"/>
      <c r="H180" s="342"/>
      <c r="I180" s="342"/>
      <c r="J180" s="342"/>
      <c r="K180" s="338"/>
      <c r="L180" s="338"/>
      <c r="M180" s="338"/>
      <c r="N180" s="338"/>
      <c r="O180" s="338"/>
      <c r="P180" s="338"/>
      <c r="Q180" s="338"/>
      <c r="R180" s="338"/>
      <c r="S180" s="338"/>
      <c r="T180" s="338"/>
      <c r="U180" s="338"/>
      <c r="V180" s="338"/>
      <c r="W180" s="338"/>
      <c r="X180" s="338"/>
      <c r="Y180" s="338"/>
      <c r="Z180" s="338"/>
      <c r="AA180" s="338"/>
    </row>
    <row r="181" ht="15.75" customHeight="1">
      <c r="A181" s="339">
        <v>180.0</v>
      </c>
      <c r="B181" s="343" t="s">
        <v>1493</v>
      </c>
      <c r="C181" s="339" t="s">
        <v>1494</v>
      </c>
      <c r="D181" s="339" t="s">
        <v>1495</v>
      </c>
      <c r="E181" s="339" t="s">
        <v>1496</v>
      </c>
      <c r="F181" s="339">
        <v>3.34203454E8</v>
      </c>
      <c r="G181" s="342"/>
      <c r="H181" s="342"/>
      <c r="I181" s="342"/>
      <c r="J181" s="342"/>
      <c r="K181" s="338"/>
      <c r="L181" s="338"/>
      <c r="M181" s="338"/>
      <c r="N181" s="338"/>
      <c r="O181" s="338"/>
      <c r="P181" s="338"/>
      <c r="Q181" s="338"/>
      <c r="R181" s="338"/>
      <c r="S181" s="338"/>
      <c r="T181" s="338"/>
      <c r="U181" s="338"/>
      <c r="V181" s="338"/>
      <c r="W181" s="338"/>
      <c r="X181" s="338"/>
      <c r="Y181" s="338"/>
      <c r="Z181" s="338"/>
      <c r="AA181" s="338"/>
    </row>
    <row r="182" ht="15.75" customHeight="1">
      <c r="A182" s="339">
        <v>181.0</v>
      </c>
      <c r="B182" s="339" t="s">
        <v>1497</v>
      </c>
      <c r="C182" s="339" t="s">
        <v>1498</v>
      </c>
      <c r="D182" s="339" t="s">
        <v>994</v>
      </c>
      <c r="E182" s="339" t="s">
        <v>1499</v>
      </c>
      <c r="F182" s="339">
        <v>1.9036843238012E13</v>
      </c>
      <c r="G182" s="342"/>
      <c r="H182" s="342"/>
      <c r="I182" s="342"/>
      <c r="J182" s="342"/>
      <c r="K182" s="338"/>
      <c r="L182" s="338"/>
      <c r="M182" s="338"/>
      <c r="N182" s="338"/>
      <c r="O182" s="338"/>
      <c r="P182" s="338"/>
      <c r="Q182" s="338"/>
      <c r="R182" s="338"/>
      <c r="S182" s="338"/>
      <c r="T182" s="338"/>
      <c r="U182" s="338"/>
      <c r="V182" s="338"/>
      <c r="W182" s="338"/>
      <c r="X182" s="338"/>
      <c r="Y182" s="338"/>
      <c r="Z182" s="338"/>
      <c r="AA182" s="338"/>
    </row>
    <row r="183" ht="15.75" customHeight="1">
      <c r="A183" s="339">
        <v>182.0</v>
      </c>
      <c r="B183" s="339" t="s">
        <v>1500</v>
      </c>
      <c r="C183" s="339" t="s">
        <v>1501</v>
      </c>
      <c r="D183" s="339" t="s">
        <v>1502</v>
      </c>
      <c r="E183" s="339" t="s">
        <v>1503</v>
      </c>
      <c r="F183" s="339">
        <v>1.2210000989231E13</v>
      </c>
      <c r="G183" s="342"/>
      <c r="H183" s="342"/>
      <c r="I183" s="342"/>
      <c r="J183" s="342"/>
      <c r="K183" s="338"/>
      <c r="L183" s="338"/>
      <c r="M183" s="338"/>
      <c r="N183" s="338"/>
      <c r="O183" s="338"/>
      <c r="P183" s="338"/>
      <c r="Q183" s="338"/>
      <c r="R183" s="338"/>
      <c r="S183" s="338"/>
      <c r="T183" s="338"/>
      <c r="U183" s="338"/>
      <c r="V183" s="338"/>
      <c r="W183" s="338"/>
      <c r="X183" s="338"/>
      <c r="Y183" s="338"/>
      <c r="Z183" s="338"/>
      <c r="AA183" s="338"/>
    </row>
    <row r="184" ht="15.75" customHeight="1">
      <c r="A184" s="339">
        <v>183.0</v>
      </c>
      <c r="B184" s="339" t="s">
        <v>660</v>
      </c>
      <c r="C184" s="339" t="s">
        <v>400</v>
      </c>
      <c r="D184" s="339" t="s">
        <v>1024</v>
      </c>
      <c r="E184" s="339" t="s">
        <v>1504</v>
      </c>
      <c r="F184" s="339">
        <v>1.0986755547E11</v>
      </c>
      <c r="G184" s="342"/>
      <c r="H184" s="342" t="s">
        <v>663</v>
      </c>
      <c r="I184" s="342">
        <v>1.03881162666E11</v>
      </c>
      <c r="J184" s="342" t="s">
        <v>1505</v>
      </c>
      <c r="K184" s="338"/>
      <c r="L184" s="338"/>
      <c r="M184" s="338"/>
      <c r="N184" s="338"/>
      <c r="O184" s="338"/>
      <c r="P184" s="338"/>
      <c r="Q184" s="338"/>
      <c r="R184" s="338"/>
      <c r="S184" s="338"/>
      <c r="T184" s="338"/>
      <c r="U184" s="338"/>
      <c r="V184" s="338"/>
      <c r="W184" s="338"/>
      <c r="X184" s="338"/>
      <c r="Y184" s="338"/>
      <c r="Z184" s="338"/>
      <c r="AA184" s="338"/>
    </row>
    <row r="185" ht="15.75" customHeight="1">
      <c r="A185" s="339">
        <v>184.0</v>
      </c>
      <c r="B185" s="339" t="s">
        <v>1506</v>
      </c>
      <c r="C185" s="339" t="s">
        <v>1507</v>
      </c>
      <c r="D185" s="339" t="s">
        <v>1508</v>
      </c>
      <c r="E185" s="339" t="s">
        <v>1509</v>
      </c>
      <c r="F185" s="339">
        <v>9.9442848E7</v>
      </c>
      <c r="G185" s="342"/>
      <c r="H185" s="342"/>
      <c r="I185" s="342"/>
      <c r="J185" s="342"/>
      <c r="K185" s="338"/>
      <c r="L185" s="338"/>
      <c r="M185" s="338"/>
      <c r="N185" s="338"/>
      <c r="O185" s="338"/>
      <c r="P185" s="338"/>
      <c r="Q185" s="338"/>
      <c r="R185" s="338"/>
      <c r="S185" s="338"/>
      <c r="T185" s="338"/>
      <c r="U185" s="338"/>
      <c r="V185" s="338"/>
      <c r="W185" s="338"/>
      <c r="X185" s="338"/>
      <c r="Y185" s="338"/>
      <c r="Z185" s="338"/>
      <c r="AA185" s="338"/>
    </row>
    <row r="186" ht="15.75" customHeight="1">
      <c r="A186" s="339">
        <v>185.0</v>
      </c>
      <c r="B186" s="339" t="s">
        <v>1510</v>
      </c>
      <c r="C186" s="339" t="s">
        <v>1511</v>
      </c>
      <c r="D186" s="339" t="s">
        <v>1300</v>
      </c>
      <c r="E186" s="339" t="s">
        <v>1512</v>
      </c>
      <c r="F186" s="339">
        <v>3.001018899663E12</v>
      </c>
      <c r="G186" s="342"/>
      <c r="H186" s="342"/>
      <c r="I186" s="342"/>
      <c r="J186" s="342"/>
      <c r="K186" s="338"/>
      <c r="L186" s="338"/>
      <c r="M186" s="338"/>
      <c r="N186" s="338"/>
      <c r="O186" s="338"/>
      <c r="P186" s="338"/>
      <c r="Q186" s="338"/>
      <c r="R186" s="338"/>
      <c r="S186" s="338"/>
      <c r="T186" s="338"/>
      <c r="U186" s="338"/>
      <c r="V186" s="338"/>
      <c r="W186" s="338"/>
      <c r="X186" s="338"/>
      <c r="Y186" s="338"/>
      <c r="Z186" s="338"/>
      <c r="AA186" s="338"/>
    </row>
    <row r="187" ht="15.75" customHeight="1">
      <c r="A187" s="339">
        <v>186.0</v>
      </c>
      <c r="B187" s="339" t="s">
        <v>1513</v>
      </c>
      <c r="C187" s="339" t="s">
        <v>1514</v>
      </c>
      <c r="D187" s="339" t="s">
        <v>1024</v>
      </c>
      <c r="E187" s="339" t="s">
        <v>1515</v>
      </c>
      <c r="F187" s="345">
        <v>1.90255E18</v>
      </c>
      <c r="G187" s="342"/>
      <c r="H187" s="342"/>
      <c r="I187" s="342"/>
      <c r="J187" s="342"/>
      <c r="K187" s="338"/>
      <c r="L187" s="338"/>
      <c r="M187" s="338"/>
      <c r="N187" s="338"/>
      <c r="O187" s="338"/>
      <c r="P187" s="338"/>
      <c r="Q187" s="338"/>
      <c r="R187" s="338"/>
      <c r="S187" s="338"/>
      <c r="T187" s="338"/>
      <c r="U187" s="338"/>
      <c r="V187" s="338"/>
      <c r="W187" s="338"/>
      <c r="X187" s="338"/>
      <c r="Y187" s="338"/>
      <c r="Z187" s="338"/>
      <c r="AA187" s="338"/>
    </row>
    <row r="188" ht="15.75" customHeight="1">
      <c r="A188" s="339">
        <v>187.0</v>
      </c>
      <c r="B188" s="339" t="s">
        <v>1516</v>
      </c>
      <c r="C188" s="339" t="s">
        <v>1517</v>
      </c>
      <c r="D188" s="339" t="s">
        <v>1221</v>
      </c>
      <c r="E188" s="339" t="s">
        <v>1518</v>
      </c>
      <c r="F188" s="339">
        <v>1.35704070031381E14</v>
      </c>
      <c r="G188" s="342"/>
      <c r="H188" s="342"/>
      <c r="I188" s="342"/>
      <c r="J188" s="342"/>
      <c r="K188" s="338"/>
      <c r="L188" s="338"/>
      <c r="M188" s="338"/>
      <c r="N188" s="338"/>
      <c r="O188" s="338"/>
      <c r="P188" s="338"/>
      <c r="Q188" s="338"/>
      <c r="R188" s="338"/>
      <c r="S188" s="338"/>
      <c r="T188" s="338"/>
      <c r="U188" s="338"/>
      <c r="V188" s="338"/>
      <c r="W188" s="338"/>
      <c r="X188" s="338"/>
      <c r="Y188" s="338"/>
      <c r="Z188" s="338"/>
      <c r="AA188" s="338"/>
    </row>
    <row r="189" ht="15.75" customHeight="1">
      <c r="A189" s="339">
        <v>188.0</v>
      </c>
      <c r="B189" s="339" t="s">
        <v>1519</v>
      </c>
      <c r="C189" s="339" t="s">
        <v>1520</v>
      </c>
      <c r="D189" s="339" t="s">
        <v>1274</v>
      </c>
      <c r="E189" s="339" t="s">
        <v>1521</v>
      </c>
      <c r="F189" s="339">
        <v>1.41000733806E11</v>
      </c>
      <c r="G189" s="342"/>
      <c r="H189" s="342"/>
      <c r="I189" s="342"/>
      <c r="J189" s="342"/>
      <c r="K189" s="338"/>
      <c r="L189" s="338"/>
      <c r="M189" s="338"/>
      <c r="N189" s="338"/>
      <c r="O189" s="338"/>
      <c r="P189" s="338"/>
      <c r="Q189" s="338"/>
      <c r="R189" s="338"/>
      <c r="S189" s="338"/>
      <c r="T189" s="338"/>
      <c r="U189" s="338"/>
      <c r="V189" s="338"/>
      <c r="W189" s="338"/>
      <c r="X189" s="338"/>
      <c r="Y189" s="338"/>
      <c r="Z189" s="338"/>
      <c r="AA189" s="338"/>
    </row>
    <row r="190" ht="15.75" customHeight="1">
      <c r="A190" s="339">
        <v>189.0</v>
      </c>
      <c r="B190" s="339" t="s">
        <v>1522</v>
      </c>
      <c r="C190" s="339" t="s">
        <v>1523</v>
      </c>
      <c r="D190" s="339" t="s">
        <v>1008</v>
      </c>
      <c r="E190" s="339" t="s">
        <v>1524</v>
      </c>
      <c r="F190" s="339">
        <v>2.211205124238E12</v>
      </c>
      <c r="G190" s="342"/>
      <c r="H190" s="342"/>
      <c r="I190" s="342"/>
      <c r="J190" s="342"/>
      <c r="K190" s="338"/>
      <c r="L190" s="338"/>
      <c r="M190" s="338"/>
      <c r="N190" s="338"/>
      <c r="O190" s="338"/>
      <c r="P190" s="338"/>
      <c r="Q190" s="338"/>
      <c r="R190" s="338"/>
      <c r="S190" s="338"/>
      <c r="T190" s="338"/>
      <c r="U190" s="338"/>
      <c r="V190" s="338"/>
      <c r="W190" s="338"/>
      <c r="X190" s="338"/>
      <c r="Y190" s="338"/>
      <c r="Z190" s="338"/>
      <c r="AA190" s="338"/>
    </row>
    <row r="191" ht="15.75" customHeight="1">
      <c r="A191" s="339">
        <v>190.0</v>
      </c>
      <c r="B191" s="343" t="s">
        <v>1525</v>
      </c>
      <c r="C191" s="339" t="s">
        <v>1526</v>
      </c>
      <c r="D191" s="339" t="s">
        <v>1527</v>
      </c>
      <c r="E191" s="339" t="s">
        <v>1528</v>
      </c>
      <c r="F191" s="339">
        <v>1.902595039566E12</v>
      </c>
      <c r="G191" s="342"/>
      <c r="H191" s="342"/>
      <c r="I191" s="342"/>
      <c r="J191" s="342"/>
      <c r="K191" s="338"/>
      <c r="L191" s="338"/>
      <c r="M191" s="338"/>
      <c r="N191" s="338"/>
      <c r="O191" s="338"/>
      <c r="P191" s="338"/>
      <c r="Q191" s="338"/>
      <c r="R191" s="338"/>
      <c r="S191" s="338"/>
      <c r="T191" s="338"/>
      <c r="U191" s="338"/>
      <c r="V191" s="338"/>
      <c r="W191" s="338"/>
      <c r="X191" s="338"/>
      <c r="Y191" s="338"/>
      <c r="Z191" s="338"/>
      <c r="AA191" s="338"/>
    </row>
    <row r="192" ht="15.75" customHeight="1">
      <c r="A192" s="339">
        <v>191.0</v>
      </c>
      <c r="B192" s="343" t="s">
        <v>1529</v>
      </c>
      <c r="C192" s="339" t="s">
        <v>1530</v>
      </c>
      <c r="D192" s="339" t="s">
        <v>1531</v>
      </c>
      <c r="E192" s="339" t="s">
        <v>1532</v>
      </c>
      <c r="F192" s="339">
        <v>9.400103091985E12</v>
      </c>
      <c r="G192" s="342"/>
      <c r="H192" s="342"/>
      <c r="I192" s="342"/>
      <c r="J192" s="342"/>
      <c r="K192" s="338"/>
      <c r="L192" s="338"/>
      <c r="M192" s="338"/>
      <c r="N192" s="338"/>
      <c r="O192" s="338"/>
      <c r="P192" s="338"/>
      <c r="Q192" s="338"/>
      <c r="R192" s="338"/>
      <c r="S192" s="338"/>
      <c r="T192" s="338"/>
      <c r="U192" s="338"/>
      <c r="V192" s="338"/>
      <c r="W192" s="338"/>
      <c r="X192" s="338"/>
      <c r="Y192" s="338"/>
      <c r="Z192" s="338"/>
      <c r="AA192" s="338"/>
    </row>
    <row r="193" ht="15.75" customHeight="1">
      <c r="A193" s="339">
        <v>192.0</v>
      </c>
      <c r="B193" s="343" t="s">
        <v>1533</v>
      </c>
      <c r="C193" s="339" t="s">
        <v>1534</v>
      </c>
      <c r="D193" s="339" t="s">
        <v>1002</v>
      </c>
      <c r="E193" s="339" t="s">
        <v>1535</v>
      </c>
      <c r="F193" s="339">
        <v>1.9021054199889E13</v>
      </c>
      <c r="G193" s="342"/>
      <c r="H193" s="342"/>
      <c r="I193" s="342"/>
      <c r="J193" s="342"/>
      <c r="K193" s="338"/>
      <c r="L193" s="338"/>
      <c r="M193" s="338"/>
      <c r="N193" s="338"/>
      <c r="O193" s="338"/>
      <c r="P193" s="338"/>
      <c r="Q193" s="338"/>
      <c r="R193" s="338"/>
      <c r="S193" s="338"/>
      <c r="T193" s="338"/>
      <c r="U193" s="338"/>
      <c r="V193" s="338"/>
      <c r="W193" s="338"/>
      <c r="X193" s="338"/>
      <c r="Y193" s="338"/>
      <c r="Z193" s="338"/>
      <c r="AA193" s="338"/>
    </row>
    <row r="194" ht="15.75" customHeight="1">
      <c r="A194" s="339">
        <v>193.0</v>
      </c>
      <c r="B194" s="339" t="s">
        <v>1536</v>
      </c>
      <c r="C194" s="339" t="s">
        <v>1537</v>
      </c>
      <c r="D194" s="339" t="s">
        <v>1455</v>
      </c>
      <c r="E194" s="339" t="s">
        <v>1538</v>
      </c>
      <c r="F194" s="339">
        <v>1.05006853619E11</v>
      </c>
      <c r="G194" s="342"/>
      <c r="H194" s="342"/>
      <c r="I194" s="342"/>
      <c r="J194" s="342"/>
      <c r="K194" s="338"/>
      <c r="L194" s="338"/>
      <c r="M194" s="338"/>
      <c r="N194" s="338"/>
      <c r="O194" s="338"/>
      <c r="P194" s="338"/>
      <c r="Q194" s="338"/>
      <c r="R194" s="338"/>
      <c r="S194" s="338"/>
      <c r="T194" s="338"/>
      <c r="U194" s="338"/>
      <c r="V194" s="338"/>
      <c r="W194" s="338"/>
      <c r="X194" s="338"/>
      <c r="Y194" s="338"/>
      <c r="Z194" s="338"/>
      <c r="AA194" s="338"/>
    </row>
    <row r="195" ht="15.75" customHeight="1">
      <c r="A195" s="339">
        <v>194.0</v>
      </c>
      <c r="B195" s="339" t="s">
        <v>1539</v>
      </c>
      <c r="C195" s="339" t="s">
        <v>1540</v>
      </c>
      <c r="D195" s="339" t="s">
        <v>1082</v>
      </c>
      <c r="E195" s="339" t="s">
        <v>1541</v>
      </c>
      <c r="F195" s="339">
        <v>8.51000035619E11</v>
      </c>
      <c r="G195" s="342"/>
      <c r="H195" s="342"/>
      <c r="I195" s="342"/>
      <c r="J195" s="342"/>
      <c r="K195" s="338"/>
      <c r="L195" s="338"/>
      <c r="M195" s="338"/>
      <c r="N195" s="338"/>
      <c r="O195" s="338"/>
      <c r="P195" s="338"/>
      <c r="Q195" s="338"/>
      <c r="R195" s="338"/>
      <c r="S195" s="338"/>
      <c r="T195" s="338"/>
      <c r="U195" s="338"/>
      <c r="V195" s="338"/>
      <c r="W195" s="338"/>
      <c r="X195" s="338"/>
      <c r="Y195" s="338"/>
      <c r="Z195" s="338"/>
      <c r="AA195" s="338"/>
    </row>
    <row r="196" ht="15.75" customHeight="1">
      <c r="A196" s="339">
        <v>195.0</v>
      </c>
      <c r="B196" s="343" t="s">
        <v>1542</v>
      </c>
      <c r="C196" s="339" t="s">
        <v>1543</v>
      </c>
      <c r="D196" s="339" t="s">
        <v>1544</v>
      </c>
      <c r="E196" s="339" t="s">
        <v>1545</v>
      </c>
      <c r="F196" s="339">
        <v>2.080123456789E12</v>
      </c>
      <c r="G196" s="342"/>
      <c r="H196" s="342"/>
      <c r="I196" s="342"/>
      <c r="J196" s="342"/>
      <c r="K196" s="338"/>
      <c r="L196" s="338"/>
      <c r="M196" s="338"/>
      <c r="N196" s="338"/>
      <c r="O196" s="338"/>
      <c r="P196" s="338"/>
      <c r="Q196" s="338"/>
      <c r="R196" s="338"/>
      <c r="S196" s="338"/>
      <c r="T196" s="338"/>
      <c r="U196" s="338"/>
      <c r="V196" s="338"/>
      <c r="W196" s="338"/>
      <c r="X196" s="338"/>
      <c r="Y196" s="338"/>
      <c r="Z196" s="338"/>
      <c r="AA196" s="338"/>
    </row>
    <row r="197" ht="15.75" customHeight="1">
      <c r="A197" s="339">
        <v>196.0</v>
      </c>
      <c r="B197" s="343" t="s">
        <v>1546</v>
      </c>
      <c r="C197" s="339" t="s">
        <v>1547</v>
      </c>
      <c r="D197" s="339" t="s">
        <v>1470</v>
      </c>
      <c r="E197" s="339" t="s">
        <v>1548</v>
      </c>
      <c r="F197" s="339">
        <v>9.77722199E8</v>
      </c>
      <c r="G197" s="342"/>
      <c r="H197" s="342"/>
      <c r="I197" s="342"/>
      <c r="J197" s="342"/>
      <c r="K197" s="338"/>
      <c r="L197" s="338"/>
      <c r="M197" s="338"/>
      <c r="N197" s="338"/>
      <c r="O197" s="338"/>
      <c r="P197" s="338"/>
      <c r="Q197" s="338"/>
      <c r="R197" s="338"/>
      <c r="S197" s="338"/>
      <c r="T197" s="338"/>
      <c r="U197" s="338"/>
      <c r="V197" s="338"/>
      <c r="W197" s="338"/>
      <c r="X197" s="338"/>
      <c r="Y197" s="338"/>
      <c r="Z197" s="338"/>
      <c r="AA197" s="338"/>
    </row>
    <row r="198" ht="15.75" customHeight="1">
      <c r="A198" s="339">
        <v>197.0</v>
      </c>
      <c r="B198" s="343" t="s">
        <v>678</v>
      </c>
      <c r="C198" s="339" t="s">
        <v>679</v>
      </c>
      <c r="D198" s="339" t="s">
        <v>1549</v>
      </c>
      <c r="E198" s="339" t="s">
        <v>682</v>
      </c>
      <c r="F198" s="345">
        <v>4.111E16</v>
      </c>
      <c r="G198" s="343" t="s">
        <v>678</v>
      </c>
      <c r="H198" s="342" t="s">
        <v>659</v>
      </c>
      <c r="I198" s="342">
        <v>4.110487024E9</v>
      </c>
      <c r="J198" s="342" t="s">
        <v>532</v>
      </c>
      <c r="K198" s="338"/>
      <c r="L198" s="338"/>
      <c r="M198" s="338"/>
      <c r="N198" s="338"/>
      <c r="O198" s="338"/>
      <c r="P198" s="338"/>
      <c r="Q198" s="338"/>
      <c r="R198" s="338"/>
      <c r="S198" s="338"/>
      <c r="T198" s="338"/>
      <c r="U198" s="338"/>
      <c r="V198" s="338"/>
      <c r="W198" s="338"/>
      <c r="X198" s="338"/>
      <c r="Y198" s="338"/>
      <c r="Z198" s="338"/>
      <c r="AA198" s="338"/>
    </row>
    <row r="199" ht="15.75" customHeight="1">
      <c r="A199" s="339">
        <v>198.0</v>
      </c>
      <c r="B199" s="343" t="s">
        <v>1550</v>
      </c>
      <c r="C199" s="339" t="s">
        <v>1551</v>
      </c>
      <c r="D199" s="339" t="s">
        <v>923</v>
      </c>
      <c r="E199" s="339" t="s">
        <v>1552</v>
      </c>
      <c r="F199" s="339">
        <v>8.960121896666E12</v>
      </c>
      <c r="G199" s="342"/>
      <c r="H199" s="342"/>
      <c r="I199" s="342"/>
      <c r="J199" s="342"/>
      <c r="K199" s="338"/>
      <c r="L199" s="338"/>
      <c r="M199" s="338"/>
      <c r="N199" s="338"/>
      <c r="O199" s="338"/>
      <c r="P199" s="338"/>
      <c r="Q199" s="338"/>
      <c r="R199" s="338"/>
      <c r="S199" s="338"/>
      <c r="T199" s="338"/>
      <c r="U199" s="338"/>
      <c r="V199" s="338"/>
      <c r="W199" s="338"/>
      <c r="X199" s="338"/>
      <c r="Y199" s="338"/>
      <c r="Z199" s="338"/>
      <c r="AA199" s="338"/>
    </row>
    <row r="200" ht="15.75" customHeight="1">
      <c r="A200" s="339">
        <v>199.0</v>
      </c>
      <c r="B200" s="339" t="s">
        <v>1553</v>
      </c>
      <c r="C200" s="339" t="s">
        <v>1554</v>
      </c>
      <c r="D200" s="339" t="s">
        <v>1266</v>
      </c>
      <c r="E200" s="339" t="s">
        <v>1555</v>
      </c>
      <c r="F200" s="339">
        <v>4.8310000049696E13</v>
      </c>
      <c r="G200" s="342" t="s">
        <v>1556</v>
      </c>
      <c r="H200" s="342" t="s">
        <v>659</v>
      </c>
      <c r="I200" s="342">
        <v>4.830049696E9</v>
      </c>
      <c r="J200" s="342" t="s">
        <v>532</v>
      </c>
      <c r="K200" s="338"/>
      <c r="L200" s="338"/>
      <c r="M200" s="338"/>
      <c r="N200" s="338"/>
      <c r="O200" s="338"/>
      <c r="P200" s="338"/>
      <c r="Q200" s="338"/>
      <c r="R200" s="338"/>
      <c r="S200" s="338"/>
      <c r="T200" s="338"/>
      <c r="U200" s="338"/>
      <c r="V200" s="338"/>
      <c r="W200" s="338"/>
      <c r="X200" s="338"/>
      <c r="Y200" s="338"/>
      <c r="Z200" s="338"/>
      <c r="AA200" s="338"/>
    </row>
    <row r="201" ht="15.75" customHeight="1">
      <c r="A201" s="339">
        <v>200.0</v>
      </c>
      <c r="B201" s="343" t="s">
        <v>1557</v>
      </c>
      <c r="C201" s="339" t="s">
        <v>1558</v>
      </c>
      <c r="D201" s="339" t="s">
        <v>923</v>
      </c>
      <c r="E201" s="339" t="s">
        <v>1559</v>
      </c>
      <c r="F201" s="339">
        <v>1.970406020327E13</v>
      </c>
      <c r="G201" s="342"/>
      <c r="H201" s="342"/>
      <c r="I201" s="342"/>
      <c r="J201" s="342"/>
      <c r="K201" s="338"/>
      <c r="L201" s="338"/>
      <c r="M201" s="338"/>
      <c r="N201" s="338"/>
      <c r="O201" s="338"/>
      <c r="P201" s="338"/>
      <c r="Q201" s="338"/>
      <c r="R201" s="338"/>
      <c r="S201" s="338"/>
      <c r="T201" s="338"/>
      <c r="U201" s="338"/>
      <c r="V201" s="338"/>
      <c r="W201" s="338"/>
      <c r="X201" s="338"/>
      <c r="Y201" s="338"/>
      <c r="Z201" s="338"/>
      <c r="AA201" s="338"/>
    </row>
    <row r="202" ht="15.75" customHeight="1">
      <c r="A202" s="339">
        <v>201.0</v>
      </c>
      <c r="B202" s="339" t="s">
        <v>1560</v>
      </c>
      <c r="C202" s="340" t="s">
        <v>1561</v>
      </c>
      <c r="D202" s="339" t="s">
        <v>1221</v>
      </c>
      <c r="E202" s="339" t="s">
        <v>891</v>
      </c>
      <c r="F202" s="339">
        <v>6.005275E10</v>
      </c>
      <c r="G202" s="342"/>
      <c r="H202" s="342"/>
      <c r="I202" s="342"/>
      <c r="J202" s="342"/>
      <c r="K202" s="338"/>
      <c r="L202" s="338"/>
      <c r="M202" s="338"/>
      <c r="N202" s="338"/>
      <c r="O202" s="338"/>
      <c r="P202" s="338"/>
      <c r="Q202" s="338"/>
      <c r="R202" s="338"/>
      <c r="S202" s="338"/>
      <c r="T202" s="338"/>
      <c r="U202" s="338"/>
      <c r="V202" s="338"/>
      <c r="W202" s="338"/>
      <c r="X202" s="338"/>
      <c r="Y202" s="338"/>
      <c r="Z202" s="338"/>
      <c r="AA202" s="338"/>
    </row>
    <row r="203" ht="15.75" customHeight="1">
      <c r="A203" s="339">
        <v>202.0</v>
      </c>
      <c r="B203" s="339" t="s">
        <v>1562</v>
      </c>
      <c r="C203" s="339" t="s">
        <v>423</v>
      </c>
      <c r="D203" s="339" t="s">
        <v>937</v>
      </c>
      <c r="E203" s="339" t="s">
        <v>1563</v>
      </c>
      <c r="F203" s="345">
        <v>1.90346E18</v>
      </c>
      <c r="G203" s="342"/>
      <c r="H203" s="342"/>
      <c r="I203" s="342"/>
      <c r="J203" s="342"/>
      <c r="K203" s="338"/>
      <c r="L203" s="338"/>
      <c r="M203" s="338"/>
      <c r="N203" s="338"/>
      <c r="O203" s="338"/>
      <c r="P203" s="338"/>
      <c r="Q203" s="338"/>
      <c r="R203" s="338"/>
      <c r="S203" s="338"/>
      <c r="T203" s="338"/>
      <c r="U203" s="338"/>
      <c r="V203" s="338"/>
      <c r="W203" s="338"/>
      <c r="X203" s="338"/>
      <c r="Y203" s="338"/>
      <c r="Z203" s="338"/>
      <c r="AA203" s="338"/>
    </row>
    <row r="204" ht="15.75" customHeight="1">
      <c r="A204" s="339">
        <v>203.0</v>
      </c>
      <c r="B204" s="343" t="s">
        <v>1564</v>
      </c>
      <c r="C204" s="339" t="s">
        <v>1565</v>
      </c>
      <c r="D204" s="339" t="s">
        <v>1566</v>
      </c>
      <c r="E204" s="339" t="s">
        <v>1567</v>
      </c>
      <c r="F204" s="339">
        <v>1.02004202567E11</v>
      </c>
      <c r="G204" s="342"/>
      <c r="H204" s="342"/>
      <c r="I204" s="342"/>
      <c r="J204" s="342"/>
      <c r="K204" s="338"/>
      <c r="L204" s="338"/>
      <c r="M204" s="338"/>
      <c r="N204" s="338"/>
      <c r="O204" s="338"/>
      <c r="P204" s="338"/>
      <c r="Q204" s="338"/>
      <c r="R204" s="338"/>
      <c r="S204" s="338"/>
      <c r="T204" s="338"/>
      <c r="U204" s="338"/>
      <c r="V204" s="338"/>
      <c r="W204" s="338"/>
      <c r="X204" s="338"/>
      <c r="Y204" s="338"/>
      <c r="Z204" s="338"/>
      <c r="AA204" s="338"/>
    </row>
    <row r="205" ht="15.75" customHeight="1">
      <c r="A205" s="339">
        <v>204.0</v>
      </c>
      <c r="B205" s="339" t="s">
        <v>813</v>
      </c>
      <c r="C205" s="339" t="s">
        <v>814</v>
      </c>
      <c r="D205" s="339" t="s">
        <v>990</v>
      </c>
      <c r="E205" s="339" t="s">
        <v>818</v>
      </c>
      <c r="F205" s="339">
        <v>1.01003589999E11</v>
      </c>
      <c r="G205" s="342" t="s">
        <v>1568</v>
      </c>
      <c r="H205" s="342"/>
      <c r="I205" s="342"/>
      <c r="J205" s="342" t="s">
        <v>1056</v>
      </c>
      <c r="K205" s="338"/>
      <c r="L205" s="338"/>
      <c r="M205" s="338"/>
      <c r="N205" s="338"/>
      <c r="O205" s="338"/>
      <c r="P205" s="338"/>
      <c r="Q205" s="338"/>
      <c r="R205" s="338"/>
      <c r="S205" s="338"/>
      <c r="T205" s="338"/>
      <c r="U205" s="338"/>
      <c r="V205" s="338"/>
      <c r="W205" s="338"/>
      <c r="X205" s="338"/>
      <c r="Y205" s="338"/>
      <c r="Z205" s="338"/>
      <c r="AA205" s="338"/>
    </row>
    <row r="206" ht="15.75" customHeight="1">
      <c r="A206" s="339">
        <v>205.0</v>
      </c>
      <c r="B206" s="343" t="s">
        <v>792</v>
      </c>
      <c r="C206" s="339" t="s">
        <v>793</v>
      </c>
      <c r="D206" s="339" t="s">
        <v>1569</v>
      </c>
      <c r="E206" s="339" t="s">
        <v>795</v>
      </c>
      <c r="F206" s="339">
        <v>1.00005520171E11</v>
      </c>
      <c r="G206" s="342"/>
      <c r="H206" s="342"/>
      <c r="I206" s="342"/>
      <c r="J206" s="342"/>
      <c r="K206" s="338"/>
      <c r="L206" s="338"/>
      <c r="M206" s="338"/>
      <c r="N206" s="338"/>
      <c r="O206" s="338"/>
      <c r="P206" s="338"/>
      <c r="Q206" s="338"/>
      <c r="R206" s="338"/>
      <c r="S206" s="338"/>
      <c r="T206" s="338"/>
      <c r="U206" s="338"/>
      <c r="V206" s="338"/>
      <c r="W206" s="338"/>
      <c r="X206" s="338"/>
      <c r="Y206" s="338"/>
      <c r="Z206" s="338"/>
      <c r="AA206" s="338"/>
    </row>
    <row r="207" ht="15.75" customHeight="1">
      <c r="A207" s="339">
        <v>206.0</v>
      </c>
      <c r="B207" s="343" t="s">
        <v>1570</v>
      </c>
      <c r="C207" s="339" t="s">
        <v>439</v>
      </c>
      <c r="D207" s="339" t="s">
        <v>1571</v>
      </c>
      <c r="E207" s="339" t="s">
        <v>1572</v>
      </c>
      <c r="F207" s="339">
        <v>8.500236368888E12</v>
      </c>
      <c r="G207" s="342"/>
      <c r="H207" s="342"/>
      <c r="I207" s="342"/>
      <c r="J207" s="342"/>
      <c r="K207" s="338"/>
      <c r="L207" s="338"/>
      <c r="M207" s="338"/>
      <c r="N207" s="338"/>
      <c r="O207" s="338"/>
      <c r="P207" s="338"/>
      <c r="Q207" s="338"/>
      <c r="R207" s="338"/>
      <c r="S207" s="338"/>
      <c r="T207" s="338"/>
      <c r="U207" s="338"/>
      <c r="V207" s="338"/>
      <c r="W207" s="338"/>
      <c r="X207" s="338"/>
      <c r="Y207" s="338"/>
      <c r="Z207" s="338"/>
      <c r="AA207" s="338"/>
    </row>
    <row r="208" ht="15.75" customHeight="1">
      <c r="A208" s="339">
        <v>207.0</v>
      </c>
      <c r="B208" s="343" t="s">
        <v>1573</v>
      </c>
      <c r="C208" s="339" t="s">
        <v>1574</v>
      </c>
      <c r="D208" s="339" t="s">
        <v>923</v>
      </c>
      <c r="E208" s="339" t="s">
        <v>1575</v>
      </c>
      <c r="F208" s="339">
        <v>1.00800116666E11</v>
      </c>
      <c r="G208" s="342"/>
      <c r="H208" s="342"/>
      <c r="I208" s="342"/>
      <c r="J208" s="342"/>
      <c r="K208" s="338"/>
      <c r="L208" s="338"/>
      <c r="M208" s="338"/>
      <c r="N208" s="338"/>
      <c r="O208" s="338"/>
      <c r="P208" s="338"/>
      <c r="Q208" s="338"/>
      <c r="R208" s="338"/>
      <c r="S208" s="338"/>
      <c r="T208" s="338"/>
      <c r="U208" s="338"/>
      <c r="V208" s="338"/>
      <c r="W208" s="338"/>
      <c r="X208" s="338"/>
      <c r="Y208" s="338"/>
      <c r="Z208" s="338"/>
      <c r="AA208" s="338"/>
    </row>
    <row r="209" ht="15.75" customHeight="1">
      <c r="A209" s="339">
        <v>208.0</v>
      </c>
      <c r="B209" s="339" t="s">
        <v>1576</v>
      </c>
      <c r="C209" s="339" t="s">
        <v>1577</v>
      </c>
      <c r="D209" s="339" t="s">
        <v>976</v>
      </c>
      <c r="E209" s="339" t="s">
        <v>1578</v>
      </c>
      <c r="F209" s="339">
        <v>1.303205182262E12</v>
      </c>
      <c r="G209" s="342"/>
      <c r="H209" s="342"/>
      <c r="I209" s="342"/>
      <c r="J209" s="342"/>
      <c r="K209" s="338"/>
      <c r="L209" s="338"/>
      <c r="M209" s="338"/>
      <c r="N209" s="338"/>
      <c r="O209" s="338"/>
      <c r="P209" s="338"/>
      <c r="Q209" s="338"/>
      <c r="R209" s="338"/>
      <c r="S209" s="338"/>
      <c r="T209" s="338"/>
      <c r="U209" s="338"/>
      <c r="V209" s="338"/>
      <c r="W209" s="338"/>
      <c r="X209" s="338"/>
      <c r="Y209" s="338"/>
      <c r="Z209" s="338"/>
      <c r="AA209" s="338"/>
    </row>
    <row r="210" ht="15.75" customHeight="1">
      <c r="A210" s="339">
        <v>209.0</v>
      </c>
      <c r="B210" s="339" t="s">
        <v>831</v>
      </c>
      <c r="C210" s="339" t="s">
        <v>832</v>
      </c>
      <c r="D210" s="339" t="s">
        <v>1336</v>
      </c>
      <c r="E210" s="339" t="s">
        <v>699</v>
      </c>
      <c r="F210" s="339">
        <v>1.9030693766998E13</v>
      </c>
      <c r="G210" s="339" t="s">
        <v>831</v>
      </c>
      <c r="H210" s="342"/>
      <c r="I210" s="342"/>
      <c r="J210" s="342" t="s">
        <v>1579</v>
      </c>
      <c r="K210" s="338"/>
      <c r="L210" s="338"/>
      <c r="M210" s="338"/>
      <c r="N210" s="338"/>
      <c r="O210" s="338"/>
      <c r="P210" s="338"/>
      <c r="Q210" s="338"/>
      <c r="R210" s="338"/>
      <c r="S210" s="338"/>
      <c r="T210" s="338"/>
      <c r="U210" s="338"/>
      <c r="V210" s="338"/>
      <c r="W210" s="338"/>
      <c r="X210" s="338"/>
      <c r="Y210" s="338"/>
      <c r="Z210" s="338"/>
      <c r="AA210" s="338"/>
    </row>
    <row r="211" ht="15.75" customHeight="1">
      <c r="A211" s="339">
        <v>210.0</v>
      </c>
      <c r="B211" s="339" t="s">
        <v>1580</v>
      </c>
      <c r="C211" s="339" t="s">
        <v>1581</v>
      </c>
      <c r="D211" s="339" t="s">
        <v>1582</v>
      </c>
      <c r="E211" s="339" t="s">
        <v>682</v>
      </c>
      <c r="F211" s="345">
        <v>4.111E16</v>
      </c>
      <c r="G211" s="342"/>
      <c r="H211" s="342"/>
      <c r="I211" s="342"/>
      <c r="J211" s="342"/>
      <c r="K211" s="338"/>
      <c r="L211" s="338"/>
      <c r="M211" s="338"/>
      <c r="N211" s="338"/>
      <c r="O211" s="338"/>
      <c r="P211" s="338"/>
      <c r="Q211" s="338"/>
      <c r="R211" s="338"/>
      <c r="S211" s="338"/>
      <c r="T211" s="338"/>
      <c r="U211" s="338"/>
      <c r="V211" s="338"/>
      <c r="W211" s="338"/>
      <c r="X211" s="338"/>
      <c r="Y211" s="338"/>
      <c r="Z211" s="338"/>
      <c r="AA211" s="338"/>
    </row>
    <row r="212" ht="15.75" customHeight="1">
      <c r="A212" s="339">
        <v>211.0</v>
      </c>
      <c r="B212" s="339" t="s">
        <v>787</v>
      </c>
      <c r="C212" s="339" t="s">
        <v>470</v>
      </c>
      <c r="D212" s="339" t="s">
        <v>1270</v>
      </c>
      <c r="E212" s="339" t="s">
        <v>663</v>
      </c>
      <c r="F212" s="339">
        <v>1.00867775631E11</v>
      </c>
      <c r="G212" s="342" t="s">
        <v>1583</v>
      </c>
      <c r="H212" s="342"/>
      <c r="I212" s="342"/>
      <c r="J212" s="342" t="s">
        <v>927</v>
      </c>
      <c r="K212" s="338"/>
      <c r="L212" s="338"/>
      <c r="M212" s="338"/>
      <c r="N212" s="338"/>
      <c r="O212" s="338"/>
      <c r="P212" s="338"/>
      <c r="Q212" s="338"/>
      <c r="R212" s="338"/>
      <c r="S212" s="338"/>
      <c r="T212" s="338"/>
      <c r="U212" s="338"/>
      <c r="V212" s="338"/>
      <c r="W212" s="338"/>
      <c r="X212" s="338"/>
      <c r="Y212" s="338"/>
      <c r="Z212" s="338"/>
      <c r="AA212" s="338"/>
    </row>
    <row r="213" ht="15.75" customHeight="1">
      <c r="A213" s="339">
        <v>212.0</v>
      </c>
      <c r="B213" s="343" t="s">
        <v>1584</v>
      </c>
      <c r="C213" s="339" t="s">
        <v>1585</v>
      </c>
      <c r="D213" s="339" t="s">
        <v>1586</v>
      </c>
      <c r="E213" s="339" t="s">
        <v>1587</v>
      </c>
      <c r="F213" s="345">
        <v>1.301E16</v>
      </c>
      <c r="G213" s="342"/>
      <c r="H213" s="342"/>
      <c r="I213" s="342"/>
      <c r="J213" s="342"/>
      <c r="K213" s="338"/>
      <c r="L213" s="338"/>
      <c r="M213" s="338"/>
      <c r="N213" s="338"/>
      <c r="O213" s="338"/>
      <c r="P213" s="338"/>
      <c r="Q213" s="338"/>
      <c r="R213" s="338"/>
      <c r="S213" s="338"/>
      <c r="T213" s="338"/>
      <c r="U213" s="338"/>
      <c r="V213" s="338"/>
      <c r="W213" s="338"/>
      <c r="X213" s="338"/>
      <c r="Y213" s="338"/>
      <c r="Z213" s="338"/>
      <c r="AA213" s="338"/>
    </row>
    <row r="214" ht="15.75" customHeight="1">
      <c r="A214" s="339">
        <v>213.0</v>
      </c>
      <c r="B214" s="343" t="s">
        <v>1588</v>
      </c>
      <c r="C214" s="339" t="s">
        <v>1589</v>
      </c>
      <c r="D214" s="339" t="s">
        <v>1590</v>
      </c>
      <c r="E214" s="339" t="s">
        <v>1591</v>
      </c>
      <c r="F214" s="339">
        <v>9.18254788E8</v>
      </c>
      <c r="G214" s="342"/>
      <c r="H214" s="342"/>
      <c r="I214" s="342"/>
      <c r="J214" s="342"/>
      <c r="K214" s="338"/>
      <c r="L214" s="338"/>
      <c r="M214" s="338"/>
      <c r="N214" s="338"/>
      <c r="O214" s="338"/>
      <c r="P214" s="338"/>
      <c r="Q214" s="338"/>
      <c r="R214" s="338"/>
      <c r="S214" s="338"/>
      <c r="T214" s="338"/>
      <c r="U214" s="338"/>
      <c r="V214" s="338"/>
      <c r="W214" s="338"/>
      <c r="X214" s="338"/>
      <c r="Y214" s="338"/>
      <c r="Z214" s="338"/>
      <c r="AA214" s="338"/>
    </row>
    <row r="215" ht="15.75" customHeight="1">
      <c r="A215" s="339">
        <v>214.0</v>
      </c>
      <c r="B215" s="343" t="s">
        <v>1592</v>
      </c>
      <c r="C215" s="339" t="s">
        <v>1593</v>
      </c>
      <c r="D215" s="339" t="s">
        <v>1594</v>
      </c>
      <c r="E215" s="339" t="s">
        <v>844</v>
      </c>
      <c r="F215" s="339">
        <v>1.07005243943E11</v>
      </c>
      <c r="G215" s="342"/>
      <c r="H215" s="342"/>
      <c r="I215" s="342"/>
      <c r="J215" s="342"/>
      <c r="K215" s="338"/>
      <c r="L215" s="338"/>
      <c r="M215" s="338"/>
      <c r="N215" s="338"/>
      <c r="O215" s="338"/>
      <c r="P215" s="338"/>
      <c r="Q215" s="338"/>
      <c r="R215" s="338"/>
      <c r="S215" s="338"/>
      <c r="T215" s="338"/>
      <c r="U215" s="338"/>
      <c r="V215" s="338"/>
      <c r="W215" s="338"/>
      <c r="X215" s="338"/>
      <c r="Y215" s="338"/>
      <c r="Z215" s="338"/>
      <c r="AA215" s="338"/>
    </row>
    <row r="216" ht="15.75" customHeight="1">
      <c r="A216" s="339">
        <v>215.0</v>
      </c>
      <c r="B216" s="343" t="s">
        <v>1595</v>
      </c>
      <c r="C216" s="339" t="s">
        <v>1596</v>
      </c>
      <c r="D216" s="339" t="s">
        <v>1288</v>
      </c>
      <c r="E216" s="339" t="s">
        <v>1597</v>
      </c>
      <c r="F216" s="339">
        <v>8825237.0</v>
      </c>
      <c r="G216" s="342"/>
      <c r="H216" s="342"/>
      <c r="I216" s="342"/>
      <c r="J216" s="342"/>
      <c r="K216" s="338"/>
      <c r="L216" s="338"/>
      <c r="M216" s="338"/>
      <c r="N216" s="338"/>
      <c r="O216" s="338"/>
      <c r="P216" s="338"/>
      <c r="Q216" s="338"/>
      <c r="R216" s="338"/>
      <c r="S216" s="338"/>
      <c r="T216" s="338"/>
      <c r="U216" s="338"/>
      <c r="V216" s="338"/>
      <c r="W216" s="338"/>
      <c r="X216" s="338"/>
      <c r="Y216" s="338"/>
      <c r="Z216" s="338"/>
      <c r="AA216" s="338"/>
    </row>
    <row r="217" ht="15.75" customHeight="1">
      <c r="A217" s="339">
        <v>216.0</v>
      </c>
      <c r="B217" s="343" t="s">
        <v>1598</v>
      </c>
      <c r="C217" s="339" t="s">
        <v>1599</v>
      </c>
      <c r="D217" s="339" t="s">
        <v>1099</v>
      </c>
      <c r="E217" s="339" t="s">
        <v>1600</v>
      </c>
      <c r="F217" s="339">
        <v>1.9038075610015E13</v>
      </c>
      <c r="G217" s="342" t="s">
        <v>1598</v>
      </c>
      <c r="H217" s="342"/>
      <c r="I217" s="342"/>
      <c r="J217" s="342" t="s">
        <v>927</v>
      </c>
      <c r="K217" s="338"/>
      <c r="L217" s="338"/>
      <c r="M217" s="338"/>
      <c r="N217" s="338"/>
      <c r="O217" s="338"/>
      <c r="P217" s="338"/>
      <c r="Q217" s="338"/>
      <c r="R217" s="338"/>
      <c r="S217" s="338"/>
      <c r="T217" s="338"/>
      <c r="U217" s="338"/>
      <c r="V217" s="338"/>
      <c r="W217" s="338"/>
      <c r="X217" s="338"/>
      <c r="Y217" s="338"/>
      <c r="Z217" s="338"/>
      <c r="AA217" s="338"/>
    </row>
    <row r="218" ht="15.75" customHeight="1">
      <c r="A218" s="339">
        <v>217.0</v>
      </c>
      <c r="B218" s="343" t="s">
        <v>1601</v>
      </c>
      <c r="C218" s="339" t="s">
        <v>1602</v>
      </c>
      <c r="D218" s="339" t="s">
        <v>1082</v>
      </c>
      <c r="E218" s="339" t="s">
        <v>1603</v>
      </c>
      <c r="F218" s="339">
        <v>5.31002513018E11</v>
      </c>
      <c r="G218" s="342"/>
      <c r="H218" s="342"/>
      <c r="I218" s="342"/>
      <c r="J218" s="342"/>
      <c r="K218" s="338"/>
      <c r="L218" s="338"/>
      <c r="M218" s="338"/>
      <c r="N218" s="338"/>
      <c r="O218" s="338"/>
      <c r="P218" s="338"/>
      <c r="Q218" s="338"/>
      <c r="R218" s="338"/>
      <c r="S218" s="338"/>
      <c r="T218" s="338"/>
      <c r="U218" s="338"/>
      <c r="V218" s="338"/>
      <c r="W218" s="338"/>
      <c r="X218" s="338"/>
      <c r="Y218" s="338"/>
      <c r="Z218" s="338"/>
      <c r="AA218" s="338"/>
    </row>
    <row r="219" ht="15.75" customHeight="1">
      <c r="A219" s="339">
        <v>218.0</v>
      </c>
      <c r="B219" s="339" t="s">
        <v>1604</v>
      </c>
      <c r="C219" s="339" t="s">
        <v>1605</v>
      </c>
      <c r="D219" s="339" t="s">
        <v>1067</v>
      </c>
      <c r="E219" s="339" t="s">
        <v>1606</v>
      </c>
      <c r="F219" s="339">
        <v>4.20020521991E12</v>
      </c>
      <c r="G219" s="342"/>
      <c r="H219" s="342"/>
      <c r="I219" s="342"/>
      <c r="J219" s="342"/>
      <c r="K219" s="338"/>
      <c r="L219" s="338"/>
      <c r="M219" s="338"/>
      <c r="N219" s="338"/>
      <c r="O219" s="338"/>
      <c r="P219" s="338"/>
      <c r="Q219" s="338"/>
      <c r="R219" s="338"/>
      <c r="S219" s="338"/>
      <c r="T219" s="338"/>
      <c r="U219" s="338"/>
      <c r="V219" s="338"/>
      <c r="W219" s="338"/>
      <c r="X219" s="338"/>
      <c r="Y219" s="338"/>
      <c r="Z219" s="338"/>
      <c r="AA219" s="338"/>
    </row>
    <row r="220" ht="15.75" customHeight="1">
      <c r="A220" s="339">
        <v>219.0</v>
      </c>
      <c r="B220" s="339" t="s">
        <v>800</v>
      </c>
      <c r="C220" s="339" t="s">
        <v>801</v>
      </c>
      <c r="D220" s="339" t="s">
        <v>1594</v>
      </c>
      <c r="E220" s="339" t="s">
        <v>804</v>
      </c>
      <c r="F220" s="339">
        <v>6.5010000168854E13</v>
      </c>
      <c r="G220" s="339" t="s">
        <v>800</v>
      </c>
      <c r="H220" s="342" t="s">
        <v>659</v>
      </c>
      <c r="I220" s="342">
        <v>6.501168854E9</v>
      </c>
      <c r="J220" s="342" t="s">
        <v>532</v>
      </c>
      <c r="K220" s="338"/>
      <c r="L220" s="338"/>
      <c r="M220" s="338"/>
      <c r="N220" s="338"/>
      <c r="O220" s="338"/>
      <c r="P220" s="338"/>
      <c r="Q220" s="338"/>
      <c r="R220" s="338"/>
      <c r="S220" s="338"/>
      <c r="T220" s="338"/>
      <c r="U220" s="338"/>
      <c r="V220" s="338"/>
      <c r="W220" s="338"/>
      <c r="X220" s="338"/>
      <c r="Y220" s="338"/>
      <c r="Z220" s="338"/>
      <c r="AA220" s="338"/>
    </row>
    <row r="221" ht="15.75" customHeight="1">
      <c r="A221" s="339">
        <v>220.0</v>
      </c>
      <c r="B221" s="343" t="s">
        <v>1607</v>
      </c>
      <c r="C221" s="339" t="s">
        <v>1608</v>
      </c>
      <c r="D221" s="339" t="s">
        <v>1609</v>
      </c>
      <c r="E221" s="339" t="s">
        <v>659</v>
      </c>
      <c r="F221" s="339">
        <v>6.5010002411332E13</v>
      </c>
      <c r="G221" s="342"/>
      <c r="H221" s="342"/>
      <c r="I221" s="342"/>
      <c r="J221" s="342"/>
      <c r="K221" s="338"/>
      <c r="L221" s="338"/>
      <c r="M221" s="338"/>
      <c r="N221" s="338"/>
      <c r="O221" s="338"/>
      <c r="P221" s="338"/>
      <c r="Q221" s="338"/>
      <c r="R221" s="338"/>
      <c r="S221" s="338"/>
      <c r="T221" s="338"/>
      <c r="U221" s="338"/>
      <c r="V221" s="338"/>
      <c r="W221" s="338"/>
      <c r="X221" s="338"/>
      <c r="Y221" s="338"/>
      <c r="Z221" s="338"/>
      <c r="AA221" s="338"/>
    </row>
    <row r="222" ht="15.75" customHeight="1">
      <c r="A222" s="339">
        <v>221.0</v>
      </c>
      <c r="B222" s="343" t="s">
        <v>1610</v>
      </c>
      <c r="C222" s="339" t="s">
        <v>1611</v>
      </c>
      <c r="D222" s="339" t="s">
        <v>1612</v>
      </c>
      <c r="E222" s="339" t="s">
        <v>1613</v>
      </c>
      <c r="F222" s="339">
        <v>6.44021505697E12</v>
      </c>
      <c r="G222" s="342"/>
      <c r="H222" s="342"/>
      <c r="I222" s="342"/>
      <c r="J222" s="342"/>
      <c r="K222" s="338"/>
      <c r="L222" s="338"/>
      <c r="M222" s="338"/>
      <c r="N222" s="338"/>
      <c r="O222" s="338"/>
      <c r="P222" s="338"/>
      <c r="Q222" s="338"/>
      <c r="R222" s="338"/>
      <c r="S222" s="338"/>
      <c r="T222" s="338"/>
      <c r="U222" s="338"/>
      <c r="V222" s="338"/>
      <c r="W222" s="338"/>
      <c r="X222" s="338"/>
      <c r="Y222" s="338"/>
      <c r="Z222" s="338"/>
      <c r="AA222" s="338"/>
    </row>
    <row r="223" ht="15.75" customHeight="1">
      <c r="A223" s="339">
        <v>222.0</v>
      </c>
      <c r="B223" s="339" t="s">
        <v>1614</v>
      </c>
      <c r="C223" s="339" t="s">
        <v>1615</v>
      </c>
      <c r="D223" s="339" t="s">
        <v>1495</v>
      </c>
      <c r="E223" s="339" t="s">
        <v>1616</v>
      </c>
      <c r="F223" s="339">
        <v>1.9035614202016E13</v>
      </c>
      <c r="G223" s="342"/>
      <c r="H223" s="342"/>
      <c r="I223" s="342"/>
      <c r="J223" s="342"/>
      <c r="K223" s="338"/>
      <c r="L223" s="338"/>
      <c r="M223" s="338"/>
      <c r="N223" s="338"/>
      <c r="O223" s="338"/>
      <c r="P223" s="338"/>
      <c r="Q223" s="338"/>
      <c r="R223" s="338"/>
      <c r="S223" s="338"/>
      <c r="T223" s="338"/>
      <c r="U223" s="338"/>
      <c r="V223" s="338"/>
      <c r="W223" s="338"/>
      <c r="X223" s="338"/>
      <c r="Y223" s="338"/>
      <c r="Z223" s="338"/>
      <c r="AA223" s="338"/>
    </row>
    <row r="224" ht="15.75" customHeight="1">
      <c r="A224" s="339">
        <v>223.0</v>
      </c>
      <c r="B224" s="339" t="s">
        <v>1617</v>
      </c>
      <c r="C224" s="339" t="s">
        <v>1618</v>
      </c>
      <c r="D224" s="339" t="s">
        <v>1274</v>
      </c>
      <c r="E224" s="339" t="s">
        <v>1619</v>
      </c>
      <c r="F224" s="339">
        <v>1.1524612772011E13</v>
      </c>
      <c r="G224" s="342"/>
      <c r="H224" s="342"/>
      <c r="I224" s="342"/>
      <c r="J224" s="342"/>
      <c r="K224" s="338"/>
      <c r="L224" s="338"/>
      <c r="M224" s="338"/>
      <c r="N224" s="338"/>
      <c r="O224" s="338"/>
      <c r="P224" s="338"/>
      <c r="Q224" s="338"/>
      <c r="R224" s="338"/>
      <c r="S224" s="338"/>
      <c r="T224" s="338"/>
      <c r="U224" s="338"/>
      <c r="V224" s="338"/>
      <c r="W224" s="338"/>
      <c r="X224" s="338"/>
      <c r="Y224" s="338"/>
      <c r="Z224" s="338"/>
      <c r="AA224" s="338"/>
    </row>
    <row r="225" ht="15.75" customHeight="1">
      <c r="A225" s="339">
        <v>224.0</v>
      </c>
      <c r="B225" s="339" t="s">
        <v>1620</v>
      </c>
      <c r="C225" s="339" t="s">
        <v>1621</v>
      </c>
      <c r="D225" s="339" t="s">
        <v>1622</v>
      </c>
      <c r="E225" s="339" t="s">
        <v>1623</v>
      </c>
      <c r="F225" s="339">
        <v>4.510134343349E12</v>
      </c>
      <c r="G225" s="342"/>
      <c r="H225" s="342"/>
      <c r="I225" s="342"/>
      <c r="J225" s="342"/>
      <c r="K225" s="338"/>
      <c r="L225" s="338"/>
      <c r="M225" s="338"/>
      <c r="N225" s="338"/>
      <c r="O225" s="338"/>
      <c r="P225" s="338"/>
      <c r="Q225" s="338"/>
      <c r="R225" s="338"/>
      <c r="S225" s="338"/>
      <c r="T225" s="338"/>
      <c r="U225" s="338"/>
      <c r="V225" s="338"/>
      <c r="W225" s="338"/>
      <c r="X225" s="338"/>
      <c r="Y225" s="338"/>
      <c r="Z225" s="338"/>
      <c r="AA225" s="338"/>
    </row>
    <row r="226" ht="15.75" customHeight="1">
      <c r="A226" s="339">
        <v>225.0</v>
      </c>
      <c r="B226" s="339" t="s">
        <v>1624</v>
      </c>
      <c r="C226" s="339" t="s">
        <v>397</v>
      </c>
      <c r="D226" s="339" t="s">
        <v>1288</v>
      </c>
      <c r="E226" s="339" t="s">
        <v>950</v>
      </c>
      <c r="F226" s="339">
        <v>1.450251159205E12</v>
      </c>
      <c r="G226" s="342"/>
      <c r="H226" s="342"/>
      <c r="I226" s="342"/>
      <c r="J226" s="342"/>
      <c r="K226" s="338"/>
      <c r="L226" s="338"/>
      <c r="M226" s="338"/>
      <c r="N226" s="338"/>
      <c r="O226" s="338"/>
      <c r="P226" s="338"/>
      <c r="Q226" s="338"/>
      <c r="R226" s="338"/>
      <c r="S226" s="338"/>
      <c r="T226" s="338"/>
      <c r="U226" s="338"/>
      <c r="V226" s="338"/>
      <c r="W226" s="338"/>
      <c r="X226" s="338"/>
      <c r="Y226" s="338"/>
      <c r="Z226" s="338"/>
      <c r="AA226" s="338"/>
    </row>
    <row r="227" ht="15.75" customHeight="1">
      <c r="A227" s="339">
        <v>226.0</v>
      </c>
      <c r="B227" s="339" t="s">
        <v>1625</v>
      </c>
      <c r="C227" s="339" t="s">
        <v>1626</v>
      </c>
      <c r="D227" s="339" t="s">
        <v>1252</v>
      </c>
      <c r="E227" s="339" t="s">
        <v>692</v>
      </c>
      <c r="F227" s="339">
        <v>3.560103388558E12</v>
      </c>
      <c r="G227" s="342"/>
      <c r="H227" s="342"/>
      <c r="I227" s="342"/>
      <c r="J227" s="342"/>
      <c r="K227" s="338"/>
      <c r="L227" s="338"/>
      <c r="M227" s="338"/>
      <c r="N227" s="338"/>
      <c r="O227" s="338"/>
      <c r="P227" s="338"/>
      <c r="Q227" s="338"/>
      <c r="R227" s="338"/>
      <c r="S227" s="338"/>
      <c r="T227" s="338"/>
      <c r="U227" s="338"/>
      <c r="V227" s="338"/>
      <c r="W227" s="338"/>
      <c r="X227" s="338"/>
      <c r="Y227" s="338"/>
      <c r="Z227" s="338"/>
      <c r="AA227" s="338"/>
    </row>
    <row r="228" ht="15.75" customHeight="1">
      <c r="A228" s="339">
        <v>227.0</v>
      </c>
      <c r="B228" s="343" t="s">
        <v>1627</v>
      </c>
      <c r="C228" s="339" t="s">
        <v>1628</v>
      </c>
      <c r="D228" s="339" t="s">
        <v>1594</v>
      </c>
      <c r="E228" s="339" t="s">
        <v>1629</v>
      </c>
      <c r="F228" s="339">
        <v>1.016117546E9</v>
      </c>
      <c r="G228" s="342"/>
      <c r="H228" s="342"/>
      <c r="I228" s="342"/>
      <c r="J228" s="342"/>
      <c r="K228" s="338"/>
      <c r="L228" s="338"/>
      <c r="M228" s="338"/>
      <c r="N228" s="338"/>
      <c r="O228" s="338"/>
      <c r="P228" s="338"/>
      <c r="Q228" s="338"/>
      <c r="R228" s="338"/>
      <c r="S228" s="338"/>
      <c r="T228" s="338"/>
      <c r="U228" s="338"/>
      <c r="V228" s="338"/>
      <c r="W228" s="338"/>
      <c r="X228" s="338"/>
      <c r="Y228" s="338"/>
      <c r="Z228" s="338"/>
      <c r="AA228" s="338"/>
    </row>
    <row r="229" ht="15.75" customHeight="1">
      <c r="A229" s="339">
        <v>228.0</v>
      </c>
      <c r="B229" s="339" t="s">
        <v>1630</v>
      </c>
      <c r="C229" s="339" t="s">
        <v>1631</v>
      </c>
      <c r="D229" s="339" t="s">
        <v>1632</v>
      </c>
      <c r="E229" s="339" t="s">
        <v>1633</v>
      </c>
      <c r="F229" s="339">
        <v>2.51002709139E11</v>
      </c>
      <c r="G229" s="342"/>
      <c r="H229" s="342"/>
      <c r="I229" s="342"/>
      <c r="J229" s="342"/>
      <c r="K229" s="338"/>
      <c r="L229" s="338"/>
      <c r="M229" s="338"/>
      <c r="N229" s="338"/>
      <c r="O229" s="338"/>
      <c r="P229" s="338"/>
      <c r="Q229" s="338"/>
      <c r="R229" s="338"/>
      <c r="S229" s="338"/>
      <c r="T229" s="338"/>
      <c r="U229" s="338"/>
      <c r="V229" s="338"/>
      <c r="W229" s="338"/>
      <c r="X229" s="338"/>
      <c r="Y229" s="338"/>
      <c r="Z229" s="338"/>
      <c r="AA229" s="338"/>
    </row>
    <row r="230" ht="15.75" customHeight="1">
      <c r="A230" s="339">
        <v>229.0</v>
      </c>
      <c r="B230" s="339" t="s">
        <v>1634</v>
      </c>
      <c r="C230" s="339" t="s">
        <v>1635</v>
      </c>
      <c r="D230" s="339" t="s">
        <v>1636</v>
      </c>
      <c r="E230" s="339" t="s">
        <v>1637</v>
      </c>
      <c r="F230" s="339">
        <v>1.9035167540014E13</v>
      </c>
      <c r="G230" s="342"/>
      <c r="H230" s="342"/>
      <c r="I230" s="342"/>
      <c r="J230" s="342"/>
      <c r="K230" s="338"/>
      <c r="L230" s="338"/>
      <c r="M230" s="338"/>
      <c r="N230" s="338"/>
      <c r="O230" s="338"/>
      <c r="P230" s="338"/>
      <c r="Q230" s="338"/>
      <c r="R230" s="338"/>
      <c r="S230" s="338"/>
      <c r="T230" s="338"/>
      <c r="U230" s="338"/>
      <c r="V230" s="338"/>
      <c r="W230" s="338"/>
      <c r="X230" s="338"/>
      <c r="Y230" s="338"/>
      <c r="Z230" s="338"/>
      <c r="AA230" s="338"/>
    </row>
    <row r="231" ht="15.75" customHeight="1">
      <c r="A231" s="339">
        <v>230.0</v>
      </c>
      <c r="B231" s="339" t="s">
        <v>1638</v>
      </c>
      <c r="C231" s="339" t="s">
        <v>1639</v>
      </c>
      <c r="D231" s="339" t="s">
        <v>1640</v>
      </c>
      <c r="E231" s="339" t="s">
        <v>1641</v>
      </c>
      <c r="F231" s="339">
        <v>1.9036882848014E13</v>
      </c>
      <c r="G231" s="342"/>
      <c r="H231" s="342"/>
      <c r="I231" s="342"/>
      <c r="J231" s="342"/>
      <c r="K231" s="338"/>
      <c r="L231" s="338"/>
      <c r="M231" s="338"/>
      <c r="N231" s="338"/>
      <c r="O231" s="338"/>
      <c r="P231" s="338"/>
      <c r="Q231" s="338"/>
      <c r="R231" s="338"/>
      <c r="S231" s="338"/>
      <c r="T231" s="338"/>
      <c r="U231" s="338"/>
      <c r="V231" s="338"/>
      <c r="W231" s="338"/>
      <c r="X231" s="338"/>
      <c r="Y231" s="338"/>
      <c r="Z231" s="338"/>
      <c r="AA231" s="338"/>
    </row>
    <row r="232" ht="15.75" customHeight="1">
      <c r="A232" s="339">
        <v>231.0</v>
      </c>
      <c r="B232" s="339" t="s">
        <v>1642</v>
      </c>
      <c r="C232" s="339" t="s">
        <v>1643</v>
      </c>
      <c r="D232" s="339" t="s">
        <v>1455</v>
      </c>
      <c r="E232" s="339"/>
      <c r="F232" s="339"/>
      <c r="G232" s="342"/>
      <c r="H232" s="342"/>
      <c r="I232" s="342"/>
      <c r="J232" s="342"/>
      <c r="K232" s="338"/>
      <c r="L232" s="338"/>
      <c r="M232" s="338"/>
      <c r="N232" s="338"/>
      <c r="O232" s="338"/>
      <c r="P232" s="338"/>
      <c r="Q232" s="338"/>
      <c r="R232" s="338"/>
      <c r="S232" s="338"/>
      <c r="T232" s="338"/>
      <c r="U232" s="338"/>
      <c r="V232" s="338"/>
      <c r="W232" s="338"/>
      <c r="X232" s="338"/>
      <c r="Y232" s="338"/>
      <c r="Z232" s="338"/>
      <c r="AA232" s="338"/>
    </row>
    <row r="233" ht="15.75" customHeight="1">
      <c r="A233" s="339">
        <v>232.0</v>
      </c>
      <c r="B233" s="339" t="s">
        <v>1644</v>
      </c>
      <c r="C233" s="339" t="s">
        <v>1645</v>
      </c>
      <c r="D233" s="339" t="s">
        <v>1012</v>
      </c>
      <c r="E233" s="339" t="s">
        <v>1646</v>
      </c>
      <c r="F233" s="339">
        <v>5.001012929012E12</v>
      </c>
      <c r="G233" s="342"/>
      <c r="H233" s="342"/>
      <c r="I233" s="342"/>
      <c r="J233" s="342"/>
      <c r="K233" s="338"/>
      <c r="L233" s="338"/>
      <c r="M233" s="338"/>
      <c r="N233" s="338"/>
      <c r="O233" s="338"/>
      <c r="P233" s="338"/>
      <c r="Q233" s="338"/>
      <c r="R233" s="338"/>
      <c r="S233" s="338"/>
      <c r="T233" s="338"/>
      <c r="U233" s="338"/>
      <c r="V233" s="338"/>
      <c r="W233" s="338"/>
      <c r="X233" s="338"/>
      <c r="Y233" s="338"/>
      <c r="Z233" s="338"/>
      <c r="AA233" s="338"/>
    </row>
    <row r="234" ht="15.75" customHeight="1">
      <c r="A234" s="339">
        <v>233.0</v>
      </c>
      <c r="B234" s="343" t="s">
        <v>1647</v>
      </c>
      <c r="C234" s="339" t="s">
        <v>1648</v>
      </c>
      <c r="D234" s="339" t="s">
        <v>1427</v>
      </c>
      <c r="E234" s="339" t="s">
        <v>1649</v>
      </c>
      <c r="F234" s="339">
        <v>1.9027418267026E13</v>
      </c>
      <c r="G234" s="342"/>
      <c r="H234" s="342"/>
      <c r="I234" s="342"/>
      <c r="J234" s="342"/>
      <c r="K234" s="338"/>
      <c r="L234" s="338"/>
      <c r="M234" s="338"/>
      <c r="N234" s="338"/>
      <c r="O234" s="338"/>
      <c r="P234" s="338"/>
      <c r="Q234" s="338"/>
      <c r="R234" s="338"/>
      <c r="S234" s="338"/>
      <c r="T234" s="338"/>
      <c r="U234" s="338"/>
      <c r="V234" s="338"/>
      <c r="W234" s="338"/>
      <c r="X234" s="338"/>
      <c r="Y234" s="338"/>
      <c r="Z234" s="338"/>
      <c r="AA234" s="338"/>
    </row>
    <row r="235" ht="15.75" customHeight="1">
      <c r="A235" s="339">
        <v>234.0</v>
      </c>
      <c r="B235" s="339" t="s">
        <v>1650</v>
      </c>
      <c r="C235" s="339" t="s">
        <v>1651</v>
      </c>
      <c r="D235" s="339" t="s">
        <v>1652</v>
      </c>
      <c r="E235" s="339" t="s">
        <v>1653</v>
      </c>
      <c r="F235" s="339">
        <v>3.9010000909191E13</v>
      </c>
      <c r="G235" s="342"/>
      <c r="H235" s="342"/>
      <c r="I235" s="342"/>
      <c r="J235" s="342"/>
      <c r="K235" s="338"/>
      <c r="L235" s="338"/>
      <c r="M235" s="338"/>
      <c r="N235" s="338"/>
      <c r="O235" s="338"/>
      <c r="P235" s="338"/>
      <c r="Q235" s="338"/>
      <c r="R235" s="338"/>
      <c r="S235" s="338"/>
      <c r="T235" s="338"/>
      <c r="U235" s="338"/>
      <c r="V235" s="338"/>
      <c r="W235" s="338"/>
      <c r="X235" s="338"/>
      <c r="Y235" s="338"/>
      <c r="Z235" s="338"/>
      <c r="AA235" s="338"/>
    </row>
    <row r="236" ht="15.75" customHeight="1">
      <c r="A236" s="339">
        <v>235.0</v>
      </c>
      <c r="B236" s="339" t="s">
        <v>1654</v>
      </c>
      <c r="C236" s="340" t="s">
        <v>1655</v>
      </c>
      <c r="D236" s="339" t="s">
        <v>967</v>
      </c>
      <c r="E236" s="339" t="s">
        <v>950</v>
      </c>
      <c r="F236" s="339">
        <v>2.505205406375E12</v>
      </c>
      <c r="G236" s="342"/>
      <c r="H236" s="342"/>
      <c r="I236" s="342"/>
      <c r="J236" s="342"/>
      <c r="K236" s="338"/>
      <c r="L236" s="338"/>
      <c r="M236" s="338"/>
      <c r="N236" s="338"/>
      <c r="O236" s="338"/>
      <c r="P236" s="338"/>
      <c r="Q236" s="338"/>
      <c r="R236" s="338"/>
      <c r="S236" s="338"/>
      <c r="T236" s="338"/>
      <c r="U236" s="338"/>
      <c r="V236" s="338"/>
      <c r="W236" s="338"/>
      <c r="X236" s="338"/>
      <c r="Y236" s="338"/>
      <c r="Z236" s="338"/>
      <c r="AA236" s="338"/>
    </row>
    <row r="237" ht="15.75" customHeight="1">
      <c r="A237" s="339">
        <v>236.0</v>
      </c>
      <c r="B237" s="339" t="s">
        <v>1656</v>
      </c>
      <c r="C237" s="340" t="s">
        <v>1655</v>
      </c>
      <c r="D237" s="339" t="s">
        <v>967</v>
      </c>
      <c r="E237" s="339" t="s">
        <v>950</v>
      </c>
      <c r="F237" s="339">
        <v>2.505205406375E12</v>
      </c>
      <c r="G237" s="342"/>
      <c r="H237" s="342"/>
      <c r="I237" s="342"/>
      <c r="J237" s="342"/>
      <c r="K237" s="338"/>
      <c r="L237" s="338"/>
      <c r="M237" s="338"/>
      <c r="N237" s="338"/>
      <c r="O237" s="338"/>
      <c r="P237" s="338"/>
      <c r="Q237" s="338"/>
      <c r="R237" s="338"/>
      <c r="S237" s="338"/>
      <c r="T237" s="338"/>
      <c r="U237" s="338"/>
      <c r="V237" s="338"/>
      <c r="W237" s="338"/>
      <c r="X237" s="338"/>
      <c r="Y237" s="338"/>
      <c r="Z237" s="338"/>
      <c r="AA237" s="338"/>
    </row>
    <row r="238" ht="15.75" customHeight="1">
      <c r="A238" s="339">
        <v>237.0</v>
      </c>
      <c r="B238" s="343" t="s">
        <v>1657</v>
      </c>
      <c r="C238" s="339" t="s">
        <v>1658</v>
      </c>
      <c r="D238" s="339" t="s">
        <v>1024</v>
      </c>
      <c r="E238" s="339" t="s">
        <v>1659</v>
      </c>
      <c r="F238" s="345">
        <v>1.02004E16</v>
      </c>
      <c r="G238" s="342"/>
      <c r="H238" s="342"/>
      <c r="I238" s="342"/>
      <c r="J238" s="342"/>
      <c r="K238" s="338"/>
      <c r="L238" s="338"/>
      <c r="M238" s="338"/>
      <c r="N238" s="338"/>
      <c r="O238" s="338"/>
      <c r="P238" s="338"/>
      <c r="Q238" s="338"/>
      <c r="R238" s="338"/>
      <c r="S238" s="338"/>
      <c r="T238" s="338"/>
      <c r="U238" s="338"/>
      <c r="V238" s="338"/>
      <c r="W238" s="338"/>
      <c r="X238" s="338"/>
      <c r="Y238" s="338"/>
      <c r="Z238" s="338"/>
      <c r="AA238" s="338"/>
    </row>
    <row r="239" ht="15.75" customHeight="1">
      <c r="A239" s="339">
        <v>238.0</v>
      </c>
      <c r="B239" s="339" t="s">
        <v>1660</v>
      </c>
      <c r="C239" s="339" t="s">
        <v>1661</v>
      </c>
      <c r="D239" s="339" t="s">
        <v>994</v>
      </c>
      <c r="E239" s="339" t="s">
        <v>1662</v>
      </c>
      <c r="F239" s="339">
        <v>3.901000062773E13</v>
      </c>
      <c r="G239" s="339" t="s">
        <v>1660</v>
      </c>
      <c r="H239" s="342" t="s">
        <v>1277</v>
      </c>
      <c r="I239" s="339">
        <v>3.90062773E9</v>
      </c>
      <c r="J239" s="342" t="s">
        <v>1056</v>
      </c>
      <c r="K239" s="338"/>
      <c r="L239" s="338"/>
      <c r="M239" s="338"/>
      <c r="N239" s="338"/>
      <c r="O239" s="338"/>
      <c r="P239" s="338"/>
      <c r="Q239" s="338"/>
      <c r="R239" s="338"/>
      <c r="S239" s="338"/>
      <c r="T239" s="338"/>
      <c r="U239" s="338"/>
      <c r="V239" s="338"/>
      <c r="W239" s="338"/>
      <c r="X239" s="338"/>
      <c r="Y239" s="338"/>
      <c r="Z239" s="338"/>
      <c r="AA239" s="338"/>
    </row>
    <row r="240" ht="15.75" customHeight="1">
      <c r="A240" s="339">
        <v>239.0</v>
      </c>
      <c r="B240" s="339" t="s">
        <v>1663</v>
      </c>
      <c r="C240" s="340" t="s">
        <v>1664</v>
      </c>
      <c r="D240" s="339" t="s">
        <v>1590</v>
      </c>
      <c r="E240" s="339" t="s">
        <v>1665</v>
      </c>
      <c r="F240" s="339">
        <v>8.500215005421E12</v>
      </c>
      <c r="G240" s="342"/>
      <c r="H240" s="342"/>
      <c r="I240" s="342"/>
      <c r="J240" s="342"/>
      <c r="K240" s="338"/>
      <c r="L240" s="338"/>
      <c r="M240" s="338"/>
      <c r="N240" s="338"/>
      <c r="O240" s="338"/>
      <c r="P240" s="338"/>
      <c r="Q240" s="338"/>
      <c r="R240" s="338"/>
      <c r="S240" s="338"/>
      <c r="T240" s="338"/>
      <c r="U240" s="338"/>
      <c r="V240" s="338"/>
      <c r="W240" s="338"/>
      <c r="X240" s="338"/>
      <c r="Y240" s="338"/>
      <c r="Z240" s="338"/>
      <c r="AA240" s="338"/>
    </row>
    <row r="241" ht="15.75" customHeight="1">
      <c r="A241" s="339">
        <v>240.0</v>
      </c>
      <c r="B241" s="339" t="s">
        <v>1666</v>
      </c>
      <c r="C241" s="339" t="s">
        <v>1667</v>
      </c>
      <c r="D241" s="339" t="s">
        <v>1270</v>
      </c>
      <c r="E241" s="339" t="s">
        <v>1668</v>
      </c>
      <c r="F241" s="345">
        <v>8.50022E17</v>
      </c>
      <c r="G241" s="342"/>
      <c r="H241" s="342"/>
      <c r="I241" s="342"/>
      <c r="J241" s="342"/>
      <c r="K241" s="338"/>
      <c r="L241" s="338"/>
      <c r="M241" s="338"/>
      <c r="N241" s="338"/>
      <c r="O241" s="338"/>
      <c r="P241" s="338"/>
      <c r="Q241" s="338"/>
      <c r="R241" s="338"/>
      <c r="S241" s="338"/>
      <c r="T241" s="338"/>
      <c r="U241" s="338"/>
      <c r="V241" s="338"/>
      <c r="W241" s="338"/>
      <c r="X241" s="338"/>
      <c r="Y241" s="338"/>
      <c r="Z241" s="338"/>
      <c r="AA241" s="338"/>
    </row>
    <row r="242" ht="15.75" customHeight="1">
      <c r="A242" s="339">
        <v>241.0</v>
      </c>
      <c r="B242" s="343" t="s">
        <v>1669</v>
      </c>
      <c r="C242" s="339" t="s">
        <v>1670</v>
      </c>
      <c r="D242" s="339" t="s">
        <v>967</v>
      </c>
      <c r="E242" s="339" t="s">
        <v>1671</v>
      </c>
      <c r="F242" s="339">
        <v>5.30021507302E12</v>
      </c>
      <c r="G242" s="342"/>
      <c r="H242" s="342"/>
      <c r="I242" s="342"/>
      <c r="J242" s="342"/>
      <c r="K242" s="338"/>
      <c r="L242" s="338"/>
      <c r="M242" s="338"/>
      <c r="N242" s="338"/>
      <c r="O242" s="338"/>
      <c r="P242" s="338"/>
      <c r="Q242" s="338"/>
      <c r="R242" s="338"/>
      <c r="S242" s="338"/>
      <c r="T242" s="338"/>
      <c r="U242" s="338"/>
      <c r="V242" s="338"/>
      <c r="W242" s="338"/>
      <c r="X242" s="338"/>
      <c r="Y242" s="338"/>
      <c r="Z242" s="338"/>
      <c r="AA242" s="338"/>
    </row>
    <row r="243" ht="15.75" customHeight="1">
      <c r="A243" s="339">
        <v>242.0</v>
      </c>
      <c r="B243" s="343" t="s">
        <v>1672</v>
      </c>
      <c r="C243" s="339" t="s">
        <v>1673</v>
      </c>
      <c r="D243" s="339" t="s">
        <v>1241</v>
      </c>
      <c r="E243" s="339" t="s">
        <v>1674</v>
      </c>
      <c r="F243" s="345">
        <v>1.08003E16</v>
      </c>
      <c r="G243" s="342"/>
      <c r="H243" s="342"/>
      <c r="I243" s="342"/>
      <c r="J243" s="342"/>
      <c r="K243" s="338"/>
      <c r="L243" s="338"/>
      <c r="M243" s="338"/>
      <c r="N243" s="338"/>
      <c r="O243" s="338"/>
      <c r="P243" s="338"/>
      <c r="Q243" s="338"/>
      <c r="R243" s="338"/>
      <c r="S243" s="338"/>
      <c r="T243" s="338"/>
      <c r="U243" s="338"/>
      <c r="V243" s="338"/>
      <c r="W243" s="338"/>
      <c r="X243" s="338"/>
      <c r="Y243" s="338"/>
      <c r="Z243" s="338"/>
      <c r="AA243" s="338"/>
    </row>
    <row r="244" ht="15.75" customHeight="1">
      <c r="A244" s="339">
        <v>243.0</v>
      </c>
      <c r="B244" s="343" t="s">
        <v>1675</v>
      </c>
      <c r="C244" s="339" t="s">
        <v>1676</v>
      </c>
      <c r="D244" s="339" t="s">
        <v>994</v>
      </c>
      <c r="E244" s="339" t="s">
        <v>1677</v>
      </c>
      <c r="F244" s="339">
        <v>6.160215012638E12</v>
      </c>
      <c r="G244" s="342"/>
      <c r="H244" s="342"/>
      <c r="I244" s="342"/>
      <c r="J244" s="342"/>
      <c r="K244" s="338"/>
      <c r="L244" s="338"/>
      <c r="M244" s="338"/>
      <c r="N244" s="338"/>
      <c r="O244" s="338"/>
      <c r="P244" s="338"/>
      <c r="Q244" s="338"/>
      <c r="R244" s="338"/>
      <c r="S244" s="338"/>
      <c r="T244" s="338"/>
      <c r="U244" s="338"/>
      <c r="V244" s="338"/>
      <c r="W244" s="338"/>
      <c r="X244" s="338"/>
      <c r="Y244" s="338"/>
      <c r="Z244" s="338"/>
      <c r="AA244" s="338"/>
    </row>
    <row r="245" ht="15.75" customHeight="1">
      <c r="A245" s="339">
        <v>244.0</v>
      </c>
      <c r="B245" s="343" t="s">
        <v>1678</v>
      </c>
      <c r="C245" s="339" t="s">
        <v>585</v>
      </c>
      <c r="D245" s="339" t="s">
        <v>1160</v>
      </c>
      <c r="E245" s="339" t="s">
        <v>1679</v>
      </c>
      <c r="F245" s="339">
        <v>3.9510000043526E13</v>
      </c>
      <c r="G245" s="342"/>
      <c r="H245" s="342"/>
      <c r="I245" s="342"/>
      <c r="J245" s="342"/>
      <c r="K245" s="338"/>
      <c r="L245" s="338"/>
      <c r="M245" s="338"/>
      <c r="N245" s="338"/>
      <c r="O245" s="338"/>
      <c r="P245" s="338"/>
      <c r="Q245" s="338"/>
      <c r="R245" s="338"/>
      <c r="S245" s="338"/>
      <c r="T245" s="338"/>
      <c r="U245" s="338"/>
      <c r="V245" s="338"/>
      <c r="W245" s="338"/>
      <c r="X245" s="338"/>
      <c r="Y245" s="338"/>
      <c r="Z245" s="338"/>
      <c r="AA245" s="338"/>
    </row>
    <row r="246" ht="15.75" customHeight="1">
      <c r="A246" s="339">
        <v>245.0</v>
      </c>
      <c r="B246" s="339" t="s">
        <v>1680</v>
      </c>
      <c r="C246" s="339" t="s">
        <v>1681</v>
      </c>
      <c r="D246" s="339" t="s">
        <v>1082</v>
      </c>
      <c r="E246" s="339" t="s">
        <v>1682</v>
      </c>
      <c r="F246" s="339">
        <v>3.9010000108785E13</v>
      </c>
      <c r="G246" s="342"/>
      <c r="H246" s="342"/>
      <c r="I246" s="342"/>
      <c r="J246" s="342"/>
      <c r="K246" s="338"/>
      <c r="L246" s="338"/>
      <c r="M246" s="338"/>
      <c r="N246" s="338"/>
      <c r="O246" s="338"/>
      <c r="P246" s="338"/>
      <c r="Q246" s="338"/>
      <c r="R246" s="338"/>
      <c r="S246" s="338"/>
      <c r="T246" s="338"/>
      <c r="U246" s="338"/>
      <c r="V246" s="338"/>
      <c r="W246" s="338"/>
      <c r="X246" s="338"/>
      <c r="Y246" s="338"/>
      <c r="Z246" s="338"/>
      <c r="AA246" s="338"/>
    </row>
    <row r="247" ht="15.75" customHeight="1">
      <c r="A247" s="339">
        <v>246.0</v>
      </c>
      <c r="B247" s="339" t="s">
        <v>863</v>
      </c>
      <c r="C247" s="339" t="s">
        <v>409</v>
      </c>
      <c r="D247" s="339" t="s">
        <v>1221</v>
      </c>
      <c r="E247" s="339" t="s">
        <v>865</v>
      </c>
      <c r="F247" s="339">
        <v>1.1004242303E10</v>
      </c>
      <c r="G247" s="342"/>
      <c r="H247" s="342"/>
      <c r="I247" s="342"/>
      <c r="J247" s="342"/>
      <c r="K247" s="338"/>
      <c r="L247" s="338"/>
      <c r="M247" s="338"/>
      <c r="N247" s="338"/>
      <c r="O247" s="338"/>
      <c r="P247" s="338"/>
      <c r="Q247" s="338"/>
      <c r="R247" s="338"/>
      <c r="S247" s="338"/>
      <c r="T247" s="338"/>
      <c r="U247" s="338"/>
      <c r="V247" s="338"/>
      <c r="W247" s="338"/>
      <c r="X247" s="338"/>
      <c r="Y247" s="338"/>
      <c r="Z247" s="338"/>
      <c r="AA247" s="338"/>
    </row>
    <row r="248" ht="15.75" customHeight="1">
      <c r="A248" s="339">
        <v>247.0</v>
      </c>
      <c r="B248" s="343" t="s">
        <v>1683</v>
      </c>
      <c r="C248" s="339" t="s">
        <v>1684</v>
      </c>
      <c r="D248" s="339" t="s">
        <v>1184</v>
      </c>
      <c r="E248" s="339" t="s">
        <v>1685</v>
      </c>
      <c r="F248" s="339">
        <v>1.015077182E9</v>
      </c>
      <c r="G248" s="342"/>
      <c r="H248" s="342"/>
      <c r="I248" s="342"/>
      <c r="J248" s="342"/>
      <c r="K248" s="338"/>
      <c r="L248" s="338"/>
      <c r="M248" s="338"/>
      <c r="N248" s="338"/>
      <c r="O248" s="338"/>
      <c r="P248" s="338"/>
      <c r="Q248" s="338"/>
      <c r="R248" s="338"/>
      <c r="S248" s="338"/>
      <c r="T248" s="338"/>
      <c r="U248" s="338"/>
      <c r="V248" s="338"/>
      <c r="W248" s="338"/>
      <c r="X248" s="338"/>
      <c r="Y248" s="338"/>
      <c r="Z248" s="338"/>
      <c r="AA248" s="338"/>
    </row>
    <row r="249" ht="15.75" customHeight="1">
      <c r="A249" s="339">
        <v>248.0</v>
      </c>
      <c r="B249" s="339" t="s">
        <v>1686</v>
      </c>
      <c r="C249" s="339" t="s">
        <v>1687</v>
      </c>
      <c r="D249" s="339" t="s">
        <v>1688</v>
      </c>
      <c r="E249" s="339" t="s">
        <v>663</v>
      </c>
      <c r="F249" s="339">
        <v>1.09871272028E11</v>
      </c>
      <c r="G249" s="342"/>
      <c r="H249" s="342"/>
      <c r="I249" s="342"/>
      <c r="J249" s="342"/>
      <c r="K249" s="338"/>
      <c r="L249" s="338"/>
      <c r="M249" s="338"/>
      <c r="N249" s="338"/>
      <c r="O249" s="338"/>
      <c r="P249" s="338"/>
      <c r="Q249" s="338"/>
      <c r="R249" s="338"/>
      <c r="S249" s="338"/>
      <c r="T249" s="338"/>
      <c r="U249" s="338"/>
      <c r="V249" s="338"/>
      <c r="W249" s="338"/>
      <c r="X249" s="338"/>
      <c r="Y249" s="338"/>
      <c r="Z249" s="338"/>
      <c r="AA249" s="338"/>
    </row>
    <row r="250" ht="15.75" customHeight="1">
      <c r="A250" s="339">
        <v>249.0</v>
      </c>
      <c r="B250" s="339" t="s">
        <v>1689</v>
      </c>
      <c r="C250" s="340" t="s">
        <v>1690</v>
      </c>
      <c r="D250" s="339" t="s">
        <v>967</v>
      </c>
      <c r="E250" s="339" t="s">
        <v>1691</v>
      </c>
      <c r="F250" s="339">
        <v>1.903662436401E13</v>
      </c>
      <c r="G250" s="342"/>
      <c r="H250" s="342"/>
      <c r="I250" s="342"/>
      <c r="J250" s="342"/>
      <c r="K250" s="338"/>
      <c r="L250" s="338"/>
      <c r="M250" s="338"/>
      <c r="N250" s="338"/>
      <c r="O250" s="338"/>
      <c r="P250" s="338"/>
      <c r="Q250" s="338"/>
      <c r="R250" s="338"/>
      <c r="S250" s="338"/>
      <c r="T250" s="338"/>
      <c r="U250" s="338"/>
      <c r="V250" s="338"/>
      <c r="W250" s="338"/>
      <c r="X250" s="338"/>
      <c r="Y250" s="338"/>
      <c r="Z250" s="338"/>
      <c r="AA250" s="338"/>
    </row>
    <row r="251" ht="15.75" customHeight="1">
      <c r="A251" s="339">
        <v>250.0</v>
      </c>
      <c r="B251" s="339" t="s">
        <v>1692</v>
      </c>
      <c r="C251" s="339" t="s">
        <v>1693</v>
      </c>
      <c r="D251" s="339" t="s">
        <v>1221</v>
      </c>
      <c r="E251" s="339"/>
      <c r="F251" s="339"/>
      <c r="G251" s="342"/>
      <c r="H251" s="342"/>
      <c r="I251" s="342"/>
      <c r="J251" s="342"/>
      <c r="K251" s="338"/>
      <c r="L251" s="338"/>
      <c r="M251" s="338"/>
      <c r="N251" s="338"/>
      <c r="O251" s="338"/>
      <c r="P251" s="338"/>
      <c r="Q251" s="338"/>
      <c r="R251" s="338"/>
      <c r="S251" s="338"/>
      <c r="T251" s="338"/>
      <c r="U251" s="338"/>
      <c r="V251" s="338"/>
      <c r="W251" s="338"/>
      <c r="X251" s="338"/>
      <c r="Y251" s="338"/>
      <c r="Z251" s="338"/>
      <c r="AA251" s="338"/>
    </row>
    <row r="252" ht="15.75" customHeight="1">
      <c r="A252" s="339">
        <v>251.0</v>
      </c>
      <c r="B252" s="343" t="s">
        <v>1694</v>
      </c>
      <c r="C252" s="339" t="s">
        <v>1695</v>
      </c>
      <c r="D252" s="339" t="s">
        <v>1221</v>
      </c>
      <c r="E252" s="339" t="s">
        <v>1696</v>
      </c>
      <c r="F252" s="339">
        <v>1.81003574438E11</v>
      </c>
      <c r="G252" s="342"/>
      <c r="H252" s="342"/>
      <c r="I252" s="342"/>
      <c r="J252" s="342"/>
      <c r="K252" s="338"/>
      <c r="L252" s="338"/>
      <c r="M252" s="338"/>
      <c r="N252" s="338"/>
      <c r="O252" s="338"/>
      <c r="P252" s="338"/>
      <c r="Q252" s="338"/>
      <c r="R252" s="338"/>
      <c r="S252" s="338"/>
      <c r="T252" s="338"/>
      <c r="U252" s="338"/>
      <c r="V252" s="338"/>
      <c r="W252" s="338"/>
      <c r="X252" s="338"/>
      <c r="Y252" s="338"/>
      <c r="Z252" s="338"/>
      <c r="AA252" s="338"/>
    </row>
    <row r="253" ht="15.75" customHeight="1">
      <c r="A253" s="339">
        <v>252.0</v>
      </c>
      <c r="B253" s="339" t="s">
        <v>1697</v>
      </c>
      <c r="C253" s="339" t="s">
        <v>1698</v>
      </c>
      <c r="D253" s="339" t="s">
        <v>1252</v>
      </c>
      <c r="E253" s="339" t="s">
        <v>1699</v>
      </c>
      <c r="F253" s="339">
        <v>7.700107660008E12</v>
      </c>
      <c r="G253" s="342"/>
      <c r="H253" s="342"/>
      <c r="I253" s="342"/>
      <c r="J253" s="342"/>
      <c r="K253" s="338"/>
      <c r="L253" s="338"/>
      <c r="M253" s="338"/>
      <c r="N253" s="338"/>
      <c r="O253" s="338"/>
      <c r="P253" s="338"/>
      <c r="Q253" s="338"/>
      <c r="R253" s="338"/>
      <c r="S253" s="338"/>
      <c r="T253" s="338"/>
      <c r="U253" s="338"/>
      <c r="V253" s="338"/>
      <c r="W253" s="338"/>
      <c r="X253" s="338"/>
      <c r="Y253" s="338"/>
      <c r="Z253" s="338"/>
      <c r="AA253" s="338"/>
    </row>
    <row r="254" ht="15.75" customHeight="1">
      <c r="A254" s="339">
        <v>253.0</v>
      </c>
      <c r="B254" s="343" t="s">
        <v>1700</v>
      </c>
      <c r="C254" s="339" t="s">
        <v>1701</v>
      </c>
      <c r="D254" s="339" t="s">
        <v>1087</v>
      </c>
      <c r="E254" s="339"/>
      <c r="F254" s="339"/>
      <c r="G254" s="342"/>
      <c r="H254" s="342"/>
      <c r="I254" s="342"/>
      <c r="J254" s="342"/>
      <c r="K254" s="338"/>
      <c r="L254" s="338"/>
      <c r="M254" s="338"/>
      <c r="N254" s="338"/>
      <c r="O254" s="338"/>
      <c r="P254" s="338"/>
      <c r="Q254" s="338"/>
      <c r="R254" s="338"/>
      <c r="S254" s="338"/>
      <c r="T254" s="338"/>
      <c r="U254" s="338"/>
      <c r="V254" s="338"/>
      <c r="W254" s="338"/>
      <c r="X254" s="338"/>
      <c r="Y254" s="338"/>
      <c r="Z254" s="338"/>
      <c r="AA254" s="338"/>
    </row>
    <row r="255" ht="15.75" customHeight="1">
      <c r="A255" s="339">
        <v>254.0</v>
      </c>
      <c r="B255" s="343" t="s">
        <v>1702</v>
      </c>
      <c r="C255" s="339" t="s">
        <v>1703</v>
      </c>
      <c r="D255" s="339" t="s">
        <v>929</v>
      </c>
      <c r="E255" s="339" t="s">
        <v>1704</v>
      </c>
      <c r="F255" s="339">
        <v>2.00025989E8</v>
      </c>
      <c r="G255" s="342"/>
      <c r="H255" s="342"/>
      <c r="I255" s="342"/>
      <c r="J255" s="342"/>
      <c r="K255" s="338"/>
      <c r="L255" s="338"/>
      <c r="M255" s="338"/>
      <c r="N255" s="338"/>
      <c r="O255" s="338"/>
      <c r="P255" s="338"/>
      <c r="Q255" s="338"/>
      <c r="R255" s="338"/>
      <c r="S255" s="338"/>
      <c r="T255" s="338"/>
      <c r="U255" s="338"/>
      <c r="V255" s="338"/>
      <c r="W255" s="338"/>
      <c r="X255" s="338"/>
      <c r="Y255" s="338"/>
      <c r="Z255" s="338"/>
      <c r="AA255" s="338"/>
    </row>
    <row r="256" ht="15.75" customHeight="1">
      <c r="A256" s="339">
        <v>255.0</v>
      </c>
      <c r="B256" s="339" t="s">
        <v>1705</v>
      </c>
      <c r="C256" s="339" t="s">
        <v>1706</v>
      </c>
      <c r="D256" s="339" t="s">
        <v>1707</v>
      </c>
      <c r="E256" s="339" t="s">
        <v>1708</v>
      </c>
      <c r="F256" s="339">
        <v>3.501014908825E12</v>
      </c>
      <c r="G256" s="342"/>
      <c r="H256" s="342"/>
      <c r="I256" s="342"/>
      <c r="J256" s="342"/>
      <c r="K256" s="338"/>
      <c r="L256" s="338"/>
      <c r="M256" s="338"/>
      <c r="N256" s="338"/>
      <c r="O256" s="338"/>
      <c r="P256" s="338"/>
      <c r="Q256" s="338"/>
      <c r="R256" s="338"/>
      <c r="S256" s="338"/>
      <c r="T256" s="338"/>
      <c r="U256" s="338"/>
      <c r="V256" s="338"/>
      <c r="W256" s="338"/>
      <c r="X256" s="338"/>
      <c r="Y256" s="338"/>
      <c r="Z256" s="338"/>
      <c r="AA256" s="338"/>
    </row>
    <row r="257" ht="15.75" customHeight="1">
      <c r="A257" s="339">
        <v>256.0</v>
      </c>
      <c r="B257" s="343" t="s">
        <v>1709</v>
      </c>
      <c r="C257" s="340" t="s">
        <v>432</v>
      </c>
      <c r="D257" s="339" t="s">
        <v>1710</v>
      </c>
      <c r="E257" s="339" t="s">
        <v>871</v>
      </c>
      <c r="F257" s="339">
        <v>1.3322635374019E13</v>
      </c>
      <c r="G257" s="341" t="s">
        <v>869</v>
      </c>
      <c r="H257" s="342"/>
      <c r="I257" s="342"/>
      <c r="J257" s="342" t="s">
        <v>1711</v>
      </c>
      <c r="K257" s="338"/>
      <c r="L257" s="338"/>
      <c r="M257" s="338"/>
      <c r="N257" s="338"/>
      <c r="O257" s="338"/>
      <c r="P257" s="338"/>
      <c r="Q257" s="338"/>
      <c r="R257" s="338"/>
      <c r="S257" s="338"/>
      <c r="T257" s="338"/>
      <c r="U257" s="338"/>
      <c r="V257" s="338"/>
      <c r="W257" s="338"/>
      <c r="X257" s="338"/>
      <c r="Y257" s="338"/>
      <c r="Z257" s="338"/>
      <c r="AA257" s="338"/>
    </row>
    <row r="258" ht="15.75" customHeight="1">
      <c r="A258" s="339">
        <v>257.0</v>
      </c>
      <c r="B258" s="343" t="s">
        <v>1712</v>
      </c>
      <c r="C258" s="339" t="s">
        <v>1713</v>
      </c>
      <c r="D258" s="339" t="s">
        <v>1218</v>
      </c>
      <c r="E258" s="339" t="s">
        <v>1714</v>
      </c>
      <c r="F258" s="339">
        <v>1.11118868E8</v>
      </c>
      <c r="G258" s="342"/>
      <c r="H258" s="342"/>
      <c r="I258" s="342"/>
      <c r="J258" s="342"/>
      <c r="K258" s="338"/>
      <c r="L258" s="338"/>
      <c r="M258" s="338"/>
      <c r="N258" s="338"/>
      <c r="O258" s="338"/>
      <c r="P258" s="338"/>
      <c r="Q258" s="338"/>
      <c r="R258" s="338"/>
      <c r="S258" s="338"/>
      <c r="T258" s="338"/>
      <c r="U258" s="338"/>
      <c r="V258" s="338"/>
      <c r="W258" s="338"/>
      <c r="X258" s="338"/>
      <c r="Y258" s="338"/>
      <c r="Z258" s="338"/>
      <c r="AA258" s="338"/>
    </row>
    <row r="259" ht="15.75" customHeight="1">
      <c r="A259" s="339">
        <v>258.0</v>
      </c>
      <c r="B259" s="343" t="s">
        <v>1715</v>
      </c>
      <c r="C259" s="339" t="s">
        <v>1716</v>
      </c>
      <c r="D259" s="339" t="s">
        <v>1717</v>
      </c>
      <c r="E259" s="339" t="s">
        <v>1718</v>
      </c>
      <c r="F259" s="345">
        <v>3.50022E17</v>
      </c>
      <c r="G259" s="342"/>
      <c r="H259" s="342"/>
      <c r="I259" s="342"/>
      <c r="J259" s="342"/>
      <c r="K259" s="338"/>
      <c r="L259" s="338"/>
      <c r="M259" s="338"/>
      <c r="N259" s="338"/>
      <c r="O259" s="338"/>
      <c r="P259" s="338"/>
      <c r="Q259" s="338"/>
      <c r="R259" s="338"/>
      <c r="S259" s="338"/>
      <c r="T259" s="338"/>
      <c r="U259" s="338"/>
      <c r="V259" s="338"/>
      <c r="W259" s="338"/>
      <c r="X259" s="338"/>
      <c r="Y259" s="338"/>
      <c r="Z259" s="338"/>
      <c r="AA259" s="338"/>
    </row>
    <row r="260" ht="15.75" customHeight="1">
      <c r="A260" s="339">
        <v>259.0</v>
      </c>
      <c r="B260" s="339" t="s">
        <v>1719</v>
      </c>
      <c r="C260" s="340" t="s">
        <v>443</v>
      </c>
      <c r="D260" s="339" t="s">
        <v>1082</v>
      </c>
      <c r="E260" s="339" t="s">
        <v>844</v>
      </c>
      <c r="F260" s="339">
        <v>1.06880226222E11</v>
      </c>
      <c r="G260" s="341" t="s">
        <v>875</v>
      </c>
      <c r="H260" s="342"/>
      <c r="I260" s="342"/>
      <c r="J260" s="342" t="s">
        <v>1711</v>
      </c>
      <c r="K260" s="338"/>
      <c r="L260" s="338"/>
      <c r="M260" s="338"/>
      <c r="N260" s="338"/>
      <c r="O260" s="338"/>
      <c r="P260" s="338"/>
      <c r="Q260" s="338"/>
      <c r="R260" s="338"/>
      <c r="S260" s="338"/>
      <c r="T260" s="338"/>
      <c r="U260" s="338"/>
      <c r="V260" s="338"/>
      <c r="W260" s="338"/>
      <c r="X260" s="338"/>
      <c r="Y260" s="338"/>
      <c r="Z260" s="338"/>
      <c r="AA260" s="338"/>
    </row>
    <row r="261" ht="15.75" customHeight="1">
      <c r="A261" s="339">
        <v>260.0</v>
      </c>
      <c r="B261" s="348" t="s">
        <v>1720</v>
      </c>
      <c r="C261" s="340" t="s">
        <v>857</v>
      </c>
      <c r="D261" s="339" t="s">
        <v>1721</v>
      </c>
      <c r="E261" s="339" t="s">
        <v>651</v>
      </c>
      <c r="F261" s="339">
        <v>2.604205203411E12</v>
      </c>
      <c r="G261" s="342" t="s">
        <v>856</v>
      </c>
      <c r="H261" s="342"/>
      <c r="I261" s="342"/>
      <c r="J261" s="342" t="s">
        <v>1711</v>
      </c>
      <c r="K261" s="338"/>
      <c r="L261" s="338"/>
      <c r="M261" s="338"/>
      <c r="N261" s="338"/>
      <c r="O261" s="338"/>
      <c r="P261" s="338"/>
      <c r="Q261" s="338"/>
      <c r="R261" s="338"/>
      <c r="S261" s="338"/>
      <c r="T261" s="338"/>
      <c r="U261" s="338"/>
      <c r="V261" s="338"/>
      <c r="W261" s="338"/>
      <c r="X261" s="338"/>
      <c r="Y261" s="338"/>
      <c r="Z261" s="338"/>
      <c r="AA261" s="338"/>
    </row>
    <row r="262" ht="15.75" customHeight="1">
      <c r="A262" s="339">
        <v>261.0</v>
      </c>
      <c r="B262" s="343" t="s">
        <v>1722</v>
      </c>
      <c r="C262" s="339" t="s">
        <v>1723</v>
      </c>
      <c r="D262" s="339" t="s">
        <v>401</v>
      </c>
      <c r="E262" s="339" t="s">
        <v>1724</v>
      </c>
      <c r="F262" s="339">
        <v>5916447.0</v>
      </c>
      <c r="G262" s="342"/>
      <c r="H262" s="342"/>
      <c r="I262" s="342"/>
      <c r="J262" s="342"/>
      <c r="K262" s="338"/>
      <c r="L262" s="338"/>
      <c r="M262" s="338"/>
      <c r="N262" s="338"/>
      <c r="O262" s="338"/>
      <c r="P262" s="338"/>
      <c r="Q262" s="338"/>
      <c r="R262" s="338"/>
      <c r="S262" s="338"/>
      <c r="T262" s="338"/>
      <c r="U262" s="338"/>
      <c r="V262" s="338"/>
      <c r="W262" s="338"/>
      <c r="X262" s="338"/>
      <c r="Y262" s="338"/>
      <c r="Z262" s="338"/>
      <c r="AA262" s="338"/>
    </row>
    <row r="263" ht="15.75" customHeight="1">
      <c r="A263" s="339">
        <v>262.0</v>
      </c>
      <c r="B263" s="339" t="s">
        <v>1725</v>
      </c>
      <c r="C263" s="339" t="s">
        <v>1726</v>
      </c>
      <c r="D263" s="339" t="s">
        <v>994</v>
      </c>
      <c r="E263" s="339" t="s">
        <v>699</v>
      </c>
      <c r="F263" s="339">
        <v>1.9022687119015E13</v>
      </c>
      <c r="G263" s="342"/>
      <c r="H263" s="342"/>
      <c r="I263" s="342"/>
      <c r="J263" s="342"/>
      <c r="K263" s="338"/>
      <c r="L263" s="338"/>
      <c r="M263" s="338"/>
      <c r="N263" s="338"/>
      <c r="O263" s="338"/>
      <c r="P263" s="338"/>
      <c r="Q263" s="338"/>
      <c r="R263" s="338"/>
      <c r="S263" s="338"/>
      <c r="T263" s="338"/>
      <c r="U263" s="338"/>
      <c r="V263" s="338"/>
      <c r="W263" s="338"/>
      <c r="X263" s="338"/>
      <c r="Y263" s="338"/>
      <c r="Z263" s="338"/>
      <c r="AA263" s="338"/>
    </row>
    <row r="264" ht="15.75" customHeight="1">
      <c r="A264" s="339">
        <v>263.0</v>
      </c>
      <c r="B264" s="339" t="s">
        <v>1727</v>
      </c>
      <c r="C264" s="339" t="s">
        <v>462</v>
      </c>
      <c r="D264" s="339" t="s">
        <v>1160</v>
      </c>
      <c r="E264" s="339" t="s">
        <v>659</v>
      </c>
      <c r="F264" s="339">
        <v>3.9010000157246E13</v>
      </c>
      <c r="G264" s="342" t="s">
        <v>1728</v>
      </c>
      <c r="H264" s="339" t="s">
        <v>659</v>
      </c>
      <c r="I264" s="342">
        <v>3.900157246E9</v>
      </c>
      <c r="J264" s="342" t="s">
        <v>1579</v>
      </c>
      <c r="K264" s="338"/>
      <c r="L264" s="338"/>
      <c r="M264" s="338"/>
      <c r="N264" s="338"/>
      <c r="O264" s="338"/>
      <c r="P264" s="338"/>
      <c r="Q264" s="338"/>
      <c r="R264" s="338"/>
      <c r="S264" s="338"/>
      <c r="T264" s="338"/>
      <c r="U264" s="338"/>
      <c r="V264" s="338"/>
      <c r="W264" s="338"/>
      <c r="X264" s="338"/>
      <c r="Y264" s="338"/>
      <c r="Z264" s="338"/>
      <c r="AA264" s="338"/>
    </row>
    <row r="265" ht="15.75" customHeight="1">
      <c r="A265" s="339">
        <v>264.0</v>
      </c>
      <c r="B265" s="343" t="s">
        <v>1729</v>
      </c>
      <c r="C265" s="339" t="s">
        <v>1730</v>
      </c>
      <c r="D265" s="339" t="s">
        <v>1303</v>
      </c>
      <c r="E265" s="339" t="s">
        <v>1731</v>
      </c>
      <c r="F265" s="339">
        <v>1.9021109800013E13</v>
      </c>
      <c r="G265" s="342"/>
      <c r="H265" s="342"/>
      <c r="I265" s="342"/>
      <c r="J265" s="342"/>
      <c r="K265" s="338"/>
      <c r="L265" s="338"/>
      <c r="M265" s="338"/>
      <c r="N265" s="338"/>
      <c r="O265" s="338"/>
      <c r="P265" s="338"/>
      <c r="Q265" s="338"/>
      <c r="R265" s="338"/>
      <c r="S265" s="338"/>
      <c r="T265" s="338"/>
      <c r="U265" s="338"/>
      <c r="V265" s="338"/>
      <c r="W265" s="338"/>
      <c r="X265" s="338"/>
      <c r="Y265" s="338"/>
      <c r="Z265" s="338"/>
      <c r="AA265" s="338"/>
    </row>
    <row r="266" ht="15.75" customHeight="1">
      <c r="A266" s="339">
        <v>265.0</v>
      </c>
      <c r="B266" s="339" t="s">
        <v>1732</v>
      </c>
      <c r="C266" s="340" t="s">
        <v>1733</v>
      </c>
      <c r="D266" s="339" t="s">
        <v>1198</v>
      </c>
      <c r="E266" s="339" t="s">
        <v>1734</v>
      </c>
      <c r="F266" s="339">
        <v>1.113336666868E12</v>
      </c>
      <c r="G266" s="342"/>
      <c r="H266" s="342"/>
      <c r="I266" s="342"/>
      <c r="J266" s="342"/>
      <c r="K266" s="338"/>
      <c r="L266" s="338"/>
      <c r="M266" s="338"/>
      <c r="N266" s="338"/>
      <c r="O266" s="338"/>
      <c r="P266" s="338"/>
      <c r="Q266" s="338"/>
      <c r="R266" s="338"/>
      <c r="S266" s="338"/>
      <c r="T266" s="338"/>
      <c r="U266" s="338"/>
      <c r="V266" s="338"/>
      <c r="W266" s="338"/>
      <c r="X266" s="338"/>
      <c r="Y266" s="338"/>
      <c r="Z266" s="338"/>
      <c r="AA266" s="338"/>
    </row>
    <row r="267" ht="15.75" customHeight="1">
      <c r="A267" s="339">
        <v>266.0</v>
      </c>
      <c r="B267" s="339" t="s">
        <v>1735</v>
      </c>
      <c r="C267" s="340" t="s">
        <v>599</v>
      </c>
      <c r="D267" s="339" t="s">
        <v>916</v>
      </c>
      <c r="E267" s="339" t="s">
        <v>1736</v>
      </c>
      <c r="F267" s="339">
        <v>2887867.0</v>
      </c>
      <c r="G267" s="341" t="s">
        <v>880</v>
      </c>
      <c r="H267" s="342"/>
      <c r="I267" s="342"/>
      <c r="J267" s="342" t="s">
        <v>1737</v>
      </c>
      <c r="K267" s="338"/>
      <c r="L267" s="338"/>
      <c r="M267" s="338"/>
      <c r="N267" s="338"/>
      <c r="O267" s="338"/>
      <c r="P267" s="338"/>
      <c r="Q267" s="338"/>
      <c r="R267" s="338"/>
      <c r="S267" s="338"/>
      <c r="T267" s="338"/>
      <c r="U267" s="338"/>
      <c r="V267" s="338"/>
      <c r="W267" s="338"/>
      <c r="X267" s="338"/>
      <c r="Y267" s="338"/>
      <c r="Z267" s="338"/>
      <c r="AA267" s="338"/>
    </row>
    <row r="268" ht="15.75" customHeight="1">
      <c r="A268" s="339">
        <v>267.0</v>
      </c>
      <c r="B268" s="339" t="s">
        <v>1738</v>
      </c>
      <c r="C268" s="339" t="s">
        <v>475</v>
      </c>
      <c r="D268" s="339" t="s">
        <v>1099</v>
      </c>
      <c r="E268" s="339" t="s">
        <v>730</v>
      </c>
      <c r="F268" s="339">
        <v>1.9038009600017E13</v>
      </c>
      <c r="G268" s="342"/>
      <c r="H268" s="342"/>
      <c r="I268" s="342"/>
      <c r="J268" s="342"/>
      <c r="K268" s="338"/>
      <c r="L268" s="338"/>
      <c r="M268" s="338"/>
      <c r="N268" s="338"/>
      <c r="O268" s="338"/>
      <c r="P268" s="338"/>
      <c r="Q268" s="338"/>
      <c r="R268" s="338"/>
      <c r="S268" s="338"/>
      <c r="T268" s="338"/>
      <c r="U268" s="338"/>
      <c r="V268" s="338"/>
      <c r="W268" s="338"/>
      <c r="X268" s="338"/>
      <c r="Y268" s="338"/>
      <c r="Z268" s="338"/>
      <c r="AA268" s="338"/>
    </row>
    <row r="269" ht="15.75" customHeight="1">
      <c r="A269" s="339">
        <v>268.0</v>
      </c>
      <c r="B269" s="343" t="s">
        <v>1739</v>
      </c>
      <c r="C269" s="339" t="s">
        <v>1740</v>
      </c>
      <c r="D269" s="339" t="s">
        <v>994</v>
      </c>
      <c r="E269" s="339" t="s">
        <v>699</v>
      </c>
      <c r="F269" s="339">
        <v>1.9027722189015E13</v>
      </c>
      <c r="G269" s="341" t="s">
        <v>1741</v>
      </c>
      <c r="H269" s="342"/>
      <c r="I269" s="342"/>
      <c r="J269" s="342" t="s">
        <v>1737</v>
      </c>
      <c r="K269" s="338"/>
      <c r="L269" s="338"/>
      <c r="M269" s="338"/>
      <c r="N269" s="338"/>
      <c r="O269" s="338"/>
      <c r="P269" s="338"/>
      <c r="Q269" s="338"/>
      <c r="R269" s="338"/>
      <c r="S269" s="338"/>
      <c r="T269" s="338"/>
      <c r="U269" s="338"/>
      <c r="V269" s="338"/>
      <c r="W269" s="338"/>
      <c r="X269" s="338"/>
      <c r="Y269" s="338"/>
      <c r="Z269" s="338"/>
      <c r="AA269" s="338"/>
    </row>
    <row r="270" ht="15.75" customHeight="1">
      <c r="A270" s="339">
        <v>269.0</v>
      </c>
      <c r="B270" s="339" t="s">
        <v>1742</v>
      </c>
      <c r="C270" s="339" t="s">
        <v>456</v>
      </c>
      <c r="D270" s="339" t="s">
        <v>1743</v>
      </c>
      <c r="E270" s="339" t="s">
        <v>1744</v>
      </c>
      <c r="F270" s="339">
        <v>1.03004558765E11</v>
      </c>
      <c r="G270" s="342"/>
      <c r="H270" s="342"/>
      <c r="I270" s="342"/>
      <c r="J270" s="342"/>
      <c r="K270" s="338"/>
      <c r="L270" s="338"/>
      <c r="M270" s="338"/>
      <c r="N270" s="338"/>
      <c r="O270" s="338"/>
      <c r="P270" s="338"/>
      <c r="Q270" s="338"/>
      <c r="R270" s="338"/>
      <c r="S270" s="338"/>
      <c r="T270" s="338"/>
      <c r="U270" s="338"/>
      <c r="V270" s="338"/>
      <c r="W270" s="338"/>
      <c r="X270" s="338"/>
      <c r="Y270" s="338"/>
      <c r="Z270" s="338"/>
      <c r="AA270" s="338"/>
    </row>
    <row r="271" ht="15.75" customHeight="1">
      <c r="A271" s="339">
        <v>270.0</v>
      </c>
      <c r="B271" s="339" t="s">
        <v>1745</v>
      </c>
      <c r="C271" s="339" t="s">
        <v>1746</v>
      </c>
      <c r="D271" s="339" t="s">
        <v>1747</v>
      </c>
      <c r="E271" s="339" t="s">
        <v>1748</v>
      </c>
      <c r="F271" s="339">
        <v>9.41000009857E11</v>
      </c>
      <c r="G271" s="342"/>
      <c r="H271" s="342"/>
      <c r="I271" s="342"/>
      <c r="J271" s="342"/>
      <c r="K271" s="338"/>
      <c r="L271" s="338"/>
      <c r="M271" s="338"/>
      <c r="N271" s="338"/>
      <c r="O271" s="338"/>
      <c r="P271" s="338"/>
      <c r="Q271" s="338"/>
      <c r="R271" s="338"/>
      <c r="S271" s="338"/>
      <c r="T271" s="338"/>
      <c r="U271" s="338"/>
      <c r="V271" s="338"/>
      <c r="W271" s="338"/>
      <c r="X271" s="338"/>
      <c r="Y271" s="338"/>
      <c r="Z271" s="338"/>
      <c r="AA271" s="338"/>
    </row>
    <row r="272" ht="15.75" customHeight="1">
      <c r="A272" s="339">
        <v>271.0</v>
      </c>
      <c r="B272" s="339" t="s">
        <v>1749</v>
      </c>
      <c r="C272" s="339" t="s">
        <v>554</v>
      </c>
      <c r="D272" s="339" t="s">
        <v>923</v>
      </c>
      <c r="E272" s="339" t="s">
        <v>1750</v>
      </c>
      <c r="F272" s="339">
        <v>2.607215035983E12</v>
      </c>
      <c r="G272" s="342"/>
      <c r="H272" s="342"/>
      <c r="I272" s="342"/>
      <c r="J272" s="342"/>
      <c r="K272" s="338"/>
      <c r="L272" s="338"/>
      <c r="M272" s="338"/>
      <c r="N272" s="338"/>
      <c r="O272" s="338"/>
      <c r="P272" s="338"/>
      <c r="Q272" s="338"/>
      <c r="R272" s="338"/>
      <c r="S272" s="338"/>
      <c r="T272" s="338"/>
      <c r="U272" s="338"/>
      <c r="V272" s="338"/>
      <c r="W272" s="338"/>
      <c r="X272" s="338"/>
      <c r="Y272" s="338"/>
      <c r="Z272" s="338"/>
      <c r="AA272" s="338"/>
    </row>
    <row r="273" ht="15.75" customHeight="1">
      <c r="A273" s="339">
        <v>272.0</v>
      </c>
      <c r="B273" s="343" t="s">
        <v>1751</v>
      </c>
      <c r="C273" s="340" t="s">
        <v>712</v>
      </c>
      <c r="D273" s="339" t="s">
        <v>1116</v>
      </c>
      <c r="E273" s="339" t="s">
        <v>659</v>
      </c>
      <c r="F273" s="339">
        <v>1.2310000867291E13</v>
      </c>
      <c r="G273" s="341" t="s">
        <v>1752</v>
      </c>
      <c r="H273" s="339" t="s">
        <v>659</v>
      </c>
      <c r="I273" s="342">
        <v>1.230867291E9</v>
      </c>
      <c r="J273" s="342" t="s">
        <v>1737</v>
      </c>
      <c r="K273" s="338"/>
      <c r="L273" s="338"/>
      <c r="M273" s="338"/>
      <c r="N273" s="338"/>
      <c r="O273" s="338"/>
      <c r="P273" s="338"/>
      <c r="Q273" s="338"/>
      <c r="R273" s="338"/>
      <c r="S273" s="338"/>
      <c r="T273" s="338"/>
      <c r="U273" s="338"/>
      <c r="V273" s="338"/>
      <c r="W273" s="338"/>
      <c r="X273" s="338"/>
      <c r="Y273" s="338"/>
      <c r="Z273" s="338"/>
      <c r="AA273" s="338"/>
    </row>
    <row r="274" ht="15.75" customHeight="1">
      <c r="A274" s="339">
        <v>273.0</v>
      </c>
      <c r="B274" s="343" t="s">
        <v>1753</v>
      </c>
      <c r="C274" s="340" t="s">
        <v>878</v>
      </c>
      <c r="D274" s="339" t="s">
        <v>1754</v>
      </c>
      <c r="E274" s="339" t="s">
        <v>699</v>
      </c>
      <c r="F274" s="339">
        <v>1.3322829137018E13</v>
      </c>
      <c r="G274" s="341" t="s">
        <v>877</v>
      </c>
      <c r="H274" s="342"/>
      <c r="I274" s="342"/>
      <c r="J274" s="342" t="s">
        <v>1737</v>
      </c>
      <c r="K274" s="338"/>
      <c r="L274" s="338"/>
      <c r="M274" s="338"/>
      <c r="N274" s="338"/>
      <c r="O274" s="338"/>
      <c r="P274" s="338"/>
      <c r="Q274" s="338"/>
      <c r="R274" s="338"/>
      <c r="S274" s="338"/>
      <c r="T274" s="338"/>
      <c r="U274" s="338"/>
      <c r="V274" s="338"/>
      <c r="W274" s="338"/>
      <c r="X274" s="338"/>
      <c r="Y274" s="338"/>
      <c r="Z274" s="338"/>
      <c r="AA274" s="338"/>
    </row>
    <row r="275" ht="15.75" customHeight="1">
      <c r="A275" s="339">
        <v>274.0</v>
      </c>
      <c r="B275" s="343" t="s">
        <v>1755</v>
      </c>
      <c r="C275" s="339" t="s">
        <v>1756</v>
      </c>
      <c r="D275" s="339" t="s">
        <v>1757</v>
      </c>
      <c r="E275" s="339" t="s">
        <v>659</v>
      </c>
      <c r="F275" s="339">
        <v>1.6010000111892E13</v>
      </c>
      <c r="G275" s="342"/>
      <c r="H275" s="342"/>
      <c r="I275" s="342"/>
      <c r="J275" s="342"/>
      <c r="K275" s="338"/>
      <c r="L275" s="338"/>
      <c r="M275" s="338"/>
      <c r="N275" s="338"/>
      <c r="O275" s="338"/>
      <c r="P275" s="338"/>
      <c r="Q275" s="338"/>
      <c r="R275" s="338"/>
      <c r="S275" s="338"/>
      <c r="T275" s="338"/>
      <c r="U275" s="338"/>
      <c r="V275" s="338"/>
      <c r="W275" s="338"/>
      <c r="X275" s="338"/>
      <c r="Y275" s="338"/>
      <c r="Z275" s="338"/>
      <c r="AA275" s="338"/>
    </row>
    <row r="276" ht="15.75" customHeight="1">
      <c r="A276" s="339">
        <v>275.0</v>
      </c>
      <c r="B276" s="343" t="s">
        <v>1758</v>
      </c>
      <c r="C276" s="339" t="s">
        <v>1759</v>
      </c>
      <c r="D276" s="339" t="s">
        <v>1760</v>
      </c>
      <c r="E276" s="339" t="s">
        <v>1761</v>
      </c>
      <c r="F276" s="345">
        <v>1.90338E18</v>
      </c>
      <c r="G276" s="342"/>
      <c r="H276" s="342"/>
      <c r="I276" s="342"/>
      <c r="J276" s="342"/>
      <c r="K276" s="338"/>
      <c r="L276" s="338"/>
      <c r="M276" s="338"/>
      <c r="N276" s="338"/>
      <c r="O276" s="338"/>
      <c r="P276" s="338"/>
      <c r="Q276" s="338"/>
      <c r="R276" s="338"/>
      <c r="S276" s="338"/>
      <c r="T276" s="338"/>
      <c r="U276" s="338"/>
      <c r="V276" s="338"/>
      <c r="W276" s="338"/>
      <c r="X276" s="338"/>
      <c r="Y276" s="338"/>
      <c r="Z276" s="338"/>
      <c r="AA276" s="338"/>
    </row>
    <row r="277" ht="15.75" customHeight="1">
      <c r="A277" s="339">
        <v>276.0</v>
      </c>
      <c r="B277" s="339" t="s">
        <v>1762</v>
      </c>
      <c r="C277" s="339" t="s">
        <v>1763</v>
      </c>
      <c r="D277" s="339" t="s">
        <v>1024</v>
      </c>
      <c r="E277" s="339" t="s">
        <v>743</v>
      </c>
      <c r="F277" s="339">
        <v>9.6555555E7</v>
      </c>
      <c r="G277" s="342"/>
      <c r="H277" s="342"/>
      <c r="I277" s="342"/>
      <c r="J277" s="342"/>
      <c r="K277" s="338"/>
      <c r="L277" s="338"/>
      <c r="M277" s="338"/>
      <c r="N277" s="338"/>
      <c r="O277" s="338"/>
      <c r="P277" s="338"/>
      <c r="Q277" s="338"/>
      <c r="R277" s="338"/>
      <c r="S277" s="338"/>
      <c r="T277" s="338"/>
      <c r="U277" s="338"/>
      <c r="V277" s="338"/>
      <c r="W277" s="338"/>
      <c r="X277" s="338"/>
      <c r="Y277" s="338"/>
      <c r="Z277" s="338"/>
      <c r="AA277" s="338"/>
    </row>
    <row r="278" ht="15.75" customHeight="1">
      <c r="A278" s="339">
        <v>277.0</v>
      </c>
      <c r="B278" s="343" t="s">
        <v>1764</v>
      </c>
      <c r="C278" s="339" t="s">
        <v>1765</v>
      </c>
      <c r="D278" s="339" t="s">
        <v>1707</v>
      </c>
      <c r="E278" s="339" t="s">
        <v>1766</v>
      </c>
      <c r="F278" s="345">
        <v>2.21321E17</v>
      </c>
      <c r="G278" s="342"/>
      <c r="H278" s="342"/>
      <c r="I278" s="342"/>
      <c r="J278" s="342"/>
      <c r="K278" s="338"/>
      <c r="L278" s="338"/>
      <c r="M278" s="338"/>
      <c r="N278" s="338"/>
      <c r="O278" s="338"/>
      <c r="P278" s="338"/>
      <c r="Q278" s="338"/>
      <c r="R278" s="338"/>
      <c r="S278" s="338"/>
      <c r="T278" s="338"/>
      <c r="U278" s="338"/>
      <c r="V278" s="338"/>
      <c r="W278" s="338"/>
      <c r="X278" s="338"/>
      <c r="Y278" s="338"/>
      <c r="Z278" s="338"/>
      <c r="AA278" s="338"/>
    </row>
    <row r="279" ht="15.75" customHeight="1">
      <c r="A279" s="339">
        <v>278.0</v>
      </c>
      <c r="B279" s="339" t="s">
        <v>1767</v>
      </c>
      <c r="C279" s="339" t="s">
        <v>1768</v>
      </c>
      <c r="D279" s="339" t="s">
        <v>1769</v>
      </c>
      <c r="E279" s="339" t="s">
        <v>1770</v>
      </c>
      <c r="F279" s="345">
        <v>2.21321E17</v>
      </c>
      <c r="G279" s="342"/>
      <c r="H279" s="342"/>
      <c r="I279" s="342"/>
      <c r="J279" s="342"/>
      <c r="K279" s="338"/>
      <c r="L279" s="338"/>
      <c r="M279" s="338"/>
      <c r="N279" s="338"/>
      <c r="O279" s="338"/>
      <c r="P279" s="338"/>
      <c r="Q279" s="338"/>
      <c r="R279" s="338"/>
      <c r="S279" s="338"/>
      <c r="T279" s="338"/>
      <c r="U279" s="338"/>
      <c r="V279" s="338"/>
      <c r="W279" s="338"/>
      <c r="X279" s="338"/>
      <c r="Y279" s="338"/>
      <c r="Z279" s="338"/>
      <c r="AA279" s="338"/>
    </row>
    <row r="280" ht="15.75" customHeight="1">
      <c r="A280" s="339">
        <v>279.0</v>
      </c>
      <c r="B280" s="339" t="s">
        <v>1771</v>
      </c>
      <c r="C280" s="339" t="s">
        <v>1772</v>
      </c>
      <c r="D280" s="339" t="s">
        <v>1184</v>
      </c>
      <c r="E280" s="339" t="s">
        <v>1773</v>
      </c>
      <c r="F280" s="345">
        <v>8.90722E17</v>
      </c>
      <c r="G280" s="342"/>
      <c r="H280" s="342"/>
      <c r="I280" s="342"/>
      <c r="J280" s="342"/>
      <c r="K280" s="338"/>
      <c r="L280" s="338"/>
      <c r="M280" s="338"/>
      <c r="N280" s="338"/>
      <c r="O280" s="338"/>
      <c r="P280" s="338"/>
      <c r="Q280" s="338"/>
      <c r="R280" s="338"/>
      <c r="S280" s="338"/>
      <c r="T280" s="338"/>
      <c r="U280" s="338"/>
      <c r="V280" s="338"/>
      <c r="W280" s="338"/>
      <c r="X280" s="338"/>
      <c r="Y280" s="338"/>
      <c r="Z280" s="338"/>
      <c r="AA280" s="338"/>
    </row>
    <row r="281" ht="15.75" customHeight="1">
      <c r="A281" s="339">
        <v>280.0</v>
      </c>
      <c r="B281" s="339" t="s">
        <v>1774</v>
      </c>
      <c r="C281" s="339" t="s">
        <v>1775</v>
      </c>
      <c r="D281" s="339" t="s">
        <v>998</v>
      </c>
      <c r="E281" s="339" t="s">
        <v>1776</v>
      </c>
      <c r="F281" s="345">
        <v>5.40022E17</v>
      </c>
      <c r="G281" s="342"/>
      <c r="H281" s="342"/>
      <c r="I281" s="342"/>
      <c r="J281" s="342"/>
      <c r="K281" s="338"/>
      <c r="L281" s="338"/>
      <c r="M281" s="338"/>
      <c r="N281" s="338"/>
      <c r="O281" s="338"/>
      <c r="P281" s="338"/>
      <c r="Q281" s="338"/>
      <c r="R281" s="338"/>
      <c r="S281" s="338"/>
      <c r="T281" s="338"/>
      <c r="U281" s="338"/>
      <c r="V281" s="338"/>
      <c r="W281" s="338"/>
      <c r="X281" s="338"/>
      <c r="Y281" s="338"/>
      <c r="Z281" s="338"/>
      <c r="AA281" s="338"/>
    </row>
    <row r="282" ht="15.75" customHeight="1">
      <c r="A282" s="339">
        <v>281.0</v>
      </c>
      <c r="B282" s="343" t="s">
        <v>1777</v>
      </c>
      <c r="C282" s="339" t="s">
        <v>1778</v>
      </c>
      <c r="D282" s="339" t="s">
        <v>1427</v>
      </c>
      <c r="E282" s="339" t="s">
        <v>1779</v>
      </c>
      <c r="F282" s="339">
        <v>1.990128968888E12</v>
      </c>
      <c r="G282" s="342"/>
      <c r="H282" s="342"/>
      <c r="I282" s="342"/>
      <c r="J282" s="342"/>
      <c r="K282" s="338"/>
      <c r="L282" s="338"/>
      <c r="M282" s="338"/>
      <c r="N282" s="338"/>
      <c r="O282" s="338"/>
      <c r="P282" s="338"/>
      <c r="Q282" s="338"/>
      <c r="R282" s="338"/>
      <c r="S282" s="338"/>
      <c r="T282" s="338"/>
      <c r="U282" s="338"/>
      <c r="V282" s="338"/>
      <c r="W282" s="338"/>
      <c r="X282" s="338"/>
      <c r="Y282" s="338"/>
      <c r="Z282" s="338"/>
      <c r="AA282" s="338"/>
    </row>
    <row r="283" ht="15.75" customHeight="1">
      <c r="A283" s="339">
        <v>282.0</v>
      </c>
      <c r="B283" s="343" t="s">
        <v>1780</v>
      </c>
      <c r="C283" s="339" t="s">
        <v>1781</v>
      </c>
      <c r="D283" s="339" t="s">
        <v>1721</v>
      </c>
      <c r="E283" s="339" t="s">
        <v>1782</v>
      </c>
      <c r="F283" s="339">
        <v>2.1410001075115E13</v>
      </c>
      <c r="G283" s="342"/>
      <c r="H283" s="342"/>
      <c r="I283" s="342"/>
      <c r="J283" s="342"/>
      <c r="K283" s="338"/>
      <c r="L283" s="338"/>
      <c r="M283" s="338"/>
      <c r="N283" s="338"/>
      <c r="O283" s="338"/>
      <c r="P283" s="338"/>
      <c r="Q283" s="338"/>
      <c r="R283" s="338"/>
      <c r="S283" s="338"/>
      <c r="T283" s="338"/>
      <c r="U283" s="338"/>
      <c r="V283" s="338"/>
      <c r="W283" s="338"/>
      <c r="X283" s="338"/>
      <c r="Y283" s="338"/>
      <c r="Z283" s="338"/>
      <c r="AA283" s="338"/>
    </row>
    <row r="284" ht="15.75" customHeight="1">
      <c r="A284" s="339">
        <v>283.0</v>
      </c>
      <c r="B284" s="339" t="s">
        <v>1783</v>
      </c>
      <c r="C284" s="339" t="s">
        <v>1784</v>
      </c>
      <c r="D284" s="339" t="s">
        <v>1303</v>
      </c>
      <c r="E284" s="339" t="s">
        <v>1785</v>
      </c>
      <c r="F284" s="339">
        <v>1.800014200528E12</v>
      </c>
      <c r="G284" s="342"/>
      <c r="H284" s="342"/>
      <c r="I284" s="342"/>
      <c r="J284" s="342"/>
      <c r="K284" s="338"/>
      <c r="L284" s="338"/>
      <c r="M284" s="338"/>
      <c r="N284" s="338"/>
      <c r="O284" s="338"/>
      <c r="P284" s="338"/>
      <c r="Q284" s="338"/>
      <c r="R284" s="338"/>
      <c r="S284" s="338"/>
      <c r="T284" s="338"/>
      <c r="U284" s="338"/>
      <c r="V284" s="338"/>
      <c r="W284" s="338"/>
      <c r="X284" s="338"/>
      <c r="Y284" s="338"/>
      <c r="Z284" s="338"/>
      <c r="AA284" s="338"/>
    </row>
    <row r="285" ht="15.75" customHeight="1">
      <c r="A285" s="339">
        <v>284.0</v>
      </c>
      <c r="B285" s="339" t="s">
        <v>1786</v>
      </c>
      <c r="C285" s="339" t="s">
        <v>1787</v>
      </c>
      <c r="D285" s="339" t="s">
        <v>1079</v>
      </c>
      <c r="E285" s="339" t="s">
        <v>1788</v>
      </c>
      <c r="F285" s="345">
        <v>1.01005E16</v>
      </c>
      <c r="G285" s="342"/>
      <c r="H285" s="342"/>
      <c r="I285" s="342"/>
      <c r="J285" s="342"/>
      <c r="K285" s="338"/>
      <c r="L285" s="338"/>
      <c r="M285" s="338"/>
      <c r="N285" s="338"/>
      <c r="O285" s="338"/>
      <c r="P285" s="338"/>
      <c r="Q285" s="338"/>
      <c r="R285" s="338"/>
      <c r="S285" s="338"/>
      <c r="T285" s="338"/>
      <c r="U285" s="338"/>
      <c r="V285" s="338"/>
      <c r="W285" s="338"/>
      <c r="X285" s="338"/>
      <c r="Y285" s="338"/>
      <c r="Z285" s="338"/>
      <c r="AA285" s="338"/>
    </row>
    <row r="286" ht="15.75" customHeight="1">
      <c r="A286" s="339">
        <v>285.0</v>
      </c>
      <c r="B286" s="339" t="s">
        <v>1789</v>
      </c>
      <c r="C286" s="339" t="s">
        <v>1790</v>
      </c>
      <c r="D286" s="339" t="s">
        <v>1139</v>
      </c>
      <c r="E286" s="339" t="s">
        <v>1791</v>
      </c>
      <c r="F286" s="345">
        <v>2.21321E17</v>
      </c>
      <c r="G286" s="342"/>
      <c r="H286" s="342"/>
      <c r="I286" s="342"/>
      <c r="J286" s="342"/>
      <c r="K286" s="338"/>
      <c r="L286" s="338"/>
      <c r="M286" s="338"/>
      <c r="N286" s="338"/>
      <c r="O286" s="338"/>
      <c r="P286" s="338"/>
      <c r="Q286" s="338"/>
      <c r="R286" s="338"/>
      <c r="S286" s="338"/>
      <c r="T286" s="338"/>
      <c r="U286" s="338"/>
      <c r="V286" s="338"/>
      <c r="W286" s="338"/>
      <c r="X286" s="338"/>
      <c r="Y286" s="338"/>
      <c r="Z286" s="338"/>
      <c r="AA286" s="338"/>
    </row>
    <row r="287" ht="15.75" customHeight="1">
      <c r="A287" s="339">
        <v>286.0</v>
      </c>
      <c r="B287" s="343" t="s">
        <v>1792</v>
      </c>
      <c r="C287" s="339" t="s">
        <v>1793</v>
      </c>
      <c r="D287" s="339" t="s">
        <v>1594</v>
      </c>
      <c r="E287" s="339" t="s">
        <v>1794</v>
      </c>
      <c r="F287" s="345">
        <v>1.42021E17</v>
      </c>
      <c r="G287" s="342"/>
      <c r="H287" s="342"/>
      <c r="I287" s="342"/>
      <c r="J287" s="342"/>
      <c r="K287" s="338"/>
      <c r="L287" s="338"/>
      <c r="M287" s="338"/>
      <c r="N287" s="338"/>
      <c r="O287" s="338"/>
      <c r="P287" s="338"/>
      <c r="Q287" s="338"/>
      <c r="R287" s="338"/>
      <c r="S287" s="338"/>
      <c r="T287" s="338"/>
      <c r="U287" s="338"/>
      <c r="V287" s="338"/>
      <c r="W287" s="338"/>
      <c r="X287" s="338"/>
      <c r="Y287" s="338"/>
      <c r="Z287" s="338"/>
      <c r="AA287" s="338"/>
    </row>
    <row r="288" ht="15.75" customHeight="1">
      <c r="A288" s="339">
        <v>287.0</v>
      </c>
      <c r="B288" s="343" t="s">
        <v>1795</v>
      </c>
      <c r="C288" s="339" t="s">
        <v>1796</v>
      </c>
      <c r="D288" s="339" t="s">
        <v>1797</v>
      </c>
      <c r="E288" s="339" t="s">
        <v>1798</v>
      </c>
      <c r="F288" s="345">
        <v>2.21321E17</v>
      </c>
      <c r="G288" s="342"/>
      <c r="H288" s="342"/>
      <c r="I288" s="342"/>
      <c r="J288" s="342"/>
      <c r="K288" s="338"/>
      <c r="L288" s="338"/>
      <c r="M288" s="338"/>
      <c r="N288" s="338"/>
      <c r="O288" s="338"/>
      <c r="P288" s="338"/>
      <c r="Q288" s="338"/>
      <c r="R288" s="338"/>
      <c r="S288" s="338"/>
      <c r="T288" s="338"/>
      <c r="U288" s="338"/>
      <c r="V288" s="338"/>
      <c r="W288" s="338"/>
      <c r="X288" s="338"/>
      <c r="Y288" s="338"/>
      <c r="Z288" s="338"/>
      <c r="AA288" s="338"/>
    </row>
    <row r="289" ht="15.75" customHeight="1">
      <c r="A289" s="339">
        <v>288.0</v>
      </c>
      <c r="B289" s="339" t="s">
        <v>1799</v>
      </c>
      <c r="C289" s="339" t="s">
        <v>1800</v>
      </c>
      <c r="D289" s="339" t="s">
        <v>1801</v>
      </c>
      <c r="E289" s="339" t="s">
        <v>1802</v>
      </c>
      <c r="F289" s="339">
        <v>5.001012923814E12</v>
      </c>
      <c r="G289" s="342"/>
      <c r="H289" s="342"/>
      <c r="I289" s="342"/>
      <c r="J289" s="342"/>
      <c r="K289" s="338"/>
      <c r="L289" s="338"/>
      <c r="M289" s="338"/>
      <c r="N289" s="338"/>
      <c r="O289" s="338"/>
      <c r="P289" s="338"/>
      <c r="Q289" s="338"/>
      <c r="R289" s="338"/>
      <c r="S289" s="338"/>
      <c r="T289" s="338"/>
      <c r="U289" s="338"/>
      <c r="V289" s="338"/>
      <c r="W289" s="338"/>
      <c r="X289" s="338"/>
      <c r="Y289" s="338"/>
      <c r="Z289" s="338"/>
      <c r="AA289" s="338"/>
    </row>
    <row r="290" ht="15.75" customHeight="1">
      <c r="A290" s="339">
        <v>289.0</v>
      </c>
      <c r="B290" s="339" t="s">
        <v>1803</v>
      </c>
      <c r="C290" s="339" t="s">
        <v>1804</v>
      </c>
      <c r="D290" s="339" t="s">
        <v>1805</v>
      </c>
      <c r="E290" s="339" t="s">
        <v>1806</v>
      </c>
      <c r="F290" s="339">
        <v>4.212215006457E12</v>
      </c>
      <c r="G290" s="342"/>
      <c r="H290" s="342"/>
      <c r="I290" s="342"/>
      <c r="J290" s="342"/>
      <c r="K290" s="338"/>
      <c r="L290" s="338"/>
      <c r="M290" s="338"/>
      <c r="N290" s="338"/>
      <c r="O290" s="338"/>
      <c r="P290" s="338"/>
      <c r="Q290" s="338"/>
      <c r="R290" s="338"/>
      <c r="S290" s="338"/>
      <c r="T290" s="338"/>
      <c r="U290" s="338"/>
      <c r="V290" s="338"/>
      <c r="W290" s="338"/>
      <c r="X290" s="338"/>
      <c r="Y290" s="338"/>
      <c r="Z290" s="338"/>
      <c r="AA290" s="338"/>
    </row>
    <row r="291" ht="15.75" customHeight="1">
      <c r="A291" s="339">
        <v>290.0</v>
      </c>
      <c r="B291" s="339" t="s">
        <v>760</v>
      </c>
      <c r="C291" s="339" t="s">
        <v>761</v>
      </c>
      <c r="D291" s="339" t="s">
        <v>1807</v>
      </c>
      <c r="E291" s="339" t="s">
        <v>1808</v>
      </c>
      <c r="F291" s="339">
        <v>3.899969999E9</v>
      </c>
      <c r="G291" s="342"/>
      <c r="H291" s="342"/>
      <c r="I291" s="342"/>
      <c r="J291" s="342"/>
      <c r="K291" s="338"/>
      <c r="L291" s="338"/>
      <c r="M291" s="338"/>
      <c r="N291" s="338"/>
      <c r="O291" s="338"/>
      <c r="P291" s="338"/>
      <c r="Q291" s="338"/>
      <c r="R291" s="338"/>
      <c r="S291" s="338"/>
      <c r="T291" s="338"/>
      <c r="U291" s="338"/>
      <c r="V291" s="338"/>
      <c r="W291" s="338"/>
      <c r="X291" s="338"/>
      <c r="Y291" s="338"/>
      <c r="Z291" s="338"/>
      <c r="AA291" s="338"/>
    </row>
    <row r="292" ht="15.75" customHeight="1">
      <c r="A292" s="339">
        <v>291.0</v>
      </c>
      <c r="B292" s="343" t="s">
        <v>1809</v>
      </c>
      <c r="C292" s="340" t="s">
        <v>526</v>
      </c>
      <c r="D292" s="339" t="s">
        <v>1156</v>
      </c>
      <c r="E292" s="339" t="s">
        <v>1810</v>
      </c>
      <c r="F292" s="339">
        <v>1.460205404507E12</v>
      </c>
      <c r="G292" s="342"/>
      <c r="H292" s="342"/>
      <c r="I292" s="342"/>
      <c r="J292" s="342"/>
      <c r="K292" s="338"/>
      <c r="L292" s="338"/>
      <c r="M292" s="338"/>
      <c r="N292" s="338"/>
      <c r="O292" s="338"/>
      <c r="P292" s="338"/>
      <c r="Q292" s="338"/>
      <c r="R292" s="338"/>
      <c r="S292" s="338"/>
      <c r="T292" s="338"/>
      <c r="U292" s="338"/>
      <c r="V292" s="338"/>
      <c r="W292" s="338"/>
      <c r="X292" s="338"/>
      <c r="Y292" s="338"/>
      <c r="Z292" s="338"/>
      <c r="AA292" s="338"/>
    </row>
    <row r="293" ht="15.75" customHeight="1">
      <c r="A293" s="339">
        <v>292.0</v>
      </c>
      <c r="B293" s="343" t="s">
        <v>1811</v>
      </c>
      <c r="C293" s="339" t="s">
        <v>1812</v>
      </c>
      <c r="D293" s="339" t="s">
        <v>1252</v>
      </c>
      <c r="E293" s="339" t="s">
        <v>1813</v>
      </c>
      <c r="F293" s="339">
        <v>3.9010000125021E13</v>
      </c>
      <c r="G293" s="342"/>
      <c r="H293" s="342"/>
      <c r="I293" s="342"/>
      <c r="J293" s="342"/>
      <c r="K293" s="338"/>
      <c r="L293" s="338"/>
      <c r="M293" s="338"/>
      <c r="N293" s="338"/>
      <c r="O293" s="338"/>
      <c r="P293" s="338"/>
      <c r="Q293" s="338"/>
      <c r="R293" s="338"/>
      <c r="S293" s="338"/>
      <c r="T293" s="338"/>
      <c r="U293" s="338"/>
      <c r="V293" s="338"/>
      <c r="W293" s="338"/>
      <c r="X293" s="338"/>
      <c r="Y293" s="338"/>
      <c r="Z293" s="338"/>
      <c r="AA293" s="338"/>
    </row>
    <row r="294" ht="15.75" customHeight="1">
      <c r="A294" s="339">
        <v>293.0</v>
      </c>
      <c r="B294" s="343" t="s">
        <v>1814</v>
      </c>
      <c r="C294" s="339" t="s">
        <v>596</v>
      </c>
      <c r="D294" s="339" t="s">
        <v>1241</v>
      </c>
      <c r="E294" s="339" t="s">
        <v>1815</v>
      </c>
      <c r="F294" s="345">
        <v>3.451E16</v>
      </c>
      <c r="G294" s="342" t="s">
        <v>1814</v>
      </c>
      <c r="H294" s="342"/>
      <c r="I294" s="342"/>
      <c r="J294" s="342" t="s">
        <v>927</v>
      </c>
      <c r="K294" s="338"/>
      <c r="L294" s="338"/>
      <c r="M294" s="338"/>
      <c r="N294" s="338"/>
      <c r="O294" s="338"/>
      <c r="P294" s="338"/>
      <c r="Q294" s="338"/>
      <c r="R294" s="338"/>
      <c r="S294" s="338"/>
      <c r="T294" s="338"/>
      <c r="U294" s="338"/>
      <c r="V294" s="338"/>
      <c r="W294" s="338"/>
      <c r="X294" s="338"/>
      <c r="Y294" s="338"/>
      <c r="Z294" s="338"/>
      <c r="AA294" s="338"/>
    </row>
    <row r="295" ht="15.75" customHeight="1">
      <c r="A295" s="339">
        <v>294.0</v>
      </c>
      <c r="B295" s="339" t="s">
        <v>1816</v>
      </c>
      <c r="C295" s="339" t="s">
        <v>529</v>
      </c>
      <c r="D295" s="339" t="s">
        <v>1024</v>
      </c>
      <c r="E295" s="339" t="s">
        <v>1817</v>
      </c>
      <c r="F295" s="349" t="s">
        <v>1818</v>
      </c>
      <c r="G295" s="342"/>
      <c r="H295" s="342"/>
      <c r="I295" s="349" t="s">
        <v>1818</v>
      </c>
      <c r="J295" s="342" t="s">
        <v>1505</v>
      </c>
      <c r="K295" s="338"/>
      <c r="L295" s="338"/>
      <c r="M295" s="338"/>
      <c r="N295" s="338"/>
      <c r="O295" s="338"/>
      <c r="P295" s="338"/>
      <c r="Q295" s="338"/>
      <c r="R295" s="338"/>
      <c r="S295" s="338"/>
      <c r="T295" s="338"/>
      <c r="U295" s="338"/>
      <c r="V295" s="338"/>
      <c r="W295" s="338"/>
      <c r="X295" s="338"/>
      <c r="Y295" s="338"/>
      <c r="Z295" s="338"/>
      <c r="AA295" s="338"/>
    </row>
    <row r="296" ht="15.75" customHeight="1">
      <c r="A296" s="339">
        <v>295.0</v>
      </c>
      <c r="B296" s="339" t="s">
        <v>1819</v>
      </c>
      <c r="C296" s="339" t="s">
        <v>1820</v>
      </c>
      <c r="D296" s="339" t="s">
        <v>401</v>
      </c>
      <c r="E296" s="339" t="s">
        <v>1821</v>
      </c>
      <c r="F296" s="339">
        <v>3.9010000125261E13</v>
      </c>
      <c r="G296" s="342" t="s">
        <v>1819</v>
      </c>
      <c r="H296" s="342" t="s">
        <v>659</v>
      </c>
      <c r="I296" s="342">
        <v>3.900125261E9</v>
      </c>
      <c r="J296" s="342" t="s">
        <v>1822</v>
      </c>
      <c r="K296" s="338"/>
      <c r="L296" s="338"/>
      <c r="M296" s="338"/>
      <c r="N296" s="338"/>
      <c r="O296" s="338"/>
      <c r="P296" s="338"/>
      <c r="Q296" s="338"/>
      <c r="R296" s="338"/>
      <c r="S296" s="338"/>
      <c r="T296" s="338"/>
      <c r="U296" s="338"/>
      <c r="V296" s="338"/>
      <c r="W296" s="338"/>
      <c r="X296" s="338"/>
      <c r="Y296" s="338"/>
      <c r="Z296" s="338"/>
      <c r="AA296" s="338"/>
    </row>
    <row r="297" ht="15.75" customHeight="1">
      <c r="A297" s="339">
        <v>296.0</v>
      </c>
      <c r="B297" s="339" t="s">
        <v>1823</v>
      </c>
      <c r="C297" s="339" t="s">
        <v>1824</v>
      </c>
      <c r="D297" s="339" t="s">
        <v>1241</v>
      </c>
      <c r="E297" s="339" t="s">
        <v>1825</v>
      </c>
      <c r="F297" s="339">
        <v>3.4510000004333E13</v>
      </c>
      <c r="G297" s="342"/>
      <c r="H297" s="342"/>
      <c r="I297" s="342"/>
      <c r="J297" s="342"/>
      <c r="K297" s="338"/>
      <c r="L297" s="338"/>
      <c r="M297" s="338"/>
      <c r="N297" s="338"/>
      <c r="O297" s="338"/>
      <c r="P297" s="338"/>
      <c r="Q297" s="338"/>
      <c r="R297" s="338"/>
      <c r="S297" s="338"/>
      <c r="T297" s="338"/>
      <c r="U297" s="338"/>
      <c r="V297" s="338"/>
      <c r="W297" s="338"/>
      <c r="X297" s="338"/>
      <c r="Y297" s="338"/>
      <c r="Z297" s="338"/>
      <c r="AA297" s="338"/>
    </row>
    <row r="298" ht="15.75" customHeight="1">
      <c r="A298" s="339">
        <v>297.0</v>
      </c>
      <c r="B298" s="343" t="s">
        <v>1826</v>
      </c>
      <c r="C298" s="339" t="s">
        <v>1827</v>
      </c>
      <c r="D298" s="339" t="s">
        <v>1099</v>
      </c>
      <c r="E298" s="339" t="s">
        <v>1828</v>
      </c>
      <c r="F298" s="339">
        <v>3.7110000686194E13</v>
      </c>
      <c r="G298" s="342"/>
      <c r="H298" s="342"/>
      <c r="I298" s="342"/>
      <c r="J298" s="342"/>
      <c r="K298" s="338"/>
      <c r="L298" s="338"/>
      <c r="M298" s="338"/>
      <c r="N298" s="338"/>
      <c r="O298" s="338"/>
      <c r="P298" s="338"/>
      <c r="Q298" s="338"/>
      <c r="R298" s="338"/>
      <c r="S298" s="338"/>
      <c r="T298" s="338"/>
      <c r="U298" s="338"/>
      <c r="V298" s="338"/>
      <c r="W298" s="338"/>
      <c r="X298" s="338"/>
      <c r="Y298" s="338"/>
      <c r="Z298" s="338"/>
      <c r="AA298" s="338"/>
    </row>
    <row r="299" ht="15.75" customHeight="1">
      <c r="A299" s="339">
        <v>298.0</v>
      </c>
      <c r="B299" s="339" t="s">
        <v>1829</v>
      </c>
      <c r="C299" s="339" t="s">
        <v>574</v>
      </c>
      <c r="D299" s="339" t="s">
        <v>1139</v>
      </c>
      <c r="E299" s="339" t="s">
        <v>1813</v>
      </c>
      <c r="F299" s="339">
        <v>3.9010000125438E13</v>
      </c>
      <c r="G299" s="342"/>
      <c r="H299" s="342"/>
      <c r="I299" s="342"/>
      <c r="J299" s="342"/>
      <c r="K299" s="338"/>
      <c r="L299" s="338"/>
      <c r="M299" s="338"/>
      <c r="N299" s="338"/>
      <c r="O299" s="338"/>
      <c r="P299" s="338"/>
      <c r="Q299" s="338"/>
      <c r="R299" s="338"/>
      <c r="S299" s="338"/>
      <c r="T299" s="338"/>
      <c r="U299" s="338"/>
      <c r="V299" s="338"/>
      <c r="W299" s="338"/>
      <c r="X299" s="338"/>
      <c r="Y299" s="338"/>
      <c r="Z299" s="338"/>
      <c r="AA299" s="338"/>
    </row>
    <row r="300" ht="15.75" customHeight="1">
      <c r="A300" s="339">
        <v>299.0</v>
      </c>
      <c r="B300" s="339" t="s">
        <v>1830</v>
      </c>
      <c r="C300" s="339" t="s">
        <v>1831</v>
      </c>
      <c r="D300" s="339" t="s">
        <v>1071</v>
      </c>
      <c r="E300" s="339" t="s">
        <v>1832</v>
      </c>
      <c r="F300" s="339">
        <v>9.93836868888E11</v>
      </c>
      <c r="G300" s="342"/>
      <c r="H300" s="342"/>
      <c r="I300" s="342"/>
      <c r="J300" s="342"/>
      <c r="K300" s="338"/>
      <c r="L300" s="338"/>
      <c r="M300" s="338"/>
      <c r="N300" s="338"/>
      <c r="O300" s="338"/>
      <c r="P300" s="338"/>
      <c r="Q300" s="338"/>
      <c r="R300" s="338"/>
      <c r="S300" s="338"/>
      <c r="T300" s="338"/>
      <c r="U300" s="338"/>
      <c r="V300" s="338"/>
      <c r="W300" s="338"/>
      <c r="X300" s="338"/>
      <c r="Y300" s="338"/>
      <c r="Z300" s="338"/>
      <c r="AA300" s="338"/>
    </row>
    <row r="301" ht="15.75" customHeight="1">
      <c r="A301" s="339">
        <v>300.0</v>
      </c>
      <c r="B301" s="343" t="s">
        <v>1833</v>
      </c>
      <c r="C301" s="339" t="s">
        <v>1834</v>
      </c>
      <c r="D301" s="339" t="s">
        <v>1300</v>
      </c>
      <c r="E301" s="339" t="s">
        <v>1835</v>
      </c>
      <c r="F301" s="345">
        <v>1.06004E16</v>
      </c>
      <c r="G301" s="342"/>
      <c r="H301" s="342"/>
      <c r="I301" s="342"/>
      <c r="J301" s="342"/>
      <c r="K301" s="338"/>
      <c r="L301" s="338"/>
      <c r="M301" s="338"/>
      <c r="N301" s="338"/>
      <c r="O301" s="338"/>
      <c r="P301" s="338"/>
      <c r="Q301" s="338"/>
      <c r="R301" s="338"/>
      <c r="S301" s="338"/>
      <c r="T301" s="338"/>
      <c r="U301" s="338"/>
      <c r="V301" s="338"/>
      <c r="W301" s="338"/>
      <c r="X301" s="338"/>
      <c r="Y301" s="338"/>
      <c r="Z301" s="338"/>
      <c r="AA301" s="338"/>
    </row>
    <row r="302" ht="15.75" customHeight="1">
      <c r="A302" s="339">
        <v>301.0</v>
      </c>
      <c r="B302" s="339" t="s">
        <v>1836</v>
      </c>
      <c r="C302" s="339" t="s">
        <v>557</v>
      </c>
      <c r="D302" s="339" t="s">
        <v>1024</v>
      </c>
      <c r="E302" s="339" t="s">
        <v>659</v>
      </c>
      <c r="F302" s="339">
        <v>9.89324854E8</v>
      </c>
      <c r="G302" s="342"/>
      <c r="H302" s="342"/>
      <c r="I302" s="342"/>
      <c r="J302" s="342"/>
      <c r="K302" s="338"/>
      <c r="L302" s="338"/>
      <c r="M302" s="338"/>
      <c r="N302" s="338"/>
      <c r="O302" s="338"/>
      <c r="P302" s="338"/>
      <c r="Q302" s="338"/>
      <c r="R302" s="338"/>
      <c r="S302" s="338"/>
      <c r="T302" s="338"/>
      <c r="U302" s="338"/>
      <c r="V302" s="338"/>
      <c r="W302" s="338"/>
      <c r="X302" s="338"/>
      <c r="Y302" s="338"/>
      <c r="Z302" s="338"/>
      <c r="AA302" s="338"/>
    </row>
    <row r="303" ht="15.75" customHeight="1">
      <c r="A303" s="339">
        <v>302.0</v>
      </c>
      <c r="B303" s="339" t="s">
        <v>1837</v>
      </c>
      <c r="C303" s="339" t="s">
        <v>1838</v>
      </c>
      <c r="D303" s="339" t="s">
        <v>1839</v>
      </c>
      <c r="E303" s="339" t="s">
        <v>1840</v>
      </c>
      <c r="F303" s="339">
        <v>1.20784999E8</v>
      </c>
      <c r="G303" s="342" t="s">
        <v>1837</v>
      </c>
      <c r="H303" s="342" t="s">
        <v>1841</v>
      </c>
      <c r="I303" s="342">
        <v>8.500215005263E12</v>
      </c>
      <c r="J303" s="342" t="s">
        <v>927</v>
      </c>
      <c r="K303" s="338"/>
      <c r="L303" s="338"/>
      <c r="M303" s="338"/>
      <c r="N303" s="338"/>
      <c r="O303" s="338"/>
      <c r="P303" s="338"/>
      <c r="Q303" s="338"/>
      <c r="R303" s="338"/>
      <c r="S303" s="338"/>
      <c r="T303" s="338"/>
      <c r="U303" s="338"/>
      <c r="V303" s="338"/>
      <c r="W303" s="338"/>
      <c r="X303" s="338"/>
      <c r="Y303" s="338"/>
      <c r="Z303" s="338"/>
      <c r="AA303" s="338"/>
    </row>
    <row r="304" ht="15.75" customHeight="1">
      <c r="A304" s="339">
        <v>303.0</v>
      </c>
      <c r="B304" s="339" t="s">
        <v>1842</v>
      </c>
      <c r="C304" s="339" t="s">
        <v>1843</v>
      </c>
      <c r="D304" s="339" t="s">
        <v>1427</v>
      </c>
      <c r="E304" s="339" t="s">
        <v>1844</v>
      </c>
      <c r="F304" s="339">
        <v>2.11756314E8</v>
      </c>
      <c r="G304" s="342"/>
      <c r="H304" s="342"/>
      <c r="I304" s="342"/>
      <c r="J304" s="342"/>
      <c r="K304" s="338"/>
      <c r="L304" s="338"/>
      <c r="M304" s="338"/>
      <c r="N304" s="338"/>
      <c r="O304" s="338"/>
      <c r="P304" s="338"/>
      <c r="Q304" s="338"/>
      <c r="R304" s="338"/>
      <c r="S304" s="338"/>
      <c r="T304" s="338"/>
      <c r="U304" s="338"/>
      <c r="V304" s="338"/>
      <c r="W304" s="338"/>
      <c r="X304" s="338"/>
      <c r="Y304" s="338"/>
      <c r="Z304" s="338"/>
      <c r="AA304" s="338"/>
    </row>
    <row r="305" ht="15.75" customHeight="1">
      <c r="A305" s="339">
        <v>304.0</v>
      </c>
      <c r="B305" s="339" t="s">
        <v>1845</v>
      </c>
      <c r="C305" s="339" t="s">
        <v>1846</v>
      </c>
      <c r="D305" s="339" t="s">
        <v>1119</v>
      </c>
      <c r="E305" s="339" t="s">
        <v>1847</v>
      </c>
      <c r="F305" s="339">
        <v>9.86525418888E11</v>
      </c>
      <c r="G305" s="342"/>
      <c r="H305" s="342"/>
      <c r="I305" s="342"/>
      <c r="J305" s="342"/>
      <c r="K305" s="338"/>
      <c r="L305" s="338"/>
      <c r="M305" s="338"/>
      <c r="N305" s="338"/>
      <c r="O305" s="338"/>
      <c r="P305" s="338"/>
      <c r="Q305" s="338"/>
      <c r="R305" s="338"/>
      <c r="S305" s="338"/>
      <c r="T305" s="338"/>
      <c r="U305" s="338"/>
      <c r="V305" s="338"/>
      <c r="W305" s="338"/>
      <c r="X305" s="338"/>
      <c r="Y305" s="338"/>
      <c r="Z305" s="338"/>
      <c r="AA305" s="338"/>
    </row>
    <row r="306" ht="15.75" customHeight="1">
      <c r="A306" s="339">
        <v>305.0</v>
      </c>
      <c r="B306" s="343" t="s">
        <v>1848</v>
      </c>
      <c r="C306" s="339" t="s">
        <v>1849</v>
      </c>
      <c r="D306" s="339" t="s">
        <v>1707</v>
      </c>
      <c r="E306" s="339" t="s">
        <v>1850</v>
      </c>
      <c r="F306" s="345">
        <v>1.50721E17</v>
      </c>
      <c r="G306" s="342"/>
      <c r="H306" s="342"/>
      <c r="I306" s="342"/>
      <c r="J306" s="342"/>
      <c r="K306" s="338"/>
      <c r="L306" s="338"/>
      <c r="M306" s="338"/>
      <c r="N306" s="338"/>
      <c r="O306" s="338"/>
      <c r="P306" s="338"/>
      <c r="Q306" s="338"/>
      <c r="R306" s="338"/>
      <c r="S306" s="338"/>
      <c r="T306" s="338"/>
      <c r="U306" s="338"/>
      <c r="V306" s="338"/>
      <c r="W306" s="338"/>
      <c r="X306" s="338"/>
      <c r="Y306" s="338"/>
      <c r="Z306" s="338"/>
      <c r="AA306" s="338"/>
    </row>
    <row r="307" ht="15.75" customHeight="1">
      <c r="A307" s="339">
        <v>306.0</v>
      </c>
      <c r="B307" s="339" t="s">
        <v>1851</v>
      </c>
      <c r="C307" s="339" t="s">
        <v>1852</v>
      </c>
      <c r="D307" s="339" t="s">
        <v>1266</v>
      </c>
      <c r="E307" s="339" t="s">
        <v>1853</v>
      </c>
      <c r="F307" s="339">
        <v>9.80133736666E11</v>
      </c>
      <c r="G307" s="342"/>
      <c r="H307" s="342"/>
      <c r="I307" s="342"/>
      <c r="J307" s="342"/>
      <c r="K307" s="338"/>
      <c r="L307" s="338"/>
      <c r="M307" s="338"/>
      <c r="N307" s="338"/>
      <c r="O307" s="338"/>
      <c r="P307" s="338"/>
      <c r="Q307" s="338"/>
      <c r="R307" s="338"/>
      <c r="S307" s="338"/>
      <c r="T307" s="338"/>
      <c r="U307" s="338"/>
      <c r="V307" s="338"/>
      <c r="W307" s="338"/>
      <c r="X307" s="338"/>
      <c r="Y307" s="338"/>
      <c r="Z307" s="338"/>
      <c r="AA307" s="338"/>
    </row>
    <row r="308" ht="15.75" customHeight="1">
      <c r="A308" s="339">
        <v>307.0</v>
      </c>
      <c r="B308" s="339" t="s">
        <v>1854</v>
      </c>
      <c r="C308" s="339" t="s">
        <v>1855</v>
      </c>
      <c r="D308" s="339" t="s">
        <v>923</v>
      </c>
      <c r="E308" s="339" t="s">
        <v>1856</v>
      </c>
      <c r="F308" s="339">
        <v>8.500215025283E12</v>
      </c>
      <c r="G308" s="342"/>
      <c r="H308" s="342"/>
      <c r="I308" s="342"/>
      <c r="J308" s="342"/>
      <c r="K308" s="338"/>
      <c r="L308" s="338"/>
      <c r="M308" s="338"/>
      <c r="N308" s="338"/>
      <c r="O308" s="338"/>
      <c r="P308" s="338"/>
      <c r="Q308" s="338"/>
      <c r="R308" s="338"/>
      <c r="S308" s="338"/>
      <c r="T308" s="338"/>
      <c r="U308" s="338"/>
      <c r="V308" s="338"/>
      <c r="W308" s="338"/>
      <c r="X308" s="338"/>
      <c r="Y308" s="338"/>
      <c r="Z308" s="338"/>
      <c r="AA308" s="338"/>
    </row>
    <row r="309" ht="15.75" customHeight="1">
      <c r="A309" s="339">
        <v>308.0</v>
      </c>
      <c r="B309" s="339" t="s">
        <v>1857</v>
      </c>
      <c r="C309" s="339" t="s">
        <v>1858</v>
      </c>
      <c r="D309" s="339" t="s">
        <v>1859</v>
      </c>
      <c r="E309" s="339" t="s">
        <v>659</v>
      </c>
      <c r="F309" s="345">
        <v>2.151E16</v>
      </c>
      <c r="G309" s="342"/>
      <c r="H309" s="342"/>
      <c r="I309" s="342"/>
      <c r="J309" s="342"/>
      <c r="K309" s="338"/>
      <c r="L309" s="338"/>
      <c r="M309" s="338"/>
      <c r="N309" s="338"/>
      <c r="O309" s="338"/>
      <c r="P309" s="338"/>
      <c r="Q309" s="338"/>
      <c r="R309" s="338"/>
      <c r="S309" s="338"/>
      <c r="T309" s="338"/>
      <c r="U309" s="338"/>
      <c r="V309" s="338"/>
      <c r="W309" s="338"/>
      <c r="X309" s="338"/>
      <c r="Y309" s="338"/>
      <c r="Z309" s="338"/>
      <c r="AA309" s="338"/>
    </row>
    <row r="310" ht="15.75" customHeight="1">
      <c r="A310" s="339">
        <v>309.0</v>
      </c>
      <c r="B310" s="339" t="s">
        <v>1860</v>
      </c>
      <c r="C310" s="339" t="s">
        <v>1861</v>
      </c>
      <c r="D310" s="339" t="s">
        <v>990</v>
      </c>
      <c r="E310" s="339" t="s">
        <v>1862</v>
      </c>
      <c r="F310" s="339">
        <v>3.9010000184989E13</v>
      </c>
      <c r="G310" s="342" t="s">
        <v>1863</v>
      </c>
      <c r="H310" s="342" t="s">
        <v>659</v>
      </c>
      <c r="I310" s="342">
        <v>3.900184989E9</v>
      </c>
      <c r="J310" s="342" t="s">
        <v>1864</v>
      </c>
      <c r="K310" s="338"/>
      <c r="L310" s="338"/>
      <c r="M310" s="338"/>
      <c r="N310" s="338"/>
      <c r="O310" s="338"/>
      <c r="P310" s="338"/>
      <c r="Q310" s="338"/>
      <c r="R310" s="338"/>
      <c r="S310" s="338"/>
      <c r="T310" s="338"/>
      <c r="U310" s="338"/>
      <c r="V310" s="338"/>
      <c r="W310" s="338"/>
      <c r="X310" s="338"/>
      <c r="Y310" s="338"/>
      <c r="Z310" s="338"/>
      <c r="AA310" s="338"/>
    </row>
    <row r="311" ht="15.75" customHeight="1">
      <c r="A311" s="339">
        <v>310.0</v>
      </c>
      <c r="B311" s="339" t="s">
        <v>1865</v>
      </c>
      <c r="C311" s="339" t="s">
        <v>1866</v>
      </c>
      <c r="D311" s="339" t="s">
        <v>1033</v>
      </c>
      <c r="E311" s="339" t="s">
        <v>1867</v>
      </c>
      <c r="F311" s="345">
        <v>2.50121E17</v>
      </c>
      <c r="G311" s="342"/>
      <c r="H311" s="342"/>
      <c r="I311" s="342"/>
      <c r="J311" s="342"/>
      <c r="K311" s="338"/>
      <c r="L311" s="338"/>
      <c r="M311" s="338"/>
      <c r="N311" s="338"/>
      <c r="O311" s="338"/>
      <c r="P311" s="338"/>
      <c r="Q311" s="338"/>
      <c r="R311" s="338"/>
      <c r="S311" s="338"/>
      <c r="T311" s="338"/>
      <c r="U311" s="338"/>
      <c r="V311" s="338"/>
      <c r="W311" s="338"/>
      <c r="X311" s="338"/>
      <c r="Y311" s="338"/>
      <c r="Z311" s="338"/>
      <c r="AA311" s="338"/>
    </row>
    <row r="312" ht="15.75" customHeight="1">
      <c r="A312" s="339">
        <v>311.0</v>
      </c>
      <c r="B312" s="339" t="s">
        <v>1868</v>
      </c>
      <c r="C312" s="339" t="s">
        <v>466</v>
      </c>
      <c r="D312" s="339" t="s">
        <v>1869</v>
      </c>
      <c r="E312" s="339" t="s">
        <v>1870</v>
      </c>
      <c r="F312" s="339">
        <v>9.999619879999E12</v>
      </c>
      <c r="G312" s="342"/>
      <c r="H312" s="342"/>
      <c r="I312" s="342"/>
      <c r="J312" s="342"/>
      <c r="K312" s="338"/>
      <c r="L312" s="338"/>
      <c r="M312" s="338"/>
      <c r="N312" s="338"/>
      <c r="O312" s="338"/>
      <c r="P312" s="338"/>
      <c r="Q312" s="338"/>
      <c r="R312" s="338"/>
      <c r="S312" s="338"/>
      <c r="T312" s="338"/>
      <c r="U312" s="338"/>
      <c r="V312" s="338"/>
      <c r="W312" s="338"/>
      <c r="X312" s="338"/>
      <c r="Y312" s="338"/>
      <c r="Z312" s="338"/>
      <c r="AA312" s="338"/>
    </row>
    <row r="313" ht="15.75" customHeight="1">
      <c r="A313" s="339">
        <v>312.0</v>
      </c>
      <c r="B313" s="339" t="s">
        <v>1871</v>
      </c>
      <c r="C313" s="339" t="s">
        <v>1872</v>
      </c>
      <c r="D313" s="339" t="s">
        <v>1228</v>
      </c>
      <c r="E313" s="339" t="s">
        <v>1873</v>
      </c>
      <c r="F313" s="339">
        <v>2.501205145498E12</v>
      </c>
      <c r="G313" s="342"/>
      <c r="H313" s="342"/>
      <c r="I313" s="342"/>
      <c r="J313" s="342"/>
      <c r="K313" s="338"/>
      <c r="L313" s="338"/>
      <c r="M313" s="338"/>
      <c r="N313" s="338"/>
      <c r="O313" s="338"/>
      <c r="P313" s="338"/>
      <c r="Q313" s="338"/>
      <c r="R313" s="338"/>
      <c r="S313" s="338"/>
      <c r="T313" s="338"/>
      <c r="U313" s="338"/>
      <c r="V313" s="338"/>
      <c r="W313" s="338"/>
      <c r="X313" s="338"/>
      <c r="Y313" s="338"/>
      <c r="Z313" s="338"/>
      <c r="AA313" s="338"/>
    </row>
    <row r="314" ht="15.75" customHeight="1">
      <c r="A314" s="339">
        <v>313.0</v>
      </c>
      <c r="B314" s="350" t="s">
        <v>1874</v>
      </c>
      <c r="C314" s="339" t="s">
        <v>1875</v>
      </c>
      <c r="D314" s="339" t="s">
        <v>1116</v>
      </c>
      <c r="E314" s="339" t="s">
        <v>1876</v>
      </c>
      <c r="F314" s="339">
        <v>1.05005747356E11</v>
      </c>
      <c r="G314" s="342"/>
      <c r="H314" s="342"/>
      <c r="I314" s="342"/>
      <c r="J314" s="342"/>
      <c r="K314" s="338"/>
      <c r="L314" s="338"/>
      <c r="M314" s="338"/>
      <c r="N314" s="338"/>
      <c r="O314" s="338"/>
      <c r="P314" s="338"/>
      <c r="Q314" s="338"/>
      <c r="R314" s="338"/>
      <c r="S314" s="338"/>
      <c r="T314" s="338"/>
      <c r="U314" s="338"/>
      <c r="V314" s="338"/>
      <c r="W314" s="338"/>
      <c r="X314" s="338"/>
      <c r="Y314" s="338"/>
      <c r="Z314" s="338"/>
      <c r="AA314" s="338"/>
    </row>
    <row r="315" ht="15.75" customHeight="1">
      <c r="A315" s="339">
        <v>314.0</v>
      </c>
      <c r="B315" s="339" t="s">
        <v>1877</v>
      </c>
      <c r="C315" s="339" t="s">
        <v>1878</v>
      </c>
      <c r="D315" s="339" t="s">
        <v>967</v>
      </c>
      <c r="E315" s="339" t="s">
        <v>1879</v>
      </c>
      <c r="F315" s="345">
        <v>2.561E16</v>
      </c>
      <c r="G315" s="342"/>
      <c r="H315" s="342"/>
      <c r="I315" s="342"/>
      <c r="J315" s="342"/>
      <c r="K315" s="338"/>
      <c r="L315" s="338"/>
      <c r="M315" s="338"/>
      <c r="N315" s="338"/>
      <c r="O315" s="338"/>
      <c r="P315" s="338"/>
      <c r="Q315" s="338"/>
      <c r="R315" s="338"/>
      <c r="S315" s="338"/>
      <c r="T315" s="338"/>
      <c r="U315" s="338"/>
      <c r="V315" s="338"/>
      <c r="W315" s="338"/>
      <c r="X315" s="338"/>
      <c r="Y315" s="338"/>
      <c r="Z315" s="338"/>
      <c r="AA315" s="338"/>
    </row>
    <row r="316" ht="15.75" customHeight="1">
      <c r="A316" s="339">
        <v>315.0</v>
      </c>
      <c r="B316" s="339" t="s">
        <v>1880</v>
      </c>
      <c r="C316" s="339" t="s">
        <v>1881</v>
      </c>
      <c r="D316" s="339" t="s">
        <v>1231</v>
      </c>
      <c r="E316" s="339" t="s">
        <v>1882</v>
      </c>
      <c r="F316" s="345">
        <v>3.16022E17</v>
      </c>
      <c r="G316" s="342"/>
      <c r="H316" s="342"/>
      <c r="I316" s="342"/>
      <c r="J316" s="342"/>
      <c r="K316" s="338"/>
      <c r="L316" s="338"/>
      <c r="M316" s="338"/>
      <c r="N316" s="338"/>
      <c r="O316" s="338"/>
      <c r="P316" s="338"/>
      <c r="Q316" s="338"/>
      <c r="R316" s="338"/>
      <c r="S316" s="338"/>
      <c r="T316" s="338"/>
      <c r="U316" s="338"/>
      <c r="V316" s="338"/>
      <c r="W316" s="338"/>
      <c r="X316" s="338"/>
      <c r="Y316" s="338"/>
      <c r="Z316" s="338"/>
      <c r="AA316" s="338"/>
    </row>
    <row r="317" ht="15.75" customHeight="1">
      <c r="A317" s="339">
        <v>316.0</v>
      </c>
      <c r="B317" s="339" t="s">
        <v>1883</v>
      </c>
      <c r="C317" s="339" t="s">
        <v>1884</v>
      </c>
      <c r="D317" s="339" t="s">
        <v>1527</v>
      </c>
      <c r="E317" s="339" t="s">
        <v>1885</v>
      </c>
      <c r="F317" s="339">
        <v>9.41003031987E11</v>
      </c>
      <c r="G317" s="342"/>
      <c r="H317" s="342"/>
      <c r="I317" s="342"/>
      <c r="J317" s="342"/>
      <c r="K317" s="338"/>
      <c r="L317" s="338"/>
      <c r="M317" s="338"/>
      <c r="N317" s="338"/>
      <c r="O317" s="338"/>
      <c r="P317" s="338"/>
      <c r="Q317" s="338"/>
      <c r="R317" s="338"/>
      <c r="S317" s="338"/>
      <c r="T317" s="338"/>
      <c r="U317" s="338"/>
      <c r="V317" s="338"/>
      <c r="W317" s="338"/>
      <c r="X317" s="338"/>
      <c r="Y317" s="338"/>
      <c r="Z317" s="338"/>
      <c r="AA317" s="338"/>
    </row>
    <row r="318" ht="15.75" customHeight="1">
      <c r="A318" s="339">
        <v>317.0</v>
      </c>
      <c r="B318" s="339" t="s">
        <v>1886</v>
      </c>
      <c r="C318" s="339" t="s">
        <v>1887</v>
      </c>
      <c r="D318" s="339" t="s">
        <v>1805</v>
      </c>
      <c r="E318" s="339" t="s">
        <v>1888</v>
      </c>
      <c r="F318" s="345">
        <v>4.881E16</v>
      </c>
      <c r="G318" s="342"/>
      <c r="H318" s="342"/>
      <c r="I318" s="342"/>
      <c r="J318" s="342"/>
      <c r="K318" s="338"/>
      <c r="L318" s="338"/>
      <c r="M318" s="338"/>
      <c r="N318" s="338"/>
      <c r="O318" s="338"/>
      <c r="P318" s="338"/>
      <c r="Q318" s="338"/>
      <c r="R318" s="338"/>
      <c r="S318" s="338"/>
      <c r="T318" s="338"/>
      <c r="U318" s="338"/>
      <c r="V318" s="338"/>
      <c r="W318" s="338"/>
      <c r="X318" s="338"/>
      <c r="Y318" s="338"/>
      <c r="Z318" s="338"/>
      <c r="AA318" s="338"/>
    </row>
    <row r="319" ht="15.75" customHeight="1">
      <c r="A319" s="339">
        <v>318.0</v>
      </c>
      <c r="B319" s="339" t="s">
        <v>1889</v>
      </c>
      <c r="C319" s="339" t="s">
        <v>472</v>
      </c>
      <c r="D319" s="339" t="s">
        <v>1890</v>
      </c>
      <c r="E319" s="339" t="s">
        <v>1891</v>
      </c>
      <c r="F319" s="345">
        <v>2.81022E17</v>
      </c>
      <c r="G319" s="342"/>
      <c r="H319" s="342"/>
      <c r="I319" s="342"/>
      <c r="J319" s="342"/>
      <c r="K319" s="338"/>
      <c r="L319" s="338"/>
      <c r="M319" s="338"/>
      <c r="N319" s="338"/>
      <c r="O319" s="338"/>
      <c r="P319" s="338"/>
      <c r="Q319" s="338"/>
      <c r="R319" s="338"/>
      <c r="S319" s="338"/>
      <c r="T319" s="338"/>
      <c r="U319" s="338"/>
      <c r="V319" s="338"/>
      <c r="W319" s="338"/>
      <c r="X319" s="338"/>
      <c r="Y319" s="338"/>
      <c r="Z319" s="338"/>
      <c r="AA319" s="338"/>
    </row>
    <row r="320" ht="15.75" customHeight="1">
      <c r="A320" s="339">
        <v>319.0</v>
      </c>
      <c r="B320" s="343" t="s">
        <v>1892</v>
      </c>
      <c r="C320" s="339" t="s">
        <v>1893</v>
      </c>
      <c r="D320" s="339" t="s">
        <v>1894</v>
      </c>
      <c r="E320" s="339" t="s">
        <v>1895</v>
      </c>
      <c r="F320" s="339">
        <v>1.09869457166E11</v>
      </c>
      <c r="G320" s="342"/>
      <c r="H320" s="342"/>
      <c r="I320" s="342"/>
      <c r="J320" s="342"/>
      <c r="K320" s="338"/>
      <c r="L320" s="338"/>
      <c r="M320" s="338"/>
      <c r="N320" s="338"/>
      <c r="O320" s="338"/>
      <c r="P320" s="338"/>
      <c r="Q320" s="338"/>
      <c r="R320" s="338"/>
      <c r="S320" s="338"/>
      <c r="T320" s="338"/>
      <c r="U320" s="338"/>
      <c r="V320" s="338"/>
      <c r="W320" s="338"/>
      <c r="X320" s="338"/>
      <c r="Y320" s="338"/>
      <c r="Z320" s="338"/>
      <c r="AA320" s="338"/>
    </row>
    <row r="321" ht="15.75" customHeight="1">
      <c r="A321" s="339">
        <v>320.0</v>
      </c>
      <c r="B321" s="339" t="s">
        <v>1896</v>
      </c>
      <c r="C321" s="339" t="s">
        <v>1897</v>
      </c>
      <c r="D321" s="339" t="s">
        <v>1224</v>
      </c>
      <c r="E321" s="339" t="s">
        <v>1898</v>
      </c>
      <c r="F321" s="339">
        <v>8.21000001509E11</v>
      </c>
      <c r="G321" s="342"/>
      <c r="H321" s="342"/>
      <c r="I321" s="342"/>
      <c r="J321" s="342"/>
      <c r="K321" s="338"/>
      <c r="L321" s="338"/>
      <c r="M321" s="338"/>
      <c r="N321" s="338"/>
      <c r="O321" s="338"/>
      <c r="P321" s="338"/>
      <c r="Q321" s="338"/>
      <c r="R321" s="338"/>
      <c r="S321" s="338"/>
      <c r="T321" s="338"/>
      <c r="U321" s="338"/>
      <c r="V321" s="338"/>
      <c r="W321" s="338"/>
      <c r="X321" s="338"/>
      <c r="Y321" s="338"/>
      <c r="Z321" s="338"/>
      <c r="AA321" s="338"/>
    </row>
    <row r="322" ht="15.75" customHeight="1">
      <c r="A322" s="339">
        <v>321.0</v>
      </c>
      <c r="B322" s="339" t="s">
        <v>1899</v>
      </c>
      <c r="C322" s="339" t="s">
        <v>1900</v>
      </c>
      <c r="D322" s="339" t="s">
        <v>1366</v>
      </c>
      <c r="E322" s="339" t="s">
        <v>730</v>
      </c>
      <c r="F322" s="339">
        <v>1.9029156139016E13</v>
      </c>
      <c r="G322" s="342"/>
      <c r="H322" s="342"/>
      <c r="I322" s="342"/>
      <c r="J322" s="342"/>
      <c r="K322" s="338"/>
      <c r="L322" s="338"/>
      <c r="M322" s="338"/>
      <c r="N322" s="338"/>
      <c r="O322" s="338"/>
      <c r="P322" s="338"/>
      <c r="Q322" s="338"/>
      <c r="R322" s="338"/>
      <c r="S322" s="338"/>
      <c r="T322" s="338"/>
      <c r="U322" s="338"/>
      <c r="V322" s="338"/>
      <c r="W322" s="338"/>
      <c r="X322" s="338"/>
      <c r="Y322" s="338"/>
      <c r="Z322" s="338"/>
      <c r="AA322" s="338"/>
    </row>
    <row r="323" ht="15.75" customHeight="1">
      <c r="A323" s="339">
        <v>322.0</v>
      </c>
      <c r="B323" s="343" t="s">
        <v>1901</v>
      </c>
      <c r="C323" s="339" t="s">
        <v>1902</v>
      </c>
      <c r="D323" s="339" t="s">
        <v>1336</v>
      </c>
      <c r="E323" s="339" t="s">
        <v>1903</v>
      </c>
      <c r="F323" s="339">
        <v>2.6010001323635E13</v>
      </c>
      <c r="G323" s="342"/>
      <c r="H323" s="342"/>
      <c r="I323" s="342"/>
      <c r="J323" s="342"/>
      <c r="K323" s="338"/>
      <c r="L323" s="338"/>
      <c r="M323" s="338"/>
      <c r="N323" s="338"/>
      <c r="O323" s="338"/>
      <c r="P323" s="338"/>
      <c r="Q323" s="338"/>
      <c r="R323" s="338"/>
      <c r="S323" s="338"/>
      <c r="T323" s="338"/>
      <c r="U323" s="338"/>
      <c r="V323" s="338"/>
      <c r="W323" s="338"/>
      <c r="X323" s="338"/>
      <c r="Y323" s="338"/>
      <c r="Z323" s="338"/>
      <c r="AA323" s="338"/>
    </row>
    <row r="324" ht="15.75" customHeight="1">
      <c r="A324" s="339">
        <v>323.0</v>
      </c>
      <c r="B324" s="343" t="s">
        <v>1904</v>
      </c>
      <c r="C324" s="339" t="s">
        <v>1905</v>
      </c>
      <c r="D324" s="339" t="s">
        <v>1906</v>
      </c>
      <c r="E324" s="339" t="s">
        <v>1907</v>
      </c>
      <c r="F324" s="339">
        <v>2.1510001294245E13</v>
      </c>
      <c r="G324" s="342"/>
      <c r="H324" s="342"/>
      <c r="I324" s="342"/>
      <c r="J324" s="342"/>
      <c r="K324" s="338"/>
      <c r="L324" s="338"/>
      <c r="M324" s="338"/>
      <c r="N324" s="338"/>
      <c r="O324" s="338"/>
      <c r="P324" s="338"/>
      <c r="Q324" s="338"/>
      <c r="R324" s="338"/>
      <c r="S324" s="338"/>
      <c r="T324" s="338"/>
      <c r="U324" s="338"/>
      <c r="V324" s="338"/>
      <c r="W324" s="338"/>
      <c r="X324" s="338"/>
      <c r="Y324" s="338"/>
      <c r="Z324" s="338"/>
      <c r="AA324" s="338"/>
    </row>
    <row r="325" ht="15.75" customHeight="1">
      <c r="A325" s="339">
        <v>324.0</v>
      </c>
      <c r="B325" s="339" t="s">
        <v>1908</v>
      </c>
      <c r="C325" s="339" t="s">
        <v>427</v>
      </c>
      <c r="D325" s="339" t="s">
        <v>1156</v>
      </c>
      <c r="E325" s="339" t="s">
        <v>659</v>
      </c>
      <c r="F325" s="339">
        <v>9.74097617E8</v>
      </c>
      <c r="G325" s="342"/>
      <c r="H325" s="342"/>
      <c r="I325" s="342"/>
      <c r="J325" s="342"/>
      <c r="K325" s="338"/>
      <c r="L325" s="338"/>
      <c r="M325" s="338"/>
      <c r="N325" s="338"/>
      <c r="O325" s="338"/>
      <c r="P325" s="338"/>
      <c r="Q325" s="338"/>
      <c r="R325" s="338"/>
      <c r="S325" s="338"/>
      <c r="T325" s="338"/>
      <c r="U325" s="338"/>
      <c r="V325" s="338"/>
      <c r="W325" s="338"/>
      <c r="X325" s="338"/>
      <c r="Y325" s="338"/>
      <c r="Z325" s="338"/>
      <c r="AA325" s="338"/>
    </row>
    <row r="326" ht="15.75" customHeight="1">
      <c r="A326" s="339">
        <v>325.0</v>
      </c>
      <c r="B326" s="343" t="s">
        <v>1909</v>
      </c>
      <c r="C326" s="339" t="s">
        <v>776</v>
      </c>
      <c r="D326" s="339" t="s">
        <v>1252</v>
      </c>
      <c r="E326" s="339" t="s">
        <v>659</v>
      </c>
      <c r="F326" s="339">
        <v>4.6810000037645E13</v>
      </c>
      <c r="G326" s="342"/>
      <c r="H326" s="342"/>
      <c r="I326" s="342"/>
      <c r="J326" s="342"/>
      <c r="K326" s="338"/>
      <c r="L326" s="338"/>
      <c r="M326" s="338"/>
      <c r="N326" s="338"/>
      <c r="O326" s="338"/>
      <c r="P326" s="338"/>
      <c r="Q326" s="338"/>
      <c r="R326" s="338"/>
      <c r="S326" s="338"/>
      <c r="T326" s="338"/>
      <c r="U326" s="338"/>
      <c r="V326" s="338"/>
      <c r="W326" s="338"/>
      <c r="X326" s="338"/>
      <c r="Y326" s="338"/>
      <c r="Z326" s="338"/>
      <c r="AA326" s="338"/>
    </row>
    <row r="327" ht="15.75" customHeight="1">
      <c r="A327" s="339">
        <v>326.0</v>
      </c>
      <c r="B327" s="339" t="s">
        <v>1910</v>
      </c>
      <c r="C327" s="339" t="s">
        <v>1911</v>
      </c>
      <c r="D327" s="339" t="s">
        <v>998</v>
      </c>
      <c r="E327" s="339" t="s">
        <v>1912</v>
      </c>
      <c r="F327" s="339">
        <v>6.660978265666E12</v>
      </c>
      <c r="G327" s="342"/>
      <c r="H327" s="342"/>
      <c r="I327" s="342"/>
      <c r="J327" s="342"/>
      <c r="K327" s="338"/>
      <c r="L327" s="338"/>
      <c r="M327" s="338"/>
      <c r="N327" s="338"/>
      <c r="O327" s="338"/>
      <c r="P327" s="338"/>
      <c r="Q327" s="338"/>
      <c r="R327" s="338"/>
      <c r="S327" s="338"/>
      <c r="T327" s="338"/>
      <c r="U327" s="338"/>
      <c r="V327" s="338"/>
      <c r="W327" s="338"/>
      <c r="X327" s="338"/>
      <c r="Y327" s="338"/>
      <c r="Z327" s="338"/>
      <c r="AA327" s="338"/>
    </row>
    <row r="328" ht="15.75" customHeight="1">
      <c r="A328" s="339">
        <v>327.0</v>
      </c>
      <c r="B328" s="339" t="s">
        <v>1913</v>
      </c>
      <c r="C328" s="339" t="s">
        <v>1914</v>
      </c>
      <c r="D328" s="339" t="s">
        <v>1915</v>
      </c>
      <c r="E328" s="339" t="s">
        <v>1916</v>
      </c>
      <c r="F328" s="339">
        <v>1.9027483857019E13</v>
      </c>
      <c r="G328" s="342"/>
      <c r="H328" s="342"/>
      <c r="I328" s="342"/>
      <c r="J328" s="342"/>
      <c r="K328" s="338"/>
      <c r="L328" s="338"/>
      <c r="M328" s="338"/>
      <c r="N328" s="338"/>
      <c r="O328" s="338"/>
      <c r="P328" s="338"/>
      <c r="Q328" s="338"/>
      <c r="R328" s="338"/>
      <c r="S328" s="338"/>
      <c r="T328" s="338"/>
      <c r="U328" s="338"/>
      <c r="V328" s="338"/>
      <c r="W328" s="338"/>
      <c r="X328" s="338"/>
      <c r="Y328" s="338"/>
      <c r="Z328" s="338"/>
      <c r="AA328" s="338"/>
    </row>
    <row r="329" ht="15.75" customHeight="1">
      <c r="A329" s="339">
        <v>328.0</v>
      </c>
      <c r="B329" s="343" t="s">
        <v>1917</v>
      </c>
      <c r="C329" s="339" t="s">
        <v>1918</v>
      </c>
      <c r="D329" s="339" t="s">
        <v>973</v>
      </c>
      <c r="E329" s="339" t="s">
        <v>1919</v>
      </c>
      <c r="F329" s="339">
        <v>2.32379666E8</v>
      </c>
      <c r="G329" s="342"/>
      <c r="H329" s="342"/>
      <c r="I329" s="342"/>
      <c r="J329" s="342"/>
      <c r="K329" s="338"/>
      <c r="L329" s="338"/>
      <c r="M329" s="338"/>
      <c r="N329" s="338"/>
      <c r="O329" s="338"/>
      <c r="P329" s="338"/>
      <c r="Q329" s="338"/>
      <c r="R329" s="338"/>
      <c r="S329" s="338"/>
      <c r="T329" s="338"/>
      <c r="U329" s="338"/>
      <c r="V329" s="338"/>
      <c r="W329" s="338"/>
      <c r="X329" s="338"/>
      <c r="Y329" s="338"/>
      <c r="Z329" s="338"/>
      <c r="AA329" s="338"/>
    </row>
    <row r="330" ht="15.75" customHeight="1">
      <c r="A330" s="339">
        <v>329.0</v>
      </c>
      <c r="B330" s="343" t="s">
        <v>1920</v>
      </c>
      <c r="C330" s="339" t="s">
        <v>1921</v>
      </c>
      <c r="D330" s="339" t="s">
        <v>1922</v>
      </c>
      <c r="E330" s="339"/>
      <c r="F330" s="339"/>
      <c r="G330" s="342"/>
      <c r="H330" s="342"/>
      <c r="I330" s="342"/>
      <c r="J330" s="342"/>
      <c r="K330" s="338"/>
      <c r="L330" s="338"/>
      <c r="M330" s="338"/>
      <c r="N330" s="338"/>
      <c r="O330" s="338"/>
      <c r="P330" s="338"/>
      <c r="Q330" s="338"/>
      <c r="R330" s="338"/>
      <c r="S330" s="338"/>
      <c r="T330" s="338"/>
      <c r="U330" s="338"/>
      <c r="V330" s="338"/>
      <c r="W330" s="338"/>
      <c r="X330" s="338"/>
      <c r="Y330" s="338"/>
      <c r="Z330" s="338"/>
      <c r="AA330" s="338"/>
    </row>
    <row r="331" ht="15.75" customHeight="1">
      <c r="A331" s="339">
        <v>330.0</v>
      </c>
      <c r="B331" s="343" t="s">
        <v>1923</v>
      </c>
      <c r="C331" s="339" t="s">
        <v>467</v>
      </c>
      <c r="D331" s="339" t="s">
        <v>1924</v>
      </c>
      <c r="E331" s="339" t="s">
        <v>1925</v>
      </c>
      <c r="F331" s="339">
        <v>9.983068383E9</v>
      </c>
      <c r="G331" s="342"/>
      <c r="H331" s="342"/>
      <c r="I331" s="342"/>
      <c r="J331" s="342"/>
      <c r="K331" s="338"/>
      <c r="L331" s="338"/>
      <c r="M331" s="338"/>
      <c r="N331" s="338"/>
      <c r="O331" s="338"/>
      <c r="P331" s="338"/>
      <c r="Q331" s="338"/>
      <c r="R331" s="338"/>
      <c r="S331" s="338"/>
      <c r="T331" s="338"/>
      <c r="U331" s="338"/>
      <c r="V331" s="338"/>
      <c r="W331" s="338"/>
      <c r="X331" s="338"/>
      <c r="Y331" s="338"/>
      <c r="Z331" s="338"/>
      <c r="AA331" s="338"/>
    </row>
    <row r="332" ht="15.75" customHeight="1">
      <c r="A332" s="339">
        <v>331.0</v>
      </c>
      <c r="B332" s="343" t="s">
        <v>1926</v>
      </c>
      <c r="C332" s="339" t="s">
        <v>1927</v>
      </c>
      <c r="D332" s="339" t="s">
        <v>1473</v>
      </c>
      <c r="E332" s="339" t="s">
        <v>1928</v>
      </c>
      <c r="F332" s="339">
        <v>1.0280010298E11</v>
      </c>
      <c r="G332" s="342"/>
      <c r="H332" s="342"/>
      <c r="I332" s="342"/>
      <c r="J332" s="342"/>
      <c r="K332" s="338"/>
      <c r="L332" s="338"/>
      <c r="M332" s="338"/>
      <c r="N332" s="338"/>
      <c r="O332" s="338"/>
      <c r="P332" s="338"/>
      <c r="Q332" s="338"/>
      <c r="R332" s="338"/>
      <c r="S332" s="338"/>
      <c r="T332" s="338"/>
      <c r="U332" s="338"/>
      <c r="V332" s="338"/>
      <c r="W332" s="338"/>
      <c r="X332" s="338"/>
      <c r="Y332" s="338"/>
      <c r="Z332" s="338"/>
      <c r="AA332" s="338"/>
    </row>
    <row r="333" ht="15.75" customHeight="1">
      <c r="A333" s="339">
        <v>332.0</v>
      </c>
      <c r="B333" s="343" t="s">
        <v>1929</v>
      </c>
      <c r="C333" s="339" t="s">
        <v>1930</v>
      </c>
      <c r="D333" s="339" t="s">
        <v>976</v>
      </c>
      <c r="E333" s="339" t="s">
        <v>1931</v>
      </c>
      <c r="F333" s="339">
        <v>8.71068888888E11</v>
      </c>
      <c r="G333" s="342"/>
      <c r="H333" s="342"/>
      <c r="I333" s="342"/>
      <c r="J333" s="342"/>
      <c r="K333" s="338"/>
      <c r="L333" s="338"/>
      <c r="M333" s="338"/>
      <c r="N333" s="338"/>
      <c r="O333" s="338"/>
      <c r="P333" s="338"/>
      <c r="Q333" s="338"/>
      <c r="R333" s="338"/>
      <c r="S333" s="338"/>
      <c r="T333" s="338"/>
      <c r="U333" s="338"/>
      <c r="V333" s="338"/>
      <c r="W333" s="338"/>
      <c r="X333" s="338"/>
      <c r="Y333" s="338"/>
      <c r="Z333" s="338"/>
      <c r="AA333" s="338"/>
    </row>
    <row r="334" ht="15.75" customHeight="1">
      <c r="A334" s="339">
        <v>333.0</v>
      </c>
      <c r="B334" s="343" t="s">
        <v>1932</v>
      </c>
      <c r="C334" s="339" t="s">
        <v>1933</v>
      </c>
      <c r="D334" s="339" t="s">
        <v>1934</v>
      </c>
      <c r="E334" s="339" t="s">
        <v>1935</v>
      </c>
      <c r="F334" s="339">
        <v>3.34584556E8</v>
      </c>
      <c r="G334" s="342"/>
      <c r="H334" s="342"/>
      <c r="I334" s="342"/>
      <c r="J334" s="342"/>
      <c r="K334" s="338"/>
      <c r="L334" s="338"/>
      <c r="M334" s="338"/>
      <c r="N334" s="338"/>
      <c r="O334" s="338"/>
      <c r="P334" s="338"/>
      <c r="Q334" s="338"/>
      <c r="R334" s="338"/>
      <c r="S334" s="338"/>
      <c r="T334" s="338"/>
      <c r="U334" s="338"/>
      <c r="V334" s="338"/>
      <c r="W334" s="338"/>
      <c r="X334" s="338"/>
      <c r="Y334" s="338"/>
      <c r="Z334" s="338"/>
      <c r="AA334" s="338"/>
    </row>
    <row r="335" ht="15.75" customHeight="1">
      <c r="A335" s="339">
        <v>334.0</v>
      </c>
      <c r="B335" s="343" t="s">
        <v>1936</v>
      </c>
      <c r="C335" s="339" t="s">
        <v>1937</v>
      </c>
      <c r="D335" s="339" t="s">
        <v>1938</v>
      </c>
      <c r="E335" s="339"/>
      <c r="F335" s="339"/>
      <c r="G335" s="342"/>
      <c r="H335" s="342"/>
      <c r="I335" s="342"/>
      <c r="J335" s="342"/>
      <c r="K335" s="338"/>
      <c r="L335" s="338"/>
      <c r="M335" s="338"/>
      <c r="N335" s="338"/>
      <c r="O335" s="338"/>
      <c r="P335" s="338"/>
      <c r="Q335" s="338"/>
      <c r="R335" s="338"/>
      <c r="S335" s="338"/>
      <c r="T335" s="338"/>
      <c r="U335" s="338"/>
      <c r="V335" s="338"/>
      <c r="W335" s="338"/>
      <c r="X335" s="338"/>
      <c r="Y335" s="338"/>
      <c r="Z335" s="338"/>
      <c r="AA335" s="338"/>
    </row>
    <row r="336" ht="15.75" customHeight="1">
      <c r="A336" s="339">
        <v>335.0</v>
      </c>
      <c r="B336" s="343" t="s">
        <v>1939</v>
      </c>
      <c r="C336" s="339" t="s">
        <v>1940</v>
      </c>
      <c r="D336" s="339" t="s">
        <v>1941</v>
      </c>
      <c r="E336" s="339" t="s">
        <v>1942</v>
      </c>
      <c r="F336" s="339">
        <v>9.943945888E9</v>
      </c>
      <c r="G336" s="342"/>
      <c r="H336" s="342"/>
      <c r="I336" s="342"/>
      <c r="J336" s="342"/>
      <c r="K336" s="338"/>
      <c r="L336" s="338"/>
      <c r="M336" s="338"/>
      <c r="N336" s="338"/>
      <c r="O336" s="338"/>
      <c r="P336" s="338"/>
      <c r="Q336" s="338"/>
      <c r="R336" s="338"/>
      <c r="S336" s="338"/>
      <c r="T336" s="338"/>
      <c r="U336" s="338"/>
      <c r="V336" s="338"/>
      <c r="W336" s="338"/>
      <c r="X336" s="338"/>
      <c r="Y336" s="338"/>
      <c r="Z336" s="338"/>
      <c r="AA336" s="338"/>
    </row>
    <row r="337" ht="15.75" customHeight="1">
      <c r="A337" s="339">
        <v>336.0</v>
      </c>
      <c r="B337" s="343" t="s">
        <v>1943</v>
      </c>
      <c r="C337" s="339" t="s">
        <v>1944</v>
      </c>
      <c r="D337" s="339" t="s">
        <v>1945</v>
      </c>
      <c r="E337" s="339" t="s">
        <v>671</v>
      </c>
      <c r="F337" s="339">
        <v>3.41000568888E11</v>
      </c>
      <c r="G337" s="342"/>
      <c r="H337" s="342"/>
      <c r="I337" s="342"/>
      <c r="J337" s="342"/>
      <c r="K337" s="338"/>
      <c r="L337" s="338"/>
      <c r="M337" s="338"/>
      <c r="N337" s="338"/>
      <c r="O337" s="338"/>
      <c r="P337" s="338"/>
      <c r="Q337" s="338"/>
      <c r="R337" s="338"/>
      <c r="S337" s="338"/>
      <c r="T337" s="338"/>
      <c r="U337" s="338"/>
      <c r="V337" s="338"/>
      <c r="W337" s="338"/>
      <c r="X337" s="338"/>
      <c r="Y337" s="338"/>
      <c r="Z337" s="338"/>
      <c r="AA337" s="338"/>
    </row>
    <row r="338" ht="15.75" customHeight="1">
      <c r="A338" s="339">
        <v>337.0</v>
      </c>
      <c r="B338" s="343" t="s">
        <v>1946</v>
      </c>
      <c r="C338" s="339" t="s">
        <v>1947</v>
      </c>
      <c r="D338" s="339" t="s">
        <v>1948</v>
      </c>
      <c r="E338" s="339" t="s">
        <v>1949</v>
      </c>
      <c r="F338" s="339">
        <v>3.41006827181E11</v>
      </c>
      <c r="G338" s="342"/>
      <c r="H338" s="342"/>
      <c r="I338" s="342"/>
      <c r="J338" s="342"/>
      <c r="K338" s="338"/>
      <c r="L338" s="338"/>
      <c r="M338" s="338"/>
      <c r="N338" s="338"/>
      <c r="O338" s="338"/>
      <c r="P338" s="338"/>
      <c r="Q338" s="338"/>
      <c r="R338" s="338"/>
      <c r="S338" s="338"/>
      <c r="T338" s="338"/>
      <c r="U338" s="338"/>
      <c r="V338" s="338"/>
      <c r="W338" s="338"/>
      <c r="X338" s="338"/>
      <c r="Y338" s="338"/>
      <c r="Z338" s="338"/>
      <c r="AA338" s="338"/>
    </row>
    <row r="339" ht="15.75" customHeight="1">
      <c r="A339" s="339">
        <v>338.0</v>
      </c>
      <c r="B339" s="339" t="s">
        <v>1950</v>
      </c>
      <c r="C339" s="339" t="s">
        <v>1951</v>
      </c>
      <c r="D339" s="339" t="s">
        <v>1022</v>
      </c>
      <c r="E339" s="339" t="s">
        <v>1952</v>
      </c>
      <c r="F339" s="339">
        <v>1.1450040022E10</v>
      </c>
      <c r="G339" s="342"/>
      <c r="H339" s="342"/>
      <c r="I339" s="342"/>
      <c r="J339" s="342"/>
      <c r="K339" s="338"/>
      <c r="L339" s="338"/>
      <c r="M339" s="338"/>
      <c r="N339" s="338"/>
      <c r="O339" s="338"/>
      <c r="P339" s="338"/>
      <c r="Q339" s="338"/>
      <c r="R339" s="338"/>
      <c r="S339" s="338"/>
      <c r="T339" s="338"/>
      <c r="U339" s="338"/>
      <c r="V339" s="338"/>
      <c r="W339" s="338"/>
      <c r="X339" s="338"/>
      <c r="Y339" s="338"/>
      <c r="Z339" s="338"/>
      <c r="AA339" s="338"/>
    </row>
    <row r="340" ht="15.75" customHeight="1">
      <c r="A340" s="339">
        <v>339.0</v>
      </c>
      <c r="B340" s="343" t="s">
        <v>1953</v>
      </c>
      <c r="C340" s="339" t="s">
        <v>1954</v>
      </c>
      <c r="D340" s="339" t="s">
        <v>1955</v>
      </c>
      <c r="E340" s="339" t="s">
        <v>1956</v>
      </c>
      <c r="F340" s="339">
        <v>9.15346996E8</v>
      </c>
      <c r="G340" s="342"/>
      <c r="H340" s="342"/>
      <c r="I340" s="342"/>
      <c r="J340" s="342"/>
      <c r="K340" s="338"/>
      <c r="L340" s="338"/>
      <c r="M340" s="338"/>
      <c r="N340" s="338"/>
      <c r="O340" s="338"/>
      <c r="P340" s="338"/>
      <c r="Q340" s="338"/>
      <c r="R340" s="338"/>
      <c r="S340" s="338"/>
      <c r="T340" s="338"/>
      <c r="U340" s="338"/>
      <c r="V340" s="338"/>
      <c r="W340" s="338"/>
      <c r="X340" s="338"/>
      <c r="Y340" s="338"/>
      <c r="Z340" s="338"/>
      <c r="AA340" s="338"/>
    </row>
    <row r="341" ht="15.75" customHeight="1">
      <c r="A341" s="339">
        <v>340.0</v>
      </c>
      <c r="B341" s="339" t="s">
        <v>1957</v>
      </c>
      <c r="C341" s="339" t="s">
        <v>1958</v>
      </c>
      <c r="D341" s="339" t="s">
        <v>1959</v>
      </c>
      <c r="E341" s="339" t="s">
        <v>1960</v>
      </c>
      <c r="F341" s="345">
        <v>1.819E15</v>
      </c>
      <c r="G341" s="342"/>
      <c r="H341" s="342"/>
      <c r="I341" s="342"/>
      <c r="J341" s="342"/>
      <c r="K341" s="338"/>
      <c r="L341" s="338"/>
      <c r="M341" s="338"/>
      <c r="N341" s="338"/>
      <c r="O341" s="338"/>
      <c r="P341" s="338"/>
      <c r="Q341" s="338"/>
      <c r="R341" s="338"/>
      <c r="S341" s="338"/>
      <c r="T341" s="338"/>
      <c r="U341" s="338"/>
      <c r="V341" s="338"/>
      <c r="W341" s="338"/>
      <c r="X341" s="338"/>
      <c r="Y341" s="338"/>
      <c r="Z341" s="338"/>
      <c r="AA341" s="338"/>
    </row>
    <row r="342" ht="15.75" customHeight="1">
      <c r="A342" s="339">
        <v>341.0</v>
      </c>
      <c r="B342" s="343" t="s">
        <v>728</v>
      </c>
      <c r="C342" s="339" t="s">
        <v>457</v>
      </c>
      <c r="D342" s="339" t="s">
        <v>1527</v>
      </c>
      <c r="E342" s="339" t="s">
        <v>730</v>
      </c>
      <c r="F342" s="339">
        <v>1.903414556401E13</v>
      </c>
      <c r="G342" s="342"/>
      <c r="H342" s="342"/>
      <c r="I342" s="342"/>
      <c r="J342" s="342"/>
      <c r="K342" s="338"/>
      <c r="L342" s="338"/>
      <c r="M342" s="338"/>
      <c r="N342" s="338"/>
      <c r="O342" s="338"/>
      <c r="P342" s="338"/>
      <c r="Q342" s="338"/>
      <c r="R342" s="338"/>
      <c r="S342" s="338"/>
      <c r="T342" s="338"/>
      <c r="U342" s="338"/>
      <c r="V342" s="338"/>
      <c r="W342" s="338"/>
      <c r="X342" s="338"/>
      <c r="Y342" s="338"/>
      <c r="Z342" s="338"/>
      <c r="AA342" s="338"/>
    </row>
    <row r="343" ht="15.75" customHeight="1">
      <c r="A343" s="339">
        <v>342.0</v>
      </c>
      <c r="B343" s="339" t="s">
        <v>1961</v>
      </c>
      <c r="C343" s="340" t="s">
        <v>407</v>
      </c>
      <c r="D343" s="339" t="s">
        <v>1231</v>
      </c>
      <c r="E343" s="339" t="s">
        <v>699</v>
      </c>
      <c r="F343" s="339">
        <v>1.9028189242029E13</v>
      </c>
      <c r="G343" s="342"/>
      <c r="H343" s="342"/>
      <c r="I343" s="342"/>
      <c r="J343" s="342"/>
      <c r="K343" s="338"/>
      <c r="L343" s="338"/>
      <c r="M343" s="338"/>
      <c r="N343" s="338"/>
      <c r="O343" s="338"/>
      <c r="P343" s="338"/>
      <c r="Q343" s="338"/>
      <c r="R343" s="338"/>
      <c r="S343" s="338"/>
      <c r="T343" s="338"/>
      <c r="U343" s="338"/>
      <c r="V343" s="338"/>
      <c r="W343" s="338"/>
      <c r="X343" s="338"/>
      <c r="Y343" s="338"/>
      <c r="Z343" s="338"/>
      <c r="AA343" s="338"/>
    </row>
    <row r="344" ht="15.75" customHeight="1">
      <c r="A344" s="339">
        <v>343.0</v>
      </c>
      <c r="B344" s="343" t="s">
        <v>1962</v>
      </c>
      <c r="C344" s="339" t="s">
        <v>1963</v>
      </c>
      <c r="D344" s="339" t="s">
        <v>1805</v>
      </c>
      <c r="E344" s="339" t="s">
        <v>1964</v>
      </c>
      <c r="F344" s="339">
        <v>5.613205080822E12</v>
      </c>
      <c r="G344" s="342"/>
      <c r="H344" s="342"/>
      <c r="I344" s="342"/>
      <c r="J344" s="342"/>
      <c r="K344" s="338"/>
      <c r="L344" s="338"/>
      <c r="M344" s="338"/>
      <c r="N344" s="338"/>
      <c r="O344" s="338"/>
      <c r="P344" s="338"/>
      <c r="Q344" s="338"/>
      <c r="R344" s="338"/>
      <c r="S344" s="338"/>
      <c r="T344" s="338"/>
      <c r="U344" s="338"/>
      <c r="V344" s="338"/>
      <c r="W344" s="338"/>
      <c r="X344" s="338"/>
      <c r="Y344" s="338"/>
      <c r="Z344" s="338"/>
      <c r="AA344" s="338"/>
    </row>
    <row r="345" ht="15.75" customHeight="1">
      <c r="A345" s="339">
        <v>344.0</v>
      </c>
      <c r="B345" s="339" t="s">
        <v>1965</v>
      </c>
      <c r="C345" s="339" t="s">
        <v>1966</v>
      </c>
      <c r="D345" s="339" t="s">
        <v>998</v>
      </c>
      <c r="E345" s="339"/>
      <c r="F345" s="339"/>
      <c r="G345" s="342"/>
      <c r="H345" s="342"/>
      <c r="I345" s="342"/>
      <c r="J345" s="342"/>
      <c r="K345" s="338"/>
      <c r="L345" s="338"/>
      <c r="M345" s="338"/>
      <c r="N345" s="338"/>
      <c r="O345" s="338"/>
      <c r="P345" s="338"/>
      <c r="Q345" s="338"/>
      <c r="R345" s="338"/>
      <c r="S345" s="338"/>
      <c r="T345" s="338"/>
      <c r="U345" s="338"/>
      <c r="V345" s="338"/>
      <c r="W345" s="338"/>
      <c r="X345" s="338"/>
      <c r="Y345" s="338"/>
      <c r="Z345" s="338"/>
      <c r="AA345" s="338"/>
    </row>
    <row r="346" ht="15.75" customHeight="1">
      <c r="A346" s="339">
        <v>345.0</v>
      </c>
      <c r="B346" s="343" t="s">
        <v>683</v>
      </c>
      <c r="C346" s="339" t="s">
        <v>684</v>
      </c>
      <c r="D346" s="339" t="s">
        <v>1102</v>
      </c>
      <c r="E346" s="339" t="s">
        <v>1967</v>
      </c>
      <c r="F346" s="339">
        <v>1.41000036165E11</v>
      </c>
      <c r="G346" s="342"/>
      <c r="H346" s="342"/>
      <c r="I346" s="342"/>
      <c r="J346" s="342"/>
      <c r="K346" s="338"/>
      <c r="L346" s="338"/>
      <c r="M346" s="338"/>
      <c r="N346" s="338"/>
      <c r="O346" s="338"/>
      <c r="P346" s="338"/>
      <c r="Q346" s="338"/>
      <c r="R346" s="338"/>
      <c r="S346" s="338"/>
      <c r="T346" s="338"/>
      <c r="U346" s="338"/>
      <c r="V346" s="338"/>
      <c r="W346" s="338"/>
      <c r="X346" s="338"/>
      <c r="Y346" s="338"/>
      <c r="Z346" s="338"/>
      <c r="AA346" s="338"/>
    </row>
    <row r="347" ht="15.75" customHeight="1">
      <c r="A347" s="339">
        <v>346.0</v>
      </c>
      <c r="B347" s="343" t="s">
        <v>1968</v>
      </c>
      <c r="C347" s="339" t="s">
        <v>1969</v>
      </c>
      <c r="D347" s="339" t="s">
        <v>1099</v>
      </c>
      <c r="E347" s="339" t="s">
        <v>699</v>
      </c>
      <c r="F347" s="339">
        <v>9.843531985E9</v>
      </c>
      <c r="G347" s="342"/>
      <c r="H347" s="342"/>
      <c r="I347" s="342"/>
      <c r="J347" s="342"/>
      <c r="K347" s="338"/>
      <c r="L347" s="338"/>
      <c r="M347" s="338"/>
      <c r="N347" s="338"/>
      <c r="O347" s="338"/>
      <c r="P347" s="338"/>
      <c r="Q347" s="338"/>
      <c r="R347" s="338"/>
      <c r="S347" s="338"/>
      <c r="T347" s="338"/>
      <c r="U347" s="338"/>
      <c r="V347" s="338"/>
      <c r="W347" s="338"/>
      <c r="X347" s="338"/>
      <c r="Y347" s="338"/>
      <c r="Z347" s="338"/>
      <c r="AA347" s="338"/>
    </row>
    <row r="348" ht="15.75" customHeight="1">
      <c r="A348" s="339">
        <v>347.0</v>
      </c>
      <c r="B348" s="343" t="s">
        <v>1970</v>
      </c>
      <c r="C348" s="339" t="s">
        <v>1971</v>
      </c>
      <c r="D348" s="339" t="s">
        <v>1972</v>
      </c>
      <c r="E348" s="339" t="s">
        <v>1973</v>
      </c>
      <c r="F348" s="339">
        <v>4.4268689999E10</v>
      </c>
      <c r="G348" s="342"/>
      <c r="H348" s="342"/>
      <c r="I348" s="342"/>
      <c r="J348" s="342"/>
      <c r="K348" s="338"/>
      <c r="L348" s="338"/>
      <c r="M348" s="338"/>
      <c r="N348" s="338"/>
      <c r="O348" s="338"/>
      <c r="P348" s="338"/>
      <c r="Q348" s="338"/>
      <c r="R348" s="338"/>
      <c r="S348" s="338"/>
      <c r="T348" s="338"/>
      <c r="U348" s="338"/>
      <c r="V348" s="338"/>
      <c r="W348" s="338"/>
      <c r="X348" s="338"/>
      <c r="Y348" s="338"/>
      <c r="Z348" s="338"/>
      <c r="AA348" s="338"/>
    </row>
    <row r="349" ht="15.75" customHeight="1">
      <c r="A349" s="339">
        <v>348.0</v>
      </c>
      <c r="B349" s="339" t="s">
        <v>1974</v>
      </c>
      <c r="C349" s="339" t="s">
        <v>1975</v>
      </c>
      <c r="D349" s="339" t="s">
        <v>1976</v>
      </c>
      <c r="E349" s="339" t="s">
        <v>1977</v>
      </c>
      <c r="F349" s="345">
        <v>1.06005E16</v>
      </c>
      <c r="G349" s="342"/>
      <c r="H349" s="342"/>
      <c r="I349" s="342"/>
      <c r="J349" s="342"/>
      <c r="K349" s="338"/>
      <c r="L349" s="338"/>
      <c r="M349" s="338"/>
      <c r="N349" s="338"/>
      <c r="O349" s="338"/>
      <c r="P349" s="338"/>
      <c r="Q349" s="338"/>
      <c r="R349" s="338"/>
      <c r="S349" s="338"/>
      <c r="T349" s="338"/>
      <c r="U349" s="338"/>
      <c r="V349" s="338"/>
      <c r="W349" s="338"/>
      <c r="X349" s="338"/>
      <c r="Y349" s="338"/>
      <c r="Z349" s="338"/>
      <c r="AA349" s="338"/>
    </row>
    <row r="350" ht="15.75" customHeight="1">
      <c r="A350" s="339">
        <v>349.0</v>
      </c>
      <c r="B350" s="343" t="s">
        <v>1978</v>
      </c>
      <c r="C350" s="339" t="s">
        <v>1979</v>
      </c>
      <c r="D350" s="339" t="s">
        <v>1980</v>
      </c>
      <c r="E350" s="339" t="s">
        <v>663</v>
      </c>
      <c r="F350" s="339">
        <v>1.07003900426E11</v>
      </c>
      <c r="G350" s="342"/>
      <c r="H350" s="342"/>
      <c r="I350" s="342"/>
      <c r="J350" s="342"/>
      <c r="K350" s="338"/>
      <c r="L350" s="338"/>
      <c r="M350" s="338"/>
      <c r="N350" s="338"/>
      <c r="O350" s="338"/>
      <c r="P350" s="338"/>
      <c r="Q350" s="338"/>
      <c r="R350" s="338"/>
      <c r="S350" s="338"/>
      <c r="T350" s="338"/>
      <c r="U350" s="338"/>
      <c r="V350" s="338"/>
      <c r="W350" s="338"/>
      <c r="X350" s="338"/>
      <c r="Y350" s="338"/>
      <c r="Z350" s="338"/>
      <c r="AA350" s="338"/>
    </row>
    <row r="351" ht="15.75" customHeight="1">
      <c r="A351" s="339">
        <v>350.0</v>
      </c>
      <c r="B351" s="343" t="s">
        <v>1981</v>
      </c>
      <c r="C351" s="339" t="s">
        <v>1982</v>
      </c>
      <c r="D351" s="339" t="s">
        <v>1983</v>
      </c>
      <c r="E351" s="339" t="s">
        <v>1984</v>
      </c>
      <c r="F351" s="339">
        <v>3.291999999E9</v>
      </c>
      <c r="G351" s="342"/>
      <c r="H351" s="342"/>
      <c r="I351" s="342"/>
      <c r="J351" s="342"/>
      <c r="K351" s="338"/>
      <c r="L351" s="338"/>
      <c r="M351" s="338"/>
      <c r="N351" s="338"/>
      <c r="O351" s="338"/>
      <c r="P351" s="338"/>
      <c r="Q351" s="338"/>
      <c r="R351" s="338"/>
      <c r="S351" s="338"/>
      <c r="T351" s="338"/>
      <c r="U351" s="338"/>
      <c r="V351" s="338"/>
      <c r="W351" s="338"/>
      <c r="X351" s="338"/>
      <c r="Y351" s="338"/>
      <c r="Z351" s="338"/>
      <c r="AA351" s="338"/>
    </row>
    <row r="352" ht="15.75" customHeight="1">
      <c r="A352" s="339">
        <v>351.0</v>
      </c>
      <c r="B352" s="339" t="s">
        <v>1985</v>
      </c>
      <c r="C352" s="339" t="s">
        <v>1986</v>
      </c>
      <c r="D352" s="339" t="s">
        <v>1987</v>
      </c>
      <c r="E352" s="339" t="s">
        <v>1988</v>
      </c>
      <c r="F352" s="339">
        <v>1.006372838E9</v>
      </c>
      <c r="G352" s="342"/>
      <c r="H352" s="342"/>
      <c r="I352" s="342"/>
      <c r="J352" s="342"/>
      <c r="K352" s="338"/>
      <c r="L352" s="338"/>
      <c r="M352" s="338"/>
      <c r="N352" s="338"/>
      <c r="O352" s="338"/>
      <c r="P352" s="338"/>
      <c r="Q352" s="338"/>
      <c r="R352" s="338"/>
      <c r="S352" s="338"/>
      <c r="T352" s="338"/>
      <c r="U352" s="338"/>
      <c r="V352" s="338"/>
      <c r="W352" s="338"/>
      <c r="X352" s="338"/>
      <c r="Y352" s="338"/>
      <c r="Z352" s="338"/>
      <c r="AA352" s="338"/>
    </row>
    <row r="353" ht="15.75" customHeight="1">
      <c r="A353" s="339">
        <v>352.0</v>
      </c>
      <c r="B353" s="339" t="s">
        <v>1989</v>
      </c>
      <c r="C353" s="339" t="s">
        <v>1990</v>
      </c>
      <c r="D353" s="339" t="s">
        <v>1016</v>
      </c>
      <c r="E353" s="339" t="s">
        <v>699</v>
      </c>
      <c r="F353" s="339">
        <v>1.9029584447019E13</v>
      </c>
      <c r="G353" s="342"/>
      <c r="H353" s="342"/>
      <c r="I353" s="342"/>
      <c r="J353" s="342"/>
      <c r="K353" s="338"/>
      <c r="L353" s="338"/>
      <c r="M353" s="338"/>
      <c r="N353" s="338"/>
      <c r="O353" s="338"/>
      <c r="P353" s="338"/>
      <c r="Q353" s="338"/>
      <c r="R353" s="338"/>
      <c r="S353" s="338"/>
      <c r="T353" s="338"/>
      <c r="U353" s="338"/>
      <c r="V353" s="338"/>
      <c r="W353" s="338"/>
      <c r="X353" s="338"/>
      <c r="Y353" s="338"/>
      <c r="Z353" s="338"/>
      <c r="AA353" s="338"/>
    </row>
    <row r="354" ht="15.75" customHeight="1">
      <c r="A354" s="339">
        <v>353.0</v>
      </c>
      <c r="B354" s="343" t="s">
        <v>1991</v>
      </c>
      <c r="C354" s="339" t="s">
        <v>1992</v>
      </c>
      <c r="D354" s="339" t="s">
        <v>1993</v>
      </c>
      <c r="E354" s="339" t="s">
        <v>1994</v>
      </c>
      <c r="F354" s="339">
        <v>3.4510000281996E13</v>
      </c>
      <c r="G354" s="342"/>
      <c r="H354" s="342"/>
      <c r="I354" s="342"/>
      <c r="J354" s="342" t="s">
        <v>532</v>
      </c>
      <c r="K354" s="338"/>
      <c r="L354" s="338"/>
      <c r="M354" s="338"/>
      <c r="N354" s="338"/>
      <c r="O354" s="338"/>
      <c r="P354" s="338"/>
      <c r="Q354" s="338"/>
      <c r="R354" s="338"/>
      <c r="S354" s="338"/>
      <c r="T354" s="338"/>
      <c r="U354" s="338"/>
      <c r="V354" s="338"/>
      <c r="W354" s="338"/>
      <c r="X354" s="338"/>
      <c r="Y354" s="338"/>
      <c r="Z354" s="338"/>
      <c r="AA354" s="338"/>
    </row>
    <row r="355" ht="15.75" customHeight="1">
      <c r="A355" s="339">
        <v>354.0</v>
      </c>
      <c r="B355" s="339" t="s">
        <v>1995</v>
      </c>
      <c r="C355" s="339" t="s">
        <v>1996</v>
      </c>
      <c r="D355" s="339" t="s">
        <v>1997</v>
      </c>
      <c r="E355" s="339" t="s">
        <v>1998</v>
      </c>
      <c r="F355" s="345">
        <v>5.10022E17</v>
      </c>
      <c r="G355" s="342"/>
      <c r="H355" s="342"/>
      <c r="I355" s="342"/>
      <c r="J355" s="342"/>
      <c r="K355" s="338"/>
      <c r="L355" s="338"/>
      <c r="M355" s="338"/>
      <c r="N355" s="338"/>
      <c r="O355" s="338"/>
      <c r="P355" s="338"/>
      <c r="Q355" s="338"/>
      <c r="R355" s="338"/>
      <c r="S355" s="338"/>
      <c r="T355" s="338"/>
      <c r="U355" s="338"/>
      <c r="V355" s="338"/>
      <c r="W355" s="338"/>
      <c r="X355" s="338"/>
      <c r="Y355" s="338"/>
      <c r="Z355" s="338"/>
      <c r="AA355" s="338"/>
    </row>
    <row r="356" ht="15.75" customHeight="1">
      <c r="A356" s="339">
        <v>355.0</v>
      </c>
      <c r="B356" s="339" t="s">
        <v>1999</v>
      </c>
      <c r="C356" s="339" t="s">
        <v>2000</v>
      </c>
      <c r="D356" s="339" t="s">
        <v>1231</v>
      </c>
      <c r="E356" s="339"/>
      <c r="F356" s="339"/>
      <c r="G356" s="342"/>
      <c r="H356" s="342"/>
      <c r="I356" s="342"/>
      <c r="J356" s="342"/>
      <c r="K356" s="338"/>
      <c r="L356" s="338"/>
      <c r="M356" s="338"/>
      <c r="N356" s="338"/>
      <c r="O356" s="338"/>
      <c r="P356" s="338"/>
      <c r="Q356" s="338"/>
      <c r="R356" s="338"/>
      <c r="S356" s="338"/>
      <c r="T356" s="338"/>
      <c r="U356" s="338"/>
      <c r="V356" s="338"/>
      <c r="W356" s="338"/>
      <c r="X356" s="338"/>
      <c r="Y356" s="338"/>
      <c r="Z356" s="338"/>
      <c r="AA356" s="338"/>
    </row>
    <row r="357" ht="15.75" customHeight="1">
      <c r="A357" s="339">
        <v>356.0</v>
      </c>
      <c r="B357" s="339" t="s">
        <v>2001</v>
      </c>
      <c r="C357" s="339" t="s">
        <v>2002</v>
      </c>
      <c r="D357" s="339" t="s">
        <v>2003</v>
      </c>
      <c r="E357" s="339"/>
      <c r="F357" s="339"/>
      <c r="G357" s="342"/>
      <c r="H357" s="342"/>
      <c r="I357" s="342"/>
      <c r="J357" s="342"/>
      <c r="K357" s="338"/>
      <c r="L357" s="338"/>
      <c r="M357" s="338"/>
      <c r="N357" s="338"/>
      <c r="O357" s="338"/>
      <c r="P357" s="338"/>
      <c r="Q357" s="338"/>
      <c r="R357" s="338"/>
      <c r="S357" s="338"/>
      <c r="T357" s="338"/>
      <c r="U357" s="338"/>
      <c r="V357" s="338"/>
      <c r="W357" s="338"/>
      <c r="X357" s="338"/>
      <c r="Y357" s="338"/>
      <c r="Z357" s="338"/>
      <c r="AA357" s="338"/>
    </row>
    <row r="358" ht="15.75" customHeight="1">
      <c r="A358" s="339">
        <v>357.0</v>
      </c>
      <c r="B358" s="339" t="s">
        <v>2004</v>
      </c>
      <c r="C358" s="339" t="s">
        <v>2005</v>
      </c>
      <c r="D358" s="339" t="s">
        <v>1119</v>
      </c>
      <c r="E358" s="339" t="s">
        <v>663</v>
      </c>
      <c r="F358" s="339">
        <v>1.05869896961E11</v>
      </c>
      <c r="G358" s="342"/>
      <c r="H358" s="342"/>
      <c r="I358" s="342"/>
      <c r="J358" s="342"/>
      <c r="K358" s="338"/>
      <c r="L358" s="338"/>
      <c r="M358" s="338"/>
      <c r="N358" s="338"/>
      <c r="O358" s="338"/>
      <c r="P358" s="338"/>
      <c r="Q358" s="338"/>
      <c r="R358" s="338"/>
      <c r="S358" s="338"/>
      <c r="T358" s="338"/>
      <c r="U358" s="338"/>
      <c r="V358" s="338"/>
      <c r="W358" s="338"/>
      <c r="X358" s="338"/>
      <c r="Y358" s="338"/>
      <c r="Z358" s="338"/>
      <c r="AA358" s="338"/>
    </row>
    <row r="359" ht="15.75" customHeight="1">
      <c r="A359" s="339">
        <v>358.0</v>
      </c>
      <c r="B359" s="343" t="s">
        <v>2006</v>
      </c>
      <c r="C359" s="339" t="s">
        <v>450</v>
      </c>
      <c r="D359" s="339" t="s">
        <v>1805</v>
      </c>
      <c r="E359" s="339" t="s">
        <v>2007</v>
      </c>
      <c r="F359" s="339">
        <v>7.210551725E9</v>
      </c>
      <c r="G359" s="342"/>
      <c r="H359" s="342"/>
      <c r="I359" s="339">
        <v>7.210551725E9</v>
      </c>
      <c r="J359" s="342" t="s">
        <v>1505</v>
      </c>
      <c r="K359" s="338"/>
      <c r="L359" s="338"/>
      <c r="M359" s="338"/>
      <c r="N359" s="338"/>
      <c r="O359" s="338"/>
      <c r="P359" s="338"/>
      <c r="Q359" s="338"/>
      <c r="R359" s="338"/>
      <c r="S359" s="338"/>
      <c r="T359" s="338"/>
      <c r="U359" s="338"/>
      <c r="V359" s="338"/>
      <c r="W359" s="338"/>
      <c r="X359" s="338"/>
      <c r="Y359" s="338"/>
      <c r="Z359" s="338"/>
      <c r="AA359" s="338"/>
    </row>
    <row r="360" ht="15.75" customHeight="1">
      <c r="A360" s="339">
        <v>359.0</v>
      </c>
      <c r="B360" s="339" t="s">
        <v>827</v>
      </c>
      <c r="C360" s="339" t="s">
        <v>828</v>
      </c>
      <c r="D360" s="339" t="s">
        <v>923</v>
      </c>
      <c r="E360" s="339" t="s">
        <v>830</v>
      </c>
      <c r="F360" s="339">
        <v>4.51000381192E11</v>
      </c>
      <c r="G360" s="342"/>
      <c r="H360" s="342"/>
      <c r="I360" s="342"/>
      <c r="J360" s="342"/>
      <c r="K360" s="338"/>
      <c r="L360" s="338"/>
      <c r="M360" s="338"/>
      <c r="N360" s="338"/>
      <c r="O360" s="338"/>
      <c r="P360" s="338"/>
      <c r="Q360" s="338"/>
      <c r="R360" s="338"/>
      <c r="S360" s="338"/>
      <c r="T360" s="338"/>
      <c r="U360" s="338"/>
      <c r="V360" s="338"/>
      <c r="W360" s="338"/>
      <c r="X360" s="338"/>
      <c r="Y360" s="338"/>
      <c r="Z360" s="338"/>
      <c r="AA360" s="338"/>
    </row>
    <row r="361" ht="15.75" customHeight="1">
      <c r="A361" s="339">
        <v>360.0</v>
      </c>
      <c r="B361" s="339" t="s">
        <v>2008</v>
      </c>
      <c r="C361" s="340" t="s">
        <v>1101</v>
      </c>
      <c r="D361" s="339" t="s">
        <v>1102</v>
      </c>
      <c r="E361" s="339" t="s">
        <v>2009</v>
      </c>
      <c r="F361" s="345">
        <v>8.82017E17</v>
      </c>
      <c r="G361" s="342"/>
      <c r="H361" s="342"/>
      <c r="I361" s="342"/>
      <c r="J361" s="342"/>
      <c r="K361" s="338"/>
      <c r="L361" s="338"/>
      <c r="M361" s="338"/>
      <c r="N361" s="338"/>
      <c r="O361" s="338"/>
      <c r="P361" s="338"/>
      <c r="Q361" s="338"/>
      <c r="R361" s="338"/>
      <c r="S361" s="338"/>
      <c r="T361" s="338"/>
      <c r="U361" s="338"/>
      <c r="V361" s="338"/>
      <c r="W361" s="338"/>
      <c r="X361" s="338"/>
      <c r="Y361" s="338"/>
      <c r="Z361" s="338"/>
      <c r="AA361" s="338"/>
    </row>
    <row r="362" ht="15.75" customHeight="1">
      <c r="A362" s="339">
        <v>361.0</v>
      </c>
      <c r="B362" s="343" t="s">
        <v>2010</v>
      </c>
      <c r="C362" s="339" t="s">
        <v>2011</v>
      </c>
      <c r="D362" s="339" t="s">
        <v>2012</v>
      </c>
      <c r="E362" s="339" t="s">
        <v>2013</v>
      </c>
      <c r="F362" s="345">
        <v>6.111E16</v>
      </c>
      <c r="G362" s="342"/>
      <c r="H362" s="342"/>
      <c r="I362" s="342"/>
      <c r="J362" s="342"/>
      <c r="K362" s="338"/>
      <c r="L362" s="338"/>
      <c r="M362" s="338"/>
      <c r="N362" s="338"/>
      <c r="O362" s="338"/>
      <c r="P362" s="338"/>
      <c r="Q362" s="338"/>
      <c r="R362" s="338"/>
      <c r="S362" s="338"/>
      <c r="T362" s="338"/>
      <c r="U362" s="338"/>
      <c r="V362" s="338"/>
      <c r="W362" s="338"/>
      <c r="X362" s="338"/>
      <c r="Y362" s="338"/>
      <c r="Z362" s="338"/>
      <c r="AA362" s="338"/>
    </row>
    <row r="363" ht="15.75" customHeight="1">
      <c r="A363" s="339">
        <v>362.0</v>
      </c>
      <c r="B363" s="339" t="s">
        <v>2014</v>
      </c>
      <c r="C363" s="339" t="s">
        <v>2015</v>
      </c>
      <c r="D363" s="339" t="s">
        <v>998</v>
      </c>
      <c r="E363" s="339" t="s">
        <v>1898</v>
      </c>
      <c r="F363" s="339">
        <v>3.81000541067E11</v>
      </c>
      <c r="G363" s="342"/>
      <c r="H363" s="342"/>
      <c r="I363" s="342"/>
      <c r="J363" s="342"/>
      <c r="K363" s="338"/>
      <c r="L363" s="338"/>
      <c r="M363" s="338"/>
      <c r="N363" s="338"/>
      <c r="O363" s="338"/>
      <c r="P363" s="338"/>
      <c r="Q363" s="338"/>
      <c r="R363" s="338"/>
      <c r="S363" s="338"/>
      <c r="T363" s="338"/>
      <c r="U363" s="338"/>
      <c r="V363" s="338"/>
      <c r="W363" s="338"/>
      <c r="X363" s="338"/>
      <c r="Y363" s="338"/>
      <c r="Z363" s="338"/>
      <c r="AA363" s="338"/>
    </row>
    <row r="364" ht="15.75" customHeight="1">
      <c r="A364" s="339">
        <v>363.0</v>
      </c>
      <c r="B364" s="343" t="s">
        <v>736</v>
      </c>
      <c r="C364" s="339" t="s">
        <v>737</v>
      </c>
      <c r="D364" s="339" t="s">
        <v>2016</v>
      </c>
      <c r="E364" s="339" t="s">
        <v>739</v>
      </c>
      <c r="F364" s="339">
        <v>3.358008E8</v>
      </c>
      <c r="G364" s="342"/>
      <c r="H364" s="342"/>
      <c r="I364" s="342"/>
      <c r="J364" s="342"/>
      <c r="K364" s="338"/>
      <c r="L364" s="338"/>
      <c r="M364" s="338"/>
      <c r="N364" s="338"/>
      <c r="O364" s="338"/>
      <c r="P364" s="338"/>
      <c r="Q364" s="338"/>
      <c r="R364" s="338"/>
      <c r="S364" s="338"/>
      <c r="T364" s="338"/>
      <c r="U364" s="338"/>
      <c r="V364" s="338"/>
      <c r="W364" s="338"/>
      <c r="X364" s="338"/>
      <c r="Y364" s="338"/>
      <c r="Z364" s="338"/>
      <c r="AA364" s="338"/>
    </row>
    <row r="365" ht="15.75" customHeight="1">
      <c r="A365" s="339">
        <v>364.0</v>
      </c>
      <c r="B365" s="343" t="s">
        <v>2017</v>
      </c>
      <c r="C365" s="340" t="s">
        <v>358</v>
      </c>
      <c r="D365" s="339" t="s">
        <v>937</v>
      </c>
      <c r="E365" s="339" t="s">
        <v>2018</v>
      </c>
      <c r="F365" s="339">
        <v>8.863338888E9</v>
      </c>
      <c r="G365" s="342"/>
      <c r="H365" s="342"/>
      <c r="I365" s="342"/>
      <c r="J365" s="342"/>
      <c r="K365" s="338"/>
      <c r="L365" s="338"/>
      <c r="M365" s="338"/>
      <c r="N365" s="338"/>
      <c r="O365" s="338"/>
      <c r="P365" s="338"/>
      <c r="Q365" s="338"/>
      <c r="R365" s="338"/>
      <c r="S365" s="338"/>
      <c r="T365" s="338"/>
      <c r="U365" s="338"/>
      <c r="V365" s="338"/>
      <c r="W365" s="338"/>
      <c r="X365" s="338"/>
      <c r="Y365" s="338"/>
      <c r="Z365" s="338"/>
      <c r="AA365" s="338"/>
    </row>
    <row r="366" ht="15.75" customHeight="1">
      <c r="A366" s="339">
        <v>365.0</v>
      </c>
      <c r="B366" s="339" t="s">
        <v>2019</v>
      </c>
      <c r="C366" s="339" t="s">
        <v>2020</v>
      </c>
      <c r="D366" s="339" t="s">
        <v>1228</v>
      </c>
      <c r="E366" s="339" t="s">
        <v>2021</v>
      </c>
      <c r="F366" s="339">
        <v>1.08004932826E11</v>
      </c>
      <c r="G366" s="342"/>
      <c r="H366" s="342"/>
      <c r="I366" s="342"/>
      <c r="J366" s="342"/>
      <c r="K366" s="338"/>
      <c r="L366" s="338"/>
      <c r="M366" s="338"/>
      <c r="N366" s="338"/>
      <c r="O366" s="338"/>
      <c r="P366" s="338"/>
      <c r="Q366" s="338"/>
      <c r="R366" s="338"/>
      <c r="S366" s="338"/>
      <c r="T366" s="338"/>
      <c r="U366" s="338"/>
      <c r="V366" s="338"/>
      <c r="W366" s="338"/>
      <c r="X366" s="338"/>
      <c r="Y366" s="338"/>
      <c r="Z366" s="338"/>
      <c r="AA366" s="338"/>
    </row>
    <row r="367" ht="15.75" customHeight="1">
      <c r="A367" s="339">
        <v>366.0</v>
      </c>
      <c r="B367" s="339" t="s">
        <v>2022</v>
      </c>
      <c r="C367" s="339" t="s">
        <v>2023</v>
      </c>
      <c r="D367" s="339" t="s">
        <v>2024</v>
      </c>
      <c r="E367" s="339" t="s">
        <v>2025</v>
      </c>
      <c r="F367" s="339">
        <v>1.03355598888E11</v>
      </c>
      <c r="G367" s="342"/>
      <c r="H367" s="342"/>
      <c r="I367" s="342"/>
      <c r="J367" s="342"/>
      <c r="K367" s="338"/>
      <c r="L367" s="338"/>
      <c r="M367" s="338"/>
      <c r="N367" s="338"/>
      <c r="O367" s="338"/>
      <c r="P367" s="338"/>
      <c r="Q367" s="338"/>
      <c r="R367" s="338"/>
      <c r="S367" s="338"/>
      <c r="T367" s="338"/>
      <c r="U367" s="338"/>
      <c r="V367" s="338"/>
      <c r="W367" s="338"/>
      <c r="X367" s="338"/>
      <c r="Y367" s="338"/>
      <c r="Z367" s="338"/>
      <c r="AA367" s="338"/>
    </row>
    <row r="368" ht="15.75" customHeight="1">
      <c r="A368" s="339">
        <v>367.0</v>
      </c>
      <c r="B368" s="343" t="s">
        <v>2026</v>
      </c>
      <c r="C368" s="339" t="s">
        <v>2027</v>
      </c>
      <c r="D368" s="339" t="s">
        <v>1296</v>
      </c>
      <c r="E368" s="339" t="s">
        <v>2028</v>
      </c>
      <c r="F368" s="339">
        <v>2.002206003542E12</v>
      </c>
      <c r="G368" s="342"/>
      <c r="H368" s="342"/>
      <c r="I368" s="342"/>
      <c r="J368" s="342"/>
      <c r="K368" s="338"/>
      <c r="L368" s="338"/>
      <c r="M368" s="338"/>
      <c r="N368" s="338"/>
      <c r="O368" s="338"/>
      <c r="P368" s="338"/>
      <c r="Q368" s="338"/>
      <c r="R368" s="338"/>
      <c r="S368" s="338"/>
      <c r="T368" s="338"/>
      <c r="U368" s="338"/>
      <c r="V368" s="338"/>
      <c r="W368" s="338"/>
      <c r="X368" s="338"/>
      <c r="Y368" s="338"/>
      <c r="Z368" s="338"/>
      <c r="AA368" s="338"/>
    </row>
    <row r="369" ht="15.75" customHeight="1">
      <c r="A369" s="339">
        <v>368.0</v>
      </c>
      <c r="B369" s="343" t="s">
        <v>2029</v>
      </c>
      <c r="C369" s="339" t="s">
        <v>2030</v>
      </c>
      <c r="D369" s="339" t="s">
        <v>1948</v>
      </c>
      <c r="E369" s="339" t="s">
        <v>950</v>
      </c>
      <c r="F369" s="339">
        <v>2.015206032611E12</v>
      </c>
      <c r="G369" s="342"/>
      <c r="H369" s="342"/>
      <c r="I369" s="342"/>
      <c r="J369" s="342"/>
      <c r="K369" s="338"/>
      <c r="L369" s="338"/>
      <c r="M369" s="338"/>
      <c r="N369" s="338"/>
      <c r="O369" s="338"/>
      <c r="P369" s="338"/>
      <c r="Q369" s="338"/>
      <c r="R369" s="338"/>
      <c r="S369" s="338"/>
      <c r="T369" s="338"/>
      <c r="U369" s="338"/>
      <c r="V369" s="338"/>
      <c r="W369" s="338"/>
      <c r="X369" s="338"/>
      <c r="Y369" s="338"/>
      <c r="Z369" s="338"/>
      <c r="AA369" s="338"/>
    </row>
    <row r="370" ht="15.75" customHeight="1">
      <c r="A370" s="339">
        <v>369.0</v>
      </c>
      <c r="B370" s="343" t="s">
        <v>664</v>
      </c>
      <c r="C370" s="339" t="s">
        <v>665</v>
      </c>
      <c r="D370" s="339" t="s">
        <v>1231</v>
      </c>
      <c r="E370" s="339" t="s">
        <v>668</v>
      </c>
      <c r="F370" s="339">
        <v>1.011717608E9</v>
      </c>
      <c r="G370" s="342"/>
      <c r="H370" s="342"/>
      <c r="I370" s="342"/>
      <c r="J370" s="342"/>
      <c r="K370" s="338"/>
      <c r="L370" s="338"/>
      <c r="M370" s="338"/>
      <c r="N370" s="338"/>
      <c r="O370" s="338"/>
      <c r="P370" s="338"/>
      <c r="Q370" s="338"/>
      <c r="R370" s="338"/>
      <c r="S370" s="338"/>
      <c r="T370" s="338"/>
      <c r="U370" s="338"/>
      <c r="V370" s="338"/>
      <c r="W370" s="338"/>
      <c r="X370" s="338"/>
      <c r="Y370" s="338"/>
      <c r="Z370" s="338"/>
      <c r="AA370" s="338"/>
    </row>
    <row r="371" ht="15.75" customHeight="1">
      <c r="A371" s="339">
        <v>370.0</v>
      </c>
      <c r="B371" s="343" t="s">
        <v>2031</v>
      </c>
      <c r="C371" s="339" t="s">
        <v>2032</v>
      </c>
      <c r="D371" s="339" t="s">
        <v>952</v>
      </c>
      <c r="E371" s="339" t="s">
        <v>2033</v>
      </c>
      <c r="F371" s="339">
        <v>4.111000009769E13</v>
      </c>
      <c r="G371" s="342" t="s">
        <v>2034</v>
      </c>
      <c r="H371" s="342" t="s">
        <v>659</v>
      </c>
      <c r="I371" s="342">
        <v>4.11009769E9</v>
      </c>
      <c r="J371" s="342" t="s">
        <v>1864</v>
      </c>
      <c r="K371" s="338"/>
      <c r="L371" s="338"/>
      <c r="M371" s="338"/>
      <c r="N371" s="338"/>
      <c r="O371" s="338"/>
      <c r="P371" s="338"/>
      <c r="Q371" s="338"/>
      <c r="R371" s="338"/>
      <c r="S371" s="338"/>
      <c r="T371" s="338"/>
      <c r="U371" s="338"/>
      <c r="V371" s="338"/>
      <c r="W371" s="338"/>
      <c r="X371" s="338"/>
      <c r="Y371" s="338"/>
      <c r="Z371" s="338"/>
      <c r="AA371" s="338"/>
    </row>
    <row r="372" ht="15.75" customHeight="1">
      <c r="A372" s="339">
        <v>371.0</v>
      </c>
      <c r="B372" s="339" t="s">
        <v>2035</v>
      </c>
      <c r="C372" s="339" t="s">
        <v>2036</v>
      </c>
      <c r="D372" s="339" t="s">
        <v>1303</v>
      </c>
      <c r="E372" s="339" t="s">
        <v>2037</v>
      </c>
      <c r="F372" s="339">
        <v>1.05001384598E11</v>
      </c>
      <c r="G372" s="342"/>
      <c r="H372" s="342"/>
      <c r="I372" s="342"/>
      <c r="J372" s="342"/>
      <c r="K372" s="338"/>
      <c r="L372" s="338"/>
      <c r="M372" s="338"/>
      <c r="N372" s="338"/>
      <c r="O372" s="338"/>
      <c r="P372" s="338"/>
      <c r="Q372" s="338"/>
      <c r="R372" s="338"/>
      <c r="S372" s="338"/>
      <c r="T372" s="338"/>
      <c r="U372" s="338"/>
      <c r="V372" s="338"/>
      <c r="W372" s="338"/>
      <c r="X372" s="338"/>
      <c r="Y372" s="338"/>
      <c r="Z372" s="338"/>
      <c r="AA372" s="338"/>
    </row>
    <row r="373" ht="15.75" customHeight="1">
      <c r="A373" s="339">
        <v>372.0</v>
      </c>
      <c r="B373" s="343" t="s">
        <v>2038</v>
      </c>
      <c r="C373" s="339" t="s">
        <v>2039</v>
      </c>
      <c r="D373" s="339" t="s">
        <v>1252</v>
      </c>
      <c r="E373" s="339" t="s">
        <v>1782</v>
      </c>
      <c r="F373" s="339">
        <v>4.1110000486775E13</v>
      </c>
      <c r="G373" s="342"/>
      <c r="H373" s="342"/>
      <c r="I373" s="342"/>
      <c r="J373" s="342"/>
      <c r="K373" s="338"/>
      <c r="L373" s="338"/>
      <c r="M373" s="338"/>
      <c r="N373" s="338"/>
      <c r="O373" s="338"/>
      <c r="P373" s="338"/>
      <c r="Q373" s="338"/>
      <c r="R373" s="338"/>
      <c r="S373" s="338"/>
      <c r="T373" s="338"/>
      <c r="U373" s="338"/>
      <c r="V373" s="338"/>
      <c r="W373" s="338"/>
      <c r="X373" s="338"/>
      <c r="Y373" s="338"/>
      <c r="Z373" s="338"/>
      <c r="AA373" s="338"/>
    </row>
    <row r="374" ht="15.75" customHeight="1">
      <c r="A374" s="339">
        <v>373.0</v>
      </c>
      <c r="B374" s="343" t="s">
        <v>2040</v>
      </c>
      <c r="C374" s="339" t="s">
        <v>2041</v>
      </c>
      <c r="D374" s="339" t="s">
        <v>1754</v>
      </c>
      <c r="E374" s="339" t="s">
        <v>2042</v>
      </c>
      <c r="F374" s="339">
        <v>3.1410002479816E13</v>
      </c>
      <c r="G374" s="342"/>
      <c r="H374" s="342"/>
      <c r="I374" s="342"/>
      <c r="J374" s="342"/>
      <c r="K374" s="338"/>
      <c r="L374" s="338"/>
      <c r="M374" s="338"/>
      <c r="N374" s="338"/>
      <c r="O374" s="338"/>
      <c r="P374" s="338"/>
      <c r="Q374" s="338"/>
      <c r="R374" s="338"/>
      <c r="S374" s="338"/>
      <c r="T374" s="338"/>
      <c r="U374" s="338"/>
      <c r="V374" s="338"/>
      <c r="W374" s="338"/>
      <c r="X374" s="338"/>
      <c r="Y374" s="338"/>
      <c r="Z374" s="338"/>
      <c r="AA374" s="338"/>
    </row>
    <row r="375" ht="15.75" customHeight="1">
      <c r="A375" s="339">
        <v>374.0</v>
      </c>
      <c r="B375" s="343" t="s">
        <v>2043</v>
      </c>
      <c r="C375" s="339" t="s">
        <v>2044</v>
      </c>
      <c r="D375" s="339" t="s">
        <v>1590</v>
      </c>
      <c r="E375" s="339" t="s">
        <v>2045</v>
      </c>
      <c r="F375" s="339">
        <v>1.9032198388882E13</v>
      </c>
      <c r="G375" s="342"/>
      <c r="H375" s="342"/>
      <c r="I375" s="342"/>
      <c r="J375" s="342"/>
      <c r="K375" s="338"/>
      <c r="L375" s="338"/>
      <c r="M375" s="338"/>
      <c r="N375" s="338"/>
      <c r="O375" s="338"/>
      <c r="P375" s="338"/>
      <c r="Q375" s="338"/>
      <c r="R375" s="338"/>
      <c r="S375" s="338"/>
      <c r="T375" s="338"/>
      <c r="U375" s="338"/>
      <c r="V375" s="338"/>
      <c r="W375" s="338"/>
      <c r="X375" s="338"/>
      <c r="Y375" s="338"/>
      <c r="Z375" s="338"/>
      <c r="AA375" s="338"/>
    </row>
    <row r="376" ht="15.75" customHeight="1">
      <c r="A376" s="339">
        <v>375.0</v>
      </c>
      <c r="B376" s="343" t="s">
        <v>2046</v>
      </c>
      <c r="C376" s="339" t="s">
        <v>2047</v>
      </c>
      <c r="D376" s="339" t="s">
        <v>1252</v>
      </c>
      <c r="E376" s="339" t="s">
        <v>2048</v>
      </c>
      <c r="F376" s="345">
        <v>3.711E16</v>
      </c>
      <c r="G376" s="342"/>
      <c r="H376" s="342"/>
      <c r="I376" s="342"/>
      <c r="J376" s="342"/>
      <c r="K376" s="338"/>
      <c r="L376" s="338"/>
      <c r="M376" s="338"/>
      <c r="N376" s="338"/>
      <c r="O376" s="338"/>
      <c r="P376" s="338"/>
      <c r="Q376" s="338"/>
      <c r="R376" s="338"/>
      <c r="S376" s="338"/>
      <c r="T376" s="338"/>
      <c r="U376" s="338"/>
      <c r="V376" s="338"/>
      <c r="W376" s="338"/>
      <c r="X376" s="338"/>
      <c r="Y376" s="338"/>
      <c r="Z376" s="338"/>
      <c r="AA376" s="338"/>
    </row>
    <row r="377" ht="15.75" customHeight="1">
      <c r="A377" s="339">
        <v>376.0</v>
      </c>
      <c r="B377" s="343" t="s">
        <v>2049</v>
      </c>
      <c r="C377" s="339" t="s">
        <v>2050</v>
      </c>
      <c r="D377" s="339" t="s">
        <v>994</v>
      </c>
      <c r="E377" s="339" t="s">
        <v>2051</v>
      </c>
      <c r="F377" s="339" t="s">
        <v>2052</v>
      </c>
      <c r="G377" s="342"/>
      <c r="H377" s="342"/>
      <c r="I377" s="342"/>
      <c r="J377" s="342"/>
      <c r="K377" s="338"/>
      <c r="L377" s="338"/>
      <c r="M377" s="338"/>
      <c r="N377" s="338"/>
      <c r="O377" s="338"/>
      <c r="P377" s="338"/>
      <c r="Q377" s="338"/>
      <c r="R377" s="338"/>
      <c r="S377" s="338"/>
      <c r="T377" s="338"/>
      <c r="U377" s="338"/>
      <c r="V377" s="338"/>
      <c r="W377" s="338"/>
      <c r="X377" s="338"/>
      <c r="Y377" s="338"/>
      <c r="Z377" s="338"/>
      <c r="AA377" s="338"/>
    </row>
    <row r="378" ht="15.75" customHeight="1">
      <c r="A378" s="339">
        <v>377.0</v>
      </c>
      <c r="B378" s="343" t="s">
        <v>2053</v>
      </c>
      <c r="C378" s="339" t="s">
        <v>2054</v>
      </c>
      <c r="D378" s="339" t="s">
        <v>1131</v>
      </c>
      <c r="E378" s="339" t="s">
        <v>671</v>
      </c>
      <c r="F378" s="339">
        <v>6.5100078248E11</v>
      </c>
      <c r="G378" s="342"/>
      <c r="H378" s="342"/>
      <c r="I378" s="342"/>
      <c r="J378" s="342"/>
      <c r="K378" s="338"/>
      <c r="L378" s="338"/>
      <c r="M378" s="338"/>
      <c r="N378" s="338"/>
      <c r="O378" s="338"/>
      <c r="P378" s="338"/>
      <c r="Q378" s="338"/>
      <c r="R378" s="338"/>
      <c r="S378" s="338"/>
      <c r="T378" s="338"/>
      <c r="U378" s="338"/>
      <c r="V378" s="338"/>
      <c r="W378" s="338"/>
      <c r="X378" s="338"/>
      <c r="Y378" s="338"/>
      <c r="Z378" s="338"/>
      <c r="AA378" s="338"/>
    </row>
    <row r="379" ht="15.75" customHeight="1">
      <c r="A379" s="339">
        <v>378.0</v>
      </c>
      <c r="B379" s="343" t="s">
        <v>2055</v>
      </c>
      <c r="C379" s="339" t="s">
        <v>374</v>
      </c>
      <c r="D379" s="339" t="s">
        <v>1252</v>
      </c>
      <c r="E379" s="339" t="s">
        <v>2056</v>
      </c>
      <c r="F379" s="339">
        <v>8.500215033637E12</v>
      </c>
      <c r="G379" s="342"/>
      <c r="H379" s="342"/>
      <c r="I379" s="342"/>
      <c r="J379" s="342"/>
      <c r="K379" s="338"/>
      <c r="L379" s="338"/>
      <c r="M379" s="338"/>
      <c r="N379" s="338"/>
      <c r="O379" s="338"/>
      <c r="P379" s="338"/>
      <c r="Q379" s="338"/>
      <c r="R379" s="338"/>
      <c r="S379" s="338"/>
      <c r="T379" s="338"/>
      <c r="U379" s="338"/>
      <c r="V379" s="338"/>
      <c r="W379" s="338"/>
      <c r="X379" s="338"/>
      <c r="Y379" s="338"/>
      <c r="Z379" s="338"/>
      <c r="AA379" s="338"/>
    </row>
    <row r="380" ht="15.75" customHeight="1">
      <c r="A380" s="339">
        <v>379.0</v>
      </c>
      <c r="B380" s="343" t="s">
        <v>2057</v>
      </c>
      <c r="C380" s="339" t="s">
        <v>2058</v>
      </c>
      <c r="D380" s="339" t="s">
        <v>2059</v>
      </c>
      <c r="E380" s="339" t="s">
        <v>699</v>
      </c>
      <c r="F380" s="339">
        <v>1.9039183517011E13</v>
      </c>
      <c r="G380" s="342"/>
      <c r="H380" s="342"/>
      <c r="I380" s="342"/>
      <c r="J380" s="342"/>
      <c r="K380" s="338"/>
      <c r="L380" s="338"/>
      <c r="M380" s="338"/>
      <c r="N380" s="338"/>
      <c r="O380" s="338"/>
      <c r="P380" s="338"/>
      <c r="Q380" s="338"/>
      <c r="R380" s="338"/>
      <c r="S380" s="338"/>
      <c r="T380" s="338"/>
      <c r="U380" s="338"/>
      <c r="V380" s="338"/>
      <c r="W380" s="338"/>
      <c r="X380" s="338"/>
      <c r="Y380" s="338"/>
      <c r="Z380" s="338"/>
      <c r="AA380" s="338"/>
    </row>
    <row r="381" ht="15.75" customHeight="1">
      <c r="A381" s="339">
        <v>380.0</v>
      </c>
      <c r="B381" s="343" t="s">
        <v>2060</v>
      </c>
      <c r="C381" s="339" t="s">
        <v>2061</v>
      </c>
      <c r="D381" s="339" t="s">
        <v>2062</v>
      </c>
      <c r="E381" s="339" t="s">
        <v>844</v>
      </c>
      <c r="F381" s="339">
        <v>1.08003348481E11</v>
      </c>
      <c r="G381" s="342"/>
      <c r="H381" s="342"/>
      <c r="I381" s="342"/>
      <c r="J381" s="342"/>
      <c r="K381" s="338"/>
      <c r="L381" s="338"/>
      <c r="M381" s="338"/>
      <c r="N381" s="338"/>
      <c r="O381" s="338"/>
      <c r="P381" s="338"/>
      <c r="Q381" s="338"/>
      <c r="R381" s="338"/>
      <c r="S381" s="338"/>
      <c r="T381" s="338"/>
      <c r="U381" s="338"/>
      <c r="V381" s="338"/>
      <c r="W381" s="338"/>
      <c r="X381" s="338"/>
      <c r="Y381" s="338"/>
      <c r="Z381" s="338"/>
      <c r="AA381" s="338"/>
    </row>
    <row r="382" ht="15.75" customHeight="1">
      <c r="A382" s="339">
        <v>381.0</v>
      </c>
      <c r="B382" s="343" t="s">
        <v>2063</v>
      </c>
      <c r="C382" s="339" t="s">
        <v>474</v>
      </c>
      <c r="D382" s="339" t="s">
        <v>2064</v>
      </c>
      <c r="E382" s="339" t="s">
        <v>1898</v>
      </c>
      <c r="F382" s="339">
        <v>4.5100030845E11</v>
      </c>
      <c r="G382" s="342"/>
      <c r="H382" s="342"/>
      <c r="I382" s="342"/>
      <c r="J382" s="342"/>
      <c r="K382" s="338"/>
      <c r="L382" s="338"/>
      <c r="M382" s="338"/>
      <c r="N382" s="338"/>
      <c r="O382" s="338"/>
      <c r="P382" s="338"/>
      <c r="Q382" s="338"/>
      <c r="R382" s="338"/>
      <c r="S382" s="338"/>
      <c r="T382" s="338"/>
      <c r="U382" s="338"/>
      <c r="V382" s="338"/>
      <c r="W382" s="338"/>
      <c r="X382" s="338"/>
      <c r="Y382" s="338"/>
      <c r="Z382" s="338"/>
      <c r="AA382" s="338"/>
    </row>
    <row r="383" ht="15.75" customHeight="1">
      <c r="A383" s="339">
        <v>382.0</v>
      </c>
      <c r="B383" s="339" t="s">
        <v>2065</v>
      </c>
      <c r="C383" s="339" t="s">
        <v>455</v>
      </c>
      <c r="D383" s="339" t="s">
        <v>2066</v>
      </c>
      <c r="E383" s="339" t="s">
        <v>2067</v>
      </c>
      <c r="F383" s="339">
        <v>2.6110003471999E13</v>
      </c>
      <c r="G383" s="341" t="s">
        <v>2068</v>
      </c>
      <c r="H383" s="342" t="s">
        <v>659</v>
      </c>
      <c r="I383" s="342">
        <v>2.613471999E9</v>
      </c>
      <c r="J383" s="342" t="s">
        <v>532</v>
      </c>
      <c r="K383" s="338"/>
      <c r="L383" s="338"/>
      <c r="M383" s="338"/>
      <c r="N383" s="338"/>
      <c r="O383" s="338"/>
      <c r="P383" s="338"/>
      <c r="Q383" s="338"/>
      <c r="R383" s="338"/>
      <c r="S383" s="338"/>
      <c r="T383" s="338"/>
      <c r="U383" s="338"/>
      <c r="V383" s="338"/>
      <c r="W383" s="338"/>
      <c r="X383" s="338"/>
      <c r="Y383" s="338"/>
      <c r="Z383" s="338"/>
      <c r="AA383" s="338"/>
    </row>
    <row r="384" ht="15.75" customHeight="1">
      <c r="A384" s="339">
        <v>383.0</v>
      </c>
      <c r="B384" s="339" t="s">
        <v>2069</v>
      </c>
      <c r="C384" s="339" t="s">
        <v>417</v>
      </c>
      <c r="D384" s="339" t="s">
        <v>1652</v>
      </c>
      <c r="E384" s="339" t="s">
        <v>2070</v>
      </c>
      <c r="F384" s="339">
        <v>8.500215005841E12</v>
      </c>
      <c r="G384" s="342"/>
      <c r="H384" s="342"/>
      <c r="I384" s="342"/>
      <c r="J384" s="342"/>
      <c r="K384" s="338"/>
      <c r="L384" s="338"/>
      <c r="M384" s="338"/>
      <c r="N384" s="338"/>
      <c r="O384" s="338"/>
      <c r="P384" s="338"/>
      <c r="Q384" s="338"/>
      <c r="R384" s="338"/>
      <c r="S384" s="338"/>
      <c r="T384" s="338"/>
      <c r="U384" s="338"/>
      <c r="V384" s="338"/>
      <c r="W384" s="338"/>
      <c r="X384" s="338"/>
      <c r="Y384" s="338"/>
      <c r="Z384" s="338"/>
      <c r="AA384" s="338"/>
    </row>
    <row r="385" ht="15.75" customHeight="1">
      <c r="A385" s="339">
        <v>384.0</v>
      </c>
      <c r="B385" s="339" t="s">
        <v>2071</v>
      </c>
      <c r="C385" s="339" t="s">
        <v>2072</v>
      </c>
      <c r="D385" s="339" t="s">
        <v>1455</v>
      </c>
      <c r="E385" s="339" t="s">
        <v>659</v>
      </c>
      <c r="F385" s="339">
        <v>2.2010005642084E13</v>
      </c>
      <c r="G385" s="342" t="s">
        <v>2073</v>
      </c>
      <c r="H385" s="339" t="s">
        <v>659</v>
      </c>
      <c r="I385" s="342">
        <v>2.205642084E9</v>
      </c>
      <c r="J385" s="342" t="s">
        <v>1056</v>
      </c>
      <c r="K385" s="338"/>
      <c r="L385" s="338"/>
      <c r="M385" s="338"/>
      <c r="N385" s="338"/>
      <c r="O385" s="338"/>
      <c r="P385" s="338"/>
      <c r="Q385" s="338"/>
      <c r="R385" s="338"/>
      <c r="S385" s="338"/>
      <c r="T385" s="338"/>
      <c r="U385" s="338"/>
      <c r="V385" s="338"/>
      <c r="W385" s="338"/>
      <c r="X385" s="338"/>
      <c r="Y385" s="338"/>
      <c r="Z385" s="338"/>
      <c r="AA385" s="338"/>
    </row>
    <row r="386" ht="15.75" customHeight="1">
      <c r="A386" s="339">
        <v>385.0</v>
      </c>
      <c r="B386" s="339" t="s">
        <v>656</v>
      </c>
      <c r="C386" s="339" t="s">
        <v>392</v>
      </c>
      <c r="D386" s="339" t="s">
        <v>1231</v>
      </c>
      <c r="E386" s="339" t="s">
        <v>659</v>
      </c>
      <c r="F386" s="339">
        <v>4.5010006714178E13</v>
      </c>
      <c r="G386" s="342" t="s">
        <v>2074</v>
      </c>
      <c r="H386" s="342" t="s">
        <v>784</v>
      </c>
      <c r="I386" s="351" t="s">
        <v>658</v>
      </c>
      <c r="J386" s="342" t="s">
        <v>1056</v>
      </c>
      <c r="K386" s="338"/>
      <c r="L386" s="338"/>
      <c r="M386" s="338"/>
      <c r="N386" s="338"/>
      <c r="O386" s="338"/>
      <c r="P386" s="338"/>
      <c r="Q386" s="338"/>
      <c r="R386" s="338"/>
      <c r="S386" s="338"/>
      <c r="T386" s="338"/>
      <c r="U386" s="338"/>
      <c r="V386" s="338"/>
      <c r="W386" s="338"/>
      <c r="X386" s="338"/>
      <c r="Y386" s="338"/>
      <c r="Z386" s="338"/>
      <c r="AA386" s="338"/>
    </row>
    <row r="387" ht="15.75" customHeight="1">
      <c r="A387" s="339">
        <v>386.0</v>
      </c>
      <c r="B387" s="339" t="s">
        <v>2075</v>
      </c>
      <c r="C387" s="339" t="s">
        <v>2076</v>
      </c>
      <c r="D387" s="339" t="s">
        <v>923</v>
      </c>
      <c r="E387" s="339" t="s">
        <v>2077</v>
      </c>
      <c r="F387" s="339">
        <v>1.9035681823017E13</v>
      </c>
      <c r="G387" s="342"/>
      <c r="H387" s="342"/>
      <c r="I387" s="342"/>
      <c r="J387" s="342"/>
      <c r="K387" s="338"/>
      <c r="L387" s="338"/>
      <c r="M387" s="338"/>
      <c r="N387" s="338"/>
      <c r="O387" s="338"/>
      <c r="P387" s="338"/>
      <c r="Q387" s="338"/>
      <c r="R387" s="338"/>
      <c r="S387" s="338"/>
      <c r="T387" s="338"/>
      <c r="U387" s="338"/>
      <c r="V387" s="338"/>
      <c r="W387" s="338"/>
      <c r="X387" s="338"/>
      <c r="Y387" s="338"/>
      <c r="Z387" s="338"/>
      <c r="AA387" s="338"/>
    </row>
    <row r="388" ht="15.75" customHeight="1">
      <c r="A388" s="339">
        <v>387.0</v>
      </c>
      <c r="B388" s="339" t="s">
        <v>2078</v>
      </c>
      <c r="C388" s="339" t="s">
        <v>2079</v>
      </c>
      <c r="D388" s="339" t="s">
        <v>1717</v>
      </c>
      <c r="E388" s="339" t="s">
        <v>2080</v>
      </c>
      <c r="F388" s="339">
        <v>8.500215025514E12</v>
      </c>
      <c r="G388" s="342"/>
      <c r="H388" s="342"/>
      <c r="I388" s="342"/>
      <c r="J388" s="342"/>
      <c r="K388" s="338"/>
      <c r="L388" s="338"/>
      <c r="M388" s="338"/>
      <c r="N388" s="338"/>
      <c r="O388" s="338"/>
      <c r="P388" s="338"/>
      <c r="Q388" s="338"/>
      <c r="R388" s="338"/>
      <c r="S388" s="338"/>
      <c r="T388" s="338"/>
      <c r="U388" s="338"/>
      <c r="V388" s="338"/>
      <c r="W388" s="338"/>
      <c r="X388" s="338"/>
      <c r="Y388" s="338"/>
      <c r="Z388" s="338"/>
      <c r="AA388" s="338"/>
    </row>
    <row r="389" ht="15.75" customHeight="1">
      <c r="A389" s="339">
        <v>388.0</v>
      </c>
      <c r="B389" s="339" t="s">
        <v>2081</v>
      </c>
      <c r="C389" s="339" t="s">
        <v>2082</v>
      </c>
      <c r="D389" s="339" t="s">
        <v>2081</v>
      </c>
      <c r="E389" s="339"/>
      <c r="F389" s="339"/>
      <c r="G389" s="342"/>
      <c r="H389" s="342"/>
      <c r="I389" s="342"/>
      <c r="J389" s="342"/>
      <c r="K389" s="338"/>
      <c r="L389" s="338"/>
      <c r="M389" s="338"/>
      <c r="N389" s="338"/>
      <c r="O389" s="338"/>
      <c r="P389" s="338"/>
      <c r="Q389" s="338"/>
      <c r="R389" s="338"/>
      <c r="S389" s="338"/>
      <c r="T389" s="338"/>
      <c r="U389" s="338"/>
      <c r="V389" s="338"/>
      <c r="W389" s="338"/>
      <c r="X389" s="338"/>
      <c r="Y389" s="338"/>
      <c r="Z389" s="338"/>
      <c r="AA389" s="338"/>
    </row>
    <row r="390" ht="15.75" customHeight="1">
      <c r="A390" s="339">
        <v>389.0</v>
      </c>
      <c r="B390" s="339" t="s">
        <v>2083</v>
      </c>
      <c r="C390" s="339" t="s">
        <v>2084</v>
      </c>
      <c r="D390" s="339" t="s">
        <v>2085</v>
      </c>
      <c r="E390" s="339"/>
      <c r="F390" s="339"/>
      <c r="G390" s="342"/>
      <c r="H390" s="342"/>
      <c r="I390" s="342"/>
      <c r="J390" s="342"/>
      <c r="K390" s="338"/>
      <c r="L390" s="338"/>
      <c r="M390" s="338"/>
      <c r="N390" s="338"/>
      <c r="O390" s="338"/>
      <c r="P390" s="338"/>
      <c r="Q390" s="338"/>
      <c r="R390" s="338"/>
      <c r="S390" s="338"/>
      <c r="T390" s="338"/>
      <c r="U390" s="338"/>
      <c r="V390" s="338"/>
      <c r="W390" s="338"/>
      <c r="X390" s="338"/>
      <c r="Y390" s="338"/>
      <c r="Z390" s="338"/>
      <c r="AA390" s="338"/>
    </row>
    <row r="391" ht="15.75" customHeight="1">
      <c r="A391" s="339">
        <v>390.0</v>
      </c>
      <c r="B391" s="339" t="s">
        <v>2086</v>
      </c>
      <c r="C391" s="339" t="s">
        <v>2087</v>
      </c>
      <c r="D391" s="339" t="s">
        <v>2088</v>
      </c>
      <c r="E391" s="339"/>
      <c r="F391" s="339"/>
      <c r="G391" s="342"/>
      <c r="H391" s="342"/>
      <c r="I391" s="342"/>
      <c r="J391" s="342"/>
      <c r="K391" s="338"/>
      <c r="L391" s="338"/>
      <c r="M391" s="338"/>
      <c r="N391" s="338"/>
      <c r="O391" s="338"/>
      <c r="P391" s="338"/>
      <c r="Q391" s="338"/>
      <c r="R391" s="338"/>
      <c r="S391" s="338"/>
      <c r="T391" s="338"/>
      <c r="U391" s="338"/>
      <c r="V391" s="338"/>
      <c r="W391" s="338"/>
      <c r="X391" s="338"/>
      <c r="Y391" s="338"/>
      <c r="Z391" s="338"/>
      <c r="AA391" s="338"/>
    </row>
    <row r="392" ht="15.75" customHeight="1">
      <c r="A392" s="339">
        <v>391.0</v>
      </c>
      <c r="B392" s="339" t="s">
        <v>2089</v>
      </c>
      <c r="C392" s="339" t="s">
        <v>2090</v>
      </c>
      <c r="D392" s="339" t="s">
        <v>1915</v>
      </c>
      <c r="E392" s="339"/>
      <c r="F392" s="339"/>
      <c r="G392" s="342"/>
      <c r="H392" s="342"/>
      <c r="I392" s="342"/>
      <c r="J392" s="342"/>
      <c r="K392" s="338"/>
      <c r="L392" s="338"/>
      <c r="M392" s="338"/>
      <c r="N392" s="338"/>
      <c r="O392" s="338"/>
      <c r="P392" s="338"/>
      <c r="Q392" s="338"/>
      <c r="R392" s="338"/>
      <c r="S392" s="338"/>
      <c r="T392" s="338"/>
      <c r="U392" s="338"/>
      <c r="V392" s="338"/>
      <c r="W392" s="338"/>
      <c r="X392" s="338"/>
      <c r="Y392" s="338"/>
      <c r="Z392" s="338"/>
      <c r="AA392" s="338"/>
    </row>
    <row r="393" ht="15.75" customHeight="1">
      <c r="A393" s="339">
        <v>392.0</v>
      </c>
      <c r="B393" s="339" t="s">
        <v>2091</v>
      </c>
      <c r="C393" s="340" t="s">
        <v>407</v>
      </c>
      <c r="D393" s="339" t="s">
        <v>1231</v>
      </c>
      <c r="E393" s="339" t="s">
        <v>699</v>
      </c>
      <c r="F393" s="339">
        <v>1.9028189242029E13</v>
      </c>
      <c r="G393" s="342"/>
      <c r="H393" s="342"/>
      <c r="I393" s="342"/>
      <c r="J393" s="342"/>
      <c r="K393" s="338"/>
      <c r="L393" s="338"/>
      <c r="M393" s="338"/>
      <c r="N393" s="338"/>
      <c r="O393" s="338"/>
      <c r="P393" s="338"/>
      <c r="Q393" s="338"/>
      <c r="R393" s="338"/>
      <c r="S393" s="338"/>
      <c r="T393" s="338"/>
      <c r="U393" s="338"/>
      <c r="V393" s="338"/>
      <c r="W393" s="338"/>
      <c r="X393" s="338"/>
      <c r="Y393" s="338"/>
      <c r="Z393" s="338"/>
      <c r="AA393" s="338"/>
    </row>
    <row r="394" ht="15.75" customHeight="1">
      <c r="A394" s="339">
        <v>393.0</v>
      </c>
      <c r="B394" s="339" t="s">
        <v>2092</v>
      </c>
      <c r="C394" s="340" t="s">
        <v>1561</v>
      </c>
      <c r="D394" s="339" t="s">
        <v>1221</v>
      </c>
      <c r="E394" s="339" t="s">
        <v>2093</v>
      </c>
      <c r="F394" s="339">
        <v>2.810215001409E12</v>
      </c>
      <c r="G394" s="342"/>
      <c r="H394" s="342"/>
      <c r="I394" s="342"/>
      <c r="J394" s="342"/>
      <c r="K394" s="338"/>
      <c r="L394" s="338"/>
      <c r="M394" s="338"/>
      <c r="N394" s="338"/>
      <c r="O394" s="338"/>
      <c r="P394" s="338"/>
      <c r="Q394" s="338"/>
      <c r="R394" s="338"/>
      <c r="S394" s="338"/>
      <c r="T394" s="338"/>
      <c r="U394" s="338"/>
      <c r="V394" s="338"/>
      <c r="W394" s="338"/>
      <c r="X394" s="338"/>
      <c r="Y394" s="338"/>
      <c r="Z394" s="338"/>
      <c r="AA394" s="338"/>
    </row>
    <row r="395" ht="15.75" customHeight="1">
      <c r="A395" s="339">
        <v>394.0</v>
      </c>
      <c r="B395" s="339" t="s">
        <v>2094</v>
      </c>
      <c r="C395" s="339" t="s">
        <v>2095</v>
      </c>
      <c r="D395" s="339" t="s">
        <v>2096</v>
      </c>
      <c r="E395" s="343" t="s">
        <v>2097</v>
      </c>
      <c r="F395" s="343">
        <v>1.22922618E8</v>
      </c>
      <c r="G395" s="342"/>
      <c r="H395" s="342"/>
      <c r="I395" s="342"/>
      <c r="J395" s="342"/>
      <c r="K395" s="338"/>
      <c r="L395" s="338"/>
      <c r="M395" s="338"/>
      <c r="N395" s="338"/>
      <c r="O395" s="338"/>
      <c r="P395" s="338"/>
      <c r="Q395" s="338"/>
      <c r="R395" s="338"/>
      <c r="S395" s="338"/>
      <c r="T395" s="338"/>
      <c r="U395" s="338"/>
      <c r="V395" s="338"/>
      <c r="W395" s="338"/>
      <c r="X395" s="338"/>
      <c r="Y395" s="338"/>
      <c r="Z395" s="338"/>
      <c r="AA395" s="338"/>
    </row>
    <row r="396" ht="15.75" customHeight="1">
      <c r="A396" s="339">
        <v>395.0</v>
      </c>
      <c r="B396" s="339" t="s">
        <v>2098</v>
      </c>
      <c r="C396" s="339" t="s">
        <v>2099</v>
      </c>
      <c r="D396" s="339" t="s">
        <v>2100</v>
      </c>
      <c r="E396" s="352" t="s">
        <v>2101</v>
      </c>
      <c r="F396" s="339">
        <v>1.5928577E7</v>
      </c>
      <c r="G396" s="342"/>
      <c r="H396" s="342"/>
      <c r="I396" s="342"/>
      <c r="J396" s="342"/>
      <c r="K396" s="338"/>
      <c r="L396" s="338"/>
      <c r="M396" s="338"/>
      <c r="N396" s="338"/>
      <c r="O396" s="338"/>
      <c r="P396" s="338"/>
      <c r="Q396" s="338"/>
      <c r="R396" s="338"/>
      <c r="S396" s="338"/>
      <c r="T396" s="338"/>
      <c r="U396" s="338"/>
      <c r="V396" s="338"/>
      <c r="W396" s="338"/>
      <c r="X396" s="338"/>
      <c r="Y396" s="338"/>
      <c r="Z396" s="338"/>
      <c r="AA396" s="338"/>
    </row>
    <row r="397" ht="15.75" customHeight="1">
      <c r="A397" s="339">
        <v>396.0</v>
      </c>
      <c r="B397" s="339" t="s">
        <v>784</v>
      </c>
      <c r="C397" s="339" t="s">
        <v>445</v>
      </c>
      <c r="D397" s="339" t="s">
        <v>1024</v>
      </c>
      <c r="E397" s="339" t="s">
        <v>786</v>
      </c>
      <c r="F397" s="339">
        <v>1.292165475001E13</v>
      </c>
      <c r="G397" s="342" t="s">
        <v>784</v>
      </c>
      <c r="H397" s="342"/>
      <c r="I397" s="342"/>
      <c r="J397" s="342" t="s">
        <v>1056</v>
      </c>
      <c r="K397" s="338"/>
      <c r="L397" s="338"/>
      <c r="M397" s="338"/>
      <c r="N397" s="338"/>
      <c r="O397" s="338"/>
      <c r="P397" s="338"/>
      <c r="Q397" s="338"/>
      <c r="R397" s="338"/>
      <c r="S397" s="338"/>
      <c r="T397" s="338"/>
      <c r="U397" s="338"/>
      <c r="V397" s="338"/>
      <c r="W397" s="338"/>
      <c r="X397" s="338"/>
      <c r="Y397" s="338"/>
      <c r="Z397" s="338"/>
      <c r="AA397" s="338"/>
    </row>
    <row r="398" ht="15.75" customHeight="1">
      <c r="A398" s="339">
        <v>397.0</v>
      </c>
      <c r="B398" s="339" t="s">
        <v>2102</v>
      </c>
      <c r="C398" s="340" t="s">
        <v>452</v>
      </c>
      <c r="D398" s="339" t="s">
        <v>1198</v>
      </c>
      <c r="E398" s="339" t="s">
        <v>659</v>
      </c>
      <c r="F398" s="339">
        <v>1.2310000769759E13</v>
      </c>
      <c r="G398" s="341" t="s">
        <v>2103</v>
      </c>
      <c r="H398" s="342"/>
      <c r="I398" s="342"/>
      <c r="J398" s="342" t="s">
        <v>1711</v>
      </c>
      <c r="K398" s="338"/>
      <c r="L398" s="338"/>
      <c r="M398" s="338"/>
      <c r="N398" s="338"/>
      <c r="O398" s="338"/>
      <c r="P398" s="338"/>
      <c r="Q398" s="338"/>
      <c r="R398" s="338"/>
      <c r="S398" s="338"/>
      <c r="T398" s="338"/>
      <c r="U398" s="338"/>
      <c r="V398" s="338"/>
      <c r="W398" s="338"/>
      <c r="X398" s="338"/>
      <c r="Y398" s="338"/>
      <c r="Z398" s="338"/>
      <c r="AA398" s="338"/>
    </row>
    <row r="399" ht="15.75" customHeight="1">
      <c r="A399" s="339">
        <v>398.0</v>
      </c>
      <c r="B399" s="339" t="s">
        <v>2104</v>
      </c>
      <c r="C399" s="339" t="s">
        <v>2105</v>
      </c>
      <c r="D399" s="339" t="s">
        <v>926</v>
      </c>
      <c r="E399" s="339" t="s">
        <v>2106</v>
      </c>
      <c r="F399" s="339">
        <v>6.66000222333E11</v>
      </c>
      <c r="G399" s="342"/>
      <c r="H399" s="342"/>
      <c r="I399" s="342"/>
      <c r="J399" s="342"/>
      <c r="K399" s="338"/>
      <c r="L399" s="338"/>
      <c r="M399" s="338"/>
      <c r="N399" s="338"/>
      <c r="O399" s="338"/>
      <c r="P399" s="338"/>
      <c r="Q399" s="338"/>
      <c r="R399" s="338"/>
      <c r="S399" s="338"/>
      <c r="T399" s="338"/>
      <c r="U399" s="338"/>
      <c r="V399" s="338"/>
      <c r="W399" s="338"/>
      <c r="X399" s="338"/>
      <c r="Y399" s="338"/>
      <c r="Z399" s="338"/>
      <c r="AA399" s="338"/>
    </row>
    <row r="400" ht="15.75" customHeight="1">
      <c r="A400" s="339">
        <v>399.0</v>
      </c>
      <c r="B400" s="339" t="s">
        <v>2107</v>
      </c>
      <c r="C400" s="339" t="s">
        <v>2108</v>
      </c>
      <c r="D400" s="339" t="s">
        <v>1166</v>
      </c>
      <c r="E400" s="339" t="s">
        <v>2109</v>
      </c>
      <c r="F400" s="339">
        <v>1.483205249898E12</v>
      </c>
      <c r="G400" s="342"/>
      <c r="H400" s="342"/>
      <c r="I400" s="342"/>
      <c r="J400" s="342"/>
      <c r="K400" s="338"/>
      <c r="L400" s="338"/>
      <c r="M400" s="338"/>
      <c r="N400" s="338"/>
      <c r="O400" s="338"/>
      <c r="P400" s="338"/>
      <c r="Q400" s="338"/>
      <c r="R400" s="338"/>
      <c r="S400" s="338"/>
      <c r="T400" s="338"/>
      <c r="U400" s="338"/>
      <c r="V400" s="338"/>
      <c r="W400" s="338"/>
      <c r="X400" s="338"/>
      <c r="Y400" s="338"/>
      <c r="Z400" s="338"/>
      <c r="AA400" s="338"/>
    </row>
    <row r="401" ht="15.75" customHeight="1">
      <c r="A401" s="339">
        <v>400.0</v>
      </c>
      <c r="B401" s="339" t="s">
        <v>715</v>
      </c>
      <c r="C401" s="339" t="s">
        <v>716</v>
      </c>
      <c r="D401" s="339" t="s">
        <v>1274</v>
      </c>
      <c r="E401" s="339" t="s">
        <v>699</v>
      </c>
      <c r="F401" s="339">
        <v>1.9033976562018E13</v>
      </c>
      <c r="G401" s="342"/>
      <c r="H401" s="342"/>
      <c r="I401" s="342"/>
      <c r="J401" s="342"/>
      <c r="K401" s="338"/>
      <c r="L401" s="338"/>
      <c r="M401" s="338"/>
      <c r="N401" s="338"/>
      <c r="O401" s="338"/>
      <c r="P401" s="338"/>
      <c r="Q401" s="338"/>
      <c r="R401" s="338"/>
      <c r="S401" s="338"/>
      <c r="T401" s="338"/>
      <c r="U401" s="338"/>
      <c r="V401" s="338"/>
      <c r="W401" s="338"/>
      <c r="X401" s="338"/>
      <c r="Y401" s="338"/>
      <c r="Z401" s="338"/>
      <c r="AA401" s="338"/>
    </row>
    <row r="402" ht="15.75" customHeight="1">
      <c r="A402" s="339">
        <v>401.0</v>
      </c>
      <c r="B402" s="339" t="s">
        <v>718</v>
      </c>
      <c r="C402" s="339" t="s">
        <v>461</v>
      </c>
      <c r="D402" s="339" t="s">
        <v>1022</v>
      </c>
      <c r="E402" s="339" t="s">
        <v>659</v>
      </c>
      <c r="F402" s="339">
        <v>3.9010000137992E13</v>
      </c>
      <c r="G402" s="342" t="s">
        <v>2110</v>
      </c>
      <c r="H402" s="339" t="s">
        <v>659</v>
      </c>
      <c r="I402" s="342">
        <v>3.900137992E9</v>
      </c>
      <c r="J402" s="342" t="s">
        <v>1056</v>
      </c>
      <c r="K402" s="338"/>
      <c r="L402" s="338"/>
      <c r="M402" s="338"/>
      <c r="N402" s="338"/>
      <c r="O402" s="338"/>
      <c r="P402" s="338"/>
      <c r="Q402" s="338"/>
      <c r="R402" s="338"/>
      <c r="S402" s="338"/>
      <c r="T402" s="338"/>
      <c r="U402" s="338"/>
      <c r="V402" s="338"/>
      <c r="W402" s="338"/>
      <c r="X402" s="338"/>
      <c r="Y402" s="338"/>
      <c r="Z402" s="338"/>
      <c r="AA402" s="338"/>
    </row>
    <row r="403" ht="15.75" customHeight="1">
      <c r="A403" s="339">
        <v>402.0</v>
      </c>
      <c r="B403" s="339" t="s">
        <v>2111</v>
      </c>
      <c r="C403" s="339" t="s">
        <v>2112</v>
      </c>
      <c r="D403" s="339" t="s">
        <v>979</v>
      </c>
      <c r="E403" s="339" t="s">
        <v>663</v>
      </c>
      <c r="F403" s="339">
        <v>1.09005008939E11</v>
      </c>
      <c r="G403" s="342"/>
      <c r="H403" s="342"/>
      <c r="I403" s="342"/>
      <c r="J403" s="342"/>
      <c r="K403" s="338"/>
      <c r="L403" s="338"/>
      <c r="M403" s="338"/>
      <c r="N403" s="338"/>
      <c r="O403" s="338"/>
      <c r="P403" s="338"/>
      <c r="Q403" s="338"/>
      <c r="R403" s="338"/>
      <c r="S403" s="338"/>
      <c r="T403" s="338"/>
      <c r="U403" s="338"/>
      <c r="V403" s="338"/>
      <c r="W403" s="338"/>
      <c r="X403" s="338"/>
      <c r="Y403" s="338"/>
      <c r="Z403" s="338"/>
      <c r="AA403" s="338"/>
    </row>
    <row r="404" ht="15.75" customHeight="1">
      <c r="A404" s="339">
        <v>403.0</v>
      </c>
      <c r="B404" s="339" t="s">
        <v>2113</v>
      </c>
      <c r="C404" s="339" t="s">
        <v>2114</v>
      </c>
      <c r="D404" s="339" t="s">
        <v>1221</v>
      </c>
      <c r="E404" s="339" t="s">
        <v>659</v>
      </c>
      <c r="F404" s="339">
        <v>4.6010003349468E13</v>
      </c>
      <c r="G404" s="342" t="s">
        <v>2115</v>
      </c>
      <c r="H404" s="339" t="s">
        <v>659</v>
      </c>
      <c r="I404" s="342">
        <v>4.603349468E9</v>
      </c>
      <c r="J404" s="342" t="s">
        <v>2116</v>
      </c>
      <c r="K404" s="338"/>
      <c r="L404" s="338"/>
      <c r="M404" s="338"/>
      <c r="N404" s="338"/>
      <c r="O404" s="338"/>
      <c r="P404" s="338"/>
      <c r="Q404" s="338"/>
      <c r="R404" s="338"/>
      <c r="S404" s="338"/>
      <c r="T404" s="338"/>
      <c r="U404" s="338"/>
      <c r="V404" s="338"/>
      <c r="W404" s="338"/>
      <c r="X404" s="338"/>
      <c r="Y404" s="338"/>
      <c r="Z404" s="338"/>
      <c r="AA404" s="338"/>
    </row>
    <row r="405" ht="15.75" customHeight="1">
      <c r="A405" s="339">
        <v>404.0</v>
      </c>
      <c r="B405" s="339" t="s">
        <v>2117</v>
      </c>
      <c r="C405" s="339" t="s">
        <v>2118</v>
      </c>
      <c r="D405" s="339" t="s">
        <v>1266</v>
      </c>
      <c r="E405" s="339" t="s">
        <v>671</v>
      </c>
      <c r="F405" s="339">
        <v>1.017265759E9</v>
      </c>
      <c r="G405" s="342"/>
      <c r="H405" s="342"/>
      <c r="I405" s="342"/>
      <c r="J405" s="342"/>
      <c r="K405" s="338"/>
      <c r="L405" s="338"/>
      <c r="M405" s="338"/>
      <c r="N405" s="338"/>
      <c r="O405" s="338"/>
      <c r="P405" s="338"/>
      <c r="Q405" s="338"/>
      <c r="R405" s="338"/>
      <c r="S405" s="338"/>
      <c r="T405" s="338"/>
      <c r="U405" s="338"/>
      <c r="V405" s="338"/>
      <c r="W405" s="338"/>
      <c r="X405" s="338"/>
      <c r="Y405" s="338"/>
      <c r="Z405" s="338"/>
      <c r="AA405" s="338"/>
    </row>
    <row r="406" ht="15.75" customHeight="1">
      <c r="A406" s="339">
        <v>405.0</v>
      </c>
      <c r="B406" s="339" t="s">
        <v>2119</v>
      </c>
      <c r="C406" s="339" t="s">
        <v>899</v>
      </c>
      <c r="D406" s="339" t="s">
        <v>1717</v>
      </c>
      <c r="E406" s="339" t="s">
        <v>659</v>
      </c>
      <c r="F406" s="339">
        <v>1.1610000089701E13</v>
      </c>
      <c r="G406" s="342"/>
      <c r="H406" s="342"/>
      <c r="I406" s="342"/>
      <c r="J406" s="342"/>
      <c r="K406" s="338"/>
      <c r="L406" s="338"/>
      <c r="M406" s="338"/>
      <c r="N406" s="338"/>
      <c r="O406" s="338"/>
      <c r="P406" s="338"/>
      <c r="Q406" s="338"/>
      <c r="R406" s="338"/>
      <c r="S406" s="338"/>
      <c r="T406" s="338"/>
      <c r="U406" s="338"/>
      <c r="V406" s="338"/>
      <c r="W406" s="338"/>
      <c r="X406" s="338"/>
      <c r="Y406" s="338"/>
      <c r="Z406" s="338"/>
      <c r="AA406" s="338"/>
    </row>
    <row r="407" ht="15.75" customHeight="1">
      <c r="A407" s="339">
        <v>406.0</v>
      </c>
      <c r="B407" s="339" t="s">
        <v>2120</v>
      </c>
      <c r="C407" s="339" t="s">
        <v>2121</v>
      </c>
      <c r="D407" s="339" t="s">
        <v>2122</v>
      </c>
      <c r="E407" s="339" t="s">
        <v>651</v>
      </c>
      <c r="F407" s="339">
        <v>2.810205002926E12</v>
      </c>
      <c r="G407" s="342"/>
      <c r="H407" s="342"/>
      <c r="I407" s="342"/>
      <c r="J407" s="342"/>
      <c r="K407" s="338"/>
      <c r="L407" s="338"/>
      <c r="M407" s="338"/>
      <c r="N407" s="338"/>
      <c r="O407" s="338"/>
      <c r="P407" s="338"/>
      <c r="Q407" s="338"/>
      <c r="R407" s="338"/>
      <c r="S407" s="338"/>
      <c r="T407" s="338"/>
      <c r="U407" s="338"/>
      <c r="V407" s="338"/>
      <c r="W407" s="338"/>
      <c r="X407" s="338"/>
      <c r="Y407" s="338"/>
      <c r="Z407" s="338"/>
      <c r="AA407" s="338"/>
    </row>
    <row r="408" ht="15.75" customHeight="1">
      <c r="A408" s="339">
        <v>407.0</v>
      </c>
      <c r="B408" s="339" t="s">
        <v>2123</v>
      </c>
      <c r="C408" s="339" t="s">
        <v>2124</v>
      </c>
      <c r="D408" s="339" t="s">
        <v>1594</v>
      </c>
      <c r="E408" s="339" t="s">
        <v>1552</v>
      </c>
      <c r="F408" s="348">
        <v>6.560133624562E12</v>
      </c>
      <c r="G408" s="342"/>
      <c r="H408" s="342"/>
      <c r="I408" s="342"/>
      <c r="J408" s="342"/>
      <c r="K408" s="338"/>
      <c r="L408" s="338"/>
      <c r="M408" s="338"/>
      <c r="N408" s="338"/>
      <c r="O408" s="338"/>
      <c r="P408" s="338"/>
      <c r="Q408" s="338"/>
      <c r="R408" s="338"/>
      <c r="S408" s="338"/>
      <c r="T408" s="338"/>
      <c r="U408" s="338"/>
      <c r="V408" s="338"/>
      <c r="W408" s="338"/>
      <c r="X408" s="338"/>
      <c r="Y408" s="338"/>
      <c r="Z408" s="338"/>
      <c r="AA408" s="338"/>
    </row>
    <row r="409" ht="15.75" customHeight="1">
      <c r="A409" s="339">
        <v>408.0</v>
      </c>
      <c r="B409" s="339" t="s">
        <v>2125</v>
      </c>
      <c r="C409" s="339" t="s">
        <v>385</v>
      </c>
      <c r="D409" s="339" t="s">
        <v>1064</v>
      </c>
      <c r="E409" s="339" t="s">
        <v>2126</v>
      </c>
      <c r="F409" s="343">
        <v>1.2110000244386E13</v>
      </c>
      <c r="G409" s="342" t="s">
        <v>2127</v>
      </c>
      <c r="H409" s="342" t="s">
        <v>659</v>
      </c>
      <c r="I409" s="342" t="s">
        <v>2128</v>
      </c>
      <c r="J409" s="342" t="s">
        <v>2129</v>
      </c>
      <c r="K409" s="338"/>
      <c r="L409" s="338"/>
      <c r="M409" s="338"/>
      <c r="N409" s="338"/>
      <c r="O409" s="338"/>
      <c r="P409" s="338"/>
      <c r="Q409" s="338"/>
      <c r="R409" s="338"/>
      <c r="S409" s="338"/>
      <c r="T409" s="338"/>
      <c r="U409" s="338"/>
      <c r="V409" s="338"/>
      <c r="W409" s="338"/>
      <c r="X409" s="338"/>
      <c r="Y409" s="338"/>
      <c r="Z409" s="338"/>
      <c r="AA409" s="338"/>
    </row>
    <row r="410" ht="15.75" customHeight="1">
      <c r="A410" s="339">
        <v>409.0</v>
      </c>
      <c r="B410" s="339" t="s">
        <v>2130</v>
      </c>
      <c r="C410" s="339" t="s">
        <v>2131</v>
      </c>
      <c r="D410" s="339" t="s">
        <v>1027</v>
      </c>
      <c r="E410" s="339" t="s">
        <v>2132</v>
      </c>
      <c r="F410" s="343">
        <v>2.7769503E7</v>
      </c>
      <c r="G410" s="342"/>
      <c r="H410" s="342"/>
      <c r="I410" s="342"/>
      <c r="J410" s="342"/>
      <c r="K410" s="338"/>
      <c r="L410" s="338"/>
      <c r="M410" s="338"/>
      <c r="N410" s="338"/>
      <c r="O410" s="338"/>
      <c r="P410" s="338"/>
      <c r="Q410" s="338"/>
      <c r="R410" s="338"/>
      <c r="S410" s="338"/>
      <c r="T410" s="338"/>
      <c r="U410" s="338"/>
      <c r="V410" s="338"/>
      <c r="W410" s="338"/>
      <c r="X410" s="338"/>
      <c r="Y410" s="338"/>
      <c r="Z410" s="338"/>
      <c r="AA410" s="338"/>
    </row>
    <row r="411" ht="15.75" customHeight="1">
      <c r="A411" s="339">
        <v>410.0</v>
      </c>
      <c r="B411" s="339" t="s">
        <v>2133</v>
      </c>
      <c r="C411" s="339" t="s">
        <v>458</v>
      </c>
      <c r="D411" s="339" t="s">
        <v>2134</v>
      </c>
      <c r="E411" s="339" t="s">
        <v>2135</v>
      </c>
      <c r="F411" s="343">
        <v>8.500215034278E12</v>
      </c>
      <c r="G411" s="342"/>
      <c r="H411" s="342"/>
      <c r="I411" s="342"/>
      <c r="J411" s="342"/>
      <c r="K411" s="338"/>
      <c r="L411" s="338"/>
      <c r="M411" s="338"/>
      <c r="N411" s="338"/>
      <c r="O411" s="338"/>
      <c r="P411" s="338"/>
      <c r="Q411" s="338"/>
      <c r="R411" s="338"/>
      <c r="S411" s="338"/>
      <c r="T411" s="338"/>
      <c r="U411" s="338"/>
      <c r="V411" s="338"/>
      <c r="W411" s="338"/>
      <c r="X411" s="338"/>
      <c r="Y411" s="338"/>
      <c r="Z411" s="338"/>
      <c r="AA411" s="338"/>
    </row>
    <row r="412" ht="15.75" customHeight="1">
      <c r="A412" s="339">
        <v>411.0</v>
      </c>
      <c r="B412" s="339" t="s">
        <v>2136</v>
      </c>
      <c r="C412" s="339" t="s">
        <v>2137</v>
      </c>
      <c r="D412" s="339" t="s">
        <v>1707</v>
      </c>
      <c r="E412" s="339" t="s">
        <v>2138</v>
      </c>
      <c r="F412" s="343">
        <v>4.8010000867639E13</v>
      </c>
      <c r="G412" s="342" t="s">
        <v>2139</v>
      </c>
      <c r="H412" s="342"/>
      <c r="I412" s="342"/>
      <c r="J412" s="342" t="s">
        <v>1056</v>
      </c>
      <c r="K412" s="338"/>
      <c r="L412" s="338"/>
      <c r="M412" s="338"/>
      <c r="N412" s="338"/>
      <c r="O412" s="338"/>
      <c r="P412" s="338"/>
      <c r="Q412" s="338"/>
      <c r="R412" s="338"/>
      <c r="S412" s="338"/>
      <c r="T412" s="338"/>
      <c r="U412" s="338"/>
      <c r="V412" s="338"/>
      <c r="W412" s="338"/>
      <c r="X412" s="338"/>
      <c r="Y412" s="338"/>
      <c r="Z412" s="338"/>
      <c r="AA412" s="338"/>
    </row>
    <row r="413" ht="15.75" customHeight="1">
      <c r="A413" s="339">
        <v>412.0</v>
      </c>
      <c r="B413" s="339" t="s">
        <v>2140</v>
      </c>
      <c r="C413" s="339" t="s">
        <v>2141</v>
      </c>
      <c r="D413" s="339" t="s">
        <v>1156</v>
      </c>
      <c r="E413" s="339" t="s">
        <v>2142</v>
      </c>
      <c r="F413" s="343">
        <v>8.880120051991E12</v>
      </c>
      <c r="G413" s="342"/>
      <c r="H413" s="342"/>
      <c r="I413" s="342"/>
      <c r="J413" s="342"/>
      <c r="K413" s="338"/>
      <c r="L413" s="338"/>
      <c r="M413" s="338"/>
      <c r="N413" s="338"/>
      <c r="O413" s="338"/>
      <c r="P413" s="338"/>
      <c r="Q413" s="338"/>
      <c r="R413" s="338"/>
      <c r="S413" s="338"/>
      <c r="T413" s="338"/>
      <c r="U413" s="338"/>
      <c r="V413" s="338"/>
      <c r="W413" s="338"/>
      <c r="X413" s="338"/>
      <c r="Y413" s="338"/>
      <c r="Z413" s="338"/>
      <c r="AA413" s="338"/>
    </row>
    <row r="414" ht="15.75" customHeight="1">
      <c r="A414" s="339">
        <v>413.0</v>
      </c>
      <c r="B414" s="339" t="s">
        <v>2143</v>
      </c>
      <c r="C414" s="339" t="s">
        <v>2144</v>
      </c>
      <c r="D414" s="339" t="s">
        <v>1300</v>
      </c>
      <c r="E414" s="339" t="s">
        <v>2097</v>
      </c>
      <c r="F414" s="343">
        <v>8.0912683366E10</v>
      </c>
      <c r="G414" s="342"/>
      <c r="H414" s="342"/>
      <c r="I414" s="342"/>
      <c r="J414" s="342"/>
      <c r="K414" s="338"/>
      <c r="L414" s="338"/>
      <c r="M414" s="338"/>
      <c r="N414" s="338"/>
      <c r="O414" s="338"/>
      <c r="P414" s="338"/>
      <c r="Q414" s="338"/>
      <c r="R414" s="338"/>
      <c r="S414" s="338"/>
      <c r="T414" s="338"/>
      <c r="U414" s="338"/>
      <c r="V414" s="338"/>
      <c r="W414" s="338"/>
      <c r="X414" s="338"/>
      <c r="Y414" s="338"/>
      <c r="Z414" s="338"/>
      <c r="AA414" s="338"/>
    </row>
    <row r="415" ht="15.75" customHeight="1">
      <c r="A415" s="339">
        <v>414.0</v>
      </c>
      <c r="B415" s="339" t="s">
        <v>2145</v>
      </c>
      <c r="C415" s="339" t="s">
        <v>2146</v>
      </c>
      <c r="D415" s="339" t="s">
        <v>964</v>
      </c>
      <c r="E415" s="339" t="s">
        <v>2147</v>
      </c>
      <c r="F415" s="343">
        <v>4.51000479622E11</v>
      </c>
      <c r="G415" s="342"/>
      <c r="H415" s="342"/>
      <c r="I415" s="342"/>
      <c r="J415" s="342"/>
      <c r="K415" s="338"/>
      <c r="L415" s="338"/>
      <c r="M415" s="338"/>
      <c r="N415" s="338"/>
      <c r="O415" s="338"/>
      <c r="P415" s="338"/>
      <c r="Q415" s="338"/>
      <c r="R415" s="338"/>
      <c r="S415" s="338"/>
      <c r="T415" s="338"/>
      <c r="U415" s="338"/>
      <c r="V415" s="338"/>
      <c r="W415" s="338"/>
      <c r="X415" s="338"/>
      <c r="Y415" s="338"/>
      <c r="Z415" s="338"/>
      <c r="AA415" s="338"/>
    </row>
    <row r="416" ht="15.75" customHeight="1">
      <c r="A416" s="339">
        <v>415.0</v>
      </c>
      <c r="B416" s="339" t="s">
        <v>2148</v>
      </c>
      <c r="C416" s="339" t="s">
        <v>2149</v>
      </c>
      <c r="D416" s="339" t="s">
        <v>2150</v>
      </c>
      <c r="E416" s="339"/>
      <c r="F416" s="343"/>
      <c r="G416" s="342"/>
      <c r="H416" s="342"/>
      <c r="I416" s="342"/>
      <c r="J416" s="342"/>
      <c r="K416" s="338"/>
      <c r="L416" s="338"/>
      <c r="M416" s="338"/>
      <c r="N416" s="338"/>
      <c r="O416" s="338"/>
      <c r="P416" s="338"/>
      <c r="Q416" s="338"/>
      <c r="R416" s="338"/>
      <c r="S416" s="338"/>
      <c r="T416" s="338"/>
      <c r="U416" s="338"/>
      <c r="V416" s="338"/>
      <c r="W416" s="338"/>
      <c r="X416" s="338"/>
      <c r="Y416" s="338"/>
      <c r="Z416" s="338"/>
      <c r="AA416" s="338"/>
    </row>
    <row r="417" ht="15.75" customHeight="1">
      <c r="A417" s="339">
        <v>416.0</v>
      </c>
      <c r="B417" s="339" t="s">
        <v>2151</v>
      </c>
      <c r="C417" s="339" t="s">
        <v>2152</v>
      </c>
      <c r="D417" s="339" t="s">
        <v>998</v>
      </c>
      <c r="E417" s="339" t="s">
        <v>2153</v>
      </c>
      <c r="F417" s="343">
        <v>8.820117786001E12</v>
      </c>
      <c r="G417" s="342"/>
      <c r="H417" s="342"/>
      <c r="I417" s="342"/>
      <c r="J417" s="342"/>
      <c r="K417" s="338"/>
      <c r="L417" s="338"/>
      <c r="M417" s="338"/>
      <c r="N417" s="338"/>
      <c r="O417" s="338"/>
      <c r="P417" s="338"/>
      <c r="Q417" s="338"/>
      <c r="R417" s="338"/>
      <c r="S417" s="338"/>
      <c r="T417" s="338"/>
      <c r="U417" s="338"/>
      <c r="V417" s="338"/>
      <c r="W417" s="338"/>
      <c r="X417" s="338"/>
      <c r="Y417" s="338"/>
      <c r="Z417" s="338"/>
      <c r="AA417" s="338"/>
    </row>
    <row r="418" ht="15.75" customHeight="1">
      <c r="A418" s="339">
        <v>417.0</v>
      </c>
      <c r="B418" s="339" t="s">
        <v>2154</v>
      </c>
      <c r="C418" s="339" t="s">
        <v>2155</v>
      </c>
      <c r="D418" s="339" t="s">
        <v>2156</v>
      </c>
      <c r="E418" s="339" t="s">
        <v>2157</v>
      </c>
      <c r="F418" s="339">
        <v>1.1004334149E10</v>
      </c>
      <c r="G418" s="342"/>
      <c r="H418" s="342"/>
      <c r="I418" s="342"/>
      <c r="J418" s="342"/>
      <c r="K418" s="338"/>
      <c r="L418" s="338"/>
      <c r="M418" s="338"/>
      <c r="N418" s="338"/>
      <c r="O418" s="338"/>
      <c r="P418" s="338"/>
      <c r="Q418" s="338"/>
      <c r="R418" s="338"/>
      <c r="S418" s="338"/>
      <c r="T418" s="338"/>
      <c r="U418" s="338"/>
      <c r="V418" s="338"/>
      <c r="W418" s="338"/>
      <c r="X418" s="338"/>
      <c r="Y418" s="338"/>
      <c r="Z418" s="338"/>
      <c r="AA418" s="338"/>
    </row>
    <row r="419" ht="15.75" customHeight="1">
      <c r="A419" s="339">
        <v>418.0</v>
      </c>
      <c r="B419" s="339" t="s">
        <v>2158</v>
      </c>
      <c r="C419" s="339" t="s">
        <v>2159</v>
      </c>
      <c r="D419" s="339" t="s">
        <v>2160</v>
      </c>
      <c r="E419" s="339" t="s">
        <v>2161</v>
      </c>
      <c r="F419" s="339">
        <v>1.60616062E11</v>
      </c>
      <c r="G419" s="342"/>
      <c r="H419" s="342"/>
      <c r="I419" s="342"/>
      <c r="J419" s="342"/>
      <c r="K419" s="338"/>
      <c r="L419" s="338"/>
      <c r="M419" s="338"/>
      <c r="N419" s="338"/>
      <c r="O419" s="338"/>
      <c r="P419" s="338"/>
      <c r="Q419" s="338"/>
      <c r="R419" s="338"/>
      <c r="S419" s="338"/>
      <c r="T419" s="338"/>
      <c r="U419" s="338"/>
      <c r="V419" s="338"/>
      <c r="W419" s="338"/>
      <c r="X419" s="338"/>
      <c r="Y419" s="338"/>
      <c r="Z419" s="338"/>
      <c r="AA419" s="338"/>
    </row>
    <row r="420" ht="15.75" customHeight="1">
      <c r="A420" s="339">
        <v>419.0</v>
      </c>
      <c r="B420" s="339" t="s">
        <v>2162</v>
      </c>
      <c r="C420" s="339" t="s">
        <v>2163</v>
      </c>
      <c r="D420" s="339" t="s">
        <v>2164</v>
      </c>
      <c r="E420" s="339" t="s">
        <v>2165</v>
      </c>
      <c r="F420" s="339">
        <v>2.5996487E7</v>
      </c>
      <c r="G420" s="342"/>
      <c r="H420" s="342"/>
      <c r="I420" s="342"/>
      <c r="J420" s="342"/>
      <c r="K420" s="338"/>
      <c r="L420" s="338"/>
      <c r="M420" s="338"/>
      <c r="N420" s="338"/>
      <c r="O420" s="338"/>
      <c r="P420" s="338"/>
      <c r="Q420" s="338"/>
      <c r="R420" s="338"/>
      <c r="S420" s="338"/>
      <c r="T420" s="338"/>
      <c r="U420" s="338"/>
      <c r="V420" s="338"/>
      <c r="W420" s="338"/>
      <c r="X420" s="338"/>
      <c r="Y420" s="338"/>
      <c r="Z420" s="338"/>
      <c r="AA420" s="338"/>
    </row>
    <row r="421" ht="15.75" customHeight="1">
      <c r="A421" s="339">
        <v>420.0</v>
      </c>
      <c r="B421" s="339" t="s">
        <v>2166</v>
      </c>
      <c r="C421" s="339" t="s">
        <v>2167</v>
      </c>
      <c r="D421" s="339" t="s">
        <v>401</v>
      </c>
      <c r="E421" s="339" t="s">
        <v>2168</v>
      </c>
      <c r="F421" s="339">
        <v>9.83812120243E11</v>
      </c>
      <c r="G421" s="342"/>
      <c r="H421" s="342"/>
      <c r="I421" s="342"/>
      <c r="J421" s="342"/>
      <c r="K421" s="338"/>
      <c r="L421" s="338"/>
      <c r="M421" s="338"/>
      <c r="N421" s="338"/>
      <c r="O421" s="338"/>
      <c r="P421" s="338"/>
      <c r="Q421" s="338"/>
      <c r="R421" s="338"/>
      <c r="S421" s="338"/>
      <c r="T421" s="338"/>
      <c r="U421" s="338"/>
      <c r="V421" s="338"/>
      <c r="W421" s="338"/>
      <c r="X421" s="338"/>
      <c r="Y421" s="338"/>
      <c r="Z421" s="338"/>
      <c r="AA421" s="338"/>
    </row>
    <row r="422" ht="15.75" customHeight="1">
      <c r="A422" s="339">
        <v>421.0</v>
      </c>
      <c r="B422" s="339" t="s">
        <v>2169</v>
      </c>
      <c r="C422" s="339" t="s">
        <v>2170</v>
      </c>
      <c r="D422" s="339" t="s">
        <v>1102</v>
      </c>
      <c r="E422" s="339"/>
      <c r="F422" s="339"/>
      <c r="G422" s="342"/>
      <c r="H422" s="342"/>
      <c r="I422" s="342"/>
      <c r="J422" s="342"/>
      <c r="K422" s="338"/>
      <c r="L422" s="338"/>
      <c r="M422" s="338"/>
      <c r="N422" s="338"/>
      <c r="O422" s="338"/>
      <c r="P422" s="338"/>
      <c r="Q422" s="338"/>
      <c r="R422" s="338"/>
      <c r="S422" s="338"/>
      <c r="T422" s="338"/>
      <c r="U422" s="338"/>
      <c r="V422" s="338"/>
      <c r="W422" s="338"/>
      <c r="X422" s="338"/>
      <c r="Y422" s="338"/>
      <c r="Z422" s="338"/>
      <c r="AA422" s="338"/>
    </row>
    <row r="423" ht="15.75" customHeight="1">
      <c r="A423" s="339">
        <v>422.0</v>
      </c>
      <c r="B423" s="339" t="s">
        <v>2171</v>
      </c>
      <c r="C423" s="339" t="s">
        <v>2172</v>
      </c>
      <c r="D423" s="339" t="s">
        <v>1652</v>
      </c>
      <c r="E423" s="339"/>
      <c r="F423" s="339"/>
      <c r="G423" s="342"/>
      <c r="H423" s="342"/>
      <c r="I423" s="342"/>
      <c r="J423" s="342"/>
      <c r="K423" s="338"/>
      <c r="L423" s="338"/>
      <c r="M423" s="338"/>
      <c r="N423" s="338"/>
      <c r="O423" s="338"/>
      <c r="P423" s="338"/>
      <c r="Q423" s="338"/>
      <c r="R423" s="338"/>
      <c r="S423" s="338"/>
      <c r="T423" s="338"/>
      <c r="U423" s="338"/>
      <c r="V423" s="338"/>
      <c r="W423" s="338"/>
      <c r="X423" s="338"/>
      <c r="Y423" s="338"/>
      <c r="Z423" s="338"/>
      <c r="AA423" s="338"/>
    </row>
    <row r="424" ht="15.75" customHeight="1">
      <c r="A424" s="339">
        <v>423.0</v>
      </c>
      <c r="B424" s="339" t="s">
        <v>2173</v>
      </c>
      <c r="C424" s="339" t="s">
        <v>2174</v>
      </c>
      <c r="D424" s="339" t="s">
        <v>923</v>
      </c>
      <c r="E424" s="339" t="s">
        <v>2175</v>
      </c>
      <c r="F424" s="339">
        <v>1.6010000228659E13</v>
      </c>
      <c r="G424" s="342"/>
      <c r="H424" s="342"/>
      <c r="I424" s="342"/>
      <c r="J424" s="342"/>
      <c r="K424" s="338"/>
      <c r="L424" s="338"/>
      <c r="M424" s="338"/>
      <c r="N424" s="338"/>
      <c r="O424" s="338"/>
      <c r="P424" s="338"/>
      <c r="Q424" s="338"/>
      <c r="R424" s="338"/>
      <c r="S424" s="338"/>
      <c r="T424" s="338"/>
      <c r="U424" s="338"/>
      <c r="V424" s="338"/>
      <c r="W424" s="338"/>
      <c r="X424" s="338"/>
      <c r="Y424" s="338"/>
      <c r="Z424" s="338"/>
      <c r="AA424" s="338"/>
    </row>
    <row r="425" ht="15.75" customHeight="1">
      <c r="A425" s="339">
        <v>424.0</v>
      </c>
      <c r="B425" s="339" t="s">
        <v>622</v>
      </c>
      <c r="C425" s="339" t="s">
        <v>623</v>
      </c>
      <c r="D425" s="339" t="s">
        <v>1502</v>
      </c>
      <c r="E425" s="339" t="s">
        <v>625</v>
      </c>
      <c r="F425" s="339">
        <v>4.6010005103095E13</v>
      </c>
      <c r="G425" s="339" t="s">
        <v>622</v>
      </c>
      <c r="H425" s="342" t="s">
        <v>659</v>
      </c>
      <c r="I425" s="342">
        <v>4.605103095E9</v>
      </c>
      <c r="J425" s="342" t="s">
        <v>1215</v>
      </c>
      <c r="K425" s="338"/>
      <c r="L425" s="338"/>
      <c r="M425" s="338"/>
      <c r="N425" s="338"/>
      <c r="O425" s="338"/>
      <c r="P425" s="338"/>
      <c r="Q425" s="338"/>
      <c r="R425" s="338"/>
      <c r="S425" s="338"/>
      <c r="T425" s="338"/>
      <c r="U425" s="338"/>
      <c r="V425" s="338"/>
      <c r="W425" s="338"/>
      <c r="X425" s="338"/>
      <c r="Y425" s="338"/>
      <c r="Z425" s="338"/>
      <c r="AA425" s="338"/>
    </row>
    <row r="426" ht="15.75" customHeight="1">
      <c r="A426" s="339">
        <v>425.0</v>
      </c>
      <c r="B426" s="339" t="s">
        <v>2176</v>
      </c>
      <c r="C426" s="339" t="s">
        <v>2177</v>
      </c>
      <c r="D426" s="339" t="s">
        <v>2178</v>
      </c>
      <c r="E426" s="339" t="s">
        <v>2179</v>
      </c>
      <c r="F426" s="339">
        <v>9.00148606006E11</v>
      </c>
      <c r="G426" s="342"/>
      <c r="H426" s="342"/>
      <c r="I426" s="342"/>
      <c r="J426" s="342"/>
      <c r="K426" s="338"/>
      <c r="L426" s="338"/>
      <c r="M426" s="338"/>
      <c r="N426" s="338"/>
      <c r="O426" s="338"/>
      <c r="P426" s="338"/>
      <c r="Q426" s="338"/>
      <c r="R426" s="338"/>
      <c r="S426" s="338"/>
      <c r="T426" s="338"/>
      <c r="U426" s="338"/>
      <c r="V426" s="338"/>
      <c r="W426" s="338"/>
      <c r="X426" s="338"/>
      <c r="Y426" s="338"/>
      <c r="Z426" s="338"/>
      <c r="AA426" s="338"/>
    </row>
    <row r="427" ht="15.75" customHeight="1">
      <c r="A427" s="339">
        <v>426.0</v>
      </c>
      <c r="B427" s="339" t="s">
        <v>2180</v>
      </c>
      <c r="C427" s="339" t="s">
        <v>2181</v>
      </c>
      <c r="D427" s="339" t="s">
        <v>1427</v>
      </c>
      <c r="E427" s="339" t="s">
        <v>2182</v>
      </c>
      <c r="F427" s="339">
        <v>1.9036213067015E13</v>
      </c>
      <c r="G427" s="342"/>
      <c r="H427" s="342"/>
      <c r="I427" s="342"/>
      <c r="J427" s="342"/>
      <c r="K427" s="338"/>
      <c r="L427" s="338"/>
      <c r="M427" s="338"/>
      <c r="N427" s="338"/>
      <c r="O427" s="338"/>
      <c r="P427" s="338"/>
      <c r="Q427" s="338"/>
      <c r="R427" s="338"/>
      <c r="S427" s="338"/>
      <c r="T427" s="338"/>
      <c r="U427" s="338"/>
      <c r="V427" s="338"/>
      <c r="W427" s="338"/>
      <c r="X427" s="338"/>
      <c r="Y427" s="338"/>
      <c r="Z427" s="338"/>
      <c r="AA427" s="338"/>
    </row>
    <row r="428" ht="15.75" customHeight="1">
      <c r="A428" s="339">
        <v>427.0</v>
      </c>
      <c r="B428" s="339" t="s">
        <v>2183</v>
      </c>
      <c r="C428" s="339" t="s">
        <v>2184</v>
      </c>
      <c r="D428" s="339" t="s">
        <v>1754</v>
      </c>
      <c r="E428" s="339" t="s">
        <v>2185</v>
      </c>
      <c r="F428" s="339">
        <v>1.93256856E8</v>
      </c>
      <c r="G428" s="342"/>
      <c r="H428" s="342"/>
      <c r="I428" s="342"/>
      <c r="J428" s="342"/>
      <c r="K428" s="338"/>
      <c r="L428" s="338"/>
      <c r="M428" s="338"/>
      <c r="N428" s="338"/>
      <c r="O428" s="338"/>
      <c r="P428" s="338"/>
      <c r="Q428" s="338"/>
      <c r="R428" s="338"/>
      <c r="S428" s="338"/>
      <c r="T428" s="338"/>
      <c r="U428" s="338"/>
      <c r="V428" s="338"/>
      <c r="W428" s="338"/>
      <c r="X428" s="338"/>
      <c r="Y428" s="338"/>
      <c r="Z428" s="338"/>
      <c r="AA428" s="338"/>
    </row>
    <row r="429" ht="15.75" customHeight="1">
      <c r="A429" s="339">
        <v>428.0</v>
      </c>
      <c r="B429" s="339" t="s">
        <v>2186</v>
      </c>
      <c r="C429" s="339" t="s">
        <v>2187</v>
      </c>
      <c r="D429" s="339" t="s">
        <v>1934</v>
      </c>
      <c r="E429" s="339" t="s">
        <v>2188</v>
      </c>
      <c r="F429" s="339">
        <v>6.611000257868E13</v>
      </c>
      <c r="G429" s="342" t="s">
        <v>2189</v>
      </c>
      <c r="H429" s="342"/>
      <c r="I429" s="342"/>
      <c r="J429" s="342" t="s">
        <v>927</v>
      </c>
      <c r="K429" s="338"/>
      <c r="L429" s="338"/>
      <c r="M429" s="338"/>
      <c r="N429" s="338"/>
      <c r="O429" s="338"/>
      <c r="P429" s="338"/>
      <c r="Q429" s="338"/>
      <c r="R429" s="338"/>
      <c r="S429" s="338"/>
      <c r="T429" s="338"/>
      <c r="U429" s="338"/>
      <c r="V429" s="338"/>
      <c r="W429" s="338"/>
      <c r="X429" s="338"/>
      <c r="Y429" s="338"/>
      <c r="Z429" s="338"/>
      <c r="AA429" s="338"/>
    </row>
    <row r="430" ht="15.75" customHeight="1">
      <c r="A430" s="339">
        <v>429.0</v>
      </c>
      <c r="B430" s="339" t="s">
        <v>2190</v>
      </c>
      <c r="C430" s="340" t="s">
        <v>1690</v>
      </c>
      <c r="D430" s="339" t="s">
        <v>967</v>
      </c>
      <c r="E430" s="339" t="s">
        <v>2191</v>
      </c>
      <c r="F430" s="339">
        <v>1.903662436401E13</v>
      </c>
      <c r="G430" s="342"/>
      <c r="H430" s="342"/>
      <c r="I430" s="342"/>
      <c r="J430" s="342"/>
      <c r="K430" s="338"/>
      <c r="L430" s="338"/>
      <c r="M430" s="338"/>
      <c r="N430" s="338"/>
      <c r="O430" s="338"/>
      <c r="P430" s="338"/>
      <c r="Q430" s="338"/>
      <c r="R430" s="338"/>
      <c r="S430" s="338"/>
      <c r="T430" s="338"/>
      <c r="U430" s="338"/>
      <c r="V430" s="338"/>
      <c r="W430" s="338"/>
      <c r="X430" s="338"/>
      <c r="Y430" s="338"/>
      <c r="Z430" s="338"/>
      <c r="AA430" s="338"/>
    </row>
    <row r="431" ht="15.75" customHeight="1">
      <c r="A431" s="339">
        <v>430.0</v>
      </c>
      <c r="B431" s="339" t="s">
        <v>2192</v>
      </c>
      <c r="C431" s="339" t="s">
        <v>2193</v>
      </c>
      <c r="D431" s="339" t="s">
        <v>979</v>
      </c>
      <c r="E431" s="339" t="s">
        <v>2194</v>
      </c>
      <c r="F431" s="339">
        <v>9.68686502E8</v>
      </c>
      <c r="G431" s="342"/>
      <c r="H431" s="342"/>
      <c r="I431" s="342"/>
      <c r="J431" s="342"/>
      <c r="K431" s="338"/>
      <c r="L431" s="338"/>
      <c r="M431" s="338"/>
      <c r="N431" s="338"/>
      <c r="O431" s="338"/>
      <c r="P431" s="338"/>
      <c r="Q431" s="338"/>
      <c r="R431" s="338"/>
      <c r="S431" s="338"/>
      <c r="T431" s="338"/>
      <c r="U431" s="338"/>
      <c r="V431" s="338"/>
      <c r="W431" s="338"/>
      <c r="X431" s="338"/>
      <c r="Y431" s="338"/>
      <c r="Z431" s="338"/>
      <c r="AA431" s="338"/>
    </row>
    <row r="432" ht="15.75" customHeight="1">
      <c r="A432" s="339">
        <v>431.0</v>
      </c>
      <c r="B432" s="339" t="s">
        <v>2195</v>
      </c>
      <c r="C432" s="339" t="s">
        <v>2196</v>
      </c>
      <c r="D432" s="339" t="s">
        <v>1048</v>
      </c>
      <c r="E432" s="339" t="s">
        <v>1813</v>
      </c>
      <c r="F432" s="339">
        <v>3.901369576E9</v>
      </c>
      <c r="G432" s="342"/>
      <c r="H432" s="342"/>
      <c r="I432" s="342"/>
      <c r="J432" s="342"/>
      <c r="K432" s="338"/>
      <c r="L432" s="338"/>
      <c r="M432" s="338"/>
      <c r="N432" s="338"/>
      <c r="O432" s="338"/>
      <c r="P432" s="338"/>
      <c r="Q432" s="338"/>
      <c r="R432" s="338"/>
      <c r="S432" s="338"/>
      <c r="T432" s="338"/>
      <c r="U432" s="338"/>
      <c r="V432" s="338"/>
      <c r="W432" s="338"/>
      <c r="X432" s="338"/>
      <c r="Y432" s="338"/>
      <c r="Z432" s="338"/>
      <c r="AA432" s="338"/>
    </row>
    <row r="433" ht="15.75" customHeight="1">
      <c r="A433" s="339">
        <v>432.0</v>
      </c>
      <c r="B433" s="339" t="s">
        <v>2197</v>
      </c>
      <c r="C433" s="339" t="s">
        <v>2198</v>
      </c>
      <c r="D433" s="339" t="s">
        <v>1266</v>
      </c>
      <c r="E433" s="339" t="s">
        <v>2199</v>
      </c>
      <c r="F433" s="339">
        <v>3.70720528867E12</v>
      </c>
      <c r="G433" s="342"/>
      <c r="H433" s="342"/>
      <c r="I433" s="342"/>
      <c r="J433" s="342"/>
      <c r="K433" s="338"/>
      <c r="L433" s="338"/>
      <c r="M433" s="338"/>
      <c r="N433" s="338"/>
      <c r="O433" s="338"/>
      <c r="P433" s="338"/>
      <c r="Q433" s="338"/>
      <c r="R433" s="338"/>
      <c r="S433" s="338"/>
      <c r="T433" s="338"/>
      <c r="U433" s="338"/>
      <c r="V433" s="338"/>
      <c r="W433" s="338"/>
      <c r="X433" s="338"/>
      <c r="Y433" s="338"/>
      <c r="Z433" s="338"/>
      <c r="AA433" s="338"/>
    </row>
    <row r="434" ht="15.75" customHeight="1">
      <c r="A434" s="339">
        <v>433.0</v>
      </c>
      <c r="B434" s="339" t="s">
        <v>2200</v>
      </c>
      <c r="C434" s="339" t="s">
        <v>434</v>
      </c>
      <c r="D434" s="339" t="s">
        <v>2201</v>
      </c>
      <c r="E434" s="339" t="s">
        <v>2202</v>
      </c>
      <c r="F434" s="339">
        <v>3.873435801E9</v>
      </c>
      <c r="G434" s="342"/>
      <c r="H434" s="342"/>
      <c r="I434" s="342"/>
      <c r="J434" s="342"/>
      <c r="K434" s="338"/>
      <c r="L434" s="338"/>
      <c r="M434" s="338"/>
      <c r="N434" s="338"/>
      <c r="O434" s="338"/>
      <c r="P434" s="338"/>
      <c r="Q434" s="338"/>
      <c r="R434" s="338"/>
      <c r="S434" s="338"/>
      <c r="T434" s="338"/>
      <c r="U434" s="338"/>
      <c r="V434" s="338"/>
      <c r="W434" s="338"/>
      <c r="X434" s="338"/>
      <c r="Y434" s="338"/>
      <c r="Z434" s="338"/>
      <c r="AA434" s="338"/>
    </row>
    <row r="435" ht="15.75" customHeight="1">
      <c r="A435" s="339">
        <v>434.0</v>
      </c>
      <c r="B435" s="339" t="s">
        <v>2203</v>
      </c>
      <c r="C435" s="339" t="s">
        <v>2204</v>
      </c>
      <c r="D435" s="339" t="s">
        <v>1754</v>
      </c>
      <c r="E435" s="339" t="s">
        <v>2205</v>
      </c>
      <c r="F435" s="339">
        <v>1.9037097683011E13</v>
      </c>
      <c r="G435" s="342"/>
      <c r="H435" s="342"/>
      <c r="I435" s="342"/>
      <c r="J435" s="342"/>
      <c r="K435" s="338"/>
      <c r="L435" s="338"/>
      <c r="M435" s="338"/>
      <c r="N435" s="338"/>
      <c r="O435" s="338"/>
      <c r="P435" s="338"/>
      <c r="Q435" s="338"/>
      <c r="R435" s="338"/>
      <c r="S435" s="338"/>
      <c r="T435" s="338"/>
      <c r="U435" s="338"/>
      <c r="V435" s="338"/>
      <c r="W435" s="338"/>
      <c r="X435" s="338"/>
      <c r="Y435" s="338"/>
      <c r="Z435" s="338"/>
      <c r="AA435" s="338"/>
    </row>
    <row r="436" ht="15.75" customHeight="1">
      <c r="A436" s="339">
        <v>435.0</v>
      </c>
      <c r="B436" s="339" t="s">
        <v>2206</v>
      </c>
      <c r="C436" s="339" t="s">
        <v>2207</v>
      </c>
      <c r="D436" s="339" t="s">
        <v>1016</v>
      </c>
      <c r="E436" s="339" t="s">
        <v>2208</v>
      </c>
      <c r="F436" s="339">
        <v>3.34092554E8</v>
      </c>
      <c r="G436" s="342"/>
      <c r="H436" s="342"/>
      <c r="I436" s="342"/>
      <c r="J436" s="342"/>
      <c r="K436" s="338"/>
      <c r="L436" s="338"/>
      <c r="M436" s="338"/>
      <c r="N436" s="338"/>
      <c r="O436" s="338"/>
      <c r="P436" s="338"/>
      <c r="Q436" s="338"/>
      <c r="R436" s="338"/>
      <c r="S436" s="338"/>
      <c r="T436" s="338"/>
      <c r="U436" s="338"/>
      <c r="V436" s="338"/>
      <c r="W436" s="338"/>
      <c r="X436" s="338"/>
      <c r="Y436" s="338"/>
      <c r="Z436" s="338"/>
      <c r="AA436" s="338"/>
    </row>
    <row r="437" ht="15.75" customHeight="1">
      <c r="A437" s="339">
        <v>436.0</v>
      </c>
      <c r="B437" s="339" t="s">
        <v>2209</v>
      </c>
      <c r="C437" s="339" t="s">
        <v>2210</v>
      </c>
      <c r="D437" s="339" t="s">
        <v>1212</v>
      </c>
      <c r="E437" s="339" t="s">
        <v>2211</v>
      </c>
      <c r="F437" s="339">
        <v>1.180343086948E12</v>
      </c>
      <c r="G437" s="338" t="s">
        <v>2212</v>
      </c>
      <c r="H437" s="342"/>
      <c r="I437" s="342"/>
      <c r="J437" s="342" t="s">
        <v>1056</v>
      </c>
      <c r="K437" s="338"/>
      <c r="L437" s="338"/>
      <c r="M437" s="338"/>
      <c r="N437" s="338"/>
      <c r="O437" s="338"/>
      <c r="P437" s="338"/>
      <c r="Q437" s="338"/>
      <c r="R437" s="338"/>
      <c r="S437" s="338"/>
      <c r="T437" s="338"/>
      <c r="U437" s="338"/>
      <c r="V437" s="338"/>
      <c r="W437" s="338"/>
      <c r="X437" s="338"/>
      <c r="Y437" s="338"/>
      <c r="Z437" s="338"/>
      <c r="AA437" s="338"/>
    </row>
    <row r="438" ht="15.75" customHeight="1">
      <c r="A438" s="339">
        <v>437.0</v>
      </c>
      <c r="B438" s="339" t="s">
        <v>630</v>
      </c>
      <c r="C438" s="339" t="s">
        <v>631</v>
      </c>
      <c r="D438" s="339" t="s">
        <v>945</v>
      </c>
      <c r="E438" s="339" t="s">
        <v>635</v>
      </c>
      <c r="F438" s="339" t="s">
        <v>634</v>
      </c>
      <c r="G438" s="342" t="s">
        <v>2213</v>
      </c>
      <c r="H438" s="342"/>
      <c r="I438" s="342"/>
      <c r="J438" s="342" t="s">
        <v>927</v>
      </c>
      <c r="K438" s="338"/>
      <c r="L438" s="338"/>
      <c r="M438" s="338"/>
      <c r="N438" s="338"/>
      <c r="O438" s="338"/>
      <c r="P438" s="338"/>
      <c r="Q438" s="338"/>
      <c r="R438" s="338"/>
      <c r="S438" s="338"/>
      <c r="T438" s="338"/>
      <c r="U438" s="338"/>
      <c r="V438" s="338"/>
      <c r="W438" s="338"/>
      <c r="X438" s="338"/>
      <c r="Y438" s="338"/>
      <c r="Z438" s="338"/>
      <c r="AA438" s="338"/>
    </row>
    <row r="439" ht="15.75" customHeight="1">
      <c r="A439" s="339">
        <v>438.0</v>
      </c>
      <c r="B439" s="339" t="s">
        <v>2214</v>
      </c>
      <c r="C439" s="339" t="s">
        <v>2215</v>
      </c>
      <c r="D439" s="339" t="s">
        <v>1594</v>
      </c>
      <c r="E439" s="339" t="s">
        <v>2216</v>
      </c>
      <c r="F439" s="339">
        <v>9.72948321E8</v>
      </c>
      <c r="G439" s="342"/>
      <c r="H439" s="342"/>
      <c r="I439" s="342"/>
      <c r="J439" s="342"/>
      <c r="K439" s="338"/>
      <c r="L439" s="338"/>
      <c r="M439" s="338"/>
      <c r="N439" s="338"/>
      <c r="O439" s="338"/>
      <c r="P439" s="338"/>
      <c r="Q439" s="338"/>
      <c r="R439" s="338"/>
      <c r="S439" s="338"/>
      <c r="T439" s="338"/>
      <c r="U439" s="338"/>
      <c r="V439" s="338"/>
      <c r="W439" s="338"/>
      <c r="X439" s="338"/>
      <c r="Y439" s="338"/>
      <c r="Z439" s="338"/>
      <c r="AA439" s="338"/>
    </row>
    <row r="440" ht="15.75" customHeight="1">
      <c r="A440" s="339">
        <v>439.0</v>
      </c>
      <c r="B440" s="339" t="s">
        <v>2217</v>
      </c>
      <c r="C440" s="339" t="s">
        <v>2218</v>
      </c>
      <c r="D440" s="339" t="s">
        <v>2219</v>
      </c>
      <c r="E440" s="339" t="s">
        <v>2220</v>
      </c>
      <c r="F440" s="339">
        <v>8.21000178637E11</v>
      </c>
      <c r="G440" s="342"/>
      <c r="H440" s="342"/>
      <c r="I440" s="342"/>
      <c r="J440" s="342"/>
      <c r="K440" s="338"/>
      <c r="L440" s="338"/>
      <c r="M440" s="338"/>
      <c r="N440" s="338"/>
      <c r="O440" s="338"/>
      <c r="P440" s="338"/>
      <c r="Q440" s="338"/>
      <c r="R440" s="338"/>
      <c r="S440" s="338"/>
      <c r="T440" s="338"/>
      <c r="U440" s="338"/>
      <c r="V440" s="338"/>
      <c r="W440" s="338"/>
      <c r="X440" s="338"/>
      <c r="Y440" s="338"/>
      <c r="Z440" s="338"/>
      <c r="AA440" s="338"/>
    </row>
    <row r="441" ht="15.75" customHeight="1">
      <c r="A441" s="339">
        <v>440.0</v>
      </c>
      <c r="B441" s="339" t="s">
        <v>2221</v>
      </c>
      <c r="C441" s="339" t="s">
        <v>2222</v>
      </c>
      <c r="D441" s="339" t="s">
        <v>2223</v>
      </c>
      <c r="E441" s="339" t="s">
        <v>2224</v>
      </c>
      <c r="F441" s="339">
        <v>2.155356688E9</v>
      </c>
      <c r="G441" s="342"/>
      <c r="H441" s="342"/>
      <c r="I441" s="342"/>
      <c r="J441" s="342"/>
      <c r="K441" s="338"/>
      <c r="L441" s="338"/>
      <c r="M441" s="338"/>
      <c r="N441" s="338"/>
      <c r="O441" s="338"/>
      <c r="P441" s="338"/>
      <c r="Q441" s="338"/>
      <c r="R441" s="338"/>
      <c r="S441" s="338"/>
      <c r="T441" s="338"/>
      <c r="U441" s="338"/>
      <c r="V441" s="338"/>
      <c r="W441" s="338"/>
      <c r="X441" s="338"/>
      <c r="Y441" s="338"/>
      <c r="Z441" s="338"/>
      <c r="AA441" s="338"/>
    </row>
    <row r="442" ht="15.75" customHeight="1">
      <c r="A442" s="339">
        <v>441.0</v>
      </c>
      <c r="B442" s="339" t="s">
        <v>2225</v>
      </c>
      <c r="C442" s="339" t="s">
        <v>546</v>
      </c>
      <c r="D442" s="339" t="s">
        <v>1221</v>
      </c>
      <c r="E442" s="339" t="s">
        <v>2226</v>
      </c>
      <c r="F442" s="339">
        <v>3.9010000136315E13</v>
      </c>
      <c r="G442" s="342" t="s">
        <v>2227</v>
      </c>
      <c r="H442" s="342" t="s">
        <v>659</v>
      </c>
      <c r="I442" s="342"/>
      <c r="J442" s="342" t="s">
        <v>532</v>
      </c>
      <c r="K442" s="338"/>
      <c r="L442" s="338"/>
      <c r="M442" s="338"/>
      <c r="N442" s="338"/>
      <c r="O442" s="338"/>
      <c r="P442" s="338"/>
      <c r="Q442" s="338"/>
      <c r="R442" s="338"/>
      <c r="S442" s="338"/>
      <c r="T442" s="338"/>
      <c r="U442" s="338"/>
      <c r="V442" s="338"/>
      <c r="W442" s="338"/>
      <c r="X442" s="338"/>
      <c r="Y442" s="338"/>
      <c r="Z442" s="338"/>
      <c r="AA442" s="338"/>
    </row>
    <row r="443" ht="15.75" customHeight="1">
      <c r="A443" s="339">
        <v>442.0</v>
      </c>
      <c r="B443" s="339" t="s">
        <v>2228</v>
      </c>
      <c r="C443" s="340" t="s">
        <v>1208</v>
      </c>
      <c r="D443" s="339" t="s">
        <v>1067</v>
      </c>
      <c r="E443" s="339" t="s">
        <v>2229</v>
      </c>
      <c r="F443" s="339">
        <v>1.9033389562013E13</v>
      </c>
      <c r="G443" s="342" t="s">
        <v>2228</v>
      </c>
      <c r="H443" s="342"/>
      <c r="I443" s="342"/>
      <c r="J443" s="342" t="s">
        <v>1056</v>
      </c>
      <c r="K443" s="338"/>
      <c r="L443" s="338"/>
      <c r="M443" s="338"/>
      <c r="N443" s="338"/>
      <c r="O443" s="338"/>
      <c r="P443" s="338"/>
      <c r="Q443" s="338"/>
      <c r="R443" s="338"/>
      <c r="S443" s="338"/>
      <c r="T443" s="338"/>
      <c r="U443" s="338"/>
      <c r="V443" s="338"/>
      <c r="W443" s="338"/>
      <c r="X443" s="338"/>
      <c r="Y443" s="338"/>
      <c r="Z443" s="338"/>
      <c r="AA443" s="338"/>
    </row>
    <row r="444" ht="15.75" customHeight="1">
      <c r="A444" s="339">
        <v>443.0</v>
      </c>
      <c r="B444" s="339" t="s">
        <v>627</v>
      </c>
      <c r="C444" s="339" t="s">
        <v>473</v>
      </c>
      <c r="D444" s="339" t="s">
        <v>1002</v>
      </c>
      <c r="E444" s="339" t="s">
        <v>629</v>
      </c>
      <c r="F444" s="339">
        <v>3.987555777E9</v>
      </c>
      <c r="G444" s="342" t="s">
        <v>2230</v>
      </c>
      <c r="H444" s="342"/>
      <c r="I444" s="342"/>
      <c r="J444" s="342" t="s">
        <v>1056</v>
      </c>
      <c r="K444" s="338"/>
      <c r="L444" s="338"/>
      <c r="M444" s="338"/>
      <c r="N444" s="338"/>
      <c r="O444" s="338"/>
      <c r="P444" s="338"/>
      <c r="Q444" s="338"/>
      <c r="R444" s="338"/>
      <c r="S444" s="338"/>
      <c r="T444" s="338"/>
      <c r="U444" s="338"/>
      <c r="V444" s="338"/>
      <c r="W444" s="338"/>
      <c r="X444" s="338"/>
      <c r="Y444" s="338"/>
      <c r="Z444" s="338"/>
      <c r="AA444" s="338"/>
    </row>
    <row r="445" ht="15.75" customHeight="1">
      <c r="A445" s="339">
        <v>444.0</v>
      </c>
      <c r="B445" s="339" t="s">
        <v>2231</v>
      </c>
      <c r="C445" s="339" t="s">
        <v>492</v>
      </c>
      <c r="D445" s="339" t="s">
        <v>1203</v>
      </c>
      <c r="E445" s="339" t="s">
        <v>2232</v>
      </c>
      <c r="F445" s="339">
        <v>1.9023401019023E13</v>
      </c>
      <c r="G445" s="342"/>
      <c r="H445" s="342"/>
      <c r="I445" s="342"/>
      <c r="J445" s="342"/>
      <c r="K445" s="338"/>
      <c r="L445" s="338"/>
      <c r="M445" s="338"/>
      <c r="N445" s="338"/>
      <c r="O445" s="338"/>
      <c r="P445" s="338"/>
      <c r="Q445" s="338"/>
      <c r="R445" s="338"/>
      <c r="S445" s="338"/>
      <c r="T445" s="338"/>
      <c r="U445" s="338"/>
      <c r="V445" s="338"/>
      <c r="W445" s="338"/>
      <c r="X445" s="338"/>
      <c r="Y445" s="338"/>
      <c r="Z445" s="338"/>
      <c r="AA445" s="338"/>
    </row>
    <row r="446" ht="15.75" customHeight="1">
      <c r="A446" s="339">
        <v>445.0</v>
      </c>
      <c r="B446" s="339" t="s">
        <v>2233</v>
      </c>
      <c r="C446" s="339" t="s">
        <v>2234</v>
      </c>
      <c r="D446" s="339" t="s">
        <v>1152</v>
      </c>
      <c r="E446" s="339" t="s">
        <v>2235</v>
      </c>
      <c r="F446" s="339">
        <v>1.2310000576436E13</v>
      </c>
      <c r="G446" s="342"/>
      <c r="H446" s="342"/>
      <c r="I446" s="342"/>
      <c r="J446" s="342"/>
      <c r="K446" s="338"/>
      <c r="L446" s="338"/>
      <c r="M446" s="338"/>
      <c r="N446" s="338"/>
      <c r="O446" s="338"/>
      <c r="P446" s="338"/>
      <c r="Q446" s="338"/>
      <c r="R446" s="338"/>
      <c r="S446" s="338"/>
      <c r="T446" s="338"/>
      <c r="U446" s="338"/>
      <c r="V446" s="338"/>
      <c r="W446" s="338"/>
      <c r="X446" s="338"/>
      <c r="Y446" s="338"/>
      <c r="Z446" s="338"/>
      <c r="AA446" s="338"/>
    </row>
    <row r="447" ht="15.75" customHeight="1">
      <c r="A447" s="339">
        <v>446.0</v>
      </c>
      <c r="B447" s="339" t="s">
        <v>2236</v>
      </c>
      <c r="C447" s="339" t="s">
        <v>2237</v>
      </c>
      <c r="D447" s="339" t="s">
        <v>1099</v>
      </c>
      <c r="E447" s="339" t="s">
        <v>2238</v>
      </c>
      <c r="F447" s="339">
        <v>1.021644981E9</v>
      </c>
      <c r="G447" s="342"/>
      <c r="H447" s="342"/>
      <c r="I447" s="342"/>
      <c r="J447" s="342"/>
      <c r="K447" s="338"/>
      <c r="L447" s="338"/>
      <c r="M447" s="338"/>
      <c r="N447" s="338"/>
      <c r="O447" s="338"/>
      <c r="P447" s="338"/>
      <c r="Q447" s="338"/>
      <c r="R447" s="338"/>
      <c r="S447" s="338"/>
      <c r="T447" s="338"/>
      <c r="U447" s="338"/>
      <c r="V447" s="338"/>
      <c r="W447" s="338"/>
      <c r="X447" s="338"/>
      <c r="Y447" s="338"/>
      <c r="Z447" s="338"/>
      <c r="AA447" s="338"/>
    </row>
    <row r="448" ht="15.75" customHeight="1">
      <c r="A448" s="339">
        <v>447.0</v>
      </c>
      <c r="B448" s="339" t="s">
        <v>2239</v>
      </c>
      <c r="C448" s="339" t="s">
        <v>2240</v>
      </c>
      <c r="D448" s="339" t="s">
        <v>401</v>
      </c>
      <c r="E448" s="339" t="s">
        <v>2241</v>
      </c>
      <c r="F448" s="339">
        <v>5.90102661666E11</v>
      </c>
      <c r="G448" s="342" t="s">
        <v>2242</v>
      </c>
      <c r="H448" s="342"/>
      <c r="I448" s="342"/>
      <c r="J448" s="342" t="s">
        <v>927</v>
      </c>
      <c r="K448" s="338"/>
      <c r="L448" s="338"/>
      <c r="M448" s="338"/>
      <c r="N448" s="338"/>
      <c r="O448" s="338"/>
      <c r="P448" s="338"/>
      <c r="Q448" s="338"/>
      <c r="R448" s="338"/>
      <c r="S448" s="338"/>
      <c r="T448" s="338"/>
      <c r="U448" s="338"/>
      <c r="V448" s="338"/>
      <c r="W448" s="338"/>
      <c r="X448" s="338"/>
      <c r="Y448" s="338"/>
      <c r="Z448" s="338"/>
      <c r="AA448" s="338"/>
    </row>
    <row r="449" ht="15.75" customHeight="1">
      <c r="A449" s="339">
        <v>448.0</v>
      </c>
      <c r="B449" s="339" t="s">
        <v>2243</v>
      </c>
      <c r="C449" s="339" t="s">
        <v>2244</v>
      </c>
      <c r="D449" s="339" t="s">
        <v>1228</v>
      </c>
      <c r="E449" s="339" t="s">
        <v>2245</v>
      </c>
      <c r="F449" s="339">
        <v>3.4110000879551E13</v>
      </c>
      <c r="G449" s="342" t="s">
        <v>2246</v>
      </c>
      <c r="H449" s="342" t="s">
        <v>659</v>
      </c>
      <c r="I449" s="342">
        <v>3.410879551E9</v>
      </c>
      <c r="J449" s="342" t="s">
        <v>532</v>
      </c>
      <c r="K449" s="338"/>
      <c r="L449" s="338"/>
      <c r="M449" s="338"/>
      <c r="N449" s="338"/>
      <c r="O449" s="338"/>
      <c r="P449" s="338"/>
      <c r="Q449" s="338"/>
      <c r="R449" s="338"/>
      <c r="S449" s="338"/>
      <c r="T449" s="338"/>
      <c r="U449" s="338"/>
      <c r="V449" s="338"/>
      <c r="W449" s="338"/>
      <c r="X449" s="338"/>
      <c r="Y449" s="338"/>
      <c r="Z449" s="338"/>
      <c r="AA449" s="338"/>
    </row>
    <row r="450" ht="15.75" customHeight="1">
      <c r="A450" s="339">
        <v>449.0</v>
      </c>
      <c r="B450" s="339" t="s">
        <v>2247</v>
      </c>
      <c r="C450" s="339" t="s">
        <v>2248</v>
      </c>
      <c r="D450" s="339" t="s">
        <v>1024</v>
      </c>
      <c r="E450" s="339" t="s">
        <v>2249</v>
      </c>
      <c r="F450" s="339">
        <v>2.9409007E7</v>
      </c>
      <c r="G450" s="342"/>
      <c r="H450" s="342"/>
      <c r="I450" s="342"/>
      <c r="J450" s="342"/>
      <c r="K450" s="338"/>
      <c r="L450" s="338"/>
      <c r="M450" s="338"/>
      <c r="N450" s="338"/>
      <c r="O450" s="338"/>
      <c r="P450" s="338"/>
      <c r="Q450" s="338"/>
      <c r="R450" s="338"/>
      <c r="S450" s="338"/>
      <c r="T450" s="338"/>
      <c r="U450" s="338"/>
      <c r="V450" s="338"/>
      <c r="W450" s="338"/>
      <c r="X450" s="338"/>
      <c r="Y450" s="338"/>
      <c r="Z450" s="338"/>
      <c r="AA450" s="338"/>
    </row>
    <row r="451" ht="15.75" customHeight="1">
      <c r="A451" s="339">
        <v>450.0</v>
      </c>
      <c r="B451" s="339" t="s">
        <v>2250</v>
      </c>
      <c r="C451" s="339" t="s">
        <v>2251</v>
      </c>
      <c r="D451" s="339" t="s">
        <v>1859</v>
      </c>
      <c r="E451" s="339" t="s">
        <v>2252</v>
      </c>
      <c r="F451" s="339">
        <v>8.500215008386E12</v>
      </c>
      <c r="G451" s="342"/>
      <c r="H451" s="342"/>
      <c r="I451" s="342"/>
      <c r="J451" s="342"/>
      <c r="K451" s="338"/>
      <c r="L451" s="338"/>
      <c r="M451" s="338"/>
      <c r="N451" s="338"/>
      <c r="O451" s="338"/>
      <c r="P451" s="338"/>
      <c r="Q451" s="338"/>
      <c r="R451" s="338"/>
      <c r="S451" s="338"/>
      <c r="T451" s="338"/>
      <c r="U451" s="338"/>
      <c r="V451" s="338"/>
      <c r="W451" s="338"/>
      <c r="X451" s="338"/>
      <c r="Y451" s="338"/>
      <c r="Z451" s="338"/>
      <c r="AA451" s="338"/>
    </row>
    <row r="452" ht="15.75" customHeight="1">
      <c r="A452" s="339">
        <v>451.0</v>
      </c>
      <c r="B452" s="339" t="s">
        <v>2253</v>
      </c>
      <c r="C452" s="339" t="s">
        <v>2254</v>
      </c>
      <c r="D452" s="339" t="s">
        <v>1915</v>
      </c>
      <c r="E452" s="339" t="s">
        <v>2255</v>
      </c>
      <c r="F452" s="339">
        <v>1.01000300456E11</v>
      </c>
      <c r="G452" s="342"/>
      <c r="H452" s="342"/>
      <c r="I452" s="342"/>
      <c r="J452" s="342"/>
      <c r="K452" s="338"/>
      <c r="L452" s="338"/>
      <c r="M452" s="338"/>
      <c r="N452" s="338"/>
      <c r="O452" s="338"/>
      <c r="P452" s="338"/>
      <c r="Q452" s="338"/>
      <c r="R452" s="338"/>
      <c r="S452" s="338"/>
      <c r="T452" s="338"/>
      <c r="U452" s="338"/>
      <c r="V452" s="338"/>
      <c r="W452" s="338"/>
      <c r="X452" s="338"/>
      <c r="Y452" s="338"/>
      <c r="Z452" s="338"/>
      <c r="AA452" s="338"/>
    </row>
    <row r="453" ht="15.75" customHeight="1">
      <c r="A453" s="339">
        <v>452.0</v>
      </c>
      <c r="B453" s="339" t="s">
        <v>2256</v>
      </c>
      <c r="C453" s="339" t="s">
        <v>2257</v>
      </c>
      <c r="D453" s="339" t="s">
        <v>1082</v>
      </c>
      <c r="E453" s="339" t="s">
        <v>2258</v>
      </c>
      <c r="F453" s="339">
        <v>1.01004512874E11</v>
      </c>
      <c r="G453" s="353" t="s">
        <v>2259</v>
      </c>
      <c r="H453" s="354"/>
      <c r="I453" s="342"/>
      <c r="J453" s="342" t="s">
        <v>927</v>
      </c>
      <c r="K453" s="338"/>
      <c r="L453" s="338"/>
      <c r="M453" s="338"/>
      <c r="N453" s="338"/>
      <c r="O453" s="338"/>
      <c r="P453" s="338"/>
      <c r="Q453" s="338"/>
      <c r="R453" s="338"/>
      <c r="S453" s="338"/>
      <c r="T453" s="338"/>
      <c r="U453" s="338"/>
      <c r="V453" s="338"/>
      <c r="W453" s="338"/>
      <c r="X453" s="338"/>
      <c r="Y453" s="338"/>
      <c r="Z453" s="338"/>
      <c r="AA453" s="338"/>
    </row>
    <row r="454" ht="15.75" customHeight="1">
      <c r="A454" s="339">
        <v>453.0</v>
      </c>
      <c r="B454" s="339" t="s">
        <v>780</v>
      </c>
      <c r="C454" s="339" t="s">
        <v>781</v>
      </c>
      <c r="D454" s="339" t="s">
        <v>976</v>
      </c>
      <c r="E454" s="339" t="s">
        <v>783</v>
      </c>
      <c r="F454" s="339">
        <v>1.9033316102014E13</v>
      </c>
      <c r="G454" s="342"/>
      <c r="H454" s="342"/>
      <c r="I454" s="342"/>
      <c r="J454" s="342"/>
      <c r="K454" s="338"/>
      <c r="L454" s="338"/>
      <c r="M454" s="338"/>
      <c r="N454" s="338"/>
      <c r="O454" s="338"/>
      <c r="P454" s="338"/>
      <c r="Q454" s="338"/>
      <c r="R454" s="338"/>
      <c r="S454" s="338"/>
      <c r="T454" s="338"/>
      <c r="U454" s="338"/>
      <c r="V454" s="338"/>
      <c r="W454" s="338"/>
      <c r="X454" s="338"/>
      <c r="Y454" s="338"/>
      <c r="Z454" s="338"/>
      <c r="AA454" s="338"/>
    </row>
    <row r="455" ht="15.75" customHeight="1">
      <c r="A455" s="339">
        <v>454.0</v>
      </c>
      <c r="B455" s="339" t="s">
        <v>645</v>
      </c>
      <c r="C455" s="339" t="s">
        <v>646</v>
      </c>
      <c r="D455" s="339" t="s">
        <v>1027</v>
      </c>
      <c r="E455" s="339" t="s">
        <v>648</v>
      </c>
      <c r="F455" s="339">
        <v>8.500215024694E12</v>
      </c>
      <c r="G455" s="342"/>
      <c r="H455" s="342"/>
      <c r="I455" s="342"/>
      <c r="J455" s="342"/>
      <c r="K455" s="338"/>
      <c r="L455" s="338"/>
      <c r="M455" s="338"/>
      <c r="N455" s="338"/>
      <c r="O455" s="338"/>
      <c r="P455" s="338"/>
      <c r="Q455" s="338"/>
      <c r="R455" s="338"/>
      <c r="S455" s="338"/>
      <c r="T455" s="338"/>
      <c r="U455" s="338"/>
      <c r="V455" s="338"/>
      <c r="W455" s="338"/>
      <c r="X455" s="338"/>
      <c r="Y455" s="338"/>
      <c r="Z455" s="338"/>
      <c r="AA455" s="338"/>
    </row>
    <row r="456" ht="15.75" customHeight="1">
      <c r="A456" s="339">
        <v>455.0</v>
      </c>
      <c r="B456" s="339" t="s">
        <v>2260</v>
      </c>
      <c r="C456" s="340" t="s">
        <v>358</v>
      </c>
      <c r="D456" s="339" t="s">
        <v>937</v>
      </c>
      <c r="E456" s="339" t="s">
        <v>2261</v>
      </c>
      <c r="F456" s="339">
        <v>1.9033709352012E13</v>
      </c>
      <c r="G456" s="342"/>
      <c r="H456" s="342"/>
      <c r="I456" s="342"/>
      <c r="J456" s="342"/>
      <c r="K456" s="338"/>
      <c r="L456" s="338"/>
      <c r="M456" s="338"/>
      <c r="N456" s="338"/>
      <c r="O456" s="338"/>
      <c r="P456" s="338"/>
      <c r="Q456" s="338"/>
      <c r="R456" s="338"/>
      <c r="S456" s="338"/>
      <c r="T456" s="338"/>
      <c r="U456" s="338"/>
      <c r="V456" s="338"/>
      <c r="W456" s="338"/>
      <c r="X456" s="338"/>
      <c r="Y456" s="338"/>
      <c r="Z456" s="338"/>
      <c r="AA456" s="338"/>
    </row>
    <row r="457" ht="15.75" customHeight="1">
      <c r="A457" s="339">
        <v>456.0</v>
      </c>
      <c r="B457" s="339" t="s">
        <v>2262</v>
      </c>
      <c r="C457" s="339" t="s">
        <v>2263</v>
      </c>
      <c r="D457" s="339" t="s">
        <v>1427</v>
      </c>
      <c r="E457" s="339" t="s">
        <v>2264</v>
      </c>
      <c r="F457" s="339">
        <v>2508861.0</v>
      </c>
      <c r="G457" s="342"/>
      <c r="H457" s="342"/>
      <c r="I457" s="342"/>
      <c r="J457" s="342"/>
      <c r="K457" s="338"/>
      <c r="L457" s="338"/>
      <c r="M457" s="338"/>
      <c r="N457" s="338"/>
      <c r="O457" s="338"/>
      <c r="P457" s="338"/>
      <c r="Q457" s="338"/>
      <c r="R457" s="338"/>
      <c r="S457" s="338"/>
      <c r="T457" s="338"/>
      <c r="U457" s="338"/>
      <c r="V457" s="338"/>
      <c r="W457" s="338"/>
      <c r="X457" s="338"/>
      <c r="Y457" s="338"/>
      <c r="Z457" s="338"/>
      <c r="AA457" s="338"/>
    </row>
    <row r="458" ht="15.75" customHeight="1">
      <c r="A458" s="339">
        <v>457.0</v>
      </c>
      <c r="B458" s="339" t="s">
        <v>2265</v>
      </c>
      <c r="C458" s="339" t="s">
        <v>2266</v>
      </c>
      <c r="D458" s="339" t="s">
        <v>923</v>
      </c>
      <c r="E458" s="339" t="s">
        <v>2267</v>
      </c>
      <c r="F458" s="339">
        <v>2.152832815E9</v>
      </c>
      <c r="G458" s="342"/>
      <c r="H458" s="342"/>
      <c r="I458" s="342"/>
      <c r="J458" s="342"/>
      <c r="K458" s="338"/>
      <c r="L458" s="338"/>
      <c r="M458" s="338"/>
      <c r="N458" s="338"/>
      <c r="O458" s="338"/>
      <c r="P458" s="338"/>
      <c r="Q458" s="338"/>
      <c r="R458" s="338"/>
      <c r="S458" s="338"/>
      <c r="T458" s="338"/>
      <c r="U458" s="338"/>
      <c r="V458" s="338"/>
      <c r="W458" s="338"/>
      <c r="X458" s="338"/>
      <c r="Y458" s="338"/>
      <c r="Z458" s="338"/>
      <c r="AA458" s="338"/>
    </row>
    <row r="459" ht="15.75" customHeight="1">
      <c r="A459" s="339">
        <v>458.0</v>
      </c>
      <c r="B459" s="339" t="s">
        <v>2268</v>
      </c>
      <c r="C459" s="339" t="s">
        <v>797</v>
      </c>
      <c r="D459" s="339" t="s">
        <v>1983</v>
      </c>
      <c r="E459" s="339" t="s">
        <v>799</v>
      </c>
      <c r="F459" s="339">
        <v>9.42160786E8</v>
      </c>
      <c r="G459" s="342" t="s">
        <v>796</v>
      </c>
      <c r="H459" s="342"/>
      <c r="I459" s="342"/>
      <c r="J459" s="342" t="s">
        <v>927</v>
      </c>
      <c r="K459" s="338"/>
      <c r="L459" s="338"/>
      <c r="M459" s="338"/>
      <c r="N459" s="338"/>
      <c r="O459" s="338"/>
      <c r="P459" s="338"/>
      <c r="Q459" s="338"/>
      <c r="R459" s="338"/>
      <c r="S459" s="338"/>
      <c r="T459" s="338"/>
      <c r="U459" s="338"/>
      <c r="V459" s="338"/>
      <c r="W459" s="338"/>
      <c r="X459" s="338"/>
      <c r="Y459" s="338"/>
      <c r="Z459" s="338"/>
      <c r="AA459" s="338"/>
    </row>
    <row r="460" ht="15.75" customHeight="1">
      <c r="A460" s="339">
        <v>459.0</v>
      </c>
      <c r="B460" s="339" t="s">
        <v>2269</v>
      </c>
      <c r="C460" s="339" t="s">
        <v>2270</v>
      </c>
      <c r="D460" s="339" t="s">
        <v>2271</v>
      </c>
      <c r="E460" s="339" t="s">
        <v>2272</v>
      </c>
      <c r="F460" s="339">
        <v>8.66981898E8</v>
      </c>
      <c r="G460" s="342" t="s">
        <v>2273</v>
      </c>
      <c r="H460" s="342"/>
      <c r="I460" s="342"/>
      <c r="J460" s="342" t="s">
        <v>927</v>
      </c>
      <c r="K460" s="338"/>
      <c r="L460" s="338"/>
      <c r="M460" s="338"/>
      <c r="N460" s="338"/>
      <c r="O460" s="338"/>
      <c r="P460" s="338"/>
      <c r="Q460" s="338"/>
      <c r="R460" s="338"/>
      <c r="S460" s="338"/>
      <c r="T460" s="338"/>
      <c r="U460" s="338"/>
      <c r="V460" s="338"/>
      <c r="W460" s="338"/>
      <c r="X460" s="338"/>
      <c r="Y460" s="338"/>
      <c r="Z460" s="338"/>
      <c r="AA460" s="338"/>
    </row>
    <row r="461" ht="15.75" customHeight="1">
      <c r="A461" s="339">
        <v>460.0</v>
      </c>
      <c r="B461" s="339" t="s">
        <v>2274</v>
      </c>
      <c r="C461" s="339" t="s">
        <v>2275</v>
      </c>
      <c r="D461" s="339" t="s">
        <v>973</v>
      </c>
      <c r="E461" s="339" t="s">
        <v>2276</v>
      </c>
      <c r="F461" s="339">
        <v>1.9021802156012E13</v>
      </c>
      <c r="G461" s="355" t="s">
        <v>2277</v>
      </c>
      <c r="H461" s="342"/>
      <c r="I461" s="342"/>
      <c r="J461" s="342" t="s">
        <v>927</v>
      </c>
      <c r="K461" s="338"/>
      <c r="L461" s="338"/>
      <c r="M461" s="338"/>
      <c r="N461" s="338"/>
      <c r="O461" s="338"/>
      <c r="P461" s="338"/>
      <c r="Q461" s="338"/>
      <c r="R461" s="338"/>
      <c r="S461" s="338"/>
      <c r="T461" s="338"/>
      <c r="U461" s="338"/>
      <c r="V461" s="338"/>
      <c r="W461" s="338"/>
      <c r="X461" s="338"/>
      <c r="Y461" s="338"/>
      <c r="Z461" s="338"/>
      <c r="AA461" s="338"/>
    </row>
    <row r="462" ht="15.75" customHeight="1">
      <c r="A462" s="339">
        <v>461.0</v>
      </c>
      <c r="B462" s="339" t="s">
        <v>2278</v>
      </c>
      <c r="C462" s="339" t="s">
        <v>2279</v>
      </c>
      <c r="D462" s="339" t="s">
        <v>1594</v>
      </c>
      <c r="E462" s="339" t="s">
        <v>2280</v>
      </c>
      <c r="F462" s="339">
        <v>9.386684456E9</v>
      </c>
      <c r="G462" s="342"/>
      <c r="H462" s="342"/>
      <c r="I462" s="342"/>
      <c r="J462" s="342"/>
      <c r="K462" s="338"/>
      <c r="L462" s="338"/>
      <c r="M462" s="338"/>
      <c r="N462" s="338"/>
      <c r="O462" s="338"/>
      <c r="P462" s="338"/>
      <c r="Q462" s="338"/>
      <c r="R462" s="338"/>
      <c r="S462" s="338"/>
      <c r="T462" s="338"/>
      <c r="U462" s="338"/>
      <c r="V462" s="338"/>
      <c r="W462" s="338"/>
      <c r="X462" s="338"/>
      <c r="Y462" s="338"/>
      <c r="Z462" s="338"/>
      <c r="AA462" s="338"/>
    </row>
    <row r="463" ht="15.75" customHeight="1">
      <c r="A463" s="339">
        <v>462.0</v>
      </c>
      <c r="B463" s="339" t="s">
        <v>2281</v>
      </c>
      <c r="C463" s="339" t="s">
        <v>2282</v>
      </c>
      <c r="D463" s="339" t="s">
        <v>1099</v>
      </c>
      <c r="E463" s="339" t="s">
        <v>2283</v>
      </c>
      <c r="F463" s="339">
        <v>1.05004044829E11</v>
      </c>
      <c r="G463" s="342"/>
      <c r="H463" s="342"/>
      <c r="I463" s="342"/>
      <c r="J463" s="342"/>
      <c r="K463" s="338"/>
      <c r="L463" s="338"/>
      <c r="M463" s="338"/>
      <c r="N463" s="338"/>
      <c r="O463" s="338"/>
      <c r="P463" s="338"/>
      <c r="Q463" s="338"/>
      <c r="R463" s="338"/>
      <c r="S463" s="338"/>
      <c r="T463" s="338"/>
      <c r="U463" s="338"/>
      <c r="V463" s="338"/>
      <c r="W463" s="338"/>
      <c r="X463" s="338"/>
      <c r="Y463" s="338"/>
      <c r="Z463" s="338"/>
      <c r="AA463" s="338"/>
    </row>
    <row r="464" ht="15.75" customHeight="1">
      <c r="A464" s="339">
        <v>463.0</v>
      </c>
      <c r="B464" s="339" t="s">
        <v>2284</v>
      </c>
      <c r="C464" s="339" t="s">
        <v>2285</v>
      </c>
      <c r="D464" s="339" t="s">
        <v>1203</v>
      </c>
      <c r="E464" s="339" t="s">
        <v>2286</v>
      </c>
      <c r="F464" s="339">
        <v>3.900628706E9</v>
      </c>
      <c r="G464" s="342"/>
      <c r="H464" s="342"/>
      <c r="I464" s="342"/>
      <c r="J464" s="342"/>
      <c r="K464" s="338"/>
      <c r="L464" s="338"/>
      <c r="M464" s="338"/>
      <c r="N464" s="338"/>
      <c r="O464" s="338"/>
      <c r="P464" s="338"/>
      <c r="Q464" s="338"/>
      <c r="R464" s="338"/>
      <c r="S464" s="338"/>
      <c r="T464" s="338"/>
      <c r="U464" s="338"/>
      <c r="V464" s="338"/>
      <c r="W464" s="338"/>
      <c r="X464" s="338"/>
      <c r="Y464" s="338"/>
      <c r="Z464" s="338"/>
      <c r="AA464" s="338"/>
    </row>
    <row r="465" ht="15.75" customHeight="1">
      <c r="A465" s="339">
        <v>464.0</v>
      </c>
      <c r="B465" s="339" t="s">
        <v>2287</v>
      </c>
      <c r="C465" s="340" t="s">
        <v>2288</v>
      </c>
      <c r="D465" s="339" t="s">
        <v>1008</v>
      </c>
      <c r="E465" s="339" t="s">
        <v>663</v>
      </c>
      <c r="F465" s="339">
        <v>1.07875100652E11</v>
      </c>
      <c r="G465" s="342"/>
      <c r="H465" s="342"/>
      <c r="I465" s="342"/>
      <c r="J465" s="342"/>
      <c r="K465" s="338"/>
      <c r="L465" s="338"/>
      <c r="M465" s="338"/>
      <c r="N465" s="338"/>
      <c r="O465" s="338"/>
      <c r="P465" s="338"/>
      <c r="Q465" s="338"/>
      <c r="R465" s="338"/>
      <c r="S465" s="338"/>
      <c r="T465" s="338"/>
      <c r="U465" s="338"/>
      <c r="V465" s="338"/>
      <c r="W465" s="338"/>
      <c r="X465" s="338"/>
      <c r="Y465" s="338"/>
      <c r="Z465" s="338"/>
      <c r="AA465" s="338"/>
    </row>
    <row r="466" ht="15.75" customHeight="1">
      <c r="A466" s="339">
        <v>465.0</v>
      </c>
      <c r="B466" s="339" t="s">
        <v>2289</v>
      </c>
      <c r="C466" s="339" t="s">
        <v>551</v>
      </c>
      <c r="D466" s="339" t="s">
        <v>1099</v>
      </c>
      <c r="E466" s="339" t="s">
        <v>2290</v>
      </c>
      <c r="F466" s="339">
        <v>3.988580888E9</v>
      </c>
      <c r="G466" s="342"/>
      <c r="H466" s="342"/>
      <c r="I466" s="342"/>
      <c r="J466" s="342"/>
      <c r="K466" s="338"/>
      <c r="L466" s="338"/>
      <c r="M466" s="338"/>
      <c r="N466" s="338"/>
      <c r="O466" s="338"/>
      <c r="P466" s="338"/>
      <c r="Q466" s="338"/>
      <c r="R466" s="338"/>
      <c r="S466" s="338"/>
      <c r="T466" s="338"/>
      <c r="U466" s="338"/>
      <c r="V466" s="338"/>
      <c r="W466" s="338"/>
      <c r="X466" s="338"/>
      <c r="Y466" s="338"/>
      <c r="Z466" s="338"/>
      <c r="AA466" s="338"/>
    </row>
    <row r="467" ht="15.75" customHeight="1">
      <c r="A467" s="339">
        <v>466.0</v>
      </c>
      <c r="B467" s="339" t="s">
        <v>749</v>
      </c>
      <c r="C467" s="339" t="s">
        <v>750</v>
      </c>
      <c r="D467" s="339" t="s">
        <v>1300</v>
      </c>
      <c r="E467" s="339" t="s">
        <v>753</v>
      </c>
      <c r="F467" s="339">
        <v>8.500215007217E12</v>
      </c>
      <c r="G467" s="342"/>
      <c r="H467" s="342"/>
      <c r="I467" s="342"/>
      <c r="J467" s="342"/>
      <c r="K467" s="338"/>
      <c r="L467" s="338"/>
      <c r="M467" s="338"/>
      <c r="N467" s="338"/>
      <c r="O467" s="338"/>
      <c r="P467" s="338"/>
      <c r="Q467" s="338"/>
      <c r="R467" s="338"/>
      <c r="S467" s="338"/>
      <c r="T467" s="338"/>
      <c r="U467" s="338"/>
      <c r="V467" s="338"/>
      <c r="W467" s="338"/>
      <c r="X467" s="338"/>
      <c r="Y467" s="338"/>
      <c r="Z467" s="338"/>
      <c r="AA467" s="338"/>
    </row>
    <row r="468" ht="15.75" customHeight="1">
      <c r="A468" s="339">
        <v>467.0</v>
      </c>
      <c r="B468" s="339" t="s">
        <v>2291</v>
      </c>
      <c r="C468" s="339" t="s">
        <v>2292</v>
      </c>
      <c r="D468" s="339" t="s">
        <v>1228</v>
      </c>
      <c r="E468" s="339" t="s">
        <v>2293</v>
      </c>
      <c r="F468" s="339">
        <v>9.14231175E8</v>
      </c>
      <c r="G468" s="342"/>
      <c r="H468" s="342"/>
      <c r="I468" s="342"/>
      <c r="J468" s="342"/>
      <c r="K468" s="338"/>
      <c r="L468" s="338"/>
      <c r="M468" s="338"/>
      <c r="N468" s="338"/>
      <c r="O468" s="338"/>
      <c r="P468" s="338"/>
      <c r="Q468" s="338"/>
      <c r="R468" s="338"/>
      <c r="S468" s="338"/>
      <c r="T468" s="338"/>
      <c r="U468" s="338"/>
      <c r="V468" s="338"/>
      <c r="W468" s="338"/>
      <c r="X468" s="338"/>
      <c r="Y468" s="338"/>
      <c r="Z468" s="338"/>
      <c r="AA468" s="338"/>
    </row>
    <row r="469" ht="15.75" customHeight="1">
      <c r="A469" s="339">
        <v>468.0</v>
      </c>
      <c r="B469" s="339" t="s">
        <v>2294</v>
      </c>
      <c r="C469" s="339" t="s">
        <v>2295</v>
      </c>
      <c r="D469" s="339" t="s">
        <v>1527</v>
      </c>
      <c r="E469" s="339" t="s">
        <v>2296</v>
      </c>
      <c r="F469" s="339">
        <v>1.9071943136012E13</v>
      </c>
      <c r="G469" s="342" t="s">
        <v>2297</v>
      </c>
      <c r="H469" s="342"/>
      <c r="I469" s="342"/>
      <c r="J469" s="342" t="s">
        <v>927</v>
      </c>
      <c r="K469" s="338"/>
      <c r="L469" s="338"/>
      <c r="M469" s="338"/>
      <c r="N469" s="338"/>
      <c r="O469" s="338"/>
      <c r="P469" s="338"/>
      <c r="Q469" s="338"/>
      <c r="R469" s="338"/>
      <c r="S469" s="338"/>
      <c r="T469" s="338"/>
      <c r="U469" s="338"/>
      <c r="V469" s="338"/>
      <c r="W469" s="338"/>
      <c r="X469" s="338"/>
      <c r="Y469" s="338"/>
      <c r="Z469" s="338"/>
      <c r="AA469" s="338"/>
    </row>
    <row r="470" ht="15.75" customHeight="1">
      <c r="A470" s="339">
        <v>469.0</v>
      </c>
      <c r="B470" s="339" t="s">
        <v>2298</v>
      </c>
      <c r="C470" s="339" t="s">
        <v>2299</v>
      </c>
      <c r="D470" s="339" t="s">
        <v>964</v>
      </c>
      <c r="E470" s="339" t="s">
        <v>2300</v>
      </c>
      <c r="F470" s="339">
        <v>8.300132135005E12</v>
      </c>
      <c r="G470" s="342"/>
      <c r="H470" s="342"/>
      <c r="I470" s="342"/>
      <c r="J470" s="342"/>
      <c r="K470" s="338"/>
      <c r="L470" s="338"/>
      <c r="M470" s="338"/>
      <c r="N470" s="338"/>
      <c r="O470" s="338"/>
      <c r="P470" s="338"/>
      <c r="Q470" s="338"/>
      <c r="R470" s="338"/>
      <c r="S470" s="338"/>
      <c r="T470" s="338"/>
      <c r="U470" s="338"/>
      <c r="V470" s="338"/>
      <c r="W470" s="338"/>
      <c r="X470" s="338"/>
      <c r="Y470" s="338"/>
      <c r="Z470" s="338"/>
      <c r="AA470" s="338"/>
    </row>
    <row r="471" ht="15.75" customHeight="1">
      <c r="A471" s="339">
        <v>470.0</v>
      </c>
      <c r="B471" s="339" t="s">
        <v>2301</v>
      </c>
      <c r="C471" s="339" t="s">
        <v>532</v>
      </c>
      <c r="D471" s="339" t="s">
        <v>1022</v>
      </c>
      <c r="E471" s="339" t="s">
        <v>2302</v>
      </c>
      <c r="F471" s="339">
        <v>1.012439277E9</v>
      </c>
      <c r="G471" s="342"/>
      <c r="H471" s="342"/>
      <c r="I471" s="342"/>
      <c r="J471" s="342"/>
      <c r="K471" s="338"/>
      <c r="L471" s="338"/>
      <c r="M471" s="338"/>
      <c r="N471" s="338"/>
      <c r="O471" s="338"/>
      <c r="P471" s="338"/>
      <c r="Q471" s="338"/>
      <c r="R471" s="338"/>
      <c r="S471" s="338"/>
      <c r="T471" s="338"/>
      <c r="U471" s="338"/>
      <c r="V471" s="338"/>
      <c r="W471" s="338"/>
      <c r="X471" s="338"/>
      <c r="Y471" s="338"/>
      <c r="Z471" s="338"/>
      <c r="AA471" s="338"/>
    </row>
    <row r="472" ht="15.75" customHeight="1">
      <c r="A472" s="339">
        <v>471.0</v>
      </c>
      <c r="B472" s="339" t="s">
        <v>2303</v>
      </c>
      <c r="C472" s="339" t="s">
        <v>2304</v>
      </c>
      <c r="D472" s="339" t="s">
        <v>2305</v>
      </c>
      <c r="E472" s="339" t="s">
        <v>1988</v>
      </c>
      <c r="F472" s="339">
        <v>9.67790151E8</v>
      </c>
      <c r="G472" s="342"/>
      <c r="H472" s="342"/>
      <c r="I472" s="342"/>
      <c r="J472" s="342"/>
      <c r="K472" s="338"/>
      <c r="L472" s="338"/>
      <c r="M472" s="338"/>
      <c r="N472" s="338"/>
      <c r="O472" s="338"/>
      <c r="P472" s="338"/>
      <c r="Q472" s="338"/>
      <c r="R472" s="338"/>
      <c r="S472" s="338"/>
      <c r="T472" s="338"/>
      <c r="U472" s="338"/>
      <c r="V472" s="338"/>
      <c r="W472" s="338"/>
      <c r="X472" s="338"/>
      <c r="Y472" s="338"/>
      <c r="Z472" s="338"/>
      <c r="AA472" s="338"/>
    </row>
    <row r="473" ht="15.75" customHeight="1">
      <c r="A473" s="339">
        <v>472.0</v>
      </c>
      <c r="B473" s="339" t="s">
        <v>2306</v>
      </c>
      <c r="C473" s="339" t="s">
        <v>2307</v>
      </c>
      <c r="D473" s="339" t="s">
        <v>976</v>
      </c>
      <c r="E473" s="339" t="s">
        <v>2308</v>
      </c>
      <c r="F473" s="339">
        <v>1.2210000655046E13</v>
      </c>
      <c r="G473" s="342"/>
      <c r="H473" s="342"/>
      <c r="I473" s="342"/>
      <c r="J473" s="342"/>
      <c r="K473" s="338"/>
      <c r="L473" s="338"/>
      <c r="M473" s="338"/>
      <c r="N473" s="338"/>
      <c r="O473" s="338"/>
      <c r="P473" s="338"/>
      <c r="Q473" s="338"/>
      <c r="R473" s="338"/>
      <c r="S473" s="338"/>
      <c r="T473" s="338"/>
      <c r="U473" s="338"/>
      <c r="V473" s="338"/>
      <c r="W473" s="338"/>
      <c r="X473" s="338"/>
      <c r="Y473" s="338"/>
      <c r="Z473" s="338"/>
      <c r="AA473" s="338"/>
    </row>
    <row r="474" ht="15.75" customHeight="1">
      <c r="A474" s="339">
        <v>473.0</v>
      </c>
      <c r="B474" s="339" t="s">
        <v>2309</v>
      </c>
      <c r="C474" s="339" t="s">
        <v>2310</v>
      </c>
      <c r="D474" s="339" t="s">
        <v>2311</v>
      </c>
      <c r="E474" s="339" t="s">
        <v>2097</v>
      </c>
      <c r="F474" s="339">
        <v>3.60100502E8</v>
      </c>
      <c r="G474" s="342"/>
      <c r="H474" s="342"/>
      <c r="I474" s="342"/>
      <c r="J474" s="342"/>
      <c r="K474" s="338"/>
      <c r="L474" s="338"/>
      <c r="M474" s="338"/>
      <c r="N474" s="338"/>
      <c r="O474" s="338"/>
      <c r="P474" s="338"/>
      <c r="Q474" s="338"/>
      <c r="R474" s="338"/>
      <c r="S474" s="338"/>
      <c r="T474" s="338"/>
      <c r="U474" s="338"/>
      <c r="V474" s="338"/>
      <c r="W474" s="338"/>
      <c r="X474" s="338"/>
      <c r="Y474" s="338"/>
      <c r="Z474" s="338"/>
      <c r="AA474" s="338"/>
    </row>
    <row r="475" ht="15.75" customHeight="1">
      <c r="A475" s="339">
        <v>474.0</v>
      </c>
      <c r="B475" s="339" t="s">
        <v>2312</v>
      </c>
      <c r="C475" s="339" t="s">
        <v>2313</v>
      </c>
      <c r="D475" s="339" t="s">
        <v>2314</v>
      </c>
      <c r="E475" s="339" t="s">
        <v>2315</v>
      </c>
      <c r="F475" s="339">
        <v>8.67919799999E11</v>
      </c>
      <c r="G475" s="342" t="s">
        <v>2312</v>
      </c>
      <c r="H475" s="342"/>
      <c r="I475" s="342"/>
      <c r="J475" s="342" t="s">
        <v>927</v>
      </c>
      <c r="K475" s="338"/>
      <c r="L475" s="338"/>
      <c r="M475" s="338"/>
      <c r="N475" s="338"/>
      <c r="O475" s="338"/>
      <c r="P475" s="338"/>
      <c r="Q475" s="338"/>
      <c r="R475" s="338"/>
      <c r="S475" s="338"/>
      <c r="T475" s="338"/>
      <c r="U475" s="338"/>
      <c r="V475" s="338"/>
      <c r="W475" s="338"/>
      <c r="X475" s="338"/>
      <c r="Y475" s="338"/>
      <c r="Z475" s="338"/>
      <c r="AA475" s="338"/>
    </row>
    <row r="476" ht="15.75" customHeight="1">
      <c r="A476" s="339">
        <v>475.0</v>
      </c>
      <c r="B476" s="339" t="s">
        <v>764</v>
      </c>
      <c r="C476" s="339" t="s">
        <v>448</v>
      </c>
      <c r="D476" s="339" t="s">
        <v>1527</v>
      </c>
      <c r="E476" s="339" t="s">
        <v>766</v>
      </c>
      <c r="F476" s="339">
        <v>3.32268513E8</v>
      </c>
      <c r="G476" s="342" t="s">
        <v>2316</v>
      </c>
      <c r="H476" s="342"/>
      <c r="I476" s="342"/>
      <c r="J476" s="342" t="s">
        <v>1056</v>
      </c>
      <c r="K476" s="338"/>
      <c r="L476" s="338"/>
      <c r="M476" s="338"/>
      <c r="N476" s="338"/>
      <c r="O476" s="338"/>
      <c r="P476" s="338"/>
      <c r="Q476" s="338"/>
      <c r="R476" s="338"/>
      <c r="S476" s="338"/>
      <c r="T476" s="338"/>
      <c r="U476" s="338"/>
      <c r="V476" s="338"/>
      <c r="W476" s="338"/>
      <c r="X476" s="338"/>
      <c r="Y476" s="338"/>
      <c r="Z476" s="338"/>
      <c r="AA476" s="338"/>
    </row>
    <row r="477" ht="15.75" customHeight="1">
      <c r="A477" s="339">
        <v>476.0</v>
      </c>
      <c r="B477" s="339" t="s">
        <v>2317</v>
      </c>
      <c r="C477" s="339" t="s">
        <v>2318</v>
      </c>
      <c r="D477" s="339" t="s">
        <v>1228</v>
      </c>
      <c r="E477" s="339" t="s">
        <v>2319</v>
      </c>
      <c r="F477" s="339">
        <v>9.0929011E7</v>
      </c>
      <c r="G477" s="342"/>
      <c r="H477" s="342"/>
      <c r="I477" s="342"/>
      <c r="J477" s="342"/>
      <c r="K477" s="338"/>
      <c r="L477" s="338"/>
      <c r="M477" s="338"/>
      <c r="N477" s="338"/>
      <c r="O477" s="338"/>
      <c r="P477" s="338"/>
      <c r="Q477" s="338"/>
      <c r="R477" s="338"/>
      <c r="S477" s="338"/>
      <c r="T477" s="338"/>
      <c r="U477" s="338"/>
      <c r="V477" s="338"/>
      <c r="W477" s="338"/>
      <c r="X477" s="338"/>
      <c r="Y477" s="338"/>
      <c r="Z477" s="338"/>
      <c r="AA477" s="338"/>
    </row>
    <row r="478" ht="15.75" customHeight="1">
      <c r="A478" s="339">
        <v>477.0</v>
      </c>
      <c r="B478" s="339" t="s">
        <v>2320</v>
      </c>
      <c r="C478" s="339" t="s">
        <v>504</v>
      </c>
      <c r="D478" s="339" t="s">
        <v>976</v>
      </c>
      <c r="E478" s="339" t="s">
        <v>2321</v>
      </c>
      <c r="F478" s="339">
        <v>1.220235712E9</v>
      </c>
      <c r="G478" s="342"/>
      <c r="H478" s="342"/>
      <c r="I478" s="342"/>
      <c r="J478" s="342"/>
      <c r="K478" s="338"/>
      <c r="L478" s="338"/>
      <c r="M478" s="338"/>
      <c r="N478" s="338"/>
      <c r="O478" s="338"/>
      <c r="P478" s="338"/>
      <c r="Q478" s="338"/>
      <c r="R478" s="338"/>
      <c r="S478" s="338"/>
      <c r="T478" s="338"/>
      <c r="U478" s="338"/>
      <c r="V478" s="338"/>
      <c r="W478" s="338"/>
      <c r="X478" s="338"/>
      <c r="Y478" s="338"/>
      <c r="Z478" s="338"/>
      <c r="AA478" s="338"/>
    </row>
    <row r="479" ht="15.75" customHeight="1">
      <c r="A479" s="339">
        <v>478.0</v>
      </c>
      <c r="B479" s="339" t="s">
        <v>2322</v>
      </c>
      <c r="C479" s="339" t="s">
        <v>2323</v>
      </c>
      <c r="D479" s="339" t="s">
        <v>910</v>
      </c>
      <c r="E479" s="339" t="s">
        <v>699</v>
      </c>
      <c r="F479" s="339">
        <v>1.9032631153011E13</v>
      </c>
      <c r="G479" s="341"/>
      <c r="H479" s="342"/>
      <c r="I479" s="342"/>
      <c r="J479" s="342"/>
      <c r="K479" s="338"/>
      <c r="L479" s="338"/>
      <c r="M479" s="338"/>
      <c r="N479" s="338"/>
      <c r="O479" s="338"/>
      <c r="P479" s="338"/>
      <c r="Q479" s="338"/>
      <c r="R479" s="338"/>
      <c r="S479" s="338"/>
      <c r="T479" s="338"/>
      <c r="U479" s="338"/>
      <c r="V479" s="338"/>
      <c r="W479" s="338"/>
      <c r="X479" s="338"/>
      <c r="Y479" s="338"/>
      <c r="Z479" s="338"/>
      <c r="AA479" s="338"/>
    </row>
    <row r="480" ht="15.75" customHeight="1">
      <c r="A480" s="339">
        <v>479.0</v>
      </c>
      <c r="B480" s="339" t="s">
        <v>2324</v>
      </c>
      <c r="C480" s="339" t="s">
        <v>2325</v>
      </c>
      <c r="D480" s="339" t="s">
        <v>1252</v>
      </c>
      <c r="E480" s="339" t="s">
        <v>1699</v>
      </c>
      <c r="F480" s="339">
        <v>9.67167887E8</v>
      </c>
      <c r="G480" s="342"/>
      <c r="H480" s="342"/>
      <c r="I480" s="342"/>
      <c r="J480" s="342"/>
      <c r="K480" s="338"/>
      <c r="L480" s="338"/>
      <c r="M480" s="338"/>
      <c r="N480" s="338"/>
      <c r="O480" s="338"/>
      <c r="P480" s="338"/>
      <c r="Q480" s="338"/>
      <c r="R480" s="338"/>
      <c r="S480" s="338"/>
      <c r="T480" s="338"/>
      <c r="U480" s="338"/>
      <c r="V480" s="338"/>
      <c r="W480" s="338"/>
      <c r="X480" s="338"/>
      <c r="Y480" s="338"/>
      <c r="Z480" s="338"/>
      <c r="AA480" s="338"/>
    </row>
    <row r="481" ht="15.75" customHeight="1">
      <c r="A481" s="339">
        <v>480.0</v>
      </c>
      <c r="B481" s="339" t="s">
        <v>2326</v>
      </c>
      <c r="C481" s="339" t="s">
        <v>2327</v>
      </c>
      <c r="D481" s="339" t="s">
        <v>1160</v>
      </c>
      <c r="E481" s="339"/>
      <c r="F481" s="339"/>
      <c r="G481" s="342"/>
      <c r="H481" s="342"/>
      <c r="I481" s="342"/>
      <c r="J481" s="342"/>
      <c r="K481" s="338"/>
      <c r="L481" s="338"/>
      <c r="M481" s="338"/>
      <c r="N481" s="338"/>
      <c r="O481" s="338"/>
      <c r="P481" s="338"/>
      <c r="Q481" s="338"/>
      <c r="R481" s="338"/>
      <c r="S481" s="338"/>
      <c r="T481" s="338"/>
      <c r="U481" s="338"/>
      <c r="V481" s="338"/>
      <c r="W481" s="338"/>
      <c r="X481" s="338"/>
      <c r="Y481" s="338"/>
      <c r="Z481" s="338"/>
      <c r="AA481" s="338"/>
    </row>
    <row r="482" ht="15.75" customHeight="1">
      <c r="A482" s="339">
        <v>481.0</v>
      </c>
      <c r="B482" s="339" t="s">
        <v>2328</v>
      </c>
      <c r="C482" s="340" t="s">
        <v>567</v>
      </c>
      <c r="D482" s="339" t="s">
        <v>1067</v>
      </c>
      <c r="E482" s="339" t="s">
        <v>2329</v>
      </c>
      <c r="F482" s="339">
        <v>8.820117761009E12</v>
      </c>
      <c r="G482" s="342"/>
      <c r="H482" s="342"/>
      <c r="I482" s="342"/>
      <c r="J482" s="342"/>
      <c r="K482" s="338"/>
      <c r="L482" s="338"/>
      <c r="M482" s="338"/>
      <c r="N482" s="338"/>
      <c r="O482" s="338"/>
      <c r="P482" s="338"/>
      <c r="Q482" s="338"/>
      <c r="R482" s="338"/>
      <c r="S482" s="338"/>
      <c r="T482" s="338"/>
      <c r="U482" s="338"/>
      <c r="V482" s="338"/>
      <c r="W482" s="338"/>
      <c r="X482" s="338"/>
      <c r="Y482" s="338"/>
      <c r="Z482" s="338"/>
      <c r="AA482" s="338"/>
    </row>
    <row r="483" ht="15.75" customHeight="1">
      <c r="A483" s="339">
        <v>482.0</v>
      </c>
      <c r="B483" s="339" t="s">
        <v>2330</v>
      </c>
      <c r="C483" s="339" t="s">
        <v>2331</v>
      </c>
      <c r="D483" s="339" t="s">
        <v>1228</v>
      </c>
      <c r="E483" s="339" t="s">
        <v>2332</v>
      </c>
      <c r="F483" s="339">
        <v>1.08871463247E11</v>
      </c>
      <c r="G483" s="342"/>
      <c r="H483" s="342"/>
      <c r="I483" s="342"/>
      <c r="J483" s="342"/>
      <c r="K483" s="338"/>
      <c r="L483" s="338"/>
      <c r="M483" s="338"/>
      <c r="N483" s="338"/>
      <c r="O483" s="338"/>
      <c r="P483" s="338"/>
      <c r="Q483" s="338"/>
      <c r="R483" s="338"/>
      <c r="S483" s="338"/>
      <c r="T483" s="338"/>
      <c r="U483" s="338"/>
      <c r="V483" s="338"/>
      <c r="W483" s="338"/>
      <c r="X483" s="338"/>
      <c r="Y483" s="338"/>
      <c r="Z483" s="338"/>
      <c r="AA483" s="338"/>
    </row>
    <row r="484" ht="15.75" customHeight="1">
      <c r="A484" s="339">
        <v>483.0</v>
      </c>
      <c r="B484" s="339" t="s">
        <v>2333</v>
      </c>
      <c r="C484" s="339" t="s">
        <v>2334</v>
      </c>
      <c r="D484" s="339" t="s">
        <v>923</v>
      </c>
      <c r="E484" s="339" t="s">
        <v>2335</v>
      </c>
      <c r="F484" s="339">
        <v>1.04868382171E11</v>
      </c>
      <c r="G484" s="342"/>
      <c r="H484" s="342"/>
      <c r="I484" s="342"/>
      <c r="J484" s="342"/>
      <c r="K484" s="338"/>
      <c r="L484" s="338"/>
      <c r="M484" s="338"/>
      <c r="N484" s="338"/>
      <c r="O484" s="338"/>
      <c r="P484" s="338"/>
      <c r="Q484" s="338"/>
      <c r="R484" s="338"/>
      <c r="S484" s="338"/>
      <c r="T484" s="338"/>
      <c r="U484" s="338"/>
      <c r="V484" s="338"/>
      <c r="W484" s="338"/>
      <c r="X484" s="338"/>
      <c r="Y484" s="338"/>
      <c r="Z484" s="338"/>
      <c r="AA484" s="338"/>
    </row>
    <row r="485" ht="15.75" customHeight="1">
      <c r="A485" s="339">
        <v>484.0</v>
      </c>
      <c r="B485" s="339" t="s">
        <v>2336</v>
      </c>
      <c r="C485" s="339" t="s">
        <v>516</v>
      </c>
      <c r="D485" s="339" t="s">
        <v>1008</v>
      </c>
      <c r="E485" s="339" t="s">
        <v>2337</v>
      </c>
      <c r="F485" s="339">
        <v>3.33225332E8</v>
      </c>
      <c r="G485" s="342"/>
      <c r="H485" s="342"/>
      <c r="I485" s="342"/>
      <c r="J485" s="342"/>
      <c r="K485" s="338"/>
      <c r="L485" s="338"/>
      <c r="M485" s="338"/>
      <c r="N485" s="338"/>
      <c r="O485" s="338"/>
      <c r="P485" s="338"/>
      <c r="Q485" s="338"/>
      <c r="R485" s="338"/>
      <c r="S485" s="338"/>
      <c r="T485" s="338"/>
      <c r="U485" s="338"/>
      <c r="V485" s="338"/>
      <c r="W485" s="338"/>
      <c r="X485" s="338"/>
      <c r="Y485" s="338"/>
      <c r="Z485" s="338"/>
      <c r="AA485" s="338"/>
    </row>
    <row r="486" ht="15.75" customHeight="1">
      <c r="A486" s="339">
        <v>485.0</v>
      </c>
      <c r="B486" s="339" t="s">
        <v>2338</v>
      </c>
      <c r="C486" s="339" t="s">
        <v>2339</v>
      </c>
      <c r="D486" s="339" t="s">
        <v>2340</v>
      </c>
      <c r="E486" s="339" t="s">
        <v>2341</v>
      </c>
      <c r="F486" s="339">
        <v>1.11000198929E11</v>
      </c>
      <c r="G486" s="342"/>
      <c r="H486" s="342"/>
      <c r="I486" s="342"/>
      <c r="J486" s="342"/>
      <c r="K486" s="338"/>
      <c r="L486" s="338"/>
      <c r="M486" s="338"/>
      <c r="N486" s="338"/>
      <c r="O486" s="338"/>
      <c r="P486" s="338"/>
      <c r="Q486" s="338"/>
      <c r="R486" s="338"/>
      <c r="S486" s="338"/>
      <c r="T486" s="338"/>
      <c r="U486" s="338"/>
      <c r="V486" s="338"/>
      <c r="W486" s="338"/>
      <c r="X486" s="338"/>
      <c r="Y486" s="338"/>
      <c r="Z486" s="338"/>
      <c r="AA486" s="338"/>
    </row>
    <row r="487" ht="15.75" customHeight="1">
      <c r="A487" s="339">
        <v>486.0</v>
      </c>
      <c r="B487" s="339" t="s">
        <v>2342</v>
      </c>
      <c r="C487" s="339" t="s">
        <v>2343</v>
      </c>
      <c r="D487" s="339" t="s">
        <v>1594</v>
      </c>
      <c r="E487" s="339" t="s">
        <v>2344</v>
      </c>
      <c r="F487" s="339">
        <v>3.62036979E9</v>
      </c>
      <c r="G487" s="342" t="s">
        <v>2345</v>
      </c>
      <c r="H487" s="342"/>
      <c r="I487" s="342"/>
      <c r="J487" s="342" t="s">
        <v>1056</v>
      </c>
      <c r="K487" s="338"/>
      <c r="L487" s="338"/>
      <c r="M487" s="338"/>
      <c r="N487" s="338"/>
      <c r="O487" s="338"/>
      <c r="P487" s="338"/>
      <c r="Q487" s="338"/>
      <c r="R487" s="338"/>
      <c r="S487" s="338"/>
      <c r="T487" s="338"/>
      <c r="U487" s="338"/>
      <c r="V487" s="338"/>
      <c r="W487" s="338"/>
      <c r="X487" s="338"/>
      <c r="Y487" s="338"/>
      <c r="Z487" s="338"/>
      <c r="AA487" s="338"/>
    </row>
    <row r="488" ht="15.75" customHeight="1">
      <c r="A488" s="339">
        <v>487.0</v>
      </c>
      <c r="B488" s="339" t="s">
        <v>2346</v>
      </c>
      <c r="C488" s="339" t="s">
        <v>2347</v>
      </c>
      <c r="D488" s="339" t="s">
        <v>1340</v>
      </c>
      <c r="E488" s="339" t="s">
        <v>970</v>
      </c>
      <c r="F488" s="339">
        <v>9.71030203E8</v>
      </c>
      <c r="G488" s="342"/>
      <c r="H488" s="342"/>
      <c r="I488" s="342"/>
      <c r="J488" s="342"/>
      <c r="K488" s="338"/>
      <c r="L488" s="338"/>
      <c r="M488" s="338"/>
      <c r="N488" s="338"/>
      <c r="O488" s="338"/>
      <c r="P488" s="338"/>
      <c r="Q488" s="338"/>
      <c r="R488" s="338"/>
      <c r="S488" s="338"/>
      <c r="T488" s="338"/>
      <c r="U488" s="338"/>
      <c r="V488" s="338"/>
      <c r="W488" s="338"/>
      <c r="X488" s="338"/>
      <c r="Y488" s="338"/>
      <c r="Z488" s="338"/>
      <c r="AA488" s="338"/>
    </row>
    <row r="489" ht="15.75" customHeight="1">
      <c r="A489" s="339">
        <v>488.0</v>
      </c>
      <c r="B489" s="339" t="s">
        <v>2348</v>
      </c>
      <c r="C489" s="339" t="s">
        <v>2349</v>
      </c>
      <c r="D489" s="339" t="s">
        <v>1594</v>
      </c>
      <c r="E489" s="339" t="s">
        <v>2350</v>
      </c>
      <c r="F489" s="339">
        <v>3.143879181E9</v>
      </c>
      <c r="G489" s="342"/>
      <c r="H489" s="342"/>
      <c r="I489" s="342"/>
      <c r="J489" s="342"/>
      <c r="K489" s="338"/>
      <c r="L489" s="338"/>
      <c r="M489" s="338"/>
      <c r="N489" s="338"/>
      <c r="O489" s="338"/>
      <c r="P489" s="338"/>
      <c r="Q489" s="338"/>
      <c r="R489" s="338"/>
      <c r="S489" s="338"/>
      <c r="T489" s="338"/>
      <c r="U489" s="338"/>
      <c r="V489" s="338"/>
      <c r="W489" s="338"/>
      <c r="X489" s="338"/>
      <c r="Y489" s="338"/>
      <c r="Z489" s="338"/>
      <c r="AA489" s="338"/>
    </row>
    <row r="490" ht="15.75" customHeight="1">
      <c r="A490" s="339">
        <v>489.0</v>
      </c>
      <c r="B490" s="339" t="s">
        <v>789</v>
      </c>
      <c r="C490" s="339" t="s">
        <v>435</v>
      </c>
      <c r="D490" s="339" t="s">
        <v>1324</v>
      </c>
      <c r="E490" s="339" t="s">
        <v>791</v>
      </c>
      <c r="F490" s="339">
        <v>9.113333333E9</v>
      </c>
      <c r="G490" s="342"/>
      <c r="H490" s="342"/>
      <c r="I490" s="342"/>
      <c r="J490" s="342"/>
      <c r="K490" s="338"/>
      <c r="L490" s="338"/>
      <c r="M490" s="338"/>
      <c r="N490" s="338"/>
      <c r="O490" s="338"/>
      <c r="P490" s="338"/>
      <c r="Q490" s="338"/>
      <c r="R490" s="338"/>
      <c r="S490" s="338"/>
      <c r="T490" s="338"/>
      <c r="U490" s="338"/>
      <c r="V490" s="338"/>
      <c r="W490" s="338"/>
      <c r="X490" s="338"/>
      <c r="Y490" s="338"/>
      <c r="Z490" s="338"/>
      <c r="AA490" s="338"/>
    </row>
    <row r="491" ht="15.75" customHeight="1">
      <c r="A491" s="339">
        <v>490.0</v>
      </c>
      <c r="B491" s="339" t="s">
        <v>2351</v>
      </c>
      <c r="C491" s="339" t="s">
        <v>2352</v>
      </c>
      <c r="D491" s="339" t="s">
        <v>910</v>
      </c>
      <c r="E491" s="339" t="s">
        <v>970</v>
      </c>
      <c r="F491" s="339">
        <v>3.67380702E8</v>
      </c>
      <c r="G491" s="342"/>
      <c r="H491" s="342"/>
      <c r="I491" s="342"/>
      <c r="J491" s="342"/>
      <c r="K491" s="338"/>
      <c r="L491" s="338"/>
      <c r="M491" s="338"/>
      <c r="N491" s="338"/>
      <c r="O491" s="338"/>
      <c r="P491" s="338"/>
      <c r="Q491" s="338"/>
      <c r="R491" s="338"/>
      <c r="S491" s="338"/>
      <c r="T491" s="338"/>
      <c r="U491" s="338"/>
      <c r="V491" s="338"/>
      <c r="W491" s="338"/>
      <c r="X491" s="338"/>
      <c r="Y491" s="338"/>
      <c r="Z491" s="338"/>
      <c r="AA491" s="338"/>
    </row>
    <row r="492" ht="15.75" customHeight="1">
      <c r="A492" s="339">
        <v>491.0</v>
      </c>
      <c r="B492" s="339" t="s">
        <v>744</v>
      </c>
      <c r="C492" s="339" t="s">
        <v>479</v>
      </c>
      <c r="D492" s="339" t="s">
        <v>1527</v>
      </c>
      <c r="E492" s="339" t="s">
        <v>748</v>
      </c>
      <c r="F492" s="339">
        <v>8.500215030992E12</v>
      </c>
      <c r="G492" s="342"/>
      <c r="H492" s="342"/>
      <c r="I492" s="342"/>
      <c r="J492" s="342"/>
      <c r="K492" s="338"/>
      <c r="L492" s="338"/>
      <c r="M492" s="338"/>
      <c r="N492" s="338"/>
      <c r="O492" s="338"/>
      <c r="P492" s="338"/>
      <c r="Q492" s="338"/>
      <c r="R492" s="338"/>
      <c r="S492" s="338"/>
      <c r="T492" s="338"/>
      <c r="U492" s="338"/>
      <c r="V492" s="338"/>
      <c r="W492" s="338"/>
      <c r="X492" s="338"/>
      <c r="Y492" s="338"/>
      <c r="Z492" s="338"/>
      <c r="AA492" s="338"/>
    </row>
    <row r="493" ht="15.75" customHeight="1">
      <c r="A493" s="339">
        <v>492.0</v>
      </c>
      <c r="B493" s="339" t="s">
        <v>2353</v>
      </c>
      <c r="C493" s="339" t="s">
        <v>2354</v>
      </c>
      <c r="D493" s="339" t="s">
        <v>1296</v>
      </c>
      <c r="E493" s="339" t="s">
        <v>2355</v>
      </c>
      <c r="F493" s="339">
        <v>1.11100016096001E14</v>
      </c>
      <c r="G493" s="342"/>
      <c r="H493" s="342"/>
      <c r="I493" s="342"/>
      <c r="J493" s="342"/>
      <c r="K493" s="338"/>
      <c r="L493" s="338"/>
      <c r="M493" s="338"/>
      <c r="N493" s="338"/>
      <c r="O493" s="338"/>
      <c r="P493" s="338"/>
      <c r="Q493" s="338"/>
      <c r="R493" s="338"/>
      <c r="S493" s="338"/>
      <c r="T493" s="338"/>
      <c r="U493" s="338"/>
      <c r="V493" s="338"/>
      <c r="W493" s="338"/>
      <c r="X493" s="338"/>
      <c r="Y493" s="338"/>
      <c r="Z493" s="338"/>
      <c r="AA493" s="338"/>
    </row>
    <row r="494" ht="15.75" customHeight="1">
      <c r="A494" s="339">
        <v>493.0</v>
      </c>
      <c r="B494" s="339" t="s">
        <v>2356</v>
      </c>
      <c r="C494" s="339" t="s">
        <v>2357</v>
      </c>
      <c r="D494" s="339" t="s">
        <v>1152</v>
      </c>
      <c r="E494" s="339" t="s">
        <v>2358</v>
      </c>
      <c r="F494" s="339">
        <v>1.69026785E8</v>
      </c>
      <c r="G494" s="342"/>
      <c r="H494" s="342"/>
      <c r="I494" s="342"/>
      <c r="J494" s="342"/>
      <c r="K494" s="338"/>
      <c r="L494" s="338"/>
      <c r="M494" s="338"/>
      <c r="N494" s="338"/>
      <c r="O494" s="338"/>
      <c r="P494" s="338"/>
      <c r="Q494" s="338"/>
      <c r="R494" s="338"/>
      <c r="S494" s="338"/>
      <c r="T494" s="338"/>
      <c r="U494" s="338"/>
      <c r="V494" s="338"/>
      <c r="W494" s="338"/>
      <c r="X494" s="338"/>
      <c r="Y494" s="338"/>
      <c r="Z494" s="338"/>
      <c r="AA494" s="338"/>
    </row>
    <row r="495" ht="15.75" customHeight="1">
      <c r="A495" s="339">
        <v>494.0</v>
      </c>
      <c r="B495" s="339" t="s">
        <v>2359</v>
      </c>
      <c r="C495" s="339" t="s">
        <v>2360</v>
      </c>
      <c r="D495" s="339" t="s">
        <v>967</v>
      </c>
      <c r="E495" s="339" t="s">
        <v>2361</v>
      </c>
      <c r="F495" s="339">
        <v>5.0963170571E10</v>
      </c>
      <c r="G495" s="342"/>
      <c r="H495" s="342"/>
      <c r="I495" s="342"/>
      <c r="J495" s="342"/>
      <c r="K495" s="338"/>
      <c r="L495" s="338"/>
      <c r="M495" s="338"/>
      <c r="N495" s="338"/>
      <c r="O495" s="338"/>
      <c r="P495" s="338"/>
      <c r="Q495" s="338"/>
      <c r="R495" s="338"/>
      <c r="S495" s="338"/>
      <c r="T495" s="338"/>
      <c r="U495" s="338"/>
      <c r="V495" s="338"/>
      <c r="W495" s="338"/>
      <c r="X495" s="338"/>
      <c r="Y495" s="338"/>
      <c r="Z495" s="338"/>
      <c r="AA495" s="338"/>
    </row>
    <row r="496" ht="15.75" customHeight="1">
      <c r="A496" s="339">
        <v>495.0</v>
      </c>
      <c r="B496" s="339" t="s">
        <v>2362</v>
      </c>
      <c r="C496" s="339" t="s">
        <v>2363</v>
      </c>
      <c r="D496" s="339" t="s">
        <v>964</v>
      </c>
      <c r="E496" s="339" t="s">
        <v>2364</v>
      </c>
      <c r="F496" s="339">
        <v>2.22503762E9</v>
      </c>
      <c r="G496" s="342"/>
      <c r="H496" s="342"/>
      <c r="I496" s="342"/>
      <c r="J496" s="342"/>
      <c r="K496" s="338"/>
      <c r="L496" s="338"/>
      <c r="M496" s="338"/>
      <c r="N496" s="338"/>
      <c r="O496" s="338"/>
      <c r="P496" s="338"/>
      <c r="Q496" s="338"/>
      <c r="R496" s="338"/>
      <c r="S496" s="338"/>
      <c r="T496" s="338"/>
      <c r="U496" s="338"/>
      <c r="V496" s="338"/>
      <c r="W496" s="338"/>
      <c r="X496" s="338"/>
      <c r="Y496" s="338"/>
      <c r="Z496" s="338"/>
      <c r="AA496" s="338"/>
    </row>
    <row r="497" ht="15.75" customHeight="1">
      <c r="A497" s="339">
        <v>496.0</v>
      </c>
      <c r="B497" s="339" t="s">
        <v>2365</v>
      </c>
      <c r="C497" s="339" t="s">
        <v>2366</v>
      </c>
      <c r="D497" s="339" t="s">
        <v>1119</v>
      </c>
      <c r="E497" s="339"/>
      <c r="F497" s="339"/>
      <c r="G497" s="342"/>
      <c r="H497" s="342"/>
      <c r="I497" s="342"/>
      <c r="J497" s="342"/>
      <c r="K497" s="338"/>
      <c r="L497" s="338"/>
      <c r="M497" s="338"/>
      <c r="N497" s="338"/>
      <c r="O497" s="338"/>
      <c r="P497" s="338"/>
      <c r="Q497" s="338"/>
      <c r="R497" s="338"/>
      <c r="S497" s="338"/>
      <c r="T497" s="338"/>
      <c r="U497" s="338"/>
      <c r="V497" s="338"/>
      <c r="W497" s="338"/>
      <c r="X497" s="338"/>
      <c r="Y497" s="338"/>
      <c r="Z497" s="338"/>
      <c r="AA497" s="338"/>
    </row>
    <row r="498" ht="15.75" customHeight="1">
      <c r="A498" s="339">
        <v>497.0</v>
      </c>
      <c r="B498" s="339" t="s">
        <v>2367</v>
      </c>
      <c r="C498" s="339" t="s">
        <v>2368</v>
      </c>
      <c r="D498" s="339" t="s">
        <v>923</v>
      </c>
      <c r="E498" s="339" t="s">
        <v>699</v>
      </c>
      <c r="F498" s="339">
        <v>1.9035225748011E13</v>
      </c>
      <c r="G498" s="342"/>
      <c r="H498" s="342"/>
      <c r="I498" s="342"/>
      <c r="J498" s="342"/>
      <c r="K498" s="338"/>
      <c r="L498" s="338"/>
      <c r="M498" s="338"/>
      <c r="N498" s="338"/>
      <c r="O498" s="338"/>
      <c r="P498" s="338"/>
      <c r="Q498" s="338"/>
      <c r="R498" s="338"/>
      <c r="S498" s="338"/>
      <c r="T498" s="338"/>
      <c r="U498" s="338"/>
      <c r="V498" s="338"/>
      <c r="W498" s="338"/>
      <c r="X498" s="338"/>
      <c r="Y498" s="338"/>
      <c r="Z498" s="338"/>
      <c r="AA498" s="338"/>
    </row>
    <row r="499" ht="15.75" customHeight="1">
      <c r="A499" s="339">
        <v>498.0</v>
      </c>
      <c r="B499" s="339" t="s">
        <v>689</v>
      </c>
      <c r="C499" s="339" t="s">
        <v>690</v>
      </c>
      <c r="D499" s="339" t="s">
        <v>1256</v>
      </c>
      <c r="E499" s="339" t="s">
        <v>692</v>
      </c>
      <c r="F499" s="339">
        <v>1.06003919119E11</v>
      </c>
      <c r="G499" s="342"/>
      <c r="H499" s="342"/>
      <c r="I499" s="342"/>
      <c r="J499" s="342"/>
      <c r="K499" s="338"/>
      <c r="L499" s="338"/>
      <c r="M499" s="338"/>
      <c r="N499" s="338"/>
      <c r="O499" s="338"/>
      <c r="P499" s="338"/>
      <c r="Q499" s="338"/>
      <c r="R499" s="338"/>
      <c r="S499" s="338"/>
      <c r="T499" s="338"/>
      <c r="U499" s="338"/>
      <c r="V499" s="338"/>
      <c r="W499" s="338"/>
      <c r="X499" s="338"/>
      <c r="Y499" s="338"/>
      <c r="Z499" s="338"/>
      <c r="AA499" s="338"/>
    </row>
    <row r="500" ht="15.75" customHeight="1">
      <c r="A500" s="339">
        <v>499.0</v>
      </c>
      <c r="B500" s="339" t="s">
        <v>2369</v>
      </c>
      <c r="C500" s="339" t="s">
        <v>2370</v>
      </c>
      <c r="D500" s="339" t="s">
        <v>1228</v>
      </c>
      <c r="E500" s="339" t="s">
        <v>699</v>
      </c>
      <c r="F500" s="339">
        <v>1.9035492878013E13</v>
      </c>
      <c r="G500" s="342"/>
      <c r="H500" s="342"/>
      <c r="I500" s="342"/>
      <c r="J500" s="342"/>
      <c r="K500" s="338"/>
      <c r="L500" s="338"/>
      <c r="M500" s="338"/>
      <c r="N500" s="338"/>
      <c r="O500" s="338"/>
      <c r="P500" s="338"/>
      <c r="Q500" s="338"/>
      <c r="R500" s="338"/>
      <c r="S500" s="338"/>
      <c r="T500" s="338"/>
      <c r="U500" s="338"/>
      <c r="V500" s="338"/>
      <c r="W500" s="338"/>
      <c r="X500" s="338"/>
      <c r="Y500" s="338"/>
      <c r="Z500" s="338"/>
      <c r="AA500" s="338"/>
    </row>
    <row r="501" ht="15.75" customHeight="1">
      <c r="A501" s="339">
        <v>500.0</v>
      </c>
      <c r="B501" s="339" t="s">
        <v>2371</v>
      </c>
      <c r="C501" s="339" t="s">
        <v>2372</v>
      </c>
      <c r="D501" s="339" t="s">
        <v>964</v>
      </c>
      <c r="E501" s="339" t="s">
        <v>2373</v>
      </c>
      <c r="F501" s="339">
        <v>1.038683276E11</v>
      </c>
      <c r="G501" s="342"/>
      <c r="H501" s="342"/>
      <c r="I501" s="342"/>
      <c r="J501" s="342"/>
      <c r="K501" s="338"/>
      <c r="L501" s="338"/>
      <c r="M501" s="338"/>
      <c r="N501" s="338"/>
      <c r="O501" s="338"/>
      <c r="P501" s="338"/>
      <c r="Q501" s="338"/>
      <c r="R501" s="338"/>
      <c r="S501" s="338"/>
      <c r="T501" s="338"/>
      <c r="U501" s="338"/>
      <c r="V501" s="338"/>
      <c r="W501" s="338"/>
      <c r="X501" s="338"/>
      <c r="Y501" s="338"/>
      <c r="Z501" s="338"/>
      <c r="AA501" s="338"/>
    </row>
    <row r="502" ht="15.75" customHeight="1">
      <c r="A502" s="339">
        <v>501.0</v>
      </c>
      <c r="B502" s="339" t="s">
        <v>2374</v>
      </c>
      <c r="C502" s="339" t="s">
        <v>2375</v>
      </c>
      <c r="D502" s="339" t="s">
        <v>2376</v>
      </c>
      <c r="E502" s="339" t="s">
        <v>735</v>
      </c>
      <c r="F502" s="339">
        <v>1.58288888888E11</v>
      </c>
      <c r="G502" s="342"/>
      <c r="H502" s="342"/>
      <c r="I502" s="342"/>
      <c r="J502" s="342"/>
      <c r="K502" s="338"/>
      <c r="L502" s="338"/>
      <c r="M502" s="338"/>
      <c r="N502" s="338"/>
      <c r="O502" s="338"/>
      <c r="P502" s="338"/>
      <c r="Q502" s="338"/>
      <c r="R502" s="338"/>
      <c r="S502" s="338"/>
      <c r="T502" s="338"/>
      <c r="U502" s="338"/>
      <c r="V502" s="338"/>
      <c r="W502" s="338"/>
      <c r="X502" s="338"/>
      <c r="Y502" s="338"/>
      <c r="Z502" s="338"/>
      <c r="AA502" s="338"/>
    </row>
    <row r="503" ht="15.75" customHeight="1">
      <c r="A503" s="339">
        <v>502.0</v>
      </c>
      <c r="B503" s="339" t="s">
        <v>856</v>
      </c>
      <c r="C503" s="340" t="s">
        <v>857</v>
      </c>
      <c r="D503" s="339" t="s">
        <v>1721</v>
      </c>
      <c r="E503" s="339" t="s">
        <v>651</v>
      </c>
      <c r="F503" s="339">
        <v>2.604205203411E12</v>
      </c>
      <c r="G503" s="339"/>
      <c r="H503" s="342"/>
      <c r="I503" s="342"/>
      <c r="J503" s="342"/>
      <c r="K503" s="338"/>
      <c r="L503" s="338"/>
      <c r="M503" s="338"/>
      <c r="N503" s="338"/>
      <c r="O503" s="338"/>
      <c r="P503" s="338"/>
      <c r="Q503" s="338"/>
      <c r="R503" s="338"/>
      <c r="S503" s="338"/>
      <c r="T503" s="338"/>
      <c r="U503" s="338"/>
      <c r="V503" s="338"/>
      <c r="W503" s="338"/>
      <c r="X503" s="338"/>
      <c r="Y503" s="338"/>
      <c r="Z503" s="338"/>
      <c r="AA503" s="338"/>
    </row>
    <row r="504" ht="15.75" customHeight="1">
      <c r="A504" s="339">
        <v>503.0</v>
      </c>
      <c r="B504" s="339" t="s">
        <v>869</v>
      </c>
      <c r="C504" s="340" t="s">
        <v>432</v>
      </c>
      <c r="D504" s="339" t="s">
        <v>1710</v>
      </c>
      <c r="E504" s="339" t="s">
        <v>871</v>
      </c>
      <c r="F504" s="339">
        <v>1.3322635374019E13</v>
      </c>
      <c r="G504" s="342"/>
      <c r="H504" s="342"/>
      <c r="I504" s="342"/>
      <c r="J504" s="342"/>
      <c r="K504" s="338"/>
      <c r="L504" s="338"/>
      <c r="M504" s="338"/>
      <c r="N504" s="338"/>
      <c r="O504" s="338"/>
      <c r="P504" s="338"/>
      <c r="Q504" s="338"/>
      <c r="R504" s="338"/>
      <c r="S504" s="338"/>
      <c r="T504" s="338"/>
      <c r="U504" s="338"/>
      <c r="V504" s="338"/>
      <c r="W504" s="338"/>
      <c r="X504" s="338"/>
      <c r="Y504" s="338"/>
      <c r="Z504" s="338"/>
      <c r="AA504" s="338"/>
    </row>
    <row r="505" ht="15.75" customHeight="1">
      <c r="A505" s="339">
        <v>504.0</v>
      </c>
      <c r="B505" s="339" t="s">
        <v>2377</v>
      </c>
      <c r="C505" s="340" t="s">
        <v>443</v>
      </c>
      <c r="D505" s="339" t="s">
        <v>1082</v>
      </c>
      <c r="E505" s="339" t="s">
        <v>844</v>
      </c>
      <c r="F505" s="339">
        <v>1.06880226222E11</v>
      </c>
      <c r="G505" s="341" t="s">
        <v>875</v>
      </c>
      <c r="H505" s="342"/>
      <c r="I505" s="342"/>
      <c r="J505" s="342" t="s">
        <v>1711</v>
      </c>
      <c r="K505" s="338"/>
      <c r="L505" s="338"/>
      <c r="M505" s="338"/>
      <c r="N505" s="338"/>
      <c r="O505" s="338"/>
      <c r="P505" s="338"/>
      <c r="Q505" s="338"/>
      <c r="R505" s="338"/>
      <c r="S505" s="338"/>
      <c r="T505" s="338"/>
      <c r="U505" s="338"/>
      <c r="V505" s="338"/>
      <c r="W505" s="338"/>
      <c r="X505" s="338"/>
      <c r="Y505" s="338"/>
      <c r="Z505" s="338"/>
      <c r="AA505" s="338"/>
    </row>
    <row r="506" ht="15.75" customHeight="1">
      <c r="A506" s="339">
        <v>505.0</v>
      </c>
      <c r="B506" s="339" t="s">
        <v>2103</v>
      </c>
      <c r="C506" s="340" t="s">
        <v>452</v>
      </c>
      <c r="D506" s="339" t="s">
        <v>1198</v>
      </c>
      <c r="E506" s="339" t="s">
        <v>659</v>
      </c>
      <c r="F506" s="339">
        <v>1.2310000769759E13</v>
      </c>
      <c r="G506" s="342"/>
      <c r="H506" s="342"/>
      <c r="I506" s="342"/>
      <c r="J506" s="342"/>
      <c r="K506" s="338"/>
      <c r="L506" s="338"/>
      <c r="M506" s="338"/>
      <c r="N506" s="338"/>
      <c r="O506" s="338"/>
      <c r="P506" s="338"/>
      <c r="Q506" s="338"/>
      <c r="R506" s="338"/>
      <c r="S506" s="338"/>
      <c r="T506" s="338"/>
      <c r="U506" s="338"/>
      <c r="V506" s="338"/>
      <c r="W506" s="338"/>
      <c r="X506" s="338"/>
      <c r="Y506" s="338"/>
      <c r="Z506" s="338"/>
      <c r="AA506" s="338"/>
    </row>
    <row r="507" ht="15.75" customHeight="1">
      <c r="A507" s="339">
        <v>506.0</v>
      </c>
      <c r="B507" s="339" t="s">
        <v>2378</v>
      </c>
      <c r="C507" s="340" t="s">
        <v>412</v>
      </c>
      <c r="D507" s="339" t="s">
        <v>1300</v>
      </c>
      <c r="E507" s="339" t="s">
        <v>2379</v>
      </c>
      <c r="F507" s="345">
        <v>1.33206E18</v>
      </c>
      <c r="G507" s="342"/>
      <c r="H507" s="342"/>
      <c r="I507" s="342"/>
      <c r="J507" s="342"/>
      <c r="K507" s="338"/>
      <c r="L507" s="338"/>
      <c r="M507" s="338"/>
      <c r="N507" s="338"/>
      <c r="O507" s="338"/>
      <c r="P507" s="338"/>
      <c r="Q507" s="338"/>
      <c r="R507" s="338"/>
      <c r="S507" s="338"/>
      <c r="T507" s="338"/>
      <c r="U507" s="338"/>
      <c r="V507" s="338"/>
      <c r="W507" s="338"/>
      <c r="X507" s="338"/>
      <c r="Y507" s="338"/>
      <c r="Z507" s="338"/>
      <c r="AA507" s="338"/>
    </row>
    <row r="508" ht="15.75" customHeight="1">
      <c r="A508" s="339">
        <v>507.0</v>
      </c>
      <c r="B508" s="339" t="s">
        <v>2380</v>
      </c>
      <c r="C508" s="339" t="s">
        <v>2381</v>
      </c>
      <c r="D508" s="339" t="s">
        <v>1099</v>
      </c>
      <c r="E508" s="339" t="s">
        <v>692</v>
      </c>
      <c r="F508" s="339">
        <v>6.8686888881995E13</v>
      </c>
      <c r="G508" s="342"/>
      <c r="H508" s="342"/>
      <c r="I508" s="342"/>
      <c r="J508" s="342"/>
      <c r="K508" s="338"/>
      <c r="L508" s="338"/>
      <c r="M508" s="338"/>
      <c r="N508" s="338"/>
      <c r="O508" s="338"/>
      <c r="P508" s="338"/>
      <c r="Q508" s="338"/>
      <c r="R508" s="338"/>
      <c r="S508" s="338"/>
      <c r="T508" s="338"/>
      <c r="U508" s="338"/>
      <c r="V508" s="338"/>
      <c r="W508" s="338"/>
      <c r="X508" s="338"/>
      <c r="Y508" s="338"/>
      <c r="Z508" s="338"/>
      <c r="AA508" s="338"/>
    </row>
    <row r="509" ht="15.75" customHeight="1">
      <c r="A509" s="339">
        <v>508.0</v>
      </c>
      <c r="B509" s="339" t="s">
        <v>2382</v>
      </c>
      <c r="C509" s="339" t="s">
        <v>2383</v>
      </c>
      <c r="D509" s="339" t="s">
        <v>1427</v>
      </c>
      <c r="E509" s="339" t="s">
        <v>659</v>
      </c>
      <c r="F509" s="339">
        <v>5.311524053E9</v>
      </c>
      <c r="G509" s="342" t="s">
        <v>2384</v>
      </c>
      <c r="H509" s="342"/>
      <c r="I509" s="342"/>
      <c r="J509" s="342" t="s">
        <v>1056</v>
      </c>
      <c r="K509" s="338"/>
      <c r="L509" s="338"/>
      <c r="M509" s="338"/>
      <c r="N509" s="338"/>
      <c r="O509" s="338"/>
      <c r="P509" s="338"/>
      <c r="Q509" s="338"/>
      <c r="R509" s="338"/>
      <c r="S509" s="338"/>
      <c r="T509" s="338"/>
      <c r="U509" s="338"/>
      <c r="V509" s="338"/>
      <c r="W509" s="338"/>
      <c r="X509" s="338"/>
      <c r="Y509" s="338"/>
      <c r="Z509" s="338"/>
      <c r="AA509" s="338"/>
    </row>
    <row r="510" ht="15.75" customHeight="1">
      <c r="A510" s="339">
        <v>509.0</v>
      </c>
      <c r="B510" s="339" t="s">
        <v>2385</v>
      </c>
      <c r="C510" s="339" t="s">
        <v>2386</v>
      </c>
      <c r="D510" s="339" t="s">
        <v>1064</v>
      </c>
      <c r="E510" s="339" t="s">
        <v>692</v>
      </c>
      <c r="F510" s="339">
        <v>2.52004197671E11</v>
      </c>
      <c r="G510" s="342"/>
      <c r="H510" s="342"/>
      <c r="I510" s="342"/>
      <c r="J510" s="342"/>
      <c r="K510" s="338"/>
      <c r="L510" s="338"/>
      <c r="M510" s="338"/>
      <c r="N510" s="338"/>
      <c r="O510" s="338"/>
      <c r="P510" s="338"/>
      <c r="Q510" s="338"/>
      <c r="R510" s="338"/>
      <c r="S510" s="338"/>
      <c r="T510" s="338"/>
      <c r="U510" s="338"/>
      <c r="V510" s="338"/>
      <c r="W510" s="338"/>
      <c r="X510" s="338"/>
      <c r="Y510" s="338"/>
      <c r="Z510" s="338"/>
      <c r="AA510" s="338"/>
    </row>
    <row r="511" ht="15.75" customHeight="1">
      <c r="A511" s="339">
        <v>510.0</v>
      </c>
      <c r="B511" s="339" t="s">
        <v>2387</v>
      </c>
      <c r="C511" s="339" t="s">
        <v>2388</v>
      </c>
      <c r="D511" s="339" t="s">
        <v>973</v>
      </c>
      <c r="E511" s="339" t="s">
        <v>692</v>
      </c>
      <c r="F511" s="339">
        <v>2.210102003E9</v>
      </c>
      <c r="G511" s="342"/>
      <c r="H511" s="342"/>
      <c r="I511" s="342"/>
      <c r="J511" s="342"/>
      <c r="K511" s="338"/>
      <c r="L511" s="338"/>
      <c r="M511" s="338"/>
      <c r="N511" s="338"/>
      <c r="O511" s="338"/>
      <c r="P511" s="338"/>
      <c r="Q511" s="338"/>
      <c r="R511" s="338"/>
      <c r="S511" s="338"/>
      <c r="T511" s="338"/>
      <c r="U511" s="338"/>
      <c r="V511" s="338"/>
      <c r="W511" s="338"/>
      <c r="X511" s="338"/>
      <c r="Y511" s="338"/>
      <c r="Z511" s="338"/>
      <c r="AA511" s="338"/>
    </row>
    <row r="512" ht="15.75" customHeight="1">
      <c r="A512" s="339">
        <v>511.0</v>
      </c>
      <c r="B512" s="339" t="s">
        <v>2389</v>
      </c>
      <c r="C512" s="340" t="s">
        <v>2288</v>
      </c>
      <c r="D512" s="339" t="s">
        <v>1008</v>
      </c>
      <c r="E512" s="339" t="s">
        <v>663</v>
      </c>
      <c r="F512" s="339">
        <v>1.07875100652E11</v>
      </c>
      <c r="G512" s="342"/>
      <c r="H512" s="342"/>
      <c r="I512" s="342"/>
      <c r="J512" s="342"/>
      <c r="K512" s="338"/>
      <c r="L512" s="338"/>
      <c r="M512" s="338"/>
      <c r="N512" s="338"/>
      <c r="O512" s="338"/>
      <c r="P512" s="338"/>
      <c r="Q512" s="338"/>
      <c r="R512" s="338"/>
      <c r="S512" s="338"/>
      <c r="T512" s="338"/>
      <c r="U512" s="338"/>
      <c r="V512" s="338"/>
      <c r="W512" s="338"/>
      <c r="X512" s="338"/>
      <c r="Y512" s="338"/>
      <c r="Z512" s="338"/>
      <c r="AA512" s="338"/>
    </row>
    <row r="513" ht="15.75" customHeight="1">
      <c r="A513" s="339">
        <v>512.0</v>
      </c>
      <c r="B513" s="339" t="s">
        <v>853</v>
      </c>
      <c r="C513" s="339" t="s">
        <v>854</v>
      </c>
      <c r="D513" s="339" t="s">
        <v>2390</v>
      </c>
      <c r="E513" s="339" t="s">
        <v>651</v>
      </c>
      <c r="F513" s="339">
        <v>8.500215032896E12</v>
      </c>
      <c r="G513" s="342" t="s">
        <v>2391</v>
      </c>
      <c r="H513" s="342"/>
      <c r="I513" s="342"/>
      <c r="J513" s="342" t="s">
        <v>927</v>
      </c>
      <c r="K513" s="338"/>
      <c r="L513" s="338"/>
      <c r="M513" s="338"/>
      <c r="N513" s="338"/>
      <c r="O513" s="338"/>
      <c r="P513" s="338"/>
      <c r="Q513" s="338"/>
      <c r="R513" s="338"/>
      <c r="S513" s="338"/>
      <c r="T513" s="338"/>
      <c r="U513" s="338"/>
      <c r="V513" s="338"/>
      <c r="W513" s="338"/>
      <c r="X513" s="338"/>
      <c r="Y513" s="338"/>
      <c r="Z513" s="338"/>
      <c r="AA513" s="338"/>
    </row>
    <row r="514" ht="15.75" customHeight="1">
      <c r="A514" s="339">
        <v>513.0</v>
      </c>
      <c r="B514" s="339" t="s">
        <v>2392</v>
      </c>
      <c r="C514" s="339" t="s">
        <v>2393</v>
      </c>
      <c r="D514" s="339" t="s">
        <v>1033</v>
      </c>
      <c r="E514" s="339" t="s">
        <v>844</v>
      </c>
      <c r="F514" s="339">
        <v>1.06003758402E11</v>
      </c>
      <c r="G514" s="342" t="s">
        <v>2394</v>
      </c>
      <c r="H514" s="342"/>
      <c r="I514" s="342"/>
      <c r="J514" s="342" t="s">
        <v>927</v>
      </c>
      <c r="K514" s="338"/>
      <c r="L514" s="338"/>
      <c r="M514" s="338"/>
      <c r="N514" s="338"/>
      <c r="O514" s="338"/>
      <c r="P514" s="338"/>
      <c r="Q514" s="338"/>
      <c r="R514" s="338"/>
      <c r="S514" s="338"/>
      <c r="T514" s="338"/>
      <c r="U514" s="338"/>
      <c r="V514" s="338"/>
      <c r="W514" s="338"/>
      <c r="X514" s="338"/>
      <c r="Y514" s="338"/>
      <c r="Z514" s="338"/>
      <c r="AA514" s="338"/>
    </row>
    <row r="515" ht="15.75" customHeight="1">
      <c r="A515" s="339">
        <v>514.0</v>
      </c>
      <c r="B515" s="339" t="s">
        <v>2395</v>
      </c>
      <c r="C515" s="339" t="s">
        <v>2396</v>
      </c>
      <c r="D515" s="339" t="s">
        <v>923</v>
      </c>
      <c r="E515" s="339" t="s">
        <v>2397</v>
      </c>
      <c r="F515" s="339">
        <v>4.6510000307444E13</v>
      </c>
      <c r="G515" s="342" t="s">
        <v>2395</v>
      </c>
      <c r="H515" s="342" t="s">
        <v>1277</v>
      </c>
      <c r="I515" s="342">
        <v>4.650307444E9</v>
      </c>
      <c r="J515" s="342" t="s">
        <v>1056</v>
      </c>
      <c r="K515" s="338"/>
      <c r="L515" s="338"/>
      <c r="M515" s="338"/>
      <c r="N515" s="338"/>
      <c r="O515" s="338"/>
      <c r="P515" s="338"/>
      <c r="Q515" s="338"/>
      <c r="R515" s="338"/>
      <c r="S515" s="338"/>
      <c r="T515" s="338"/>
      <c r="U515" s="338"/>
      <c r="V515" s="338"/>
      <c r="W515" s="338"/>
      <c r="X515" s="338"/>
      <c r="Y515" s="338"/>
      <c r="Z515" s="338"/>
      <c r="AA515" s="338"/>
    </row>
    <row r="516" ht="15.75" customHeight="1">
      <c r="A516" s="339">
        <v>515.0</v>
      </c>
      <c r="B516" s="339" t="s">
        <v>669</v>
      </c>
      <c r="C516" s="339" t="s">
        <v>544</v>
      </c>
      <c r="D516" s="339" t="s">
        <v>1652</v>
      </c>
      <c r="E516" s="339" t="s">
        <v>671</v>
      </c>
      <c r="F516" s="339">
        <v>6.41000022859E11</v>
      </c>
      <c r="G516" s="342"/>
      <c r="H516" s="342"/>
      <c r="I516" s="342"/>
      <c r="J516" s="342"/>
      <c r="K516" s="338"/>
      <c r="L516" s="338"/>
      <c r="M516" s="338"/>
      <c r="N516" s="338"/>
      <c r="O516" s="338"/>
      <c r="P516" s="338"/>
      <c r="Q516" s="338"/>
      <c r="R516" s="338"/>
      <c r="S516" s="338"/>
      <c r="T516" s="338"/>
      <c r="U516" s="338"/>
      <c r="V516" s="338"/>
      <c r="W516" s="338"/>
      <c r="X516" s="338"/>
      <c r="Y516" s="338"/>
      <c r="Z516" s="338"/>
      <c r="AA516" s="338"/>
    </row>
    <row r="517" ht="15.75" customHeight="1">
      <c r="A517" s="339">
        <v>516.0</v>
      </c>
      <c r="B517" s="339" t="s">
        <v>2398</v>
      </c>
      <c r="C517" s="339" t="s">
        <v>2399</v>
      </c>
      <c r="D517" s="339" t="s">
        <v>1075</v>
      </c>
      <c r="E517" s="339" t="s">
        <v>844</v>
      </c>
      <c r="F517" s="339">
        <v>1.02005938782E11</v>
      </c>
      <c r="G517" s="342"/>
      <c r="H517" s="342"/>
      <c r="I517" s="342"/>
      <c r="J517" s="342"/>
      <c r="K517" s="338"/>
      <c r="L517" s="338"/>
      <c r="M517" s="338"/>
      <c r="N517" s="338"/>
      <c r="O517" s="338"/>
      <c r="P517" s="338"/>
      <c r="Q517" s="338"/>
      <c r="R517" s="338"/>
      <c r="S517" s="338"/>
      <c r="T517" s="338"/>
      <c r="U517" s="338"/>
      <c r="V517" s="338"/>
      <c r="W517" s="338"/>
      <c r="X517" s="338"/>
      <c r="Y517" s="338"/>
      <c r="Z517" s="338"/>
      <c r="AA517" s="338"/>
    </row>
    <row r="518" ht="15.75" customHeight="1">
      <c r="A518" s="339">
        <v>517.0</v>
      </c>
      <c r="B518" s="339" t="s">
        <v>2400</v>
      </c>
      <c r="C518" s="339" t="s">
        <v>2401</v>
      </c>
      <c r="D518" s="339" t="s">
        <v>2402</v>
      </c>
      <c r="E518" s="339"/>
      <c r="F518" s="339"/>
      <c r="G518" s="342"/>
      <c r="H518" s="342"/>
      <c r="I518" s="342"/>
      <c r="J518" s="342"/>
      <c r="K518" s="338"/>
      <c r="L518" s="338"/>
      <c r="M518" s="338"/>
      <c r="N518" s="338"/>
      <c r="O518" s="338"/>
      <c r="P518" s="338"/>
      <c r="Q518" s="338"/>
      <c r="R518" s="338"/>
      <c r="S518" s="338"/>
      <c r="T518" s="338"/>
      <c r="U518" s="338"/>
      <c r="V518" s="338"/>
      <c r="W518" s="338"/>
      <c r="X518" s="338"/>
      <c r="Y518" s="338"/>
      <c r="Z518" s="338"/>
      <c r="AA518" s="338"/>
    </row>
    <row r="519" ht="15.75" customHeight="1">
      <c r="A519" s="339">
        <v>518.0</v>
      </c>
      <c r="B519" s="339" t="s">
        <v>2403</v>
      </c>
      <c r="C519" s="340" t="s">
        <v>1733</v>
      </c>
      <c r="D519" s="339" t="s">
        <v>1198</v>
      </c>
      <c r="E519" s="339" t="s">
        <v>699</v>
      </c>
      <c r="F519" s="339">
        <v>1.903593850801E13</v>
      </c>
      <c r="G519" s="342"/>
      <c r="H519" s="342"/>
      <c r="I519" s="342"/>
      <c r="J519" s="342"/>
      <c r="K519" s="338"/>
      <c r="L519" s="338"/>
      <c r="M519" s="338"/>
      <c r="N519" s="338"/>
      <c r="O519" s="338"/>
      <c r="P519" s="338"/>
      <c r="Q519" s="338"/>
      <c r="R519" s="338"/>
      <c r="S519" s="338"/>
      <c r="T519" s="338"/>
      <c r="U519" s="338"/>
      <c r="V519" s="338"/>
      <c r="W519" s="338"/>
      <c r="X519" s="338"/>
      <c r="Y519" s="338"/>
      <c r="Z519" s="338"/>
      <c r="AA519" s="338"/>
    </row>
    <row r="520" ht="15.75" customHeight="1">
      <c r="A520" s="339">
        <v>519.0</v>
      </c>
      <c r="B520" s="339" t="s">
        <v>2404</v>
      </c>
      <c r="C520" s="339" t="s">
        <v>415</v>
      </c>
      <c r="D520" s="339" t="s">
        <v>1022</v>
      </c>
      <c r="E520" s="339" t="s">
        <v>2405</v>
      </c>
      <c r="F520" s="339">
        <v>8.831420318E9</v>
      </c>
      <c r="G520" s="342"/>
      <c r="H520" s="342"/>
      <c r="I520" s="342"/>
      <c r="J520" s="342"/>
      <c r="K520" s="338"/>
      <c r="L520" s="338"/>
      <c r="M520" s="338"/>
      <c r="N520" s="338"/>
      <c r="O520" s="338"/>
      <c r="P520" s="338"/>
      <c r="Q520" s="338"/>
      <c r="R520" s="338"/>
      <c r="S520" s="338"/>
      <c r="T520" s="338"/>
      <c r="U520" s="338"/>
      <c r="V520" s="338"/>
      <c r="W520" s="338"/>
      <c r="X520" s="338"/>
      <c r="Y520" s="338"/>
      <c r="Z520" s="338"/>
      <c r="AA520" s="338"/>
    </row>
    <row r="521" ht="15.75" customHeight="1">
      <c r="A521" s="339">
        <v>520.0</v>
      </c>
      <c r="B521" s="339" t="s">
        <v>2406</v>
      </c>
      <c r="C521" s="339" t="s">
        <v>2407</v>
      </c>
      <c r="D521" s="339" t="s">
        <v>2408</v>
      </c>
      <c r="E521" s="339" t="s">
        <v>2409</v>
      </c>
      <c r="F521" s="339">
        <v>1.600101090169E13</v>
      </c>
      <c r="G521" s="342" t="s">
        <v>2406</v>
      </c>
      <c r="H521" s="342"/>
      <c r="I521" s="342"/>
      <c r="J521" s="342" t="s">
        <v>927</v>
      </c>
      <c r="K521" s="338"/>
      <c r="L521" s="338"/>
      <c r="M521" s="338"/>
      <c r="N521" s="338"/>
      <c r="O521" s="338"/>
      <c r="P521" s="338"/>
      <c r="Q521" s="338"/>
      <c r="R521" s="338"/>
      <c r="S521" s="338"/>
      <c r="T521" s="338"/>
      <c r="U521" s="338"/>
      <c r="V521" s="338"/>
      <c r="W521" s="338"/>
      <c r="X521" s="338"/>
      <c r="Y521" s="338"/>
      <c r="Z521" s="338"/>
      <c r="AA521" s="338"/>
    </row>
    <row r="522" ht="15.75" customHeight="1">
      <c r="A522" s="339">
        <v>521.0</v>
      </c>
      <c r="B522" s="339" t="s">
        <v>2410</v>
      </c>
      <c r="C522" s="339" t="s">
        <v>2411</v>
      </c>
      <c r="D522" s="339" t="s">
        <v>1983</v>
      </c>
      <c r="E522" s="339" t="s">
        <v>671</v>
      </c>
      <c r="F522" s="339">
        <v>6.01000349054E11</v>
      </c>
      <c r="G522" s="342"/>
      <c r="H522" s="342"/>
      <c r="I522" s="342"/>
      <c r="J522" s="342"/>
      <c r="K522" s="338"/>
      <c r="L522" s="338"/>
      <c r="M522" s="338"/>
      <c r="N522" s="338"/>
      <c r="O522" s="338"/>
      <c r="P522" s="338"/>
      <c r="Q522" s="338"/>
      <c r="R522" s="338"/>
      <c r="S522" s="338"/>
      <c r="T522" s="338"/>
      <c r="U522" s="338"/>
      <c r="V522" s="338"/>
      <c r="W522" s="338"/>
      <c r="X522" s="338"/>
      <c r="Y522" s="338"/>
      <c r="Z522" s="338"/>
      <c r="AA522" s="338"/>
    </row>
    <row r="523" ht="15.75" customHeight="1">
      <c r="A523" s="339">
        <v>522.0</v>
      </c>
      <c r="B523" s="339" t="s">
        <v>2412</v>
      </c>
      <c r="C523" s="339" t="s">
        <v>2413</v>
      </c>
      <c r="D523" s="339" t="s">
        <v>1270</v>
      </c>
      <c r="E523" s="339" t="s">
        <v>659</v>
      </c>
      <c r="F523" s="339">
        <v>2.206181711E9</v>
      </c>
      <c r="G523" s="342" t="s">
        <v>2414</v>
      </c>
      <c r="H523" s="342"/>
      <c r="I523" s="342"/>
      <c r="J523" s="342" t="s">
        <v>1056</v>
      </c>
      <c r="K523" s="338"/>
      <c r="L523" s="338"/>
      <c r="M523" s="338"/>
      <c r="N523" s="338"/>
      <c r="O523" s="338"/>
      <c r="P523" s="338"/>
      <c r="Q523" s="338"/>
      <c r="R523" s="338"/>
      <c r="S523" s="338"/>
      <c r="T523" s="338"/>
      <c r="U523" s="338"/>
      <c r="V523" s="338"/>
      <c r="W523" s="338"/>
      <c r="X523" s="338"/>
      <c r="Y523" s="338"/>
      <c r="Z523" s="338"/>
      <c r="AA523" s="338"/>
    </row>
    <row r="524" ht="15.75" customHeight="1">
      <c r="A524" s="339">
        <v>523.0</v>
      </c>
      <c r="B524" s="339" t="s">
        <v>2415</v>
      </c>
      <c r="C524" s="339" t="s">
        <v>2416</v>
      </c>
      <c r="D524" s="339" t="s">
        <v>1427</v>
      </c>
      <c r="E524" s="339" t="s">
        <v>743</v>
      </c>
      <c r="F524" s="339">
        <v>9.78233265E8</v>
      </c>
      <c r="G524" s="342"/>
      <c r="H524" s="342"/>
      <c r="I524" s="342"/>
      <c r="J524" s="342"/>
      <c r="K524" s="338"/>
      <c r="L524" s="338"/>
      <c r="M524" s="338"/>
      <c r="N524" s="338"/>
      <c r="O524" s="338"/>
      <c r="P524" s="338"/>
      <c r="Q524" s="338"/>
      <c r="R524" s="338"/>
      <c r="S524" s="338"/>
      <c r="T524" s="338"/>
      <c r="U524" s="338"/>
      <c r="V524" s="338"/>
      <c r="W524" s="338"/>
      <c r="X524" s="338"/>
      <c r="Y524" s="338"/>
      <c r="Z524" s="338"/>
      <c r="AA524" s="338"/>
    </row>
    <row r="525" ht="15.75" customHeight="1">
      <c r="A525" s="339">
        <v>524.0</v>
      </c>
      <c r="B525" s="339" t="s">
        <v>2417</v>
      </c>
      <c r="C525" s="340" t="s">
        <v>1227</v>
      </c>
      <c r="D525" s="339" t="s">
        <v>1228</v>
      </c>
      <c r="E525" s="339" t="s">
        <v>692</v>
      </c>
      <c r="F525" s="339">
        <v>8.88128686E8</v>
      </c>
      <c r="G525" s="342"/>
      <c r="H525" s="342"/>
      <c r="I525" s="342"/>
      <c r="J525" s="342"/>
      <c r="K525" s="338"/>
      <c r="L525" s="338"/>
      <c r="M525" s="338"/>
      <c r="N525" s="338"/>
      <c r="O525" s="338"/>
      <c r="P525" s="338"/>
      <c r="Q525" s="338"/>
      <c r="R525" s="338"/>
      <c r="S525" s="338"/>
      <c r="T525" s="338"/>
      <c r="U525" s="338"/>
      <c r="V525" s="338"/>
      <c r="W525" s="338"/>
      <c r="X525" s="338"/>
      <c r="Y525" s="338"/>
      <c r="Z525" s="338"/>
      <c r="AA525" s="338"/>
    </row>
    <row r="526" ht="15.75" customHeight="1">
      <c r="A526" s="339">
        <v>525.0</v>
      </c>
      <c r="B526" s="339" t="s">
        <v>2418</v>
      </c>
      <c r="C526" s="339" t="s">
        <v>2419</v>
      </c>
      <c r="D526" s="339" t="s">
        <v>2420</v>
      </c>
      <c r="E526" s="339" t="s">
        <v>844</v>
      </c>
      <c r="F526" s="339">
        <v>9.19653092E8</v>
      </c>
      <c r="G526" s="342"/>
      <c r="H526" s="342"/>
      <c r="I526" s="342"/>
      <c r="J526" s="342"/>
      <c r="K526" s="338"/>
      <c r="L526" s="338"/>
      <c r="M526" s="338"/>
      <c r="N526" s="338"/>
      <c r="O526" s="338"/>
      <c r="P526" s="338"/>
      <c r="Q526" s="338"/>
      <c r="R526" s="338"/>
      <c r="S526" s="338"/>
      <c r="T526" s="338"/>
      <c r="U526" s="338"/>
      <c r="V526" s="338"/>
      <c r="W526" s="338"/>
      <c r="X526" s="338"/>
      <c r="Y526" s="338"/>
      <c r="Z526" s="338"/>
      <c r="AA526" s="338"/>
    </row>
    <row r="527" ht="15.75" customHeight="1">
      <c r="A527" s="339">
        <v>526.0</v>
      </c>
      <c r="B527" s="339" t="s">
        <v>2421</v>
      </c>
      <c r="C527" s="339" t="s">
        <v>2422</v>
      </c>
      <c r="D527" s="339" t="s">
        <v>1067</v>
      </c>
      <c r="E527" s="339" t="s">
        <v>844</v>
      </c>
      <c r="F527" s="339">
        <v>9.44640033E8</v>
      </c>
      <c r="G527" s="342"/>
      <c r="H527" s="342"/>
      <c r="I527" s="342"/>
      <c r="J527" s="342"/>
      <c r="K527" s="338"/>
      <c r="L527" s="338"/>
      <c r="M527" s="338"/>
      <c r="N527" s="338"/>
      <c r="O527" s="338"/>
      <c r="P527" s="338"/>
      <c r="Q527" s="338"/>
      <c r="R527" s="338"/>
      <c r="S527" s="338"/>
      <c r="T527" s="338"/>
      <c r="U527" s="338"/>
      <c r="V527" s="338"/>
      <c r="W527" s="338"/>
      <c r="X527" s="338"/>
      <c r="Y527" s="338"/>
      <c r="Z527" s="338"/>
      <c r="AA527" s="338"/>
    </row>
    <row r="528" ht="15.75" customHeight="1">
      <c r="A528" s="339">
        <v>527.0</v>
      </c>
      <c r="B528" s="339" t="s">
        <v>2423</v>
      </c>
      <c r="C528" s="339" t="s">
        <v>2424</v>
      </c>
      <c r="D528" s="339" t="s">
        <v>2425</v>
      </c>
      <c r="E528" s="339" t="s">
        <v>659</v>
      </c>
      <c r="F528" s="339">
        <v>2.1110000638231E13</v>
      </c>
      <c r="G528" s="342"/>
      <c r="H528" s="342"/>
      <c r="I528" s="342"/>
      <c r="J528" s="342"/>
      <c r="K528" s="338"/>
      <c r="L528" s="338"/>
      <c r="M528" s="338"/>
      <c r="N528" s="338"/>
      <c r="O528" s="338"/>
      <c r="P528" s="338"/>
      <c r="Q528" s="338"/>
      <c r="R528" s="338"/>
      <c r="S528" s="338"/>
      <c r="T528" s="338"/>
      <c r="U528" s="338"/>
      <c r="V528" s="338"/>
      <c r="W528" s="338"/>
      <c r="X528" s="338"/>
      <c r="Y528" s="338"/>
      <c r="Z528" s="338"/>
      <c r="AA528" s="338"/>
    </row>
    <row r="529" ht="15.75" customHeight="1">
      <c r="A529" s="339">
        <v>528.0</v>
      </c>
      <c r="B529" s="339" t="s">
        <v>2426</v>
      </c>
      <c r="C529" s="339" t="s">
        <v>2427</v>
      </c>
      <c r="D529" s="339" t="s">
        <v>2428</v>
      </c>
      <c r="E529" s="339" t="s">
        <v>743</v>
      </c>
      <c r="F529" s="339">
        <v>8.90948482555E11</v>
      </c>
      <c r="G529" s="342"/>
      <c r="H529" s="342"/>
      <c r="I529" s="342"/>
      <c r="J529" s="342"/>
      <c r="K529" s="338"/>
      <c r="L529" s="338"/>
      <c r="M529" s="338"/>
      <c r="N529" s="338"/>
      <c r="O529" s="338"/>
      <c r="P529" s="338"/>
      <c r="Q529" s="338"/>
      <c r="R529" s="338"/>
      <c r="S529" s="338"/>
      <c r="T529" s="338"/>
      <c r="U529" s="338"/>
      <c r="V529" s="338"/>
      <c r="W529" s="338"/>
      <c r="X529" s="338"/>
      <c r="Y529" s="338"/>
      <c r="Z529" s="338"/>
      <c r="AA529" s="338"/>
    </row>
    <row r="530" ht="15.75" customHeight="1">
      <c r="A530" s="339">
        <v>529.0</v>
      </c>
      <c r="B530" s="339" t="s">
        <v>2429</v>
      </c>
      <c r="C530" s="339" t="s">
        <v>2430</v>
      </c>
      <c r="D530" s="339" t="s">
        <v>998</v>
      </c>
      <c r="E530" s="339" t="s">
        <v>692</v>
      </c>
      <c r="F530" s="339">
        <v>9.16167218E8</v>
      </c>
      <c r="G530" s="342"/>
      <c r="H530" s="342"/>
      <c r="I530" s="342"/>
      <c r="J530" s="342"/>
      <c r="K530" s="338"/>
      <c r="L530" s="338"/>
      <c r="M530" s="338"/>
      <c r="N530" s="338"/>
      <c r="O530" s="338"/>
      <c r="P530" s="338"/>
      <c r="Q530" s="338"/>
      <c r="R530" s="338"/>
      <c r="S530" s="338"/>
      <c r="T530" s="338"/>
      <c r="U530" s="338"/>
      <c r="V530" s="338"/>
      <c r="W530" s="338"/>
      <c r="X530" s="338"/>
      <c r="Y530" s="338"/>
      <c r="Z530" s="338"/>
      <c r="AA530" s="338"/>
    </row>
    <row r="531" ht="15.75" customHeight="1">
      <c r="A531" s="339">
        <v>530.0</v>
      </c>
      <c r="B531" s="339" t="s">
        <v>2431</v>
      </c>
      <c r="C531" s="339" t="s">
        <v>2432</v>
      </c>
      <c r="D531" s="339" t="s">
        <v>1022</v>
      </c>
      <c r="E531" s="339" t="s">
        <v>663</v>
      </c>
      <c r="F531" s="339">
        <v>1.05004339274E11</v>
      </c>
      <c r="G531" s="342"/>
      <c r="H531" s="342"/>
      <c r="I531" s="342"/>
      <c r="J531" s="342"/>
      <c r="K531" s="338"/>
      <c r="L531" s="338"/>
      <c r="M531" s="338"/>
      <c r="N531" s="338"/>
      <c r="O531" s="338"/>
      <c r="P531" s="338"/>
      <c r="Q531" s="338"/>
      <c r="R531" s="338"/>
      <c r="S531" s="338"/>
      <c r="T531" s="338"/>
      <c r="U531" s="338"/>
      <c r="V531" s="338"/>
      <c r="W531" s="338"/>
      <c r="X531" s="338"/>
      <c r="Y531" s="338"/>
      <c r="Z531" s="338"/>
      <c r="AA531" s="338"/>
    </row>
    <row r="532" ht="15.75" customHeight="1">
      <c r="A532" s="339">
        <v>531.0</v>
      </c>
      <c r="B532" s="339" t="s">
        <v>838</v>
      </c>
      <c r="C532" s="339" t="s">
        <v>463</v>
      </c>
      <c r="D532" s="339" t="s">
        <v>1075</v>
      </c>
      <c r="E532" s="339" t="s">
        <v>692</v>
      </c>
      <c r="F532" s="339">
        <v>9.11888999999E11</v>
      </c>
      <c r="G532" s="342"/>
      <c r="H532" s="342"/>
      <c r="I532" s="342"/>
      <c r="J532" s="342"/>
      <c r="K532" s="338"/>
      <c r="L532" s="338"/>
      <c r="M532" s="338"/>
      <c r="N532" s="338"/>
      <c r="O532" s="338"/>
      <c r="P532" s="338"/>
      <c r="Q532" s="338"/>
      <c r="R532" s="338"/>
      <c r="S532" s="338"/>
      <c r="T532" s="338"/>
      <c r="U532" s="338"/>
      <c r="V532" s="338"/>
      <c r="W532" s="338"/>
      <c r="X532" s="338"/>
      <c r="Y532" s="338"/>
      <c r="Z532" s="338"/>
      <c r="AA532" s="338"/>
    </row>
    <row r="533" ht="15.75" customHeight="1">
      <c r="A533" s="339">
        <v>532.0</v>
      </c>
      <c r="B533" s="339" t="s">
        <v>2433</v>
      </c>
      <c r="C533" s="339" t="s">
        <v>2434</v>
      </c>
      <c r="D533" s="339" t="s">
        <v>1102</v>
      </c>
      <c r="E533" s="339" t="s">
        <v>970</v>
      </c>
      <c r="F533" s="339">
        <v>8.669669666888E12</v>
      </c>
      <c r="G533" s="342"/>
      <c r="H533" s="342"/>
      <c r="I533" s="342"/>
      <c r="J533" s="342"/>
      <c r="K533" s="338"/>
      <c r="L533" s="338"/>
      <c r="M533" s="338"/>
      <c r="N533" s="338"/>
      <c r="O533" s="338"/>
      <c r="P533" s="338"/>
      <c r="Q533" s="338"/>
      <c r="R533" s="338"/>
      <c r="S533" s="338"/>
      <c r="T533" s="338"/>
      <c r="U533" s="338"/>
      <c r="V533" s="338"/>
      <c r="W533" s="338"/>
      <c r="X533" s="338"/>
      <c r="Y533" s="338"/>
      <c r="Z533" s="338"/>
      <c r="AA533" s="338"/>
    </row>
    <row r="534" ht="15.75" customHeight="1">
      <c r="A534" s="339">
        <v>533.0</v>
      </c>
      <c r="B534" s="339" t="s">
        <v>2435</v>
      </c>
      <c r="C534" s="339" t="s">
        <v>2436</v>
      </c>
      <c r="D534" s="339" t="s">
        <v>2437</v>
      </c>
      <c r="E534" s="339"/>
      <c r="F534" s="339"/>
      <c r="G534" s="342"/>
      <c r="H534" s="342"/>
      <c r="I534" s="342"/>
      <c r="J534" s="342"/>
      <c r="K534" s="338"/>
      <c r="L534" s="338"/>
      <c r="M534" s="338"/>
      <c r="N534" s="338"/>
      <c r="O534" s="338"/>
      <c r="P534" s="338"/>
      <c r="Q534" s="338"/>
      <c r="R534" s="338"/>
      <c r="S534" s="338"/>
      <c r="T534" s="338"/>
      <c r="U534" s="338"/>
      <c r="V534" s="338"/>
      <c r="W534" s="338"/>
      <c r="X534" s="338"/>
      <c r="Y534" s="338"/>
      <c r="Z534" s="338"/>
      <c r="AA534" s="338"/>
    </row>
    <row r="535" ht="15.75" customHeight="1">
      <c r="A535" s="339">
        <v>534.0</v>
      </c>
      <c r="B535" s="339" t="s">
        <v>2438</v>
      </c>
      <c r="C535" s="340" t="s">
        <v>412</v>
      </c>
      <c r="D535" s="339" t="s">
        <v>1300</v>
      </c>
      <c r="E535" s="339" t="s">
        <v>699</v>
      </c>
      <c r="F535" s="339">
        <v>1.3320618013018E13</v>
      </c>
      <c r="G535" s="342"/>
      <c r="H535" s="342"/>
      <c r="I535" s="342"/>
      <c r="J535" s="342"/>
      <c r="K535" s="338"/>
      <c r="L535" s="338"/>
      <c r="M535" s="338"/>
      <c r="N535" s="338"/>
      <c r="O535" s="338"/>
      <c r="P535" s="338"/>
      <c r="Q535" s="338"/>
      <c r="R535" s="338"/>
      <c r="S535" s="338"/>
      <c r="T535" s="338"/>
      <c r="U535" s="338"/>
      <c r="V535" s="338"/>
      <c r="W535" s="338"/>
      <c r="X535" s="338"/>
      <c r="Y535" s="338"/>
      <c r="Z535" s="338"/>
      <c r="AA535" s="338"/>
    </row>
    <row r="536" ht="15.75" customHeight="1">
      <c r="A536" s="339">
        <v>535.0</v>
      </c>
      <c r="B536" s="339" t="s">
        <v>872</v>
      </c>
      <c r="C536" s="340" t="s">
        <v>873</v>
      </c>
      <c r="D536" s="339" t="s">
        <v>910</v>
      </c>
      <c r="E536" s="339" t="s">
        <v>699</v>
      </c>
      <c r="F536" s="339">
        <v>1.9038861727015E13</v>
      </c>
      <c r="G536" s="342"/>
      <c r="H536" s="342"/>
      <c r="I536" s="342"/>
      <c r="J536" s="342"/>
      <c r="K536" s="338"/>
      <c r="L536" s="338"/>
      <c r="M536" s="338"/>
      <c r="N536" s="338"/>
      <c r="O536" s="338"/>
      <c r="P536" s="338"/>
      <c r="Q536" s="338"/>
      <c r="R536" s="338"/>
      <c r="S536" s="338"/>
      <c r="T536" s="338"/>
      <c r="U536" s="338"/>
      <c r="V536" s="338"/>
      <c r="W536" s="338"/>
      <c r="X536" s="338"/>
      <c r="Y536" s="338"/>
      <c r="Z536" s="338"/>
      <c r="AA536" s="338"/>
    </row>
    <row r="537" ht="15.75" customHeight="1">
      <c r="A537" s="339">
        <v>536.0</v>
      </c>
      <c r="B537" s="339" t="s">
        <v>2439</v>
      </c>
      <c r="C537" s="339" t="s">
        <v>2440</v>
      </c>
      <c r="D537" s="339" t="s">
        <v>1707</v>
      </c>
      <c r="E537" s="339" t="s">
        <v>699</v>
      </c>
      <c r="F537" s="339">
        <v>1.00352454574E11</v>
      </c>
      <c r="G537" s="342"/>
      <c r="H537" s="342"/>
      <c r="I537" s="342"/>
      <c r="J537" s="342"/>
      <c r="K537" s="338"/>
      <c r="L537" s="338"/>
      <c r="M537" s="338"/>
      <c r="N537" s="338"/>
      <c r="O537" s="338"/>
      <c r="P537" s="338"/>
      <c r="Q537" s="338"/>
      <c r="R537" s="338"/>
      <c r="S537" s="338"/>
      <c r="T537" s="338"/>
      <c r="U537" s="338"/>
      <c r="V537" s="338"/>
      <c r="W537" s="338"/>
      <c r="X537" s="338"/>
      <c r="Y537" s="338"/>
      <c r="Z537" s="338"/>
      <c r="AA537" s="338"/>
    </row>
    <row r="538" ht="15.75" customHeight="1">
      <c r="A538" s="339">
        <v>537.0</v>
      </c>
      <c r="B538" s="339" t="s">
        <v>731</v>
      </c>
      <c r="C538" s="339" t="s">
        <v>732</v>
      </c>
      <c r="D538" s="339" t="s">
        <v>2441</v>
      </c>
      <c r="E538" s="339" t="s">
        <v>735</v>
      </c>
      <c r="F538" s="339">
        <v>838356.0</v>
      </c>
      <c r="G538" s="342"/>
      <c r="H538" s="342"/>
      <c r="I538" s="342"/>
      <c r="J538" s="342"/>
      <c r="K538" s="338"/>
      <c r="L538" s="338"/>
      <c r="M538" s="338"/>
      <c r="N538" s="338"/>
      <c r="O538" s="338"/>
      <c r="P538" s="338"/>
      <c r="Q538" s="338"/>
      <c r="R538" s="338"/>
      <c r="S538" s="338"/>
      <c r="T538" s="338"/>
      <c r="U538" s="338"/>
      <c r="V538" s="338"/>
      <c r="W538" s="338"/>
      <c r="X538" s="338"/>
      <c r="Y538" s="338"/>
      <c r="Z538" s="338"/>
      <c r="AA538" s="338"/>
    </row>
    <row r="539" ht="15.75" customHeight="1">
      <c r="A539" s="339">
        <v>538.0</v>
      </c>
      <c r="B539" s="339" t="s">
        <v>2442</v>
      </c>
      <c r="C539" s="339" t="s">
        <v>2443</v>
      </c>
      <c r="D539" s="339" t="s">
        <v>1594</v>
      </c>
      <c r="E539" s="339" t="s">
        <v>692</v>
      </c>
      <c r="F539" s="339">
        <v>9.99923250195E11</v>
      </c>
      <c r="G539" s="342"/>
      <c r="H539" s="342"/>
      <c r="I539" s="342"/>
      <c r="J539" s="342"/>
      <c r="K539" s="338"/>
      <c r="L539" s="338"/>
      <c r="M539" s="338"/>
      <c r="N539" s="338"/>
      <c r="O539" s="338"/>
      <c r="P539" s="338"/>
      <c r="Q539" s="338"/>
      <c r="R539" s="338"/>
      <c r="S539" s="338"/>
      <c r="T539" s="338"/>
      <c r="U539" s="338"/>
      <c r="V539" s="338"/>
      <c r="W539" s="338"/>
      <c r="X539" s="338"/>
      <c r="Y539" s="338"/>
      <c r="Z539" s="338"/>
      <c r="AA539" s="338"/>
    </row>
    <row r="540" ht="15.75" customHeight="1">
      <c r="A540" s="339">
        <v>539.0</v>
      </c>
      <c r="B540" s="339" t="s">
        <v>2444</v>
      </c>
      <c r="C540" s="339" t="s">
        <v>2445</v>
      </c>
      <c r="D540" s="339" t="s">
        <v>1336</v>
      </c>
      <c r="E540" s="339" t="s">
        <v>659</v>
      </c>
      <c r="F540" s="339">
        <v>5.510095011E9</v>
      </c>
      <c r="G540" s="342"/>
      <c r="H540" s="342"/>
      <c r="I540" s="342"/>
      <c r="J540" s="342"/>
      <c r="K540" s="338"/>
      <c r="L540" s="338"/>
      <c r="M540" s="338"/>
      <c r="N540" s="338"/>
      <c r="O540" s="338"/>
      <c r="P540" s="338"/>
      <c r="Q540" s="338"/>
      <c r="R540" s="338"/>
      <c r="S540" s="338"/>
      <c r="T540" s="338"/>
      <c r="U540" s="338"/>
      <c r="V540" s="338"/>
      <c r="W540" s="338"/>
      <c r="X540" s="338"/>
      <c r="Y540" s="338"/>
      <c r="Z540" s="338"/>
      <c r="AA540" s="338"/>
    </row>
    <row r="541" ht="15.75" customHeight="1">
      <c r="A541" s="339">
        <v>540.0</v>
      </c>
      <c r="B541" s="339" t="s">
        <v>2446</v>
      </c>
      <c r="C541" s="339" t="s">
        <v>2447</v>
      </c>
      <c r="D541" s="339" t="s">
        <v>956</v>
      </c>
      <c r="E541" s="339" t="s">
        <v>699</v>
      </c>
      <c r="F541" s="339">
        <v>1.9023592202019E13</v>
      </c>
      <c r="G541" s="342"/>
      <c r="H541" s="342"/>
      <c r="I541" s="342"/>
      <c r="J541" s="342"/>
      <c r="K541" s="338"/>
      <c r="L541" s="338"/>
      <c r="M541" s="338"/>
      <c r="N541" s="338"/>
      <c r="O541" s="338"/>
      <c r="P541" s="338"/>
      <c r="Q541" s="338"/>
      <c r="R541" s="338"/>
      <c r="S541" s="338"/>
      <c r="T541" s="338"/>
      <c r="U541" s="338"/>
      <c r="V541" s="338"/>
      <c r="W541" s="338"/>
      <c r="X541" s="338"/>
      <c r="Y541" s="338"/>
      <c r="Z541" s="338"/>
      <c r="AA541" s="338"/>
    </row>
    <row r="542" ht="15.75" customHeight="1">
      <c r="A542" s="339">
        <v>541.0</v>
      </c>
      <c r="B542" s="339" t="s">
        <v>2448</v>
      </c>
      <c r="C542" s="339" t="s">
        <v>2449</v>
      </c>
      <c r="D542" s="339" t="s">
        <v>1231</v>
      </c>
      <c r="E542" s="339" t="s">
        <v>692</v>
      </c>
      <c r="F542" s="339">
        <v>9.87345582E8</v>
      </c>
      <c r="G542" s="342"/>
      <c r="H542" s="342"/>
      <c r="I542" s="342"/>
      <c r="J542" s="342"/>
      <c r="K542" s="338"/>
      <c r="L542" s="338"/>
      <c r="M542" s="338"/>
      <c r="N542" s="338"/>
      <c r="O542" s="338"/>
      <c r="P542" s="338"/>
      <c r="Q542" s="338"/>
      <c r="R542" s="338"/>
      <c r="S542" s="338"/>
      <c r="T542" s="338"/>
      <c r="U542" s="338"/>
      <c r="V542" s="338"/>
      <c r="W542" s="338"/>
      <c r="X542" s="338"/>
      <c r="Y542" s="338"/>
      <c r="Z542" s="338"/>
      <c r="AA542" s="338"/>
    </row>
    <row r="543" ht="15.75" customHeight="1">
      <c r="A543" s="339">
        <v>542.0</v>
      </c>
      <c r="B543" s="339" t="s">
        <v>2450</v>
      </c>
      <c r="C543" s="339" t="s">
        <v>2451</v>
      </c>
      <c r="D543" s="339" t="s">
        <v>979</v>
      </c>
      <c r="E543" s="339" t="s">
        <v>659</v>
      </c>
      <c r="F543" s="339">
        <v>5.1010000199932E13</v>
      </c>
      <c r="G543" s="342"/>
      <c r="H543" s="342"/>
      <c r="I543" s="342"/>
      <c r="J543" s="342"/>
      <c r="K543" s="338"/>
      <c r="L543" s="338"/>
      <c r="M543" s="338"/>
      <c r="N543" s="338"/>
      <c r="O543" s="338"/>
      <c r="P543" s="338"/>
      <c r="Q543" s="338"/>
      <c r="R543" s="338"/>
      <c r="S543" s="338"/>
      <c r="T543" s="338"/>
      <c r="U543" s="338"/>
      <c r="V543" s="338"/>
      <c r="W543" s="338"/>
      <c r="X543" s="338"/>
      <c r="Y543" s="338"/>
      <c r="Z543" s="338"/>
      <c r="AA543" s="338"/>
    </row>
    <row r="544" ht="15.75" customHeight="1">
      <c r="A544" s="339">
        <v>543.0</v>
      </c>
      <c r="B544" s="339" t="s">
        <v>2452</v>
      </c>
      <c r="C544" s="339" t="s">
        <v>2453</v>
      </c>
      <c r="D544" s="339" t="s">
        <v>2454</v>
      </c>
      <c r="E544" s="339" t="s">
        <v>699</v>
      </c>
      <c r="F544" s="339">
        <v>1.9039020116018E13</v>
      </c>
      <c r="G544" s="342"/>
      <c r="H544" s="342"/>
      <c r="I544" s="342"/>
      <c r="J544" s="342"/>
      <c r="K544" s="338"/>
      <c r="L544" s="338"/>
      <c r="M544" s="338"/>
      <c r="N544" s="338"/>
      <c r="O544" s="338"/>
      <c r="P544" s="338"/>
      <c r="Q544" s="338"/>
      <c r="R544" s="338"/>
      <c r="S544" s="338"/>
      <c r="T544" s="338"/>
      <c r="U544" s="338"/>
      <c r="V544" s="338"/>
      <c r="W544" s="338"/>
      <c r="X544" s="338"/>
      <c r="Y544" s="338"/>
      <c r="Z544" s="338"/>
      <c r="AA544" s="338"/>
    </row>
    <row r="545" ht="15.75" customHeight="1">
      <c r="A545" s="339">
        <v>544.0</v>
      </c>
      <c r="B545" s="339" t="s">
        <v>2455</v>
      </c>
      <c r="C545" s="339" t="s">
        <v>2456</v>
      </c>
      <c r="D545" s="339" t="s">
        <v>1022</v>
      </c>
      <c r="E545" s="339" t="s">
        <v>2457</v>
      </c>
      <c r="F545" s="339" t="s">
        <v>2458</v>
      </c>
      <c r="G545" s="342"/>
      <c r="H545" s="342"/>
      <c r="I545" s="342"/>
      <c r="J545" s="342"/>
      <c r="K545" s="338"/>
      <c r="L545" s="338"/>
      <c r="M545" s="338"/>
      <c r="N545" s="338"/>
      <c r="O545" s="338"/>
      <c r="P545" s="338"/>
      <c r="Q545" s="338"/>
      <c r="R545" s="338"/>
      <c r="S545" s="338"/>
      <c r="T545" s="338"/>
      <c r="U545" s="338"/>
      <c r="V545" s="338"/>
      <c r="W545" s="338"/>
      <c r="X545" s="338"/>
      <c r="Y545" s="338"/>
      <c r="Z545" s="338"/>
      <c r="AA545" s="338"/>
    </row>
    <row r="546" ht="15.75" customHeight="1">
      <c r="A546" s="339">
        <v>545.0</v>
      </c>
      <c r="B546" s="339" t="s">
        <v>2459</v>
      </c>
      <c r="C546" s="339" t="s">
        <v>578</v>
      </c>
      <c r="D546" s="339" t="s">
        <v>1455</v>
      </c>
      <c r="E546" s="339" t="s">
        <v>692</v>
      </c>
      <c r="F546" s="339">
        <v>3.53470421E8</v>
      </c>
      <c r="G546" s="342"/>
      <c r="H546" s="342"/>
      <c r="I546" s="342"/>
      <c r="J546" s="342"/>
      <c r="K546" s="338"/>
      <c r="L546" s="338"/>
      <c r="M546" s="338"/>
      <c r="N546" s="338"/>
      <c r="O546" s="338"/>
      <c r="P546" s="338"/>
      <c r="Q546" s="338"/>
      <c r="R546" s="338"/>
      <c r="S546" s="338"/>
      <c r="T546" s="338"/>
      <c r="U546" s="338"/>
      <c r="V546" s="338"/>
      <c r="W546" s="338"/>
      <c r="X546" s="338"/>
      <c r="Y546" s="338"/>
      <c r="Z546" s="338"/>
      <c r="AA546" s="338"/>
    </row>
    <row r="547" ht="15.75" customHeight="1">
      <c r="A547" s="339">
        <v>546.0</v>
      </c>
      <c r="B547" s="339" t="s">
        <v>2460</v>
      </c>
      <c r="C547" s="339" t="s">
        <v>2461</v>
      </c>
      <c r="D547" s="339" t="s">
        <v>2462</v>
      </c>
      <c r="E547" s="339" t="s">
        <v>735</v>
      </c>
      <c r="F547" s="339">
        <v>7989461.0</v>
      </c>
      <c r="G547" s="342"/>
      <c r="H547" s="342"/>
      <c r="I547" s="342"/>
      <c r="J547" s="342"/>
      <c r="K547" s="338"/>
      <c r="L547" s="338"/>
      <c r="M547" s="338"/>
      <c r="N547" s="338"/>
      <c r="O547" s="338"/>
      <c r="P547" s="338"/>
      <c r="Q547" s="338"/>
      <c r="R547" s="338"/>
      <c r="S547" s="338"/>
      <c r="T547" s="338"/>
      <c r="U547" s="338"/>
      <c r="V547" s="338"/>
      <c r="W547" s="338"/>
      <c r="X547" s="338"/>
      <c r="Y547" s="338"/>
      <c r="Z547" s="338"/>
      <c r="AA547" s="338"/>
    </row>
    <row r="548" ht="15.75" customHeight="1">
      <c r="A548" s="339">
        <v>547.0</v>
      </c>
      <c r="B548" s="339" t="s">
        <v>2463</v>
      </c>
      <c r="C548" s="339" t="s">
        <v>2464</v>
      </c>
      <c r="D548" s="339" t="s">
        <v>2465</v>
      </c>
      <c r="E548" s="339" t="s">
        <v>699</v>
      </c>
      <c r="F548" s="339">
        <v>1.9033732630011E13</v>
      </c>
      <c r="G548" s="342"/>
      <c r="H548" s="342"/>
      <c r="I548" s="342"/>
      <c r="J548" s="342"/>
      <c r="K548" s="338"/>
      <c r="L548" s="338"/>
      <c r="M548" s="338"/>
      <c r="N548" s="338"/>
      <c r="O548" s="338"/>
      <c r="P548" s="338"/>
      <c r="Q548" s="338"/>
      <c r="R548" s="338"/>
      <c r="S548" s="338"/>
      <c r="T548" s="338"/>
      <c r="U548" s="338"/>
      <c r="V548" s="338"/>
      <c r="W548" s="338"/>
      <c r="X548" s="338"/>
      <c r="Y548" s="338"/>
      <c r="Z548" s="338"/>
      <c r="AA548" s="338"/>
    </row>
    <row r="549" ht="15.75" customHeight="1">
      <c r="A549" s="339">
        <v>548.0</v>
      </c>
      <c r="B549" s="339" t="s">
        <v>2466</v>
      </c>
      <c r="C549" s="339" t="s">
        <v>2467</v>
      </c>
      <c r="D549" s="339" t="s">
        <v>1228</v>
      </c>
      <c r="E549" s="339" t="s">
        <v>2468</v>
      </c>
      <c r="F549" s="339">
        <v>4.7114080001E10</v>
      </c>
      <c r="G549" s="342"/>
      <c r="H549" s="342"/>
      <c r="I549" s="342"/>
      <c r="J549" s="342"/>
      <c r="K549" s="338"/>
      <c r="L549" s="338"/>
      <c r="M549" s="338"/>
      <c r="N549" s="338"/>
      <c r="O549" s="338"/>
      <c r="P549" s="338"/>
      <c r="Q549" s="338"/>
      <c r="R549" s="338"/>
      <c r="S549" s="338"/>
      <c r="T549" s="338"/>
      <c r="U549" s="338"/>
      <c r="V549" s="338"/>
      <c r="W549" s="338"/>
      <c r="X549" s="338"/>
      <c r="Y549" s="338"/>
      <c r="Z549" s="338"/>
      <c r="AA549" s="338"/>
    </row>
    <row r="550" ht="15.75" customHeight="1">
      <c r="A550" s="339">
        <v>549.0</v>
      </c>
      <c r="B550" s="339" t="s">
        <v>2469</v>
      </c>
      <c r="C550" s="339" t="s">
        <v>2470</v>
      </c>
      <c r="D550" s="339" t="s">
        <v>1336</v>
      </c>
      <c r="E550" s="339" t="s">
        <v>699</v>
      </c>
      <c r="F550" s="339">
        <v>1.332063641701E13</v>
      </c>
      <c r="G550" s="342"/>
      <c r="H550" s="342"/>
      <c r="I550" s="342"/>
      <c r="J550" s="342"/>
      <c r="K550" s="338"/>
      <c r="L550" s="338"/>
      <c r="M550" s="338"/>
      <c r="N550" s="338"/>
      <c r="O550" s="338"/>
      <c r="P550" s="338"/>
      <c r="Q550" s="338"/>
      <c r="R550" s="338"/>
      <c r="S550" s="338"/>
      <c r="T550" s="338"/>
      <c r="U550" s="338"/>
      <c r="V550" s="338"/>
      <c r="W550" s="338"/>
      <c r="X550" s="338"/>
      <c r="Y550" s="338"/>
      <c r="Z550" s="338"/>
      <c r="AA550" s="338"/>
    </row>
    <row r="551" ht="15.75" customHeight="1">
      <c r="A551" s="339">
        <v>550.0</v>
      </c>
      <c r="B551" s="339" t="s">
        <v>2471</v>
      </c>
      <c r="C551" s="339" t="s">
        <v>2472</v>
      </c>
      <c r="D551" s="339" t="s">
        <v>1099</v>
      </c>
      <c r="E551" s="339" t="s">
        <v>735</v>
      </c>
      <c r="F551" s="339">
        <v>2.4250197E7</v>
      </c>
      <c r="G551" s="342"/>
      <c r="H551" s="342"/>
      <c r="I551" s="342"/>
      <c r="J551" s="342"/>
      <c r="K551" s="338"/>
      <c r="L551" s="338"/>
      <c r="M551" s="338"/>
      <c r="N551" s="338"/>
      <c r="O551" s="338"/>
      <c r="P551" s="338"/>
      <c r="Q551" s="338"/>
      <c r="R551" s="338"/>
      <c r="S551" s="338"/>
      <c r="T551" s="338"/>
      <c r="U551" s="338"/>
      <c r="V551" s="338"/>
      <c r="W551" s="338"/>
      <c r="X551" s="338"/>
      <c r="Y551" s="338"/>
      <c r="Z551" s="338"/>
      <c r="AA551" s="338"/>
    </row>
    <row r="552" ht="15.75" customHeight="1">
      <c r="A552" s="339">
        <v>551.0</v>
      </c>
      <c r="B552" s="339" t="s">
        <v>877</v>
      </c>
      <c r="C552" s="340" t="s">
        <v>878</v>
      </c>
      <c r="D552" s="339" t="s">
        <v>1754</v>
      </c>
      <c r="E552" s="339" t="s">
        <v>699</v>
      </c>
      <c r="F552" s="339">
        <v>1.3322829137018E13</v>
      </c>
      <c r="G552" s="342"/>
      <c r="H552" s="342"/>
      <c r="I552" s="342"/>
      <c r="J552" s="342"/>
      <c r="K552" s="338"/>
      <c r="L552" s="338"/>
      <c r="M552" s="338"/>
      <c r="N552" s="338"/>
      <c r="O552" s="338"/>
      <c r="P552" s="338"/>
      <c r="Q552" s="338"/>
      <c r="R552" s="338"/>
      <c r="S552" s="338"/>
      <c r="T552" s="338"/>
      <c r="U552" s="338"/>
      <c r="V552" s="338"/>
      <c r="W552" s="338"/>
      <c r="X552" s="338"/>
      <c r="Y552" s="338"/>
      <c r="Z552" s="338"/>
      <c r="AA552" s="338"/>
    </row>
    <row r="553" ht="15.75" customHeight="1">
      <c r="A553" s="339">
        <v>552.0</v>
      </c>
      <c r="B553" s="339" t="s">
        <v>2473</v>
      </c>
      <c r="C553" s="339" t="s">
        <v>2474</v>
      </c>
      <c r="D553" s="339" t="s">
        <v>2475</v>
      </c>
      <c r="E553" s="339">
        <v>0.0</v>
      </c>
      <c r="F553" s="339"/>
      <c r="G553" s="342"/>
      <c r="H553" s="342"/>
      <c r="I553" s="342"/>
      <c r="J553" s="342"/>
      <c r="K553" s="338"/>
      <c r="L553" s="338"/>
      <c r="M553" s="338"/>
      <c r="N553" s="338"/>
      <c r="O553" s="338"/>
      <c r="P553" s="338"/>
      <c r="Q553" s="338"/>
      <c r="R553" s="338"/>
      <c r="S553" s="338"/>
      <c r="T553" s="338"/>
      <c r="U553" s="338"/>
      <c r="V553" s="338"/>
      <c r="W553" s="338"/>
      <c r="X553" s="338"/>
      <c r="Y553" s="338"/>
      <c r="Z553" s="338"/>
      <c r="AA553" s="338"/>
    </row>
    <row r="554" ht="15.75" customHeight="1">
      <c r="A554" s="339">
        <v>553.0</v>
      </c>
      <c r="B554" s="339" t="s">
        <v>2476</v>
      </c>
      <c r="C554" s="339" t="s">
        <v>583</v>
      </c>
      <c r="D554" s="339" t="s">
        <v>933</v>
      </c>
      <c r="E554" s="339" t="s">
        <v>1919</v>
      </c>
      <c r="F554" s="339">
        <v>9.73236811E8</v>
      </c>
      <c r="G554" s="342"/>
      <c r="H554" s="342"/>
      <c r="I554" s="342"/>
      <c r="J554" s="342"/>
      <c r="K554" s="338"/>
      <c r="L554" s="338"/>
      <c r="M554" s="338"/>
      <c r="N554" s="338"/>
      <c r="O554" s="338"/>
      <c r="P554" s="338"/>
      <c r="Q554" s="338"/>
      <c r="R554" s="338"/>
      <c r="S554" s="338"/>
      <c r="T554" s="338"/>
      <c r="U554" s="338"/>
      <c r="V554" s="338"/>
      <c r="W554" s="338"/>
      <c r="X554" s="338"/>
      <c r="Y554" s="338"/>
      <c r="Z554" s="338"/>
      <c r="AA554" s="338"/>
    </row>
    <row r="555" ht="15.75" customHeight="1">
      <c r="A555" s="339">
        <v>554.0</v>
      </c>
      <c r="B555" s="339" t="s">
        <v>2477</v>
      </c>
      <c r="C555" s="339" t="s">
        <v>2478</v>
      </c>
      <c r="D555" s="339" t="s">
        <v>2479</v>
      </c>
      <c r="E555" s="339" t="s">
        <v>663</v>
      </c>
      <c r="F555" s="339">
        <v>9.73631399E8</v>
      </c>
      <c r="G555" s="342"/>
      <c r="H555" s="342"/>
      <c r="I555" s="342"/>
      <c r="J555" s="342"/>
      <c r="K555" s="338"/>
      <c r="L555" s="338"/>
      <c r="M555" s="338"/>
      <c r="N555" s="338"/>
      <c r="O555" s="338"/>
      <c r="P555" s="338"/>
      <c r="Q555" s="338"/>
      <c r="R555" s="338"/>
      <c r="S555" s="338"/>
      <c r="T555" s="338"/>
      <c r="U555" s="338"/>
      <c r="V555" s="338"/>
      <c r="W555" s="338"/>
      <c r="X555" s="338"/>
      <c r="Y555" s="338"/>
      <c r="Z555" s="338"/>
      <c r="AA555" s="338"/>
    </row>
    <row r="556" ht="15.75" customHeight="1">
      <c r="A556" s="339">
        <v>555.0</v>
      </c>
      <c r="B556" s="339" t="s">
        <v>2480</v>
      </c>
      <c r="C556" s="339" t="s">
        <v>2481</v>
      </c>
      <c r="D556" s="339" t="s">
        <v>1300</v>
      </c>
      <c r="E556" s="339" t="s">
        <v>1552</v>
      </c>
      <c r="F556" s="339">
        <v>1.070198488888E12</v>
      </c>
      <c r="G556" s="342"/>
      <c r="H556" s="342"/>
      <c r="I556" s="342"/>
      <c r="J556" s="342"/>
      <c r="K556" s="338"/>
      <c r="L556" s="338"/>
      <c r="M556" s="338"/>
      <c r="N556" s="338"/>
      <c r="O556" s="338"/>
      <c r="P556" s="338"/>
      <c r="Q556" s="338"/>
      <c r="R556" s="338"/>
      <c r="S556" s="338"/>
      <c r="T556" s="338"/>
      <c r="U556" s="338"/>
      <c r="V556" s="338"/>
      <c r="W556" s="338"/>
      <c r="X556" s="338"/>
      <c r="Y556" s="338"/>
      <c r="Z556" s="338"/>
      <c r="AA556" s="338"/>
    </row>
    <row r="557" ht="15.75" customHeight="1">
      <c r="A557" s="339">
        <v>556.0</v>
      </c>
      <c r="B557" s="339" t="s">
        <v>2482</v>
      </c>
      <c r="C557" s="339" t="s">
        <v>560</v>
      </c>
      <c r="D557" s="339" t="s">
        <v>1707</v>
      </c>
      <c r="E557" s="339" t="s">
        <v>844</v>
      </c>
      <c r="F557" s="339">
        <v>1.04004918162E11</v>
      </c>
      <c r="G557" s="342"/>
      <c r="H557" s="342"/>
      <c r="I557" s="342"/>
      <c r="J557" s="342"/>
      <c r="K557" s="338"/>
      <c r="L557" s="338"/>
      <c r="M557" s="338"/>
      <c r="N557" s="338"/>
      <c r="O557" s="338"/>
      <c r="P557" s="338"/>
      <c r="Q557" s="338"/>
      <c r="R557" s="338"/>
      <c r="S557" s="338"/>
      <c r="T557" s="338"/>
      <c r="U557" s="338"/>
      <c r="V557" s="338"/>
      <c r="W557" s="338"/>
      <c r="X557" s="338"/>
      <c r="Y557" s="338"/>
      <c r="Z557" s="338"/>
      <c r="AA557" s="338"/>
    </row>
    <row r="558" ht="15.75" customHeight="1">
      <c r="A558" s="339">
        <v>557.0</v>
      </c>
      <c r="B558" s="339" t="s">
        <v>2483</v>
      </c>
      <c r="C558" s="339" t="s">
        <v>2484</v>
      </c>
      <c r="D558" s="339" t="s">
        <v>1002</v>
      </c>
      <c r="E558" s="339" t="s">
        <v>659</v>
      </c>
      <c r="F558" s="339">
        <v>1.990824402E9</v>
      </c>
      <c r="G558" s="342"/>
      <c r="H558" s="342"/>
      <c r="I558" s="342"/>
      <c r="J558" s="342"/>
      <c r="K558" s="338"/>
      <c r="L558" s="338"/>
      <c r="M558" s="338"/>
      <c r="N558" s="338"/>
      <c r="O558" s="338"/>
      <c r="P558" s="338"/>
      <c r="Q558" s="338"/>
      <c r="R558" s="338"/>
      <c r="S558" s="338"/>
      <c r="T558" s="338"/>
      <c r="U558" s="338"/>
      <c r="V558" s="338"/>
      <c r="W558" s="338"/>
      <c r="X558" s="338"/>
      <c r="Y558" s="338"/>
      <c r="Z558" s="338"/>
      <c r="AA558" s="338"/>
    </row>
    <row r="559" ht="15.75" customHeight="1">
      <c r="A559" s="339">
        <v>558.0</v>
      </c>
      <c r="B559" s="339" t="s">
        <v>2485</v>
      </c>
      <c r="C559" s="339" t="s">
        <v>580</v>
      </c>
      <c r="D559" s="339" t="s">
        <v>2486</v>
      </c>
      <c r="E559" s="339" t="s">
        <v>735</v>
      </c>
      <c r="F559" s="339">
        <v>8189177.0</v>
      </c>
      <c r="G559" s="342"/>
      <c r="H559" s="342"/>
      <c r="I559" s="342"/>
      <c r="J559" s="342"/>
      <c r="K559" s="338"/>
      <c r="L559" s="338"/>
      <c r="M559" s="338"/>
      <c r="N559" s="338"/>
      <c r="O559" s="338"/>
      <c r="P559" s="338"/>
      <c r="Q559" s="338"/>
      <c r="R559" s="338"/>
      <c r="S559" s="338"/>
      <c r="T559" s="338"/>
      <c r="U559" s="338"/>
      <c r="V559" s="338"/>
      <c r="W559" s="338"/>
      <c r="X559" s="338"/>
      <c r="Y559" s="338"/>
      <c r="Z559" s="338"/>
      <c r="AA559" s="338"/>
    </row>
    <row r="560" ht="15.75" customHeight="1">
      <c r="A560" s="339">
        <v>559.0</v>
      </c>
      <c r="B560" s="339" t="s">
        <v>2487</v>
      </c>
      <c r="C560" s="339" t="s">
        <v>2488</v>
      </c>
      <c r="D560" s="339" t="s">
        <v>990</v>
      </c>
      <c r="E560" s="339" t="s">
        <v>671</v>
      </c>
      <c r="F560" s="339">
        <v>3.81000541105E11</v>
      </c>
      <c r="G560" s="342"/>
      <c r="H560" s="342"/>
      <c r="I560" s="342"/>
      <c r="J560" s="342"/>
      <c r="K560" s="338"/>
      <c r="L560" s="338"/>
      <c r="M560" s="338"/>
      <c r="N560" s="338"/>
      <c r="O560" s="338"/>
      <c r="P560" s="338"/>
      <c r="Q560" s="338"/>
      <c r="R560" s="338"/>
      <c r="S560" s="338"/>
      <c r="T560" s="338"/>
      <c r="U560" s="338"/>
      <c r="V560" s="338"/>
      <c r="W560" s="338"/>
      <c r="X560" s="338"/>
      <c r="Y560" s="338"/>
      <c r="Z560" s="338"/>
      <c r="AA560" s="338"/>
    </row>
    <row r="561" ht="15.75" customHeight="1">
      <c r="A561" s="339">
        <v>560.0</v>
      </c>
      <c r="B561" s="339" t="s">
        <v>2489</v>
      </c>
      <c r="C561" s="339" t="s">
        <v>2490</v>
      </c>
      <c r="D561" s="339" t="s">
        <v>1041</v>
      </c>
      <c r="E561" s="339" t="s">
        <v>1552</v>
      </c>
      <c r="F561" s="339">
        <v>9.74095996E8</v>
      </c>
      <c r="G561" s="342"/>
      <c r="H561" s="342"/>
      <c r="I561" s="342"/>
      <c r="J561" s="342"/>
      <c r="K561" s="338"/>
      <c r="L561" s="338"/>
      <c r="M561" s="338"/>
      <c r="N561" s="338"/>
      <c r="O561" s="338"/>
      <c r="P561" s="338"/>
      <c r="Q561" s="338"/>
      <c r="R561" s="338"/>
      <c r="S561" s="338"/>
      <c r="T561" s="338"/>
      <c r="U561" s="338"/>
      <c r="V561" s="338"/>
      <c r="W561" s="338"/>
      <c r="X561" s="338"/>
      <c r="Y561" s="338"/>
      <c r="Z561" s="338"/>
      <c r="AA561" s="338"/>
    </row>
    <row r="562" ht="15.75" customHeight="1">
      <c r="A562" s="339">
        <v>561.0</v>
      </c>
      <c r="B562" s="339" t="s">
        <v>2491</v>
      </c>
      <c r="C562" s="339" t="s">
        <v>2492</v>
      </c>
      <c r="D562" s="339" t="s">
        <v>1139</v>
      </c>
      <c r="E562" s="339" t="s">
        <v>671</v>
      </c>
      <c r="F562" s="339">
        <v>7.1000949366E10</v>
      </c>
      <c r="G562" s="342"/>
      <c r="H562" s="342"/>
      <c r="I562" s="342"/>
      <c r="J562" s="342"/>
      <c r="K562" s="338"/>
      <c r="L562" s="338"/>
      <c r="M562" s="338"/>
      <c r="N562" s="338"/>
      <c r="O562" s="338"/>
      <c r="P562" s="338"/>
      <c r="Q562" s="338"/>
      <c r="R562" s="338"/>
      <c r="S562" s="338"/>
      <c r="T562" s="338"/>
      <c r="U562" s="338"/>
      <c r="V562" s="338"/>
      <c r="W562" s="338"/>
      <c r="X562" s="338"/>
      <c r="Y562" s="338"/>
      <c r="Z562" s="338"/>
      <c r="AA562" s="338"/>
    </row>
    <row r="563" ht="15.75" customHeight="1">
      <c r="A563" s="339">
        <v>562.0</v>
      </c>
      <c r="B563" s="339" t="s">
        <v>2493</v>
      </c>
      <c r="C563" s="339" t="s">
        <v>2494</v>
      </c>
      <c r="D563" s="339" t="s">
        <v>973</v>
      </c>
      <c r="E563" s="339" t="s">
        <v>891</v>
      </c>
      <c r="F563" s="339">
        <v>5.0064630803E10</v>
      </c>
      <c r="G563" s="342"/>
      <c r="H563" s="342"/>
      <c r="I563" s="342"/>
      <c r="J563" s="342"/>
      <c r="K563" s="338"/>
      <c r="L563" s="338"/>
      <c r="M563" s="338"/>
      <c r="N563" s="338"/>
      <c r="O563" s="338"/>
      <c r="P563" s="338"/>
      <c r="Q563" s="338"/>
      <c r="R563" s="338"/>
      <c r="S563" s="338"/>
      <c r="T563" s="338"/>
      <c r="U563" s="338"/>
      <c r="V563" s="338"/>
      <c r="W563" s="338"/>
      <c r="X563" s="338"/>
      <c r="Y563" s="338"/>
      <c r="Z563" s="338"/>
      <c r="AA563" s="338"/>
    </row>
    <row r="564" ht="15.75" customHeight="1">
      <c r="A564" s="339">
        <v>563.0</v>
      </c>
      <c r="B564" s="339" t="s">
        <v>2495</v>
      </c>
      <c r="C564" s="339" t="s">
        <v>2496</v>
      </c>
      <c r="D564" s="339" t="s">
        <v>1303</v>
      </c>
      <c r="E564" s="339" t="s">
        <v>2497</v>
      </c>
      <c r="F564" s="339">
        <v>9.66140283E8</v>
      </c>
      <c r="G564" s="342"/>
      <c r="H564" s="342"/>
      <c r="I564" s="342"/>
      <c r="J564" s="342"/>
      <c r="K564" s="338"/>
      <c r="L564" s="338"/>
      <c r="M564" s="338"/>
      <c r="N564" s="338"/>
      <c r="O564" s="338"/>
      <c r="P564" s="338"/>
      <c r="Q564" s="338"/>
      <c r="R564" s="338"/>
      <c r="S564" s="338"/>
      <c r="T564" s="338"/>
      <c r="U564" s="338"/>
      <c r="V564" s="338"/>
      <c r="W564" s="338"/>
      <c r="X564" s="338"/>
      <c r="Y564" s="338"/>
      <c r="Z564" s="338"/>
      <c r="AA564" s="338"/>
    </row>
    <row r="565" ht="15.75" customHeight="1">
      <c r="A565" s="339">
        <v>564.0</v>
      </c>
      <c r="B565" s="339" t="s">
        <v>2498</v>
      </c>
      <c r="C565" s="339" t="s">
        <v>2499</v>
      </c>
      <c r="D565" s="339" t="s">
        <v>1160</v>
      </c>
      <c r="E565" s="339" t="s">
        <v>671</v>
      </c>
      <c r="F565" s="339">
        <v>8.21000187878E11</v>
      </c>
      <c r="G565" s="342"/>
      <c r="H565" s="342"/>
      <c r="I565" s="342"/>
      <c r="J565" s="342"/>
      <c r="K565" s="338"/>
      <c r="L565" s="338"/>
      <c r="M565" s="338"/>
      <c r="N565" s="338"/>
      <c r="O565" s="338"/>
      <c r="P565" s="338"/>
      <c r="Q565" s="338"/>
      <c r="R565" s="338"/>
      <c r="S565" s="338"/>
      <c r="T565" s="338"/>
      <c r="U565" s="338"/>
      <c r="V565" s="338"/>
      <c r="W565" s="338"/>
      <c r="X565" s="338"/>
      <c r="Y565" s="338"/>
      <c r="Z565" s="338"/>
      <c r="AA565" s="338"/>
    </row>
    <row r="566" ht="15.75" customHeight="1">
      <c r="A566" s="339">
        <v>565.0</v>
      </c>
      <c r="B566" s="339" t="s">
        <v>2500</v>
      </c>
      <c r="C566" s="339" t="s">
        <v>2501</v>
      </c>
      <c r="D566" s="339" t="s">
        <v>1445</v>
      </c>
      <c r="E566" s="339" t="s">
        <v>699</v>
      </c>
      <c r="F566" s="339">
        <v>1.9032246478015E13</v>
      </c>
      <c r="G566" s="342"/>
      <c r="H566" s="342"/>
      <c r="I566" s="342"/>
      <c r="J566" s="342"/>
      <c r="K566" s="338"/>
      <c r="L566" s="338"/>
      <c r="M566" s="338"/>
      <c r="N566" s="338"/>
      <c r="O566" s="338"/>
      <c r="P566" s="338"/>
      <c r="Q566" s="338"/>
      <c r="R566" s="338"/>
      <c r="S566" s="338"/>
      <c r="T566" s="338"/>
      <c r="U566" s="338"/>
      <c r="V566" s="338"/>
      <c r="W566" s="338"/>
      <c r="X566" s="338"/>
      <c r="Y566" s="338"/>
      <c r="Z566" s="338"/>
      <c r="AA566" s="338"/>
    </row>
    <row r="567" ht="15.75" customHeight="1">
      <c r="A567" s="339">
        <v>566.0</v>
      </c>
      <c r="B567" s="339" t="s">
        <v>2502</v>
      </c>
      <c r="C567" s="339" t="s">
        <v>2503</v>
      </c>
      <c r="D567" s="339" t="s">
        <v>910</v>
      </c>
      <c r="E567" s="339" t="s">
        <v>970</v>
      </c>
      <c r="F567" s="339">
        <v>3.67380702E8</v>
      </c>
      <c r="G567" s="342"/>
      <c r="H567" s="342"/>
      <c r="I567" s="342"/>
      <c r="J567" s="342"/>
      <c r="K567" s="338"/>
      <c r="L567" s="338"/>
      <c r="M567" s="338"/>
      <c r="N567" s="338"/>
      <c r="O567" s="338"/>
      <c r="P567" s="338"/>
      <c r="Q567" s="338"/>
      <c r="R567" s="338"/>
      <c r="S567" s="338"/>
      <c r="T567" s="338"/>
      <c r="U567" s="338"/>
      <c r="V567" s="338"/>
      <c r="W567" s="338"/>
      <c r="X567" s="338"/>
      <c r="Y567" s="338"/>
      <c r="Z567" s="338"/>
      <c r="AA567" s="338"/>
    </row>
    <row r="568" ht="15.75" customHeight="1">
      <c r="A568" s="339">
        <v>567.0</v>
      </c>
      <c r="B568" s="339" t="s">
        <v>2504</v>
      </c>
      <c r="C568" s="339" t="s">
        <v>2505</v>
      </c>
      <c r="D568" s="339" t="s">
        <v>2506</v>
      </c>
      <c r="E568" s="339" t="s">
        <v>699</v>
      </c>
      <c r="F568" s="339">
        <v>1.9027722189015E13</v>
      </c>
      <c r="G568" s="341" t="s">
        <v>1741</v>
      </c>
      <c r="H568" s="342"/>
      <c r="I568" s="342"/>
      <c r="J568" s="342" t="s">
        <v>1711</v>
      </c>
      <c r="K568" s="338"/>
      <c r="L568" s="338"/>
      <c r="M568" s="338"/>
      <c r="N568" s="338"/>
      <c r="O568" s="338"/>
      <c r="P568" s="338"/>
      <c r="Q568" s="338"/>
      <c r="R568" s="338"/>
      <c r="S568" s="338"/>
      <c r="T568" s="338"/>
      <c r="U568" s="338"/>
      <c r="V568" s="338"/>
      <c r="W568" s="338"/>
      <c r="X568" s="338"/>
      <c r="Y568" s="338"/>
      <c r="Z568" s="338"/>
      <c r="AA568" s="338"/>
    </row>
    <row r="569" ht="15.75" customHeight="1">
      <c r="A569" s="339">
        <v>568.0</v>
      </c>
      <c r="B569" s="339" t="s">
        <v>2507</v>
      </c>
      <c r="C569" s="339" t="s">
        <v>478</v>
      </c>
      <c r="D569" s="339" t="s">
        <v>2508</v>
      </c>
      <c r="E569" s="339" t="s">
        <v>699</v>
      </c>
      <c r="F569" s="339">
        <v>8.014041983E9</v>
      </c>
      <c r="G569" s="342"/>
      <c r="H569" s="342"/>
      <c r="I569" s="342"/>
      <c r="J569" s="342"/>
      <c r="K569" s="338"/>
      <c r="L569" s="338"/>
      <c r="M569" s="338"/>
      <c r="N569" s="338"/>
      <c r="O569" s="338"/>
      <c r="P569" s="338"/>
      <c r="Q569" s="338"/>
      <c r="R569" s="338"/>
      <c r="S569" s="338"/>
      <c r="T569" s="338"/>
      <c r="U569" s="338"/>
      <c r="V569" s="338"/>
      <c r="W569" s="338"/>
      <c r="X569" s="338"/>
      <c r="Y569" s="338"/>
      <c r="Z569" s="338"/>
      <c r="AA569" s="338"/>
    </row>
    <row r="570" ht="15.75" customHeight="1">
      <c r="A570" s="339">
        <v>569.0</v>
      </c>
      <c r="B570" s="339" t="s">
        <v>2509</v>
      </c>
      <c r="C570" s="339" t="s">
        <v>2510</v>
      </c>
      <c r="D570" s="339" t="s">
        <v>1224</v>
      </c>
      <c r="E570" s="339" t="s">
        <v>659</v>
      </c>
      <c r="F570" s="339">
        <v>3.900639249E9</v>
      </c>
      <c r="G570" s="342"/>
      <c r="H570" s="342"/>
      <c r="I570" s="342"/>
      <c r="J570" s="342"/>
      <c r="K570" s="338"/>
      <c r="L570" s="338"/>
      <c r="M570" s="338"/>
      <c r="N570" s="338"/>
      <c r="O570" s="338"/>
      <c r="P570" s="338"/>
      <c r="Q570" s="338"/>
      <c r="R570" s="338"/>
      <c r="S570" s="338"/>
      <c r="T570" s="338"/>
      <c r="U570" s="338"/>
      <c r="V570" s="338"/>
      <c r="W570" s="338"/>
      <c r="X570" s="338"/>
      <c r="Y570" s="338"/>
      <c r="Z570" s="338"/>
      <c r="AA570" s="338"/>
    </row>
    <row r="571" ht="15.75" customHeight="1">
      <c r="A571" s="339">
        <v>570.0</v>
      </c>
      <c r="B571" s="339" t="s">
        <v>2511</v>
      </c>
      <c r="C571" s="339" t="s">
        <v>507</v>
      </c>
      <c r="D571" s="339" t="s">
        <v>2512</v>
      </c>
      <c r="E571" s="339" t="s">
        <v>659</v>
      </c>
      <c r="F571" s="339">
        <v>3.900352838E9</v>
      </c>
      <c r="G571" s="342" t="s">
        <v>2513</v>
      </c>
      <c r="H571" s="342"/>
      <c r="I571" s="342"/>
      <c r="J571" s="342" t="s">
        <v>1056</v>
      </c>
      <c r="K571" s="338"/>
      <c r="L571" s="338"/>
      <c r="M571" s="338"/>
      <c r="N571" s="338"/>
      <c r="O571" s="338"/>
      <c r="P571" s="338"/>
      <c r="Q571" s="338"/>
      <c r="R571" s="338"/>
      <c r="S571" s="338"/>
      <c r="T571" s="338"/>
      <c r="U571" s="338"/>
      <c r="V571" s="338"/>
      <c r="W571" s="338"/>
      <c r="X571" s="338"/>
      <c r="Y571" s="338"/>
      <c r="Z571" s="338"/>
      <c r="AA571" s="338"/>
    </row>
    <row r="572" ht="15.75" customHeight="1">
      <c r="A572" s="339">
        <v>571.0</v>
      </c>
      <c r="B572" s="339" t="s">
        <v>2514</v>
      </c>
      <c r="C572" s="339" t="s">
        <v>2515</v>
      </c>
      <c r="D572" s="339" t="s">
        <v>1228</v>
      </c>
      <c r="E572" s="339" t="s">
        <v>2497</v>
      </c>
      <c r="F572" s="339">
        <v>2.899969999E9</v>
      </c>
      <c r="G572" s="342"/>
      <c r="H572" s="342"/>
      <c r="I572" s="342"/>
      <c r="J572" s="342"/>
      <c r="K572" s="338"/>
      <c r="L572" s="338"/>
      <c r="M572" s="338"/>
      <c r="N572" s="338"/>
      <c r="O572" s="338"/>
      <c r="P572" s="338"/>
      <c r="Q572" s="338"/>
      <c r="R572" s="338"/>
      <c r="S572" s="338"/>
      <c r="T572" s="338"/>
      <c r="U572" s="338"/>
      <c r="V572" s="338"/>
      <c r="W572" s="338"/>
      <c r="X572" s="338"/>
      <c r="Y572" s="338"/>
      <c r="Z572" s="338"/>
      <c r="AA572" s="338"/>
    </row>
    <row r="573" ht="15.75" customHeight="1">
      <c r="A573" s="339">
        <v>572.0</v>
      </c>
      <c r="B573" s="339" t="s">
        <v>2516</v>
      </c>
      <c r="C573" s="339" t="s">
        <v>509</v>
      </c>
      <c r="D573" s="339" t="s">
        <v>2517</v>
      </c>
      <c r="E573" s="339" t="s">
        <v>2518</v>
      </c>
      <c r="F573" s="339">
        <v>5.20302038E9</v>
      </c>
      <c r="G573" s="339" t="s">
        <v>2516</v>
      </c>
      <c r="H573" s="339" t="s">
        <v>2518</v>
      </c>
      <c r="I573" s="339">
        <v>5.20302038E9</v>
      </c>
      <c r="J573" s="342" t="s">
        <v>2129</v>
      </c>
      <c r="K573" s="338"/>
      <c r="L573" s="338"/>
      <c r="M573" s="338"/>
      <c r="N573" s="338"/>
      <c r="O573" s="338"/>
      <c r="P573" s="338"/>
      <c r="Q573" s="338"/>
      <c r="R573" s="338"/>
      <c r="S573" s="338"/>
      <c r="T573" s="338"/>
      <c r="U573" s="338"/>
      <c r="V573" s="338"/>
      <c r="W573" s="338"/>
      <c r="X573" s="338"/>
      <c r="Y573" s="338"/>
      <c r="Z573" s="338"/>
      <c r="AA573" s="338"/>
    </row>
    <row r="574" ht="15.75" customHeight="1">
      <c r="A574" s="339">
        <v>573.0</v>
      </c>
      <c r="B574" s="339" t="s">
        <v>2519</v>
      </c>
      <c r="C574" s="339" t="s">
        <v>2520</v>
      </c>
      <c r="D574" s="339" t="s">
        <v>1266</v>
      </c>
      <c r="E574" s="339">
        <v>0.0</v>
      </c>
      <c r="F574" s="339"/>
      <c r="G574" s="342"/>
      <c r="H574" s="342"/>
      <c r="I574" s="342"/>
      <c r="J574" s="342"/>
      <c r="K574" s="338"/>
      <c r="L574" s="338"/>
      <c r="M574" s="338"/>
      <c r="N574" s="338"/>
      <c r="O574" s="338"/>
      <c r="P574" s="338"/>
      <c r="Q574" s="338"/>
      <c r="R574" s="338"/>
      <c r="S574" s="338"/>
      <c r="T574" s="338"/>
      <c r="U574" s="338"/>
      <c r="V574" s="338"/>
      <c r="W574" s="338"/>
      <c r="X574" s="338"/>
      <c r="Y574" s="338"/>
      <c r="Z574" s="338"/>
      <c r="AA574" s="338"/>
    </row>
    <row r="575" ht="15.75" customHeight="1">
      <c r="A575" s="339">
        <v>574.0</v>
      </c>
      <c r="B575" s="339" t="s">
        <v>2521</v>
      </c>
      <c r="C575" s="339" t="s">
        <v>519</v>
      </c>
      <c r="D575" s="339" t="s">
        <v>1455</v>
      </c>
      <c r="E575" s="339" t="s">
        <v>659</v>
      </c>
      <c r="F575" s="339">
        <v>1.222139467E9</v>
      </c>
      <c r="G575" s="342" t="s">
        <v>2522</v>
      </c>
      <c r="H575" s="342"/>
      <c r="I575" s="342"/>
      <c r="J575" s="342" t="s">
        <v>1056</v>
      </c>
      <c r="K575" s="338"/>
      <c r="L575" s="338"/>
      <c r="M575" s="338"/>
      <c r="N575" s="338"/>
      <c r="O575" s="338"/>
      <c r="P575" s="338"/>
      <c r="Q575" s="338"/>
      <c r="R575" s="338"/>
      <c r="S575" s="338"/>
      <c r="T575" s="338"/>
      <c r="U575" s="338"/>
      <c r="V575" s="338"/>
      <c r="W575" s="338"/>
      <c r="X575" s="338"/>
      <c r="Y575" s="338"/>
      <c r="Z575" s="338"/>
      <c r="AA575" s="338"/>
    </row>
    <row r="576" ht="15.75" customHeight="1">
      <c r="A576" s="339">
        <v>575.0</v>
      </c>
      <c r="B576" s="339" t="s">
        <v>2523</v>
      </c>
      <c r="C576" s="339" t="s">
        <v>522</v>
      </c>
      <c r="D576" s="339" t="s">
        <v>933</v>
      </c>
      <c r="E576" s="339" t="s">
        <v>692</v>
      </c>
      <c r="F576" s="339">
        <v>8.290106450002E12</v>
      </c>
      <c r="G576" s="342"/>
      <c r="H576" s="342"/>
      <c r="I576" s="342"/>
      <c r="J576" s="342"/>
      <c r="K576" s="338"/>
      <c r="L576" s="338"/>
      <c r="M576" s="338"/>
      <c r="N576" s="338"/>
      <c r="O576" s="338"/>
      <c r="P576" s="338"/>
      <c r="Q576" s="338"/>
      <c r="R576" s="338"/>
      <c r="S576" s="338"/>
      <c r="T576" s="338"/>
      <c r="U576" s="338"/>
      <c r="V576" s="338"/>
      <c r="W576" s="338"/>
      <c r="X576" s="338"/>
      <c r="Y576" s="338"/>
      <c r="Z576" s="338"/>
      <c r="AA576" s="338"/>
    </row>
    <row r="577" ht="15.75" customHeight="1">
      <c r="A577" s="339">
        <v>576.0</v>
      </c>
      <c r="B577" s="339" t="s">
        <v>2524</v>
      </c>
      <c r="C577" s="340" t="s">
        <v>526</v>
      </c>
      <c r="D577" s="339" t="s">
        <v>1156</v>
      </c>
      <c r="E577" s="339" t="s">
        <v>659</v>
      </c>
      <c r="F577" s="339">
        <v>6.210449566E9</v>
      </c>
      <c r="G577" s="342"/>
      <c r="H577" s="342"/>
      <c r="I577" s="342"/>
      <c r="J577" s="342"/>
      <c r="K577" s="338"/>
      <c r="L577" s="338"/>
      <c r="M577" s="338"/>
      <c r="N577" s="338"/>
      <c r="O577" s="338"/>
      <c r="P577" s="338"/>
      <c r="Q577" s="338"/>
      <c r="R577" s="338"/>
      <c r="S577" s="338"/>
      <c r="T577" s="338"/>
      <c r="U577" s="338"/>
      <c r="V577" s="338"/>
      <c r="W577" s="338"/>
      <c r="X577" s="338"/>
      <c r="Y577" s="338"/>
      <c r="Z577" s="338"/>
      <c r="AA577" s="338"/>
    </row>
    <row r="578" ht="15.75" customHeight="1">
      <c r="A578" s="339">
        <v>577.0</v>
      </c>
      <c r="B578" s="339" t="s">
        <v>2525</v>
      </c>
      <c r="C578" s="339" t="s">
        <v>2526</v>
      </c>
      <c r="D578" s="339" t="s">
        <v>2527</v>
      </c>
      <c r="E578" s="339" t="s">
        <v>2528</v>
      </c>
      <c r="F578" s="339">
        <v>1.40519688E8</v>
      </c>
      <c r="G578" s="342"/>
      <c r="H578" s="342"/>
      <c r="I578" s="342"/>
      <c r="J578" s="342"/>
      <c r="K578" s="338"/>
      <c r="L578" s="338"/>
      <c r="M578" s="338"/>
      <c r="N578" s="338"/>
      <c r="O578" s="338"/>
      <c r="P578" s="338"/>
      <c r="Q578" s="338"/>
      <c r="R578" s="338"/>
      <c r="S578" s="338"/>
      <c r="T578" s="338"/>
      <c r="U578" s="338"/>
      <c r="V578" s="338"/>
      <c r="W578" s="338"/>
      <c r="X578" s="338"/>
      <c r="Y578" s="338"/>
      <c r="Z578" s="338"/>
      <c r="AA578" s="338"/>
    </row>
    <row r="579" ht="15.75" customHeight="1">
      <c r="A579" s="339">
        <v>578.0</v>
      </c>
      <c r="B579" s="339" t="s">
        <v>2529</v>
      </c>
      <c r="C579" s="339" t="s">
        <v>2530</v>
      </c>
      <c r="D579" s="339" t="s">
        <v>933</v>
      </c>
      <c r="E579" s="339" t="s">
        <v>844</v>
      </c>
      <c r="F579" s="339">
        <v>1.00825051988E11</v>
      </c>
      <c r="G579" s="342"/>
      <c r="H579" s="342"/>
      <c r="I579" s="342"/>
      <c r="J579" s="342"/>
      <c r="K579" s="338"/>
      <c r="L579" s="338"/>
      <c r="M579" s="338"/>
      <c r="N579" s="338"/>
      <c r="O579" s="338"/>
      <c r="P579" s="338"/>
      <c r="Q579" s="338"/>
      <c r="R579" s="338"/>
      <c r="S579" s="338"/>
      <c r="T579" s="338"/>
      <c r="U579" s="338"/>
      <c r="V579" s="338"/>
      <c r="W579" s="338"/>
      <c r="X579" s="338"/>
      <c r="Y579" s="338"/>
      <c r="Z579" s="338"/>
      <c r="AA579" s="338"/>
    </row>
    <row r="580" ht="15.75" customHeight="1">
      <c r="A580" s="339">
        <v>579.0</v>
      </c>
      <c r="B580" s="339" t="s">
        <v>2531</v>
      </c>
      <c r="C580" s="339" t="s">
        <v>2532</v>
      </c>
      <c r="D580" s="339" t="s">
        <v>2533</v>
      </c>
      <c r="E580" s="339" t="s">
        <v>2534</v>
      </c>
      <c r="F580" s="339">
        <v>9.86966043E8</v>
      </c>
      <c r="G580" s="342"/>
      <c r="H580" s="342"/>
      <c r="I580" s="342"/>
      <c r="J580" s="342"/>
      <c r="K580" s="338"/>
      <c r="L580" s="338"/>
      <c r="M580" s="338"/>
      <c r="N580" s="338"/>
      <c r="O580" s="338"/>
      <c r="P580" s="338"/>
      <c r="Q580" s="338"/>
      <c r="R580" s="338"/>
      <c r="S580" s="338"/>
      <c r="T580" s="338"/>
      <c r="U580" s="338"/>
      <c r="V580" s="338"/>
      <c r="W580" s="338"/>
      <c r="X580" s="338"/>
      <c r="Y580" s="338"/>
      <c r="Z580" s="338"/>
      <c r="AA580" s="338"/>
    </row>
    <row r="581" ht="15.75" customHeight="1">
      <c r="A581" s="339">
        <v>580.0</v>
      </c>
      <c r="B581" s="339" t="s">
        <v>740</v>
      </c>
      <c r="C581" s="339" t="s">
        <v>496</v>
      </c>
      <c r="D581" s="339" t="s">
        <v>2535</v>
      </c>
      <c r="E581" s="339" t="s">
        <v>743</v>
      </c>
      <c r="F581" s="339">
        <v>118119.0</v>
      </c>
      <c r="G581" s="342"/>
      <c r="H581" s="342"/>
      <c r="I581" s="342"/>
      <c r="J581" s="342"/>
      <c r="K581" s="338"/>
      <c r="L581" s="338"/>
      <c r="M581" s="338"/>
      <c r="N581" s="338"/>
      <c r="O581" s="338"/>
      <c r="P581" s="338"/>
      <c r="Q581" s="338"/>
      <c r="R581" s="338"/>
      <c r="S581" s="338"/>
      <c r="T581" s="338"/>
      <c r="U581" s="338"/>
      <c r="V581" s="338"/>
      <c r="W581" s="338"/>
      <c r="X581" s="338"/>
      <c r="Y581" s="338"/>
      <c r="Z581" s="338"/>
      <c r="AA581" s="338"/>
    </row>
    <row r="582" ht="15.75" customHeight="1">
      <c r="A582" s="339">
        <v>581.0</v>
      </c>
      <c r="B582" s="339" t="s">
        <v>2536</v>
      </c>
      <c r="C582" s="339" t="s">
        <v>2537</v>
      </c>
      <c r="D582" s="339" t="s">
        <v>1022</v>
      </c>
      <c r="E582" s="339" t="s">
        <v>699</v>
      </c>
      <c r="F582" s="339">
        <v>1.9032504437019E13</v>
      </c>
      <c r="G582" s="342"/>
      <c r="H582" s="342"/>
      <c r="I582" s="342"/>
      <c r="J582" s="342"/>
      <c r="K582" s="338"/>
      <c r="L582" s="338"/>
      <c r="M582" s="338"/>
      <c r="N582" s="338"/>
      <c r="O582" s="338"/>
      <c r="P582" s="338"/>
      <c r="Q582" s="338"/>
      <c r="R582" s="338"/>
      <c r="S582" s="338"/>
      <c r="T582" s="338"/>
      <c r="U582" s="338"/>
      <c r="V582" s="338"/>
      <c r="W582" s="338"/>
      <c r="X582" s="338"/>
      <c r="Y582" s="338"/>
      <c r="Z582" s="338"/>
      <c r="AA582" s="338"/>
    </row>
    <row r="583" ht="15.75" customHeight="1">
      <c r="A583" s="339">
        <v>582.0</v>
      </c>
      <c r="B583" s="339" t="s">
        <v>2538</v>
      </c>
      <c r="C583" s="339" t="s">
        <v>2539</v>
      </c>
      <c r="D583" s="339" t="s">
        <v>1139</v>
      </c>
      <c r="E583" s="339" t="s">
        <v>659</v>
      </c>
      <c r="F583" s="339">
        <v>2.2210000663534E13</v>
      </c>
      <c r="G583" s="342"/>
      <c r="H583" s="342"/>
      <c r="I583" s="342"/>
      <c r="J583" s="342"/>
      <c r="K583" s="338"/>
      <c r="L583" s="338"/>
      <c r="M583" s="338"/>
      <c r="N583" s="338"/>
      <c r="O583" s="338"/>
      <c r="P583" s="338"/>
      <c r="Q583" s="338"/>
      <c r="R583" s="338"/>
      <c r="S583" s="338"/>
      <c r="T583" s="338"/>
      <c r="U583" s="338"/>
      <c r="V583" s="338"/>
      <c r="W583" s="338"/>
      <c r="X583" s="338"/>
      <c r="Y583" s="338"/>
      <c r="Z583" s="338"/>
      <c r="AA583" s="338"/>
    </row>
    <row r="584" ht="15.75" customHeight="1">
      <c r="A584" s="339">
        <v>583.0</v>
      </c>
      <c r="B584" s="339" t="s">
        <v>2540</v>
      </c>
      <c r="C584" s="339" t="s">
        <v>2541</v>
      </c>
      <c r="D584" s="339" t="s">
        <v>929</v>
      </c>
      <c r="E584" s="339" t="s">
        <v>2542</v>
      </c>
      <c r="F584" s="339">
        <v>1.09882920666E11</v>
      </c>
      <c r="G584" s="342"/>
      <c r="H584" s="342"/>
      <c r="I584" s="342"/>
      <c r="J584" s="342"/>
      <c r="K584" s="338"/>
      <c r="L584" s="338"/>
      <c r="M584" s="338"/>
      <c r="N584" s="338"/>
      <c r="O584" s="338"/>
      <c r="P584" s="338"/>
      <c r="Q584" s="338"/>
      <c r="R584" s="338"/>
      <c r="S584" s="338"/>
      <c r="T584" s="338"/>
      <c r="U584" s="338"/>
      <c r="V584" s="338"/>
      <c r="W584" s="338"/>
      <c r="X584" s="338"/>
      <c r="Y584" s="338"/>
      <c r="Z584" s="338"/>
      <c r="AA584" s="338"/>
    </row>
    <row r="585" ht="15.75" customHeight="1">
      <c r="A585" s="339">
        <v>584.0</v>
      </c>
      <c r="B585" s="339" t="s">
        <v>2543</v>
      </c>
      <c r="C585" s="339" t="s">
        <v>2544</v>
      </c>
      <c r="D585" s="339" t="s">
        <v>1470</v>
      </c>
      <c r="E585" s="339" t="s">
        <v>659</v>
      </c>
      <c r="F585" s="339">
        <v>2.1310000592492E13</v>
      </c>
      <c r="G585" s="342" t="s">
        <v>2543</v>
      </c>
      <c r="H585" s="342"/>
      <c r="I585" s="342"/>
      <c r="J585" s="342" t="s">
        <v>927</v>
      </c>
      <c r="K585" s="338"/>
      <c r="L585" s="338"/>
      <c r="M585" s="338"/>
      <c r="N585" s="338"/>
      <c r="O585" s="338"/>
      <c r="P585" s="338"/>
      <c r="Q585" s="338"/>
      <c r="R585" s="338"/>
      <c r="S585" s="338"/>
      <c r="T585" s="338"/>
      <c r="U585" s="338"/>
      <c r="V585" s="338"/>
      <c r="W585" s="338"/>
      <c r="X585" s="338"/>
      <c r="Y585" s="338"/>
      <c r="Z585" s="338"/>
      <c r="AA585" s="338"/>
    </row>
    <row r="586" ht="15.75" customHeight="1">
      <c r="A586" s="339">
        <v>585.0</v>
      </c>
      <c r="B586" s="339" t="s">
        <v>2545</v>
      </c>
      <c r="C586" s="339" t="s">
        <v>2546</v>
      </c>
      <c r="D586" s="339" t="s">
        <v>1890</v>
      </c>
      <c r="E586" s="339" t="s">
        <v>699</v>
      </c>
      <c r="F586" s="339">
        <v>1.9022002600018E13</v>
      </c>
      <c r="G586" s="342"/>
      <c r="H586" s="342"/>
      <c r="I586" s="342"/>
      <c r="J586" s="342"/>
      <c r="K586" s="338"/>
      <c r="L586" s="338"/>
      <c r="M586" s="338"/>
      <c r="N586" s="338"/>
      <c r="O586" s="338"/>
      <c r="P586" s="338"/>
      <c r="Q586" s="338"/>
      <c r="R586" s="338"/>
      <c r="S586" s="338"/>
      <c r="T586" s="338"/>
      <c r="U586" s="338"/>
      <c r="V586" s="338"/>
      <c r="W586" s="338"/>
      <c r="X586" s="338"/>
      <c r="Y586" s="338"/>
      <c r="Z586" s="338"/>
      <c r="AA586" s="338"/>
    </row>
    <row r="587" ht="15.75" customHeight="1">
      <c r="A587" s="339">
        <v>586.0</v>
      </c>
      <c r="B587" s="339" t="s">
        <v>2547</v>
      </c>
      <c r="C587" s="339" t="s">
        <v>513</v>
      </c>
      <c r="D587" s="339" t="s">
        <v>1198</v>
      </c>
      <c r="E587" s="339" t="s">
        <v>659</v>
      </c>
      <c r="F587" s="339">
        <v>8.852692917E9</v>
      </c>
      <c r="G587" s="341" t="s">
        <v>2548</v>
      </c>
      <c r="H587" s="339" t="s">
        <v>659</v>
      </c>
      <c r="I587" s="339">
        <v>8.852692917E9</v>
      </c>
      <c r="J587" s="342" t="s">
        <v>2129</v>
      </c>
      <c r="K587" s="338"/>
      <c r="L587" s="338"/>
      <c r="M587" s="338"/>
      <c r="N587" s="338"/>
      <c r="O587" s="338"/>
      <c r="P587" s="338"/>
      <c r="Q587" s="338"/>
      <c r="R587" s="338"/>
      <c r="S587" s="338"/>
      <c r="T587" s="338"/>
      <c r="U587" s="338"/>
      <c r="V587" s="338"/>
      <c r="W587" s="338"/>
      <c r="X587" s="338"/>
      <c r="Y587" s="338"/>
      <c r="Z587" s="338"/>
      <c r="AA587" s="338"/>
    </row>
    <row r="588" ht="15.75" customHeight="1">
      <c r="A588" s="339">
        <v>587.0</v>
      </c>
      <c r="B588" s="339" t="s">
        <v>880</v>
      </c>
      <c r="C588" s="340" t="s">
        <v>599</v>
      </c>
      <c r="D588" s="339" t="s">
        <v>916</v>
      </c>
      <c r="E588" s="339" t="s">
        <v>735</v>
      </c>
      <c r="F588" s="339">
        <v>2887867.0</v>
      </c>
      <c r="G588" s="342"/>
      <c r="H588" s="342"/>
      <c r="I588" s="342"/>
      <c r="J588" s="342"/>
      <c r="K588" s="338"/>
      <c r="L588" s="338"/>
      <c r="M588" s="338"/>
      <c r="N588" s="338"/>
      <c r="O588" s="338"/>
      <c r="P588" s="338"/>
      <c r="Q588" s="338"/>
      <c r="R588" s="338"/>
      <c r="S588" s="338"/>
      <c r="T588" s="338"/>
      <c r="U588" s="338"/>
      <c r="V588" s="338"/>
      <c r="W588" s="338"/>
      <c r="X588" s="338"/>
      <c r="Y588" s="338"/>
      <c r="Z588" s="338"/>
      <c r="AA588" s="338"/>
    </row>
    <row r="589" ht="15.75" customHeight="1">
      <c r="A589" s="339">
        <v>588.0</v>
      </c>
      <c r="B589" s="339" t="s">
        <v>2549</v>
      </c>
      <c r="C589" s="339" t="s">
        <v>602</v>
      </c>
      <c r="D589" s="339" t="s">
        <v>1082</v>
      </c>
      <c r="E589" s="339">
        <v>0.0</v>
      </c>
      <c r="F589" s="339"/>
      <c r="G589" s="342"/>
      <c r="H589" s="342"/>
      <c r="I589" s="342"/>
      <c r="J589" s="342"/>
      <c r="K589" s="338"/>
      <c r="L589" s="338"/>
      <c r="M589" s="338"/>
      <c r="N589" s="338"/>
      <c r="O589" s="338"/>
      <c r="P589" s="338"/>
      <c r="Q589" s="338"/>
      <c r="R589" s="338"/>
      <c r="S589" s="338"/>
      <c r="T589" s="338"/>
      <c r="U589" s="338"/>
      <c r="V589" s="338"/>
      <c r="W589" s="338"/>
      <c r="X589" s="338"/>
      <c r="Y589" s="338"/>
      <c r="Z589" s="338"/>
      <c r="AA589" s="338"/>
    </row>
    <row r="590" ht="15.75" customHeight="1">
      <c r="A590" s="339">
        <v>589.0</v>
      </c>
      <c r="B590" s="339" t="s">
        <v>2550</v>
      </c>
      <c r="C590" s="339" t="s">
        <v>2551</v>
      </c>
      <c r="D590" s="339" t="s">
        <v>2552</v>
      </c>
      <c r="E590" s="339" t="s">
        <v>2553</v>
      </c>
      <c r="F590" s="339">
        <v>3.100004977004E12</v>
      </c>
      <c r="G590" s="342"/>
      <c r="H590" s="342"/>
      <c r="I590" s="342"/>
      <c r="J590" s="342"/>
      <c r="K590" s="338"/>
      <c r="L590" s="338"/>
      <c r="M590" s="338"/>
      <c r="N590" s="338"/>
      <c r="O590" s="338"/>
      <c r="P590" s="338"/>
      <c r="Q590" s="338"/>
      <c r="R590" s="338"/>
      <c r="S590" s="338"/>
      <c r="T590" s="338"/>
      <c r="U590" s="338"/>
      <c r="V590" s="338"/>
      <c r="W590" s="338"/>
      <c r="X590" s="338"/>
      <c r="Y590" s="338"/>
      <c r="Z590" s="338"/>
      <c r="AA590" s="338"/>
    </row>
    <row r="591" ht="15.75" customHeight="1">
      <c r="A591" s="339">
        <v>590.0</v>
      </c>
      <c r="B591" s="339" t="s">
        <v>2554</v>
      </c>
      <c r="C591" s="339" t="s">
        <v>535</v>
      </c>
      <c r="D591" s="339" t="s">
        <v>2555</v>
      </c>
      <c r="E591" s="339" t="s">
        <v>844</v>
      </c>
      <c r="F591" s="339">
        <v>9.77242988E8</v>
      </c>
      <c r="G591" s="342"/>
      <c r="H591" s="342"/>
      <c r="I591" s="342"/>
      <c r="J591" s="342"/>
      <c r="K591" s="338"/>
      <c r="L591" s="338"/>
      <c r="M591" s="338"/>
      <c r="N591" s="338"/>
      <c r="O591" s="338"/>
      <c r="P591" s="338"/>
      <c r="Q591" s="338"/>
      <c r="R591" s="338"/>
      <c r="S591" s="338"/>
      <c r="T591" s="338"/>
      <c r="U591" s="338"/>
      <c r="V591" s="338"/>
      <c r="W591" s="338"/>
      <c r="X591" s="338"/>
      <c r="Y591" s="338"/>
      <c r="Z591" s="338"/>
      <c r="AA591" s="338"/>
    </row>
    <row r="592" ht="15.75" customHeight="1">
      <c r="A592" s="339">
        <v>591.0</v>
      </c>
      <c r="B592" s="339" t="s">
        <v>2556</v>
      </c>
      <c r="C592" s="339" t="s">
        <v>2557</v>
      </c>
      <c r="D592" s="339" t="s">
        <v>2558</v>
      </c>
      <c r="E592" s="339" t="s">
        <v>655</v>
      </c>
      <c r="F592" s="339">
        <v>9.86425099E8</v>
      </c>
      <c r="G592" s="342"/>
      <c r="H592" s="342"/>
      <c r="I592" s="342"/>
      <c r="J592" s="342"/>
      <c r="K592" s="338"/>
      <c r="L592" s="338"/>
      <c r="M592" s="338"/>
      <c r="N592" s="338"/>
      <c r="O592" s="338"/>
      <c r="P592" s="338"/>
      <c r="Q592" s="338"/>
      <c r="R592" s="338"/>
      <c r="S592" s="338"/>
      <c r="T592" s="338"/>
      <c r="U592" s="338"/>
      <c r="V592" s="338"/>
      <c r="W592" s="338"/>
      <c r="X592" s="338"/>
      <c r="Y592" s="338"/>
      <c r="Z592" s="338"/>
      <c r="AA592" s="338"/>
    </row>
    <row r="593" ht="15.75" customHeight="1">
      <c r="A593" s="339">
        <v>592.0</v>
      </c>
      <c r="B593" s="339" t="s">
        <v>2559</v>
      </c>
      <c r="C593" s="339" t="s">
        <v>538</v>
      </c>
      <c r="D593" s="339" t="s">
        <v>1082</v>
      </c>
      <c r="E593" s="339" t="s">
        <v>2560</v>
      </c>
      <c r="F593" s="339">
        <v>2.085412501E9</v>
      </c>
      <c r="G593" s="342"/>
      <c r="H593" s="342"/>
      <c r="I593" s="342"/>
      <c r="J593" s="342"/>
      <c r="K593" s="338"/>
      <c r="L593" s="338"/>
      <c r="M593" s="338"/>
      <c r="N593" s="338"/>
      <c r="O593" s="338"/>
      <c r="P593" s="338"/>
      <c r="Q593" s="338"/>
      <c r="R593" s="338"/>
      <c r="S593" s="338"/>
      <c r="T593" s="338"/>
      <c r="U593" s="338"/>
      <c r="V593" s="338"/>
      <c r="W593" s="338"/>
      <c r="X593" s="338"/>
      <c r="Y593" s="338"/>
      <c r="Z593" s="338"/>
      <c r="AA593" s="338"/>
    </row>
    <row r="594" ht="15.75" customHeight="1">
      <c r="A594" s="339">
        <v>593.0</v>
      </c>
      <c r="B594" s="339" t="s">
        <v>2561</v>
      </c>
      <c r="C594" s="339" t="s">
        <v>541</v>
      </c>
      <c r="D594" s="339" t="s">
        <v>2562</v>
      </c>
      <c r="E594" s="339" t="s">
        <v>844</v>
      </c>
      <c r="F594" s="339">
        <v>1.00001444397E11</v>
      </c>
      <c r="G594" s="342"/>
      <c r="H594" s="342"/>
      <c r="I594" s="342"/>
      <c r="J594" s="342"/>
      <c r="K594" s="338"/>
      <c r="L594" s="338"/>
      <c r="M594" s="338"/>
      <c r="N594" s="338"/>
      <c r="O594" s="338"/>
      <c r="P594" s="338"/>
      <c r="Q594" s="338"/>
      <c r="R594" s="338"/>
      <c r="S594" s="338"/>
      <c r="T594" s="338"/>
      <c r="U594" s="338"/>
      <c r="V594" s="338"/>
      <c r="W594" s="338"/>
      <c r="X594" s="338"/>
      <c r="Y594" s="338"/>
      <c r="Z594" s="338"/>
      <c r="AA594" s="338"/>
    </row>
    <row r="595" ht="15.75" customHeight="1">
      <c r="A595" s="339">
        <v>594.0</v>
      </c>
      <c r="B595" s="339" t="s">
        <v>2563</v>
      </c>
      <c r="C595" s="339" t="s">
        <v>549</v>
      </c>
      <c r="D595" s="339" t="s">
        <v>1366</v>
      </c>
      <c r="E595" s="339" t="s">
        <v>844</v>
      </c>
      <c r="F595" s="339">
        <v>9.85984901E8</v>
      </c>
      <c r="G595" s="342"/>
      <c r="H595" s="342"/>
      <c r="I595" s="342"/>
      <c r="J595" s="342"/>
      <c r="K595" s="338"/>
      <c r="L595" s="338"/>
      <c r="M595" s="338"/>
      <c r="N595" s="338"/>
      <c r="O595" s="338"/>
      <c r="P595" s="338"/>
      <c r="Q595" s="338"/>
      <c r="R595" s="338"/>
      <c r="S595" s="338"/>
      <c r="T595" s="338"/>
      <c r="U595" s="338"/>
      <c r="V595" s="338"/>
      <c r="W595" s="338"/>
      <c r="X595" s="338"/>
      <c r="Y595" s="338"/>
      <c r="Z595" s="338"/>
      <c r="AA595" s="338"/>
    </row>
    <row r="596" ht="15.75" customHeight="1">
      <c r="A596" s="339">
        <v>595.0</v>
      </c>
      <c r="B596" s="339" t="s">
        <v>1752</v>
      </c>
      <c r="C596" s="340" t="s">
        <v>712</v>
      </c>
      <c r="D596" s="339" t="s">
        <v>1116</v>
      </c>
      <c r="E596" s="339" t="s">
        <v>644</v>
      </c>
      <c r="F596" s="339">
        <v>2.40180818888E11</v>
      </c>
      <c r="G596" s="342"/>
      <c r="H596" s="342"/>
      <c r="I596" s="342"/>
      <c r="J596" s="342"/>
      <c r="K596" s="338"/>
      <c r="L596" s="338"/>
      <c r="M596" s="338"/>
      <c r="N596" s="338"/>
      <c r="O596" s="338"/>
      <c r="P596" s="338"/>
      <c r="Q596" s="338"/>
      <c r="R596" s="338"/>
      <c r="S596" s="338"/>
      <c r="T596" s="338"/>
      <c r="U596" s="338"/>
      <c r="V596" s="338"/>
      <c r="W596" s="338"/>
      <c r="X596" s="338"/>
      <c r="Y596" s="338"/>
      <c r="Z596" s="338"/>
      <c r="AA596" s="338"/>
    </row>
    <row r="597" ht="15.75" customHeight="1">
      <c r="A597" s="339">
        <v>596.0</v>
      </c>
      <c r="B597" s="339" t="s">
        <v>2564</v>
      </c>
      <c r="C597" s="339" t="s">
        <v>2565</v>
      </c>
      <c r="D597" s="339" t="s">
        <v>937</v>
      </c>
      <c r="E597" s="339" t="s">
        <v>659</v>
      </c>
      <c r="F597" s="339">
        <v>5.610944888E9</v>
      </c>
      <c r="G597" s="342"/>
      <c r="H597" s="342"/>
      <c r="I597" s="342"/>
      <c r="J597" s="342"/>
      <c r="K597" s="338"/>
      <c r="L597" s="338"/>
      <c r="M597" s="338"/>
      <c r="N597" s="338"/>
      <c r="O597" s="338"/>
      <c r="P597" s="338"/>
      <c r="Q597" s="338"/>
      <c r="R597" s="338"/>
      <c r="S597" s="338"/>
      <c r="T597" s="338"/>
      <c r="U597" s="338"/>
      <c r="V597" s="338"/>
      <c r="W597" s="338"/>
      <c r="X597" s="338"/>
      <c r="Y597" s="338"/>
      <c r="Z597" s="338"/>
      <c r="AA597" s="338"/>
    </row>
    <row r="598" ht="15.75" customHeight="1">
      <c r="A598" s="339">
        <v>597.0</v>
      </c>
      <c r="B598" s="339" t="s">
        <v>754</v>
      </c>
      <c r="C598" s="339" t="s">
        <v>755</v>
      </c>
      <c r="D598" s="339" t="s">
        <v>1366</v>
      </c>
      <c r="E598" s="339" t="s">
        <v>659</v>
      </c>
      <c r="F598" s="339">
        <v>2.22416141E9</v>
      </c>
      <c r="G598" s="342" t="s">
        <v>754</v>
      </c>
      <c r="H598" s="342"/>
      <c r="I598" s="342"/>
      <c r="J598" s="342" t="s">
        <v>1056</v>
      </c>
      <c r="K598" s="338"/>
      <c r="L598" s="338"/>
      <c r="M598" s="338"/>
      <c r="N598" s="338"/>
      <c r="O598" s="338"/>
      <c r="P598" s="338"/>
      <c r="Q598" s="338"/>
      <c r="R598" s="338"/>
      <c r="S598" s="338"/>
      <c r="T598" s="338"/>
      <c r="U598" s="338"/>
      <c r="V598" s="338"/>
      <c r="W598" s="338"/>
      <c r="X598" s="338"/>
      <c r="Y598" s="338"/>
      <c r="Z598" s="338"/>
      <c r="AA598" s="338"/>
    </row>
    <row r="599" ht="15.75" customHeight="1">
      <c r="A599" s="339">
        <v>598.0</v>
      </c>
      <c r="B599" s="339" t="s">
        <v>2566</v>
      </c>
      <c r="C599" s="339" t="s">
        <v>564</v>
      </c>
      <c r="D599" s="339" t="s">
        <v>2567</v>
      </c>
      <c r="E599" s="339" t="s">
        <v>844</v>
      </c>
      <c r="F599" s="339">
        <v>1.06006135883E11</v>
      </c>
      <c r="G599" s="342"/>
      <c r="H599" s="342"/>
      <c r="I599" s="342"/>
      <c r="J599" s="342"/>
      <c r="K599" s="338"/>
      <c r="L599" s="338"/>
      <c r="M599" s="338"/>
      <c r="N599" s="338"/>
      <c r="O599" s="338"/>
      <c r="P599" s="338"/>
      <c r="Q599" s="338"/>
      <c r="R599" s="338"/>
      <c r="S599" s="338"/>
      <c r="T599" s="338"/>
      <c r="U599" s="338"/>
      <c r="V599" s="338"/>
      <c r="W599" s="338"/>
      <c r="X599" s="338"/>
      <c r="Y599" s="338"/>
      <c r="Z599" s="338"/>
      <c r="AA599" s="338"/>
    </row>
    <row r="600" ht="15.75" customHeight="1">
      <c r="A600" s="339">
        <v>599.0</v>
      </c>
      <c r="B600" s="339" t="s">
        <v>2568</v>
      </c>
      <c r="C600" s="340" t="s">
        <v>567</v>
      </c>
      <c r="D600" s="339" t="s">
        <v>1067</v>
      </c>
      <c r="E600" s="339" t="s">
        <v>1919</v>
      </c>
      <c r="F600" s="339">
        <v>6.0170406058662E14</v>
      </c>
      <c r="G600" s="342"/>
      <c r="H600" s="342"/>
      <c r="I600" s="342"/>
      <c r="J600" s="342"/>
      <c r="K600" s="338"/>
      <c r="L600" s="338"/>
      <c r="M600" s="338"/>
      <c r="N600" s="338"/>
      <c r="O600" s="338"/>
      <c r="P600" s="338"/>
      <c r="Q600" s="338"/>
      <c r="R600" s="338"/>
      <c r="S600" s="338"/>
      <c r="T600" s="338"/>
      <c r="U600" s="338"/>
      <c r="V600" s="338"/>
      <c r="W600" s="338"/>
      <c r="X600" s="338"/>
      <c r="Y600" s="338"/>
      <c r="Z600" s="338"/>
      <c r="AA600" s="338"/>
    </row>
    <row r="601" ht="15.75" customHeight="1">
      <c r="A601" s="339">
        <v>600.0</v>
      </c>
      <c r="B601" s="339" t="s">
        <v>2569</v>
      </c>
      <c r="C601" s="339" t="s">
        <v>569</v>
      </c>
      <c r="D601" s="339" t="s">
        <v>1082</v>
      </c>
      <c r="E601" s="339" t="s">
        <v>699</v>
      </c>
      <c r="F601" s="339">
        <v>1.9036211487017E13</v>
      </c>
      <c r="G601" s="342"/>
      <c r="H601" s="342"/>
      <c r="I601" s="342"/>
      <c r="J601" s="342"/>
      <c r="K601" s="338"/>
      <c r="L601" s="338"/>
      <c r="M601" s="338"/>
      <c r="N601" s="338"/>
      <c r="O601" s="338"/>
      <c r="P601" s="338"/>
      <c r="Q601" s="338"/>
      <c r="R601" s="338"/>
      <c r="S601" s="338"/>
      <c r="T601" s="338"/>
      <c r="U601" s="338"/>
      <c r="V601" s="338"/>
      <c r="W601" s="338"/>
      <c r="X601" s="338"/>
      <c r="Y601" s="338"/>
      <c r="Z601" s="338"/>
      <c r="AA601" s="338"/>
    </row>
    <row r="602" ht="15.75" customHeight="1">
      <c r="A602" s="339">
        <v>601.0</v>
      </c>
      <c r="B602" s="339" t="s">
        <v>2570</v>
      </c>
      <c r="C602" s="339" t="s">
        <v>571</v>
      </c>
      <c r="D602" s="339" t="s">
        <v>1427</v>
      </c>
      <c r="E602" s="339" t="s">
        <v>659</v>
      </c>
      <c r="F602" s="339">
        <v>4.550829316E9</v>
      </c>
      <c r="G602" s="342"/>
      <c r="H602" s="342"/>
      <c r="I602" s="342"/>
      <c r="J602" s="342"/>
      <c r="K602" s="338"/>
      <c r="L602" s="338"/>
      <c r="M602" s="338"/>
      <c r="N602" s="338"/>
      <c r="O602" s="338"/>
      <c r="P602" s="338"/>
      <c r="Q602" s="338"/>
      <c r="R602" s="338"/>
      <c r="S602" s="338"/>
      <c r="T602" s="338"/>
      <c r="U602" s="338"/>
      <c r="V602" s="338"/>
      <c r="W602" s="338"/>
      <c r="X602" s="338"/>
      <c r="Y602" s="338"/>
      <c r="Z602" s="338"/>
      <c r="AA602" s="338"/>
    </row>
    <row r="603" ht="15.75" customHeight="1">
      <c r="A603" s="339">
        <v>602.0</v>
      </c>
      <c r="B603" s="339" t="s">
        <v>2571</v>
      </c>
      <c r="C603" s="339" t="s">
        <v>575</v>
      </c>
      <c r="D603" s="339" t="s">
        <v>2572</v>
      </c>
      <c r="E603" s="339" t="s">
        <v>659</v>
      </c>
      <c r="F603" s="339">
        <v>5.0110000215081E13</v>
      </c>
      <c r="G603" s="342" t="s">
        <v>2573</v>
      </c>
      <c r="H603" s="342" t="s">
        <v>659</v>
      </c>
      <c r="I603" s="342">
        <v>5.010215081E9</v>
      </c>
      <c r="J603" s="342" t="s">
        <v>532</v>
      </c>
      <c r="K603" s="338"/>
      <c r="L603" s="338"/>
      <c r="M603" s="338"/>
      <c r="N603" s="338"/>
      <c r="O603" s="338"/>
      <c r="P603" s="338"/>
      <c r="Q603" s="338"/>
      <c r="R603" s="338"/>
      <c r="S603" s="338"/>
      <c r="T603" s="338"/>
      <c r="U603" s="338"/>
      <c r="V603" s="338"/>
      <c r="W603" s="338"/>
      <c r="X603" s="338"/>
      <c r="Y603" s="338"/>
      <c r="Z603" s="338"/>
      <c r="AA603" s="338"/>
    </row>
    <row r="604" ht="15.75" customHeight="1">
      <c r="A604" s="339">
        <v>603.0</v>
      </c>
      <c r="B604" s="339" t="s">
        <v>2574</v>
      </c>
      <c r="C604" s="339" t="s">
        <v>588</v>
      </c>
      <c r="D604" s="339" t="s">
        <v>2575</v>
      </c>
      <c r="E604" s="339" t="s">
        <v>651</v>
      </c>
      <c r="F604" s="339">
        <v>8.500215003041E12</v>
      </c>
      <c r="G604" s="342"/>
      <c r="H604" s="342"/>
      <c r="I604" s="342"/>
      <c r="J604" s="342"/>
      <c r="K604" s="338"/>
      <c r="L604" s="338"/>
      <c r="M604" s="338"/>
      <c r="N604" s="338"/>
      <c r="O604" s="338"/>
      <c r="P604" s="338"/>
      <c r="Q604" s="338"/>
      <c r="R604" s="338"/>
      <c r="S604" s="338"/>
      <c r="T604" s="338"/>
      <c r="U604" s="338"/>
      <c r="V604" s="338"/>
      <c r="W604" s="338"/>
      <c r="X604" s="338"/>
      <c r="Y604" s="338"/>
      <c r="Z604" s="338"/>
      <c r="AA604" s="338"/>
    </row>
    <row r="605" ht="15.75" customHeight="1">
      <c r="A605" s="339">
        <v>604.0</v>
      </c>
      <c r="B605" s="339" t="s">
        <v>2576</v>
      </c>
      <c r="C605" s="339" t="s">
        <v>591</v>
      </c>
      <c r="D605" s="339" t="s">
        <v>1384</v>
      </c>
      <c r="E605" s="339" t="s">
        <v>659</v>
      </c>
      <c r="F605" s="339">
        <v>3.450139679E9</v>
      </c>
      <c r="G605" s="342" t="s">
        <v>2576</v>
      </c>
      <c r="H605" s="342"/>
      <c r="I605" s="342"/>
      <c r="J605" s="342" t="s">
        <v>1056</v>
      </c>
      <c r="K605" s="338"/>
      <c r="L605" s="338"/>
      <c r="M605" s="338"/>
      <c r="N605" s="338"/>
      <c r="O605" s="338"/>
      <c r="P605" s="338"/>
      <c r="Q605" s="338"/>
      <c r="R605" s="338"/>
      <c r="S605" s="338"/>
      <c r="T605" s="338"/>
      <c r="U605" s="338"/>
      <c r="V605" s="338"/>
      <c r="W605" s="338"/>
      <c r="X605" s="338"/>
      <c r="Y605" s="338"/>
      <c r="Z605" s="338"/>
      <c r="AA605" s="338"/>
    </row>
    <row r="606" ht="15.75" customHeight="1">
      <c r="A606" s="339">
        <v>605.0</v>
      </c>
      <c r="B606" s="339" t="s">
        <v>2577</v>
      </c>
      <c r="C606" s="339" t="s">
        <v>603</v>
      </c>
      <c r="D606" s="339" t="s">
        <v>2420</v>
      </c>
      <c r="E606" s="339" t="s">
        <v>970</v>
      </c>
      <c r="F606" s="339">
        <v>3.25566901E8</v>
      </c>
      <c r="G606" s="342"/>
      <c r="H606" s="342"/>
      <c r="I606" s="342"/>
      <c r="J606" s="342"/>
      <c r="K606" s="338"/>
      <c r="L606" s="338"/>
      <c r="M606" s="338"/>
      <c r="N606" s="338"/>
      <c r="O606" s="338"/>
      <c r="P606" s="338"/>
      <c r="Q606" s="338"/>
      <c r="R606" s="338"/>
      <c r="S606" s="338"/>
      <c r="T606" s="338"/>
      <c r="U606" s="338"/>
      <c r="V606" s="338"/>
      <c r="W606" s="338"/>
      <c r="X606" s="338"/>
      <c r="Y606" s="338"/>
      <c r="Z606" s="338"/>
      <c r="AA606" s="338"/>
    </row>
    <row r="607" ht="15.75" customHeight="1">
      <c r="A607" s="339">
        <v>606.0</v>
      </c>
      <c r="B607" s="339" t="s">
        <v>2578</v>
      </c>
      <c r="C607" s="339" t="s">
        <v>2579</v>
      </c>
      <c r="D607" s="339" t="s">
        <v>2580</v>
      </c>
      <c r="E607" s="339" t="s">
        <v>748</v>
      </c>
      <c r="F607" s="339">
        <v>8.50021500452E12</v>
      </c>
      <c r="G607" s="342"/>
      <c r="H607" s="342"/>
      <c r="I607" s="342"/>
      <c r="J607" s="342"/>
      <c r="K607" s="338"/>
      <c r="L607" s="338"/>
      <c r="M607" s="338"/>
      <c r="N607" s="338"/>
      <c r="O607" s="338"/>
      <c r="P607" s="338"/>
      <c r="Q607" s="338"/>
      <c r="R607" s="338"/>
      <c r="S607" s="338"/>
      <c r="T607" s="338"/>
      <c r="U607" s="338"/>
      <c r="V607" s="338"/>
      <c r="W607" s="338"/>
      <c r="X607" s="338"/>
      <c r="Y607" s="338"/>
      <c r="Z607" s="338"/>
      <c r="AA607" s="338"/>
    </row>
    <row r="608" ht="15.75" customHeight="1">
      <c r="A608" s="339">
        <v>607.0</v>
      </c>
      <c r="B608" s="339" t="s">
        <v>2581</v>
      </c>
      <c r="C608" s="339" t="s">
        <v>2582</v>
      </c>
      <c r="D608" s="339" t="s">
        <v>976</v>
      </c>
      <c r="E608" s="339" t="s">
        <v>2097</v>
      </c>
      <c r="F608" s="339">
        <v>1.71846517E8</v>
      </c>
      <c r="G608" s="342"/>
      <c r="H608" s="342"/>
      <c r="I608" s="342"/>
      <c r="J608" s="342"/>
      <c r="K608" s="338"/>
      <c r="L608" s="338"/>
      <c r="M608" s="338"/>
      <c r="N608" s="338"/>
      <c r="O608" s="338"/>
      <c r="P608" s="338"/>
      <c r="Q608" s="338"/>
      <c r="R608" s="338"/>
      <c r="S608" s="338"/>
      <c r="T608" s="338"/>
      <c r="U608" s="338"/>
      <c r="V608" s="338"/>
      <c r="W608" s="338"/>
      <c r="X608" s="338"/>
      <c r="Y608" s="338"/>
      <c r="Z608" s="338"/>
      <c r="AA608" s="338"/>
    </row>
    <row r="609" ht="15.75" customHeight="1">
      <c r="A609" s="339">
        <v>608.0</v>
      </c>
      <c r="B609" s="339" t="s">
        <v>2583</v>
      </c>
      <c r="C609" s="339" t="s">
        <v>2584</v>
      </c>
      <c r="D609" s="339" t="s">
        <v>2585</v>
      </c>
      <c r="E609" s="339" t="s">
        <v>808</v>
      </c>
      <c r="F609" s="339">
        <v>1.08006254379E11</v>
      </c>
      <c r="G609" s="342"/>
      <c r="H609" s="342"/>
      <c r="I609" s="342"/>
      <c r="J609" s="342"/>
      <c r="K609" s="338"/>
      <c r="L609" s="338"/>
      <c r="M609" s="338"/>
      <c r="N609" s="338"/>
      <c r="O609" s="338"/>
      <c r="P609" s="338"/>
      <c r="Q609" s="338"/>
      <c r="R609" s="338"/>
      <c r="S609" s="338"/>
      <c r="T609" s="338"/>
      <c r="U609" s="338"/>
      <c r="V609" s="338"/>
      <c r="W609" s="338"/>
      <c r="X609" s="338"/>
      <c r="Y609" s="338"/>
      <c r="Z609" s="338"/>
      <c r="AA609" s="338"/>
    </row>
    <row r="610" ht="15.75" customHeight="1">
      <c r="A610" s="339">
        <v>609.0</v>
      </c>
      <c r="B610" s="339" t="s">
        <v>2586</v>
      </c>
      <c r="C610" s="340" t="s">
        <v>969</v>
      </c>
      <c r="D610" s="339" t="s">
        <v>381</v>
      </c>
      <c r="E610" s="339" t="s">
        <v>659</v>
      </c>
      <c r="F610" s="339">
        <v>3.90100001119E11</v>
      </c>
      <c r="G610" s="342" t="s">
        <v>2586</v>
      </c>
      <c r="H610" s="339" t="s">
        <v>659</v>
      </c>
      <c r="I610" s="342"/>
      <c r="J610" s="342" t="s">
        <v>1056</v>
      </c>
      <c r="K610" s="338"/>
      <c r="L610" s="338"/>
      <c r="M610" s="338"/>
      <c r="N610" s="338"/>
      <c r="O610" s="338"/>
      <c r="P610" s="338"/>
      <c r="Q610" s="338"/>
      <c r="R610" s="338"/>
      <c r="S610" s="338"/>
      <c r="T610" s="338"/>
      <c r="U610" s="338"/>
      <c r="V610" s="338"/>
      <c r="W610" s="338"/>
      <c r="X610" s="338"/>
      <c r="Y610" s="338"/>
      <c r="Z610" s="338"/>
      <c r="AA610" s="338"/>
    </row>
    <row r="611" ht="15.75" customHeight="1">
      <c r="A611" s="339">
        <v>610.0</v>
      </c>
      <c r="B611" s="339" t="s">
        <v>2587</v>
      </c>
      <c r="C611" s="339" t="s">
        <v>2588</v>
      </c>
      <c r="D611" s="339" t="s">
        <v>979</v>
      </c>
      <c r="E611" s="339" t="s">
        <v>699</v>
      </c>
      <c r="F611" s="339">
        <v>1.9035033465016E13</v>
      </c>
      <c r="G611" s="341" t="s">
        <v>2589</v>
      </c>
      <c r="H611" s="342"/>
      <c r="I611" s="342"/>
      <c r="J611" s="342" t="s">
        <v>2590</v>
      </c>
      <c r="K611" s="338"/>
      <c r="L611" s="338"/>
      <c r="M611" s="338"/>
      <c r="N611" s="338"/>
      <c r="O611" s="338"/>
      <c r="P611" s="338"/>
      <c r="Q611" s="338"/>
      <c r="R611" s="338"/>
      <c r="S611" s="338"/>
      <c r="T611" s="338"/>
      <c r="U611" s="338"/>
      <c r="V611" s="338"/>
      <c r="W611" s="338"/>
      <c r="X611" s="338"/>
      <c r="Y611" s="338"/>
      <c r="Z611" s="338"/>
      <c r="AA611" s="338"/>
    </row>
    <row r="612" ht="15.75" customHeight="1">
      <c r="A612" s="339">
        <v>611.0</v>
      </c>
      <c r="B612" s="339" t="s">
        <v>2591</v>
      </c>
      <c r="C612" s="339" t="s">
        <v>2592</v>
      </c>
      <c r="D612" s="339" t="s">
        <v>1652</v>
      </c>
      <c r="E612" s="339" t="s">
        <v>671</v>
      </c>
      <c r="F612" s="339">
        <v>1.21002238767E11</v>
      </c>
      <c r="G612" s="342"/>
      <c r="H612" s="342"/>
      <c r="I612" s="342"/>
      <c r="J612" s="342"/>
      <c r="K612" s="338"/>
      <c r="L612" s="338"/>
      <c r="M612" s="338"/>
      <c r="N612" s="338"/>
      <c r="O612" s="338"/>
      <c r="P612" s="338"/>
      <c r="Q612" s="338"/>
      <c r="R612" s="338"/>
      <c r="S612" s="338"/>
      <c r="T612" s="338"/>
      <c r="U612" s="338"/>
      <c r="V612" s="338"/>
      <c r="W612" s="338"/>
      <c r="X612" s="338"/>
      <c r="Y612" s="338"/>
      <c r="Z612" s="338"/>
      <c r="AA612" s="338"/>
    </row>
    <row r="613" ht="15.75" customHeight="1">
      <c r="A613" s="339">
        <v>612.0</v>
      </c>
      <c r="B613" s="339" t="s">
        <v>708</v>
      </c>
      <c r="C613" s="339" t="s">
        <v>709</v>
      </c>
      <c r="D613" s="339" t="s">
        <v>926</v>
      </c>
      <c r="E613" s="339" t="s">
        <v>651</v>
      </c>
      <c r="F613" s="339">
        <v>6.421215046625E12</v>
      </c>
      <c r="G613" s="342"/>
      <c r="H613" s="342"/>
      <c r="I613" s="342"/>
      <c r="J613" s="342"/>
      <c r="K613" s="338"/>
      <c r="L613" s="338"/>
      <c r="M613" s="338"/>
      <c r="N613" s="338"/>
      <c r="O613" s="338"/>
      <c r="P613" s="338"/>
      <c r="Q613" s="338"/>
      <c r="R613" s="338"/>
      <c r="S613" s="338"/>
      <c r="T613" s="338"/>
      <c r="U613" s="338"/>
      <c r="V613" s="338"/>
      <c r="W613" s="338"/>
      <c r="X613" s="338"/>
      <c r="Y613" s="338"/>
      <c r="Z613" s="338"/>
      <c r="AA613" s="338"/>
    </row>
    <row r="614" ht="15.75" customHeight="1">
      <c r="A614" s="339">
        <v>613.0</v>
      </c>
      <c r="B614" s="339" t="s">
        <v>2593</v>
      </c>
      <c r="C614" s="339" t="s">
        <v>2594</v>
      </c>
      <c r="D614" s="339" t="s">
        <v>1924</v>
      </c>
      <c r="E614" s="339" t="s">
        <v>671</v>
      </c>
      <c r="F614" s="339">
        <v>1.028075792E9</v>
      </c>
      <c r="G614" s="342"/>
      <c r="H614" s="342"/>
      <c r="I614" s="342"/>
      <c r="J614" s="342"/>
      <c r="K614" s="338"/>
      <c r="L614" s="338"/>
      <c r="M614" s="338"/>
      <c r="N614" s="338"/>
      <c r="O614" s="338"/>
      <c r="P614" s="338"/>
      <c r="Q614" s="338"/>
      <c r="R614" s="338"/>
      <c r="S614" s="338"/>
      <c r="T614" s="338"/>
      <c r="U614" s="338"/>
      <c r="V614" s="338"/>
      <c r="W614" s="338"/>
      <c r="X614" s="338"/>
      <c r="Y614" s="338"/>
      <c r="Z614" s="338"/>
      <c r="AA614" s="338"/>
    </row>
    <row r="615" ht="15.75" customHeight="1">
      <c r="A615" s="339">
        <v>614.0</v>
      </c>
      <c r="B615" s="339" t="s">
        <v>2595</v>
      </c>
      <c r="C615" s="339" t="s">
        <v>2596</v>
      </c>
      <c r="D615" s="339" t="s">
        <v>1336</v>
      </c>
      <c r="E615" s="339" t="s">
        <v>743</v>
      </c>
      <c r="F615" s="339">
        <v>1.84030241E8</v>
      </c>
      <c r="G615" s="342"/>
      <c r="H615" s="342"/>
      <c r="I615" s="342"/>
      <c r="J615" s="342"/>
      <c r="K615" s="338"/>
      <c r="L615" s="338"/>
      <c r="M615" s="338"/>
      <c r="N615" s="338"/>
      <c r="O615" s="338"/>
      <c r="P615" s="338"/>
      <c r="Q615" s="338"/>
      <c r="R615" s="338"/>
      <c r="S615" s="338"/>
      <c r="T615" s="338"/>
      <c r="U615" s="338"/>
      <c r="V615" s="338"/>
      <c r="W615" s="338"/>
      <c r="X615" s="338"/>
      <c r="Y615" s="338"/>
      <c r="Z615" s="338"/>
      <c r="AA615" s="338"/>
    </row>
    <row r="616" ht="15.75" customHeight="1">
      <c r="A616" s="339">
        <v>615.0</v>
      </c>
      <c r="B616" s="339" t="s">
        <v>2597</v>
      </c>
      <c r="C616" s="340" t="s">
        <v>1664</v>
      </c>
      <c r="D616" s="339" t="s">
        <v>1590</v>
      </c>
      <c r="E616" s="339" t="s">
        <v>2373</v>
      </c>
      <c r="F616" s="339">
        <v>1.01005760215E11</v>
      </c>
      <c r="G616" s="342"/>
      <c r="H616" s="342"/>
      <c r="I616" s="342"/>
      <c r="J616" s="342"/>
      <c r="K616" s="338"/>
      <c r="L616" s="338"/>
      <c r="M616" s="338"/>
      <c r="N616" s="338"/>
      <c r="O616" s="338"/>
      <c r="P616" s="338"/>
      <c r="Q616" s="338"/>
      <c r="R616" s="338"/>
      <c r="S616" s="338"/>
      <c r="T616" s="338"/>
      <c r="U616" s="338"/>
      <c r="V616" s="338"/>
      <c r="W616" s="338"/>
      <c r="X616" s="338"/>
      <c r="Y616" s="338"/>
      <c r="Z616" s="338"/>
      <c r="AA616" s="338"/>
    </row>
    <row r="617" ht="15.75" customHeight="1">
      <c r="A617" s="339">
        <v>616.0</v>
      </c>
      <c r="B617" s="339" t="s">
        <v>2598</v>
      </c>
      <c r="C617" s="339" t="s">
        <v>2599</v>
      </c>
      <c r="D617" s="339" t="s">
        <v>1099</v>
      </c>
      <c r="E617" s="339" t="s">
        <v>2600</v>
      </c>
      <c r="F617" s="339">
        <v>3.27337603E8</v>
      </c>
      <c r="G617" s="342"/>
      <c r="H617" s="342"/>
      <c r="I617" s="342"/>
      <c r="J617" s="342"/>
      <c r="K617" s="338"/>
      <c r="L617" s="338"/>
      <c r="M617" s="338"/>
      <c r="N617" s="338"/>
      <c r="O617" s="338"/>
      <c r="P617" s="338"/>
      <c r="Q617" s="338"/>
      <c r="R617" s="338"/>
      <c r="S617" s="338"/>
      <c r="T617" s="338"/>
      <c r="U617" s="338"/>
      <c r="V617" s="338"/>
      <c r="W617" s="338"/>
      <c r="X617" s="338"/>
      <c r="Y617" s="338"/>
      <c r="Z617" s="338"/>
      <c r="AA617" s="338"/>
    </row>
    <row r="618" ht="15.75" customHeight="1">
      <c r="A618" s="339">
        <v>617.0</v>
      </c>
      <c r="B618" s="339" t="s">
        <v>640</v>
      </c>
      <c r="C618" s="339" t="s">
        <v>641</v>
      </c>
      <c r="D618" s="339" t="s">
        <v>1198</v>
      </c>
      <c r="E618" s="339" t="s">
        <v>644</v>
      </c>
      <c r="F618" s="339">
        <v>2.267801051991E12</v>
      </c>
      <c r="G618" s="342"/>
      <c r="H618" s="342"/>
      <c r="I618" s="342"/>
      <c r="J618" s="342"/>
      <c r="K618" s="338"/>
      <c r="L618" s="338"/>
      <c r="M618" s="338"/>
      <c r="N618" s="338"/>
      <c r="O618" s="338"/>
      <c r="P618" s="338"/>
      <c r="Q618" s="338"/>
      <c r="R618" s="338"/>
      <c r="S618" s="338"/>
      <c r="T618" s="338"/>
      <c r="U618" s="338"/>
      <c r="V618" s="338"/>
      <c r="W618" s="338"/>
      <c r="X618" s="338"/>
      <c r="Y618" s="338"/>
      <c r="Z618" s="338"/>
      <c r="AA618" s="338"/>
    </row>
    <row r="619" ht="15.75" customHeight="1">
      <c r="A619" s="339">
        <v>618.0</v>
      </c>
      <c r="B619" s="339" t="s">
        <v>2601</v>
      </c>
      <c r="C619" s="339" t="s">
        <v>2602</v>
      </c>
      <c r="D619" s="339" t="s">
        <v>2603</v>
      </c>
      <c r="E619" s="339" t="s">
        <v>659</v>
      </c>
      <c r="F619" s="339">
        <v>8.860461302E9</v>
      </c>
      <c r="G619" s="339" t="s">
        <v>2601</v>
      </c>
      <c r="H619" s="342"/>
      <c r="I619" s="342"/>
      <c r="J619" s="342" t="s">
        <v>1056</v>
      </c>
      <c r="K619" s="338"/>
      <c r="L619" s="338"/>
      <c r="M619" s="338"/>
      <c r="N619" s="338"/>
      <c r="O619" s="338"/>
      <c r="P619" s="338"/>
      <c r="Q619" s="338"/>
      <c r="R619" s="338"/>
      <c r="S619" s="338"/>
      <c r="T619" s="338"/>
      <c r="U619" s="338"/>
      <c r="V619" s="338"/>
      <c r="W619" s="338"/>
      <c r="X619" s="338"/>
      <c r="Y619" s="338"/>
      <c r="Z619" s="338"/>
      <c r="AA619" s="338"/>
    </row>
    <row r="620" ht="15.75" customHeight="1">
      <c r="A620" s="339">
        <v>619.0</v>
      </c>
      <c r="B620" s="339" t="s">
        <v>888</v>
      </c>
      <c r="C620" s="339" t="s">
        <v>889</v>
      </c>
      <c r="D620" s="339" t="s">
        <v>1502</v>
      </c>
      <c r="E620" s="339" t="s">
        <v>891</v>
      </c>
      <c r="F620" s="339">
        <v>6.0173872898E10</v>
      </c>
      <c r="G620" s="342"/>
      <c r="H620" s="342"/>
      <c r="I620" s="342"/>
      <c r="J620" s="342"/>
      <c r="K620" s="338"/>
      <c r="L620" s="338"/>
      <c r="M620" s="338"/>
      <c r="N620" s="338"/>
      <c r="O620" s="338"/>
      <c r="P620" s="338"/>
      <c r="Q620" s="338"/>
      <c r="R620" s="338"/>
      <c r="S620" s="338"/>
      <c r="T620" s="338"/>
      <c r="U620" s="338"/>
      <c r="V620" s="338"/>
      <c r="W620" s="338"/>
      <c r="X620" s="338"/>
      <c r="Y620" s="338"/>
      <c r="Z620" s="338"/>
      <c r="AA620" s="338"/>
    </row>
    <row r="621" ht="15.75" customHeight="1">
      <c r="A621" s="339">
        <v>620.0</v>
      </c>
      <c r="B621" s="339" t="s">
        <v>704</v>
      </c>
      <c r="C621" s="339" t="s">
        <v>705</v>
      </c>
      <c r="D621" s="339" t="s">
        <v>2219</v>
      </c>
      <c r="E621" s="339" t="s">
        <v>707</v>
      </c>
      <c r="F621" s="339">
        <v>6.011927948E10</v>
      </c>
      <c r="G621" s="342" t="s">
        <v>704</v>
      </c>
      <c r="H621" s="342"/>
      <c r="I621" s="342"/>
      <c r="J621" s="342"/>
      <c r="K621" s="338"/>
      <c r="L621" s="338"/>
      <c r="M621" s="338"/>
      <c r="N621" s="338"/>
      <c r="O621" s="338"/>
      <c r="P621" s="338"/>
      <c r="Q621" s="338"/>
      <c r="R621" s="338"/>
      <c r="S621" s="338"/>
      <c r="T621" s="338"/>
      <c r="U621" s="338"/>
      <c r="V621" s="338"/>
      <c r="W621" s="338"/>
      <c r="X621" s="338"/>
      <c r="Y621" s="338"/>
      <c r="Z621" s="338"/>
      <c r="AA621" s="338"/>
    </row>
    <row r="622" ht="15.75" customHeight="1">
      <c r="A622" s="339">
        <v>621.0</v>
      </c>
      <c r="B622" s="339" t="s">
        <v>2604</v>
      </c>
      <c r="C622" s="339" t="s">
        <v>2605</v>
      </c>
      <c r="D622" s="339" t="s">
        <v>1948</v>
      </c>
      <c r="E622" s="339">
        <v>0.0</v>
      </c>
      <c r="F622" s="339"/>
      <c r="G622" s="342"/>
      <c r="H622" s="342"/>
      <c r="I622" s="342"/>
      <c r="J622" s="342"/>
      <c r="K622" s="338"/>
      <c r="L622" s="338"/>
      <c r="M622" s="338"/>
      <c r="N622" s="338"/>
      <c r="O622" s="338"/>
      <c r="P622" s="338"/>
      <c r="Q622" s="338"/>
      <c r="R622" s="338"/>
      <c r="S622" s="338"/>
      <c r="T622" s="338"/>
      <c r="U622" s="338"/>
      <c r="V622" s="338"/>
      <c r="W622" s="338"/>
      <c r="X622" s="338"/>
      <c r="Y622" s="338"/>
      <c r="Z622" s="338"/>
      <c r="AA622" s="338"/>
    </row>
    <row r="623" ht="15.75" customHeight="1">
      <c r="A623" s="339">
        <v>622.0</v>
      </c>
      <c r="B623" s="339" t="s">
        <v>2606</v>
      </c>
      <c r="C623" s="339" t="s">
        <v>2607</v>
      </c>
      <c r="D623" s="339" t="s">
        <v>2585</v>
      </c>
      <c r="E623" s="339" t="s">
        <v>808</v>
      </c>
      <c r="F623" s="339">
        <v>1.07873396447E11</v>
      </c>
      <c r="G623" s="342" t="s">
        <v>2606</v>
      </c>
      <c r="H623" s="342"/>
      <c r="I623" s="342"/>
      <c r="J623" s="342" t="s">
        <v>1056</v>
      </c>
      <c r="K623" s="338"/>
      <c r="L623" s="338"/>
      <c r="M623" s="338"/>
      <c r="N623" s="338"/>
      <c r="O623" s="338"/>
      <c r="P623" s="338"/>
      <c r="Q623" s="338"/>
      <c r="R623" s="338"/>
      <c r="S623" s="338"/>
      <c r="T623" s="338"/>
      <c r="U623" s="338"/>
      <c r="V623" s="338"/>
      <c r="W623" s="338"/>
      <c r="X623" s="338"/>
      <c r="Y623" s="338"/>
      <c r="Z623" s="338"/>
      <c r="AA623" s="338"/>
    </row>
    <row r="624" ht="15.75" customHeight="1">
      <c r="A624" s="339">
        <v>623.0</v>
      </c>
      <c r="B624" s="339" t="s">
        <v>652</v>
      </c>
      <c r="C624" s="339" t="s">
        <v>653</v>
      </c>
      <c r="D624" s="339" t="s">
        <v>2390</v>
      </c>
      <c r="E624" s="339" t="s">
        <v>655</v>
      </c>
      <c r="F624" s="339">
        <v>9.00145794006E11</v>
      </c>
      <c r="G624" s="342"/>
      <c r="H624" s="342"/>
      <c r="I624" s="342"/>
      <c r="J624" s="342"/>
      <c r="K624" s="338"/>
      <c r="L624" s="338"/>
      <c r="M624" s="338"/>
      <c r="N624" s="338"/>
      <c r="O624" s="338"/>
      <c r="P624" s="338"/>
      <c r="Q624" s="338"/>
      <c r="R624" s="338"/>
      <c r="S624" s="338"/>
      <c r="T624" s="338"/>
      <c r="U624" s="338"/>
      <c r="V624" s="338"/>
      <c r="W624" s="338"/>
      <c r="X624" s="338"/>
      <c r="Y624" s="338"/>
      <c r="Z624" s="338"/>
      <c r="AA624" s="338"/>
    </row>
    <row r="625" ht="15.75" customHeight="1">
      <c r="A625" s="339">
        <v>624.0</v>
      </c>
      <c r="B625" s="339" t="s">
        <v>693</v>
      </c>
      <c r="C625" s="339" t="s">
        <v>694</v>
      </c>
      <c r="D625" s="339" t="s">
        <v>1527</v>
      </c>
      <c r="E625" s="339" t="s">
        <v>671</v>
      </c>
      <c r="F625" s="339">
        <v>1.1004324322E10</v>
      </c>
      <c r="G625" s="342"/>
      <c r="H625" s="342"/>
      <c r="I625" s="342"/>
      <c r="J625" s="342"/>
      <c r="K625" s="338"/>
      <c r="L625" s="338"/>
      <c r="M625" s="338"/>
      <c r="N625" s="338"/>
      <c r="O625" s="338"/>
      <c r="P625" s="338"/>
      <c r="Q625" s="338"/>
      <c r="R625" s="338"/>
      <c r="S625" s="338"/>
      <c r="T625" s="338"/>
      <c r="U625" s="338"/>
      <c r="V625" s="338"/>
      <c r="W625" s="338"/>
      <c r="X625" s="338"/>
      <c r="Y625" s="338"/>
      <c r="Z625" s="338"/>
      <c r="AA625" s="338"/>
    </row>
    <row r="626" ht="15.75" customHeight="1">
      <c r="A626" s="339">
        <v>625.0</v>
      </c>
      <c r="B626" s="339" t="s">
        <v>757</v>
      </c>
      <c r="C626" s="339" t="s">
        <v>758</v>
      </c>
      <c r="D626" s="339" t="s">
        <v>923</v>
      </c>
      <c r="E626" s="339" t="s">
        <v>659</v>
      </c>
      <c r="F626" s="339">
        <v>1.6010000352178E13</v>
      </c>
      <c r="G626" s="342" t="s">
        <v>757</v>
      </c>
      <c r="H626" s="342" t="s">
        <v>1277</v>
      </c>
      <c r="I626" s="342">
        <v>1.600352178E9</v>
      </c>
      <c r="J626" s="342" t="s">
        <v>1056</v>
      </c>
      <c r="K626" s="338"/>
      <c r="L626" s="338"/>
      <c r="M626" s="338"/>
      <c r="N626" s="338"/>
      <c r="O626" s="338"/>
      <c r="P626" s="338"/>
      <c r="Q626" s="338"/>
      <c r="R626" s="338"/>
      <c r="S626" s="338"/>
      <c r="T626" s="338"/>
      <c r="U626" s="338"/>
      <c r="V626" s="338"/>
      <c r="W626" s="338"/>
      <c r="X626" s="338"/>
      <c r="Y626" s="338"/>
      <c r="Z626" s="338"/>
      <c r="AA626" s="338"/>
    </row>
    <row r="627" ht="15.75" customHeight="1">
      <c r="A627" s="339">
        <v>626.0</v>
      </c>
      <c r="B627" s="339" t="s">
        <v>2608</v>
      </c>
      <c r="C627" s="339" t="s">
        <v>2609</v>
      </c>
      <c r="D627" s="339" t="s">
        <v>1203</v>
      </c>
      <c r="E627" s="339" t="s">
        <v>699</v>
      </c>
      <c r="F627" s="339">
        <v>2.310668888E9</v>
      </c>
      <c r="G627" s="342"/>
      <c r="H627" s="342"/>
      <c r="I627" s="342"/>
      <c r="J627" s="342"/>
      <c r="K627" s="338"/>
      <c r="L627" s="338"/>
      <c r="M627" s="338"/>
      <c r="N627" s="338"/>
      <c r="O627" s="338"/>
      <c r="P627" s="338"/>
      <c r="Q627" s="338"/>
      <c r="R627" s="338"/>
      <c r="S627" s="338"/>
      <c r="T627" s="338"/>
      <c r="U627" s="338"/>
      <c r="V627" s="338"/>
      <c r="W627" s="338"/>
      <c r="X627" s="338"/>
      <c r="Y627" s="338"/>
      <c r="Z627" s="338"/>
      <c r="AA627" s="338"/>
    </row>
    <row r="628" ht="15.75" customHeight="1">
      <c r="A628" s="339">
        <v>627.0</v>
      </c>
      <c r="B628" s="339" t="s">
        <v>2610</v>
      </c>
      <c r="C628" s="339" t="s">
        <v>2611</v>
      </c>
      <c r="D628" s="339" t="s">
        <v>1640</v>
      </c>
      <c r="E628" s="339" t="s">
        <v>659</v>
      </c>
      <c r="F628" s="339">
        <v>3.900085064E9</v>
      </c>
      <c r="G628" s="342" t="s">
        <v>2610</v>
      </c>
      <c r="H628" s="342"/>
      <c r="I628" s="342"/>
      <c r="J628" s="342" t="s">
        <v>1056</v>
      </c>
      <c r="K628" s="338"/>
      <c r="L628" s="338"/>
      <c r="M628" s="338"/>
      <c r="N628" s="338"/>
      <c r="O628" s="338"/>
      <c r="P628" s="338"/>
      <c r="Q628" s="338"/>
      <c r="R628" s="338"/>
      <c r="S628" s="338"/>
      <c r="T628" s="338"/>
      <c r="U628" s="338"/>
      <c r="V628" s="338"/>
      <c r="W628" s="338"/>
      <c r="X628" s="338"/>
      <c r="Y628" s="338"/>
      <c r="Z628" s="338"/>
      <c r="AA628" s="338"/>
    </row>
    <row r="629" ht="15.75" customHeight="1">
      <c r="A629" s="339">
        <v>628.0</v>
      </c>
      <c r="B629" s="339" t="s">
        <v>2612</v>
      </c>
      <c r="C629" s="339" t="s">
        <v>2613</v>
      </c>
      <c r="D629" s="339" t="s">
        <v>2614</v>
      </c>
      <c r="E629" s="339">
        <v>0.0</v>
      </c>
      <c r="F629" s="339"/>
      <c r="G629" s="342"/>
      <c r="H629" s="342"/>
      <c r="I629" s="342"/>
      <c r="J629" s="342"/>
      <c r="K629" s="338"/>
      <c r="L629" s="338"/>
      <c r="M629" s="338"/>
      <c r="N629" s="338"/>
      <c r="O629" s="338"/>
      <c r="P629" s="338"/>
      <c r="Q629" s="338"/>
      <c r="R629" s="338"/>
      <c r="S629" s="338"/>
      <c r="T629" s="338"/>
      <c r="U629" s="338"/>
      <c r="V629" s="338"/>
      <c r="W629" s="338"/>
      <c r="X629" s="338"/>
      <c r="Y629" s="338"/>
      <c r="Z629" s="338"/>
      <c r="AA629" s="338"/>
    </row>
    <row r="630" ht="15.75" customHeight="1">
      <c r="A630" s="339">
        <v>629.0</v>
      </c>
      <c r="B630" s="339" t="s">
        <v>2615</v>
      </c>
      <c r="C630" s="339" t="s">
        <v>2616</v>
      </c>
      <c r="D630" s="339" t="s">
        <v>2420</v>
      </c>
      <c r="E630" s="339" t="s">
        <v>651</v>
      </c>
      <c r="F630" s="339">
        <v>8.500215002706E12</v>
      </c>
      <c r="G630" s="342"/>
      <c r="H630" s="342"/>
      <c r="I630" s="342"/>
      <c r="J630" s="342"/>
      <c r="K630" s="338"/>
      <c r="L630" s="338"/>
      <c r="M630" s="338"/>
      <c r="N630" s="338"/>
      <c r="O630" s="338"/>
      <c r="P630" s="338"/>
      <c r="Q630" s="338"/>
      <c r="R630" s="338"/>
      <c r="S630" s="338"/>
      <c r="T630" s="338"/>
      <c r="U630" s="338"/>
      <c r="V630" s="338"/>
      <c r="W630" s="338"/>
      <c r="X630" s="338"/>
      <c r="Y630" s="338"/>
      <c r="Z630" s="338"/>
      <c r="AA630" s="338"/>
    </row>
    <row r="631" ht="15.75" customHeight="1">
      <c r="A631" s="339">
        <v>630.0</v>
      </c>
      <c r="B631" s="339" t="s">
        <v>2617</v>
      </c>
      <c r="C631" s="339" t="s">
        <v>2618</v>
      </c>
      <c r="D631" s="339" t="s">
        <v>994</v>
      </c>
      <c r="E631" s="339" t="s">
        <v>651</v>
      </c>
      <c r="F631" s="339">
        <v>3.009205002281E12</v>
      </c>
      <c r="G631" s="342"/>
      <c r="H631" s="342"/>
      <c r="I631" s="342"/>
      <c r="J631" s="342"/>
      <c r="K631" s="338"/>
      <c r="L631" s="338"/>
      <c r="M631" s="338"/>
      <c r="N631" s="338"/>
      <c r="O631" s="338"/>
      <c r="P631" s="338"/>
      <c r="Q631" s="338"/>
      <c r="R631" s="338"/>
      <c r="S631" s="338"/>
      <c r="T631" s="338"/>
      <c r="U631" s="338"/>
      <c r="V631" s="338"/>
      <c r="W631" s="338"/>
      <c r="X631" s="338"/>
      <c r="Y631" s="338"/>
      <c r="Z631" s="338"/>
      <c r="AA631" s="338"/>
    </row>
    <row r="632" ht="15.75" customHeight="1">
      <c r="A632" s="339">
        <v>631.0</v>
      </c>
      <c r="B632" s="339" t="s">
        <v>649</v>
      </c>
      <c r="C632" s="339" t="s">
        <v>481</v>
      </c>
      <c r="D632" s="339" t="s">
        <v>1231</v>
      </c>
      <c r="E632" s="339" t="s">
        <v>651</v>
      </c>
      <c r="F632" s="339">
        <v>8.50021500383E12</v>
      </c>
      <c r="G632" s="342"/>
      <c r="H632" s="342"/>
      <c r="I632" s="342"/>
      <c r="J632" s="342"/>
      <c r="K632" s="338"/>
      <c r="L632" s="338"/>
      <c r="M632" s="338"/>
      <c r="N632" s="338"/>
      <c r="O632" s="338"/>
      <c r="P632" s="338"/>
      <c r="Q632" s="338"/>
      <c r="R632" s="338"/>
      <c r="S632" s="338"/>
      <c r="T632" s="338"/>
      <c r="U632" s="338"/>
      <c r="V632" s="338"/>
      <c r="W632" s="338"/>
      <c r="X632" s="338"/>
      <c r="Y632" s="338"/>
      <c r="Z632" s="338"/>
      <c r="AA632" s="338"/>
    </row>
    <row r="633" ht="15.75" customHeight="1">
      <c r="A633" s="339">
        <v>632.0</v>
      </c>
      <c r="B633" s="339" t="s">
        <v>701</v>
      </c>
      <c r="C633" s="339" t="s">
        <v>702</v>
      </c>
      <c r="D633" s="339" t="s">
        <v>1203</v>
      </c>
      <c r="E633" s="339" t="s">
        <v>659</v>
      </c>
      <c r="F633" s="339">
        <v>2.890289423E9</v>
      </c>
      <c r="G633" s="342"/>
      <c r="H633" s="342"/>
      <c r="I633" s="342"/>
      <c r="J633" s="342"/>
      <c r="K633" s="338"/>
      <c r="L633" s="338"/>
      <c r="M633" s="338"/>
      <c r="N633" s="338"/>
      <c r="O633" s="338"/>
      <c r="P633" s="338"/>
      <c r="Q633" s="338"/>
      <c r="R633" s="338"/>
      <c r="S633" s="338"/>
      <c r="T633" s="338"/>
      <c r="U633" s="338"/>
      <c r="V633" s="338"/>
      <c r="W633" s="338"/>
      <c r="X633" s="338"/>
      <c r="Y633" s="338"/>
      <c r="Z633" s="338"/>
      <c r="AA633" s="338"/>
    </row>
    <row r="634" ht="15.75" customHeight="1">
      <c r="A634" s="339">
        <v>633.0</v>
      </c>
      <c r="B634" s="339" t="s">
        <v>2619</v>
      </c>
      <c r="C634" s="339" t="s">
        <v>2620</v>
      </c>
      <c r="D634" s="339" t="s">
        <v>2621</v>
      </c>
      <c r="E634" s="339" t="s">
        <v>671</v>
      </c>
      <c r="F634" s="339">
        <v>1.033136656E9</v>
      </c>
      <c r="G634" s="342"/>
      <c r="H634" s="342"/>
      <c r="I634" s="342"/>
      <c r="J634" s="342"/>
      <c r="K634" s="338"/>
      <c r="L634" s="338"/>
      <c r="M634" s="338"/>
      <c r="N634" s="338"/>
      <c r="O634" s="338"/>
      <c r="P634" s="338"/>
      <c r="Q634" s="338"/>
      <c r="R634" s="338"/>
      <c r="S634" s="338"/>
      <c r="T634" s="338"/>
      <c r="U634" s="338"/>
      <c r="V634" s="338"/>
      <c r="W634" s="338"/>
      <c r="X634" s="338"/>
      <c r="Y634" s="338"/>
      <c r="Z634" s="338"/>
      <c r="AA634" s="338"/>
    </row>
    <row r="635" ht="15.75" customHeight="1">
      <c r="A635" s="339">
        <v>634.0</v>
      </c>
      <c r="B635" s="243" t="s">
        <v>2622</v>
      </c>
      <c r="C635" s="243"/>
      <c r="D635" s="243"/>
      <c r="E635" s="243" t="s">
        <v>2623</v>
      </c>
      <c r="F635" s="243">
        <v>1.01001399699E11</v>
      </c>
      <c r="G635" s="342"/>
      <c r="H635" s="342"/>
      <c r="I635" s="342"/>
      <c r="J635" s="342"/>
      <c r="K635" s="338"/>
      <c r="L635" s="338"/>
      <c r="M635" s="338"/>
      <c r="N635" s="338"/>
      <c r="O635" s="338"/>
      <c r="P635" s="338"/>
      <c r="Q635" s="338"/>
      <c r="R635" s="338"/>
      <c r="S635" s="338"/>
      <c r="T635" s="338"/>
      <c r="U635" s="338"/>
      <c r="V635" s="338"/>
      <c r="W635" s="338"/>
      <c r="X635" s="338"/>
      <c r="Y635" s="338"/>
      <c r="Z635" s="338"/>
      <c r="AA635" s="338"/>
    </row>
    <row r="636" ht="15.75" customHeight="1">
      <c r="A636" s="339">
        <v>635.0</v>
      </c>
      <c r="B636" s="243" t="s">
        <v>2624</v>
      </c>
      <c r="C636" s="243"/>
      <c r="D636" s="243"/>
      <c r="E636" s="243" t="s">
        <v>970</v>
      </c>
      <c r="F636" s="243">
        <v>2.881113644976E12</v>
      </c>
      <c r="G636" s="342"/>
      <c r="H636" s="342"/>
      <c r="I636" s="342"/>
      <c r="J636" s="342"/>
      <c r="K636" s="338"/>
      <c r="L636" s="338"/>
      <c r="M636" s="338"/>
      <c r="N636" s="338"/>
      <c r="O636" s="338"/>
      <c r="P636" s="338"/>
      <c r="Q636" s="338"/>
      <c r="R636" s="338"/>
      <c r="S636" s="338"/>
      <c r="T636" s="338"/>
      <c r="U636" s="338"/>
      <c r="V636" s="338"/>
      <c r="W636" s="338"/>
      <c r="X636" s="338"/>
      <c r="Y636" s="338"/>
      <c r="Z636" s="338"/>
      <c r="AA636" s="338"/>
    </row>
    <row r="637" ht="15.75" customHeight="1">
      <c r="A637" s="339">
        <v>636.0</v>
      </c>
      <c r="B637" s="243" t="s">
        <v>2625</v>
      </c>
      <c r="C637" s="243"/>
      <c r="D637" s="243"/>
      <c r="E637" s="243" t="s">
        <v>659</v>
      </c>
      <c r="F637" s="243">
        <v>2.6010001749745E13</v>
      </c>
      <c r="G637" s="342"/>
      <c r="H637" s="356" t="s">
        <v>659</v>
      </c>
      <c r="I637" s="356">
        <v>2.601749745E9</v>
      </c>
      <c r="J637" s="356" t="s">
        <v>2626</v>
      </c>
      <c r="K637" s="338"/>
      <c r="L637" s="338"/>
      <c r="M637" s="338"/>
      <c r="N637" s="338"/>
      <c r="O637" s="338"/>
      <c r="P637" s="338"/>
      <c r="Q637" s="338"/>
      <c r="R637" s="338"/>
      <c r="S637" s="338"/>
      <c r="T637" s="338"/>
      <c r="U637" s="338"/>
      <c r="V637" s="338"/>
      <c r="W637" s="338"/>
      <c r="X637" s="338"/>
      <c r="Y637" s="338"/>
      <c r="Z637" s="338"/>
      <c r="AA637" s="338"/>
    </row>
    <row r="638" ht="15.75" customHeight="1">
      <c r="A638" s="339">
        <v>637.0</v>
      </c>
      <c r="B638" s="243" t="s">
        <v>2627</v>
      </c>
      <c r="C638" s="243"/>
      <c r="D638" s="243"/>
      <c r="E638" s="243" t="s">
        <v>970</v>
      </c>
      <c r="F638" s="243">
        <v>6.20108888E8</v>
      </c>
      <c r="G638" s="342"/>
      <c r="H638" s="342"/>
      <c r="I638" s="342"/>
      <c r="J638" s="342"/>
      <c r="K638" s="338"/>
      <c r="L638" s="338"/>
      <c r="M638" s="338"/>
      <c r="N638" s="338"/>
      <c r="O638" s="338"/>
      <c r="P638" s="338"/>
      <c r="Q638" s="338"/>
      <c r="R638" s="338"/>
      <c r="S638" s="338"/>
      <c r="T638" s="338"/>
      <c r="U638" s="338"/>
      <c r="V638" s="338"/>
      <c r="W638" s="338"/>
      <c r="X638" s="338"/>
      <c r="Y638" s="338"/>
      <c r="Z638" s="338"/>
      <c r="AA638" s="338"/>
    </row>
    <row r="639" ht="15.75" customHeight="1">
      <c r="A639" s="339">
        <v>638.0</v>
      </c>
      <c r="B639" s="243" t="s">
        <v>2628</v>
      </c>
      <c r="C639" s="243"/>
      <c r="D639" s="243"/>
      <c r="E639" s="243" t="s">
        <v>970</v>
      </c>
      <c r="F639" s="243">
        <v>4.408899999E9</v>
      </c>
      <c r="G639" s="357"/>
      <c r="H639" s="357"/>
      <c r="I639" s="357"/>
      <c r="J639" s="357"/>
      <c r="K639" s="338"/>
      <c r="L639" s="338"/>
      <c r="M639" s="338"/>
      <c r="N639" s="338"/>
      <c r="O639" s="338"/>
      <c r="P639" s="338"/>
      <c r="Q639" s="338"/>
      <c r="R639" s="338"/>
      <c r="S639" s="338"/>
      <c r="T639" s="338"/>
      <c r="U639" s="338"/>
      <c r="V639" s="338"/>
      <c r="W639" s="338"/>
      <c r="X639" s="338"/>
      <c r="Y639" s="338"/>
      <c r="Z639" s="338"/>
      <c r="AA639" s="338"/>
    </row>
    <row r="640" ht="15.75" customHeight="1">
      <c r="A640" s="339"/>
      <c r="B640" s="358"/>
      <c r="C640" s="338"/>
      <c r="D640" s="338"/>
      <c r="E640" s="338"/>
      <c r="F640" s="359"/>
      <c r="G640" s="338"/>
      <c r="H640" s="359"/>
      <c r="I640" s="360"/>
      <c r="J640" s="359"/>
      <c r="K640" s="338"/>
      <c r="L640" s="338"/>
      <c r="M640" s="338"/>
      <c r="N640" s="338"/>
      <c r="O640" s="338"/>
      <c r="P640" s="338"/>
      <c r="Q640" s="338"/>
      <c r="R640" s="338"/>
      <c r="S640" s="338"/>
      <c r="T640" s="338"/>
      <c r="U640" s="338"/>
      <c r="V640" s="338"/>
      <c r="W640" s="338"/>
      <c r="X640" s="338"/>
      <c r="Y640" s="338"/>
      <c r="Z640" s="338"/>
      <c r="AA640" s="338"/>
    </row>
    <row r="641" ht="15.75" customHeight="1">
      <c r="A641" s="338"/>
      <c r="B641" s="338"/>
      <c r="C641" s="338"/>
      <c r="D641" s="338"/>
      <c r="E641" s="338"/>
      <c r="F641" s="338"/>
      <c r="G641" s="338"/>
      <c r="H641" s="338"/>
      <c r="I641" s="338"/>
      <c r="J641" s="338"/>
      <c r="K641" s="338"/>
      <c r="L641" s="338"/>
      <c r="M641" s="338"/>
      <c r="N641" s="338"/>
      <c r="O641" s="338"/>
      <c r="P641" s="338"/>
      <c r="Q641" s="338"/>
      <c r="R641" s="338"/>
      <c r="S641" s="338"/>
      <c r="T641" s="338"/>
      <c r="U641" s="338"/>
      <c r="V641" s="338"/>
      <c r="W641" s="338"/>
      <c r="X641" s="338"/>
      <c r="Y641" s="338"/>
      <c r="Z641" s="338"/>
      <c r="AA641" s="338"/>
    </row>
    <row r="642" ht="15.75" customHeight="1">
      <c r="A642" s="338"/>
      <c r="B642" s="338"/>
      <c r="C642" s="338"/>
      <c r="D642" s="338"/>
      <c r="E642" s="338"/>
      <c r="F642" s="338"/>
      <c r="G642" s="338"/>
      <c r="H642" s="338"/>
      <c r="I642" s="338"/>
      <c r="J642" s="338"/>
      <c r="K642" s="338"/>
      <c r="L642" s="338"/>
      <c r="M642" s="338"/>
      <c r="N642" s="338"/>
      <c r="O642" s="338"/>
      <c r="P642" s="338"/>
      <c r="Q642" s="338"/>
      <c r="R642" s="338"/>
      <c r="S642" s="338"/>
      <c r="T642" s="338"/>
      <c r="U642" s="338"/>
      <c r="V642" s="338"/>
      <c r="W642" s="338"/>
      <c r="X642" s="338"/>
      <c r="Y642" s="338"/>
      <c r="Z642" s="338"/>
      <c r="AA642" s="338"/>
    </row>
    <row r="643" ht="15.75" customHeight="1">
      <c r="A643" s="338"/>
      <c r="B643" s="338"/>
      <c r="C643" s="338"/>
      <c r="D643" s="338"/>
      <c r="E643" s="338"/>
      <c r="F643" s="338"/>
      <c r="G643" s="338"/>
      <c r="H643" s="338"/>
      <c r="I643" s="338"/>
      <c r="J643" s="338"/>
      <c r="K643" s="338"/>
      <c r="L643" s="338"/>
      <c r="M643" s="338"/>
      <c r="N643" s="338"/>
      <c r="O643" s="338"/>
      <c r="P643" s="338"/>
      <c r="Q643" s="338"/>
      <c r="R643" s="338"/>
      <c r="S643" s="338"/>
      <c r="T643" s="338"/>
      <c r="U643" s="338"/>
      <c r="V643" s="338"/>
      <c r="W643" s="338"/>
      <c r="X643" s="338"/>
      <c r="Y643" s="338"/>
      <c r="Z643" s="338"/>
      <c r="AA643" s="338"/>
    </row>
    <row r="644" ht="15.75" customHeight="1">
      <c r="A644" s="338"/>
      <c r="B644" s="338"/>
      <c r="C644" s="338"/>
      <c r="D644" s="338"/>
      <c r="E644" s="338"/>
      <c r="F644" s="338"/>
      <c r="G644" s="338"/>
      <c r="H644" s="338"/>
      <c r="I644" s="338"/>
      <c r="J644" s="338"/>
      <c r="K644" s="338"/>
      <c r="L644" s="338"/>
      <c r="M644" s="338"/>
      <c r="N644" s="338"/>
      <c r="O644" s="338"/>
      <c r="P644" s="338"/>
      <c r="Q644" s="338"/>
      <c r="R644" s="338"/>
      <c r="S644" s="338"/>
      <c r="T644" s="338"/>
      <c r="U644" s="338"/>
      <c r="V644" s="338"/>
      <c r="W644" s="338"/>
      <c r="X644" s="338"/>
      <c r="Y644" s="338"/>
      <c r="Z644" s="338"/>
      <c r="AA644" s="338"/>
    </row>
    <row r="645" ht="15.75" customHeight="1">
      <c r="A645" s="338"/>
      <c r="B645" s="338"/>
      <c r="C645" s="338"/>
      <c r="D645" s="338"/>
      <c r="E645" s="338"/>
      <c r="F645" s="338"/>
      <c r="G645" s="338"/>
      <c r="H645" s="338"/>
      <c r="I645" s="338"/>
      <c r="J645" s="338"/>
      <c r="K645" s="338"/>
      <c r="L645" s="338"/>
      <c r="M645" s="338"/>
      <c r="N645" s="338"/>
      <c r="O645" s="338"/>
      <c r="P645" s="338"/>
      <c r="Q645" s="338"/>
      <c r="R645" s="338"/>
      <c r="S645" s="338"/>
      <c r="T645" s="338"/>
      <c r="U645" s="338"/>
      <c r="V645" s="338"/>
      <c r="W645" s="338"/>
      <c r="X645" s="338"/>
      <c r="Y645" s="338"/>
      <c r="Z645" s="338"/>
      <c r="AA645" s="338"/>
    </row>
    <row r="646" ht="15.75" customHeight="1">
      <c r="A646" s="338"/>
      <c r="B646" s="338"/>
      <c r="C646" s="338"/>
      <c r="D646" s="338"/>
      <c r="E646" s="338"/>
      <c r="F646" s="338"/>
      <c r="G646" s="338"/>
      <c r="H646" s="338"/>
      <c r="I646" s="338"/>
      <c r="J646" s="338"/>
      <c r="K646" s="338"/>
      <c r="L646" s="338"/>
      <c r="M646" s="338"/>
      <c r="N646" s="338"/>
      <c r="O646" s="338"/>
      <c r="P646" s="338"/>
      <c r="Q646" s="338"/>
      <c r="R646" s="338"/>
      <c r="S646" s="338"/>
      <c r="T646" s="338"/>
      <c r="U646" s="338"/>
      <c r="V646" s="338"/>
      <c r="W646" s="338"/>
      <c r="X646" s="338"/>
      <c r="Y646" s="338"/>
      <c r="Z646" s="338"/>
      <c r="AA646" s="338"/>
    </row>
    <row r="647" ht="15.75" customHeight="1">
      <c r="A647" s="338"/>
      <c r="B647" s="338"/>
      <c r="C647" s="338"/>
      <c r="D647" s="338"/>
      <c r="E647" s="338"/>
      <c r="F647" s="338"/>
      <c r="G647" s="338"/>
      <c r="H647" s="338"/>
      <c r="I647" s="338"/>
      <c r="J647" s="338"/>
      <c r="K647" s="338"/>
      <c r="L647" s="338"/>
      <c r="M647" s="338"/>
      <c r="N647" s="338"/>
      <c r="O647" s="338"/>
      <c r="P647" s="338"/>
      <c r="Q647" s="338"/>
      <c r="R647" s="338"/>
      <c r="S647" s="338"/>
      <c r="T647" s="338"/>
      <c r="U647" s="338"/>
      <c r="V647" s="338"/>
      <c r="W647" s="338"/>
      <c r="X647" s="338"/>
      <c r="Y647" s="338"/>
      <c r="Z647" s="338"/>
      <c r="AA647" s="338"/>
    </row>
    <row r="648" ht="15.75" customHeight="1">
      <c r="A648" s="338"/>
      <c r="B648" s="338"/>
      <c r="C648" s="338"/>
      <c r="D648" s="338"/>
      <c r="E648" s="338"/>
      <c r="F648" s="338"/>
      <c r="G648" s="338"/>
      <c r="H648" s="338"/>
      <c r="I648" s="338"/>
      <c r="J648" s="338"/>
      <c r="K648" s="338"/>
      <c r="L648" s="338"/>
      <c r="M648" s="338"/>
      <c r="N648" s="338"/>
      <c r="O648" s="338"/>
      <c r="P648" s="338"/>
      <c r="Q648" s="338"/>
      <c r="R648" s="338"/>
      <c r="S648" s="338"/>
      <c r="T648" s="338"/>
      <c r="U648" s="338"/>
      <c r="V648" s="338"/>
      <c r="W648" s="338"/>
      <c r="X648" s="338"/>
      <c r="Y648" s="338"/>
      <c r="Z648" s="338"/>
      <c r="AA648" s="338"/>
    </row>
    <row r="649" ht="15.75" customHeight="1">
      <c r="A649" s="338"/>
      <c r="B649" s="338"/>
      <c r="C649" s="338"/>
      <c r="D649" s="338"/>
      <c r="E649" s="338"/>
      <c r="F649" s="338"/>
      <c r="G649" s="338"/>
      <c r="H649" s="338"/>
      <c r="I649" s="338"/>
      <c r="J649" s="338"/>
      <c r="K649" s="338"/>
      <c r="L649" s="338"/>
      <c r="M649" s="338"/>
      <c r="N649" s="338"/>
      <c r="O649" s="338"/>
      <c r="P649" s="338"/>
      <c r="Q649" s="338"/>
      <c r="R649" s="338"/>
      <c r="S649" s="338"/>
      <c r="T649" s="338"/>
      <c r="U649" s="338"/>
      <c r="V649" s="338"/>
      <c r="W649" s="338"/>
      <c r="X649" s="338"/>
      <c r="Y649" s="338"/>
      <c r="Z649" s="338"/>
      <c r="AA649" s="338"/>
    </row>
    <row r="650" ht="15.75" customHeight="1">
      <c r="A650" s="338"/>
      <c r="B650" s="338"/>
      <c r="C650" s="338"/>
      <c r="D650" s="338"/>
      <c r="E650" s="338"/>
      <c r="F650" s="338"/>
      <c r="G650" s="338"/>
      <c r="H650" s="338"/>
      <c r="I650" s="338"/>
      <c r="J650" s="338"/>
      <c r="K650" s="338"/>
      <c r="L650" s="338"/>
      <c r="M650" s="338"/>
      <c r="N650" s="338"/>
      <c r="O650" s="338"/>
      <c r="P650" s="338"/>
      <c r="Q650" s="338"/>
      <c r="R650" s="338"/>
      <c r="S650" s="338"/>
      <c r="T650" s="338"/>
      <c r="U650" s="338"/>
      <c r="V650" s="338"/>
      <c r="W650" s="338"/>
      <c r="X650" s="338"/>
      <c r="Y650" s="338"/>
      <c r="Z650" s="338"/>
      <c r="AA650" s="338"/>
    </row>
    <row r="651" ht="15.75" customHeight="1">
      <c r="A651" s="338"/>
      <c r="B651" s="338"/>
      <c r="C651" s="338"/>
      <c r="D651" s="338"/>
      <c r="E651" s="338"/>
      <c r="F651" s="338"/>
      <c r="G651" s="338"/>
      <c r="H651" s="338"/>
      <c r="I651" s="338"/>
      <c r="J651" s="338"/>
      <c r="K651" s="338"/>
      <c r="L651" s="338"/>
      <c r="M651" s="338"/>
      <c r="N651" s="338"/>
      <c r="O651" s="338"/>
      <c r="P651" s="338"/>
      <c r="Q651" s="338"/>
      <c r="R651" s="338"/>
      <c r="S651" s="338"/>
      <c r="T651" s="338"/>
      <c r="U651" s="338"/>
      <c r="V651" s="338"/>
      <c r="W651" s="338"/>
      <c r="X651" s="338"/>
      <c r="Y651" s="338"/>
      <c r="Z651" s="338"/>
      <c r="AA651" s="338"/>
    </row>
    <row r="652" ht="15.75" customHeight="1">
      <c r="A652" s="338"/>
      <c r="B652" s="338"/>
      <c r="C652" s="338"/>
      <c r="D652" s="338"/>
      <c r="E652" s="338"/>
      <c r="F652" s="338"/>
      <c r="G652" s="338"/>
      <c r="H652" s="338"/>
      <c r="I652" s="338"/>
      <c r="J652" s="338"/>
      <c r="K652" s="338"/>
      <c r="L652" s="338"/>
      <c r="M652" s="338"/>
      <c r="N652" s="338"/>
      <c r="O652" s="338"/>
      <c r="P652" s="338"/>
      <c r="Q652" s="338"/>
      <c r="R652" s="338"/>
      <c r="S652" s="338"/>
      <c r="T652" s="338"/>
      <c r="U652" s="338"/>
      <c r="V652" s="338"/>
      <c r="W652" s="338"/>
      <c r="X652" s="338"/>
      <c r="Y652" s="338"/>
      <c r="Z652" s="338"/>
      <c r="AA652" s="338"/>
    </row>
    <row r="653" ht="15.75" customHeight="1">
      <c r="A653" s="338"/>
      <c r="B653" s="338"/>
      <c r="C653" s="338"/>
      <c r="D653" s="338"/>
      <c r="E653" s="338"/>
      <c r="F653" s="338"/>
      <c r="G653" s="338"/>
      <c r="H653" s="338"/>
      <c r="I653" s="338"/>
      <c r="J653" s="338"/>
      <c r="K653" s="338"/>
      <c r="L653" s="338"/>
      <c r="M653" s="338"/>
      <c r="N653" s="338"/>
      <c r="O653" s="338"/>
      <c r="P653" s="338"/>
      <c r="Q653" s="338"/>
      <c r="R653" s="338"/>
      <c r="S653" s="338"/>
      <c r="T653" s="338"/>
      <c r="U653" s="338"/>
      <c r="V653" s="338"/>
      <c r="W653" s="338"/>
      <c r="X653" s="338"/>
      <c r="Y653" s="338"/>
      <c r="Z653" s="338"/>
      <c r="AA653" s="338"/>
    </row>
    <row r="654" ht="15.75" customHeight="1">
      <c r="A654" s="338"/>
      <c r="B654" s="338"/>
      <c r="C654" s="338"/>
      <c r="D654" s="338"/>
      <c r="E654" s="338"/>
      <c r="F654" s="338"/>
      <c r="G654" s="338"/>
      <c r="H654" s="338"/>
      <c r="I654" s="338"/>
      <c r="J654" s="338"/>
      <c r="K654" s="338"/>
      <c r="L654" s="338"/>
      <c r="M654" s="338"/>
      <c r="N654" s="338"/>
      <c r="O654" s="338"/>
      <c r="P654" s="338"/>
      <c r="Q654" s="338"/>
      <c r="R654" s="338"/>
      <c r="S654" s="338"/>
      <c r="T654" s="338"/>
      <c r="U654" s="338"/>
      <c r="V654" s="338"/>
      <c r="W654" s="338"/>
      <c r="X654" s="338"/>
      <c r="Y654" s="338"/>
      <c r="Z654" s="338"/>
      <c r="AA654" s="338"/>
    </row>
    <row r="655" ht="15.75" customHeight="1">
      <c r="A655" s="338"/>
      <c r="B655" s="338"/>
      <c r="C655" s="338"/>
      <c r="D655" s="338"/>
      <c r="E655" s="338"/>
      <c r="F655" s="338"/>
      <c r="G655" s="338"/>
      <c r="H655" s="338"/>
      <c r="I655" s="338"/>
      <c r="J655" s="338"/>
      <c r="K655" s="338"/>
      <c r="L655" s="338"/>
      <c r="M655" s="338"/>
      <c r="N655" s="338"/>
      <c r="O655" s="338"/>
      <c r="P655" s="338"/>
      <c r="Q655" s="338"/>
      <c r="R655" s="338"/>
      <c r="S655" s="338"/>
      <c r="T655" s="338"/>
      <c r="U655" s="338"/>
      <c r="V655" s="338"/>
      <c r="W655" s="338"/>
      <c r="X655" s="338"/>
      <c r="Y655" s="338"/>
      <c r="Z655" s="338"/>
      <c r="AA655" s="338"/>
    </row>
    <row r="656" ht="15.75" customHeight="1">
      <c r="A656" s="338"/>
      <c r="B656" s="338"/>
      <c r="C656" s="338"/>
      <c r="D656" s="338"/>
      <c r="E656" s="338"/>
      <c r="F656" s="338"/>
      <c r="G656" s="338"/>
      <c r="H656" s="338"/>
      <c r="I656" s="338"/>
      <c r="J656" s="338"/>
      <c r="K656" s="338"/>
      <c r="L656" s="338"/>
      <c r="M656" s="338"/>
      <c r="N656" s="338"/>
      <c r="O656" s="338"/>
      <c r="P656" s="338"/>
      <c r="Q656" s="338"/>
      <c r="R656" s="338"/>
      <c r="S656" s="338"/>
      <c r="T656" s="338"/>
      <c r="U656" s="338"/>
      <c r="V656" s="338"/>
      <c r="W656" s="338"/>
      <c r="X656" s="338"/>
      <c r="Y656" s="338"/>
      <c r="Z656" s="338"/>
      <c r="AA656" s="338"/>
    </row>
    <row r="657" ht="15.75" customHeight="1">
      <c r="A657" s="338"/>
      <c r="B657" s="338"/>
      <c r="C657" s="338"/>
      <c r="D657" s="338"/>
      <c r="E657" s="338"/>
      <c r="F657" s="338"/>
      <c r="G657" s="338"/>
      <c r="H657" s="338"/>
      <c r="I657" s="338"/>
      <c r="J657" s="338"/>
      <c r="K657" s="338"/>
      <c r="L657" s="338"/>
      <c r="M657" s="338"/>
      <c r="N657" s="338"/>
      <c r="O657" s="338"/>
      <c r="P657" s="338"/>
      <c r="Q657" s="338"/>
      <c r="R657" s="338"/>
      <c r="S657" s="338"/>
      <c r="T657" s="338"/>
      <c r="U657" s="338"/>
      <c r="V657" s="338"/>
      <c r="W657" s="338"/>
      <c r="X657" s="338"/>
      <c r="Y657" s="338"/>
      <c r="Z657" s="338"/>
      <c r="AA657" s="338"/>
    </row>
    <row r="658" ht="15.75" customHeight="1">
      <c r="A658" s="338"/>
      <c r="B658" s="338"/>
      <c r="C658" s="338"/>
      <c r="D658" s="338"/>
      <c r="E658" s="338"/>
      <c r="F658" s="338"/>
      <c r="G658" s="338"/>
      <c r="H658" s="338"/>
      <c r="I658" s="338"/>
      <c r="J658" s="338"/>
      <c r="K658" s="338"/>
      <c r="L658" s="338"/>
      <c r="M658" s="338"/>
      <c r="N658" s="338"/>
      <c r="O658" s="338"/>
      <c r="P658" s="338"/>
      <c r="Q658" s="338"/>
      <c r="R658" s="338"/>
      <c r="S658" s="338"/>
      <c r="T658" s="338"/>
      <c r="U658" s="338"/>
      <c r="V658" s="338"/>
      <c r="W658" s="338"/>
      <c r="X658" s="338"/>
      <c r="Y658" s="338"/>
      <c r="Z658" s="338"/>
      <c r="AA658" s="338"/>
    </row>
    <row r="659" ht="15.75" customHeight="1">
      <c r="A659" s="338"/>
      <c r="B659" s="338"/>
      <c r="C659" s="338"/>
      <c r="D659" s="338"/>
      <c r="E659" s="338"/>
      <c r="F659" s="338"/>
      <c r="G659" s="338"/>
      <c r="H659" s="338"/>
      <c r="I659" s="338"/>
      <c r="J659" s="338"/>
      <c r="K659" s="338"/>
      <c r="L659" s="338"/>
      <c r="M659" s="338"/>
      <c r="N659" s="338"/>
      <c r="O659" s="338"/>
      <c r="P659" s="338"/>
      <c r="Q659" s="338"/>
      <c r="R659" s="338"/>
      <c r="S659" s="338"/>
      <c r="T659" s="338"/>
      <c r="U659" s="338"/>
      <c r="V659" s="338"/>
      <c r="W659" s="338"/>
      <c r="X659" s="338"/>
      <c r="Y659" s="338"/>
      <c r="Z659" s="338"/>
      <c r="AA659" s="338"/>
    </row>
    <row r="660" ht="15.75" customHeight="1">
      <c r="A660" s="338"/>
      <c r="B660" s="338"/>
      <c r="C660" s="338"/>
      <c r="D660" s="338"/>
      <c r="E660" s="338"/>
      <c r="F660" s="338"/>
      <c r="G660" s="338"/>
      <c r="H660" s="338"/>
      <c r="I660" s="338"/>
      <c r="J660" s="338"/>
      <c r="K660" s="338"/>
      <c r="L660" s="338"/>
      <c r="M660" s="338"/>
      <c r="N660" s="338"/>
      <c r="O660" s="338"/>
      <c r="P660" s="338"/>
      <c r="Q660" s="338"/>
      <c r="R660" s="338"/>
      <c r="S660" s="338"/>
      <c r="T660" s="338"/>
      <c r="U660" s="338"/>
      <c r="V660" s="338"/>
      <c r="W660" s="338"/>
      <c r="X660" s="338"/>
      <c r="Y660" s="338"/>
      <c r="Z660" s="338"/>
      <c r="AA660" s="338"/>
    </row>
    <row r="661" ht="15.75" customHeight="1">
      <c r="A661" s="338"/>
      <c r="B661" s="338"/>
      <c r="C661" s="338"/>
      <c r="D661" s="338"/>
      <c r="E661" s="338"/>
      <c r="F661" s="338"/>
      <c r="G661" s="338"/>
      <c r="H661" s="338"/>
      <c r="I661" s="338"/>
      <c r="J661" s="338"/>
      <c r="K661" s="338"/>
      <c r="L661" s="338"/>
      <c r="M661" s="338"/>
      <c r="N661" s="338"/>
      <c r="O661" s="338"/>
      <c r="P661" s="338"/>
      <c r="Q661" s="338"/>
      <c r="R661" s="338"/>
      <c r="S661" s="338"/>
      <c r="T661" s="338"/>
      <c r="U661" s="338"/>
      <c r="V661" s="338"/>
      <c r="W661" s="338"/>
      <c r="X661" s="338"/>
      <c r="Y661" s="338"/>
      <c r="Z661" s="338"/>
      <c r="AA661" s="338"/>
    </row>
    <row r="662" ht="15.75" customHeight="1">
      <c r="A662" s="338"/>
      <c r="B662" s="338"/>
      <c r="C662" s="338"/>
      <c r="D662" s="338"/>
      <c r="E662" s="338"/>
      <c r="F662" s="338"/>
      <c r="G662" s="338"/>
      <c r="H662" s="338"/>
      <c r="I662" s="338"/>
      <c r="J662" s="338"/>
      <c r="K662" s="338"/>
      <c r="L662" s="338"/>
      <c r="M662" s="338"/>
      <c r="N662" s="338"/>
      <c r="O662" s="338"/>
      <c r="P662" s="338"/>
      <c r="Q662" s="338"/>
      <c r="R662" s="338"/>
      <c r="S662" s="338"/>
      <c r="T662" s="338"/>
      <c r="U662" s="338"/>
      <c r="V662" s="338"/>
      <c r="W662" s="338"/>
      <c r="X662" s="338"/>
      <c r="Y662" s="338"/>
      <c r="Z662" s="338"/>
      <c r="AA662" s="338"/>
    </row>
    <row r="663" ht="15.75" customHeight="1">
      <c r="A663" s="338"/>
      <c r="B663" s="338"/>
      <c r="C663" s="338"/>
      <c r="D663" s="338"/>
      <c r="E663" s="338"/>
      <c r="F663" s="338"/>
      <c r="G663" s="338"/>
      <c r="H663" s="338"/>
      <c r="I663" s="338"/>
      <c r="J663" s="338"/>
      <c r="K663" s="338"/>
      <c r="L663" s="338"/>
      <c r="M663" s="338"/>
      <c r="N663" s="338"/>
      <c r="O663" s="338"/>
      <c r="P663" s="338"/>
      <c r="Q663" s="338"/>
      <c r="R663" s="338"/>
      <c r="S663" s="338"/>
      <c r="T663" s="338"/>
      <c r="U663" s="338"/>
      <c r="V663" s="338"/>
      <c r="W663" s="338"/>
      <c r="X663" s="338"/>
      <c r="Y663" s="338"/>
      <c r="Z663" s="338"/>
      <c r="AA663" s="338"/>
    </row>
    <row r="664" ht="15.75" customHeight="1">
      <c r="A664" s="338"/>
      <c r="B664" s="338"/>
      <c r="C664" s="338"/>
      <c r="D664" s="338"/>
      <c r="E664" s="338"/>
      <c r="F664" s="338"/>
      <c r="G664" s="338"/>
      <c r="H664" s="338"/>
      <c r="I664" s="338"/>
      <c r="J664" s="338"/>
      <c r="K664" s="338"/>
      <c r="L664" s="338"/>
      <c r="M664" s="338"/>
      <c r="N664" s="338"/>
      <c r="O664" s="338"/>
      <c r="P664" s="338"/>
      <c r="Q664" s="338"/>
      <c r="R664" s="338"/>
      <c r="S664" s="338"/>
      <c r="T664" s="338"/>
      <c r="U664" s="338"/>
      <c r="V664" s="338"/>
      <c r="W664" s="338"/>
      <c r="X664" s="338"/>
      <c r="Y664" s="338"/>
      <c r="Z664" s="338"/>
      <c r="AA664" s="338"/>
    </row>
    <row r="665" ht="15.75" customHeight="1">
      <c r="A665" s="338"/>
      <c r="B665" s="338"/>
      <c r="C665" s="338"/>
      <c r="D665" s="338"/>
      <c r="E665" s="338"/>
      <c r="F665" s="338"/>
      <c r="G665" s="338"/>
      <c r="H665" s="338"/>
      <c r="I665" s="338"/>
      <c r="J665" s="338"/>
      <c r="K665" s="338"/>
      <c r="L665" s="338"/>
      <c r="M665" s="338"/>
      <c r="N665" s="338"/>
      <c r="O665" s="338"/>
      <c r="P665" s="338"/>
      <c r="Q665" s="338"/>
      <c r="R665" s="338"/>
      <c r="S665" s="338"/>
      <c r="T665" s="338"/>
      <c r="U665" s="338"/>
      <c r="V665" s="338"/>
      <c r="W665" s="338"/>
      <c r="X665" s="338"/>
      <c r="Y665" s="338"/>
      <c r="Z665" s="338"/>
      <c r="AA665" s="338"/>
    </row>
    <row r="666" ht="15.75" customHeight="1">
      <c r="A666" s="338"/>
      <c r="B666" s="338"/>
      <c r="C666" s="338"/>
      <c r="D666" s="338"/>
      <c r="E666" s="338"/>
      <c r="F666" s="338"/>
      <c r="G666" s="338"/>
      <c r="H666" s="338"/>
      <c r="I666" s="338"/>
      <c r="J666" s="338"/>
      <c r="K666" s="338"/>
      <c r="L666" s="338"/>
      <c r="M666" s="338"/>
      <c r="N666" s="338"/>
      <c r="O666" s="338"/>
      <c r="P666" s="338"/>
      <c r="Q666" s="338"/>
      <c r="R666" s="338"/>
      <c r="S666" s="338"/>
      <c r="T666" s="338"/>
      <c r="U666" s="338"/>
      <c r="V666" s="338"/>
      <c r="W666" s="338"/>
      <c r="X666" s="338"/>
      <c r="Y666" s="338"/>
      <c r="Z666" s="338"/>
      <c r="AA666" s="338"/>
    </row>
    <row r="667" ht="15.75" customHeight="1">
      <c r="A667" s="338"/>
      <c r="B667" s="338"/>
      <c r="C667" s="338"/>
      <c r="D667" s="338"/>
      <c r="E667" s="338"/>
      <c r="F667" s="338"/>
      <c r="G667" s="338"/>
      <c r="H667" s="338"/>
      <c r="I667" s="338"/>
      <c r="J667" s="338"/>
      <c r="K667" s="338"/>
      <c r="L667" s="338"/>
      <c r="M667" s="338"/>
      <c r="N667" s="338"/>
      <c r="O667" s="338"/>
      <c r="P667" s="338"/>
      <c r="Q667" s="338"/>
      <c r="R667" s="338"/>
      <c r="S667" s="338"/>
      <c r="T667" s="338"/>
      <c r="U667" s="338"/>
      <c r="V667" s="338"/>
      <c r="W667" s="338"/>
      <c r="X667" s="338"/>
      <c r="Y667" s="338"/>
      <c r="Z667" s="338"/>
      <c r="AA667" s="338"/>
    </row>
    <row r="668" ht="15.75" customHeight="1">
      <c r="A668" s="338"/>
      <c r="B668" s="338"/>
      <c r="C668" s="338"/>
      <c r="D668" s="338"/>
      <c r="E668" s="338"/>
      <c r="F668" s="338"/>
      <c r="G668" s="338"/>
      <c r="H668" s="338"/>
      <c r="I668" s="338"/>
      <c r="J668" s="338"/>
      <c r="K668" s="338"/>
      <c r="L668" s="338"/>
      <c r="M668" s="338"/>
      <c r="N668" s="338"/>
      <c r="O668" s="338"/>
      <c r="P668" s="338"/>
      <c r="Q668" s="338"/>
      <c r="R668" s="338"/>
      <c r="S668" s="338"/>
      <c r="T668" s="338"/>
      <c r="U668" s="338"/>
      <c r="V668" s="338"/>
      <c r="W668" s="338"/>
      <c r="X668" s="338"/>
      <c r="Y668" s="338"/>
      <c r="Z668" s="338"/>
      <c r="AA668" s="338"/>
    </row>
    <row r="669" ht="15.75" customHeight="1">
      <c r="A669" s="338"/>
      <c r="B669" s="338"/>
      <c r="C669" s="338"/>
      <c r="D669" s="338"/>
      <c r="E669" s="338"/>
      <c r="F669" s="338"/>
      <c r="G669" s="338"/>
      <c r="H669" s="338"/>
      <c r="I669" s="338"/>
      <c r="J669" s="338"/>
      <c r="K669" s="338"/>
      <c r="L669" s="338"/>
      <c r="M669" s="338"/>
      <c r="N669" s="338"/>
      <c r="O669" s="338"/>
      <c r="P669" s="338"/>
      <c r="Q669" s="338"/>
      <c r="R669" s="338"/>
      <c r="S669" s="338"/>
      <c r="T669" s="338"/>
      <c r="U669" s="338"/>
      <c r="V669" s="338"/>
      <c r="W669" s="338"/>
      <c r="X669" s="338"/>
      <c r="Y669" s="338"/>
      <c r="Z669" s="338"/>
      <c r="AA669" s="338"/>
    </row>
    <row r="670" ht="15.75" customHeight="1">
      <c r="A670" s="338"/>
      <c r="B670" s="338"/>
      <c r="C670" s="338"/>
      <c r="D670" s="338"/>
      <c r="E670" s="338"/>
      <c r="F670" s="338"/>
      <c r="G670" s="338"/>
      <c r="H670" s="338"/>
      <c r="I670" s="338"/>
      <c r="J670" s="338"/>
      <c r="K670" s="338"/>
      <c r="L670" s="338"/>
      <c r="M670" s="338"/>
      <c r="N670" s="338"/>
      <c r="O670" s="338"/>
      <c r="P670" s="338"/>
      <c r="Q670" s="338"/>
      <c r="R670" s="338"/>
      <c r="S670" s="338"/>
      <c r="T670" s="338"/>
      <c r="U670" s="338"/>
      <c r="V670" s="338"/>
      <c r="W670" s="338"/>
      <c r="X670" s="338"/>
      <c r="Y670" s="338"/>
      <c r="Z670" s="338"/>
      <c r="AA670" s="338"/>
    </row>
    <row r="671" ht="15.75" customHeight="1">
      <c r="A671" s="338"/>
      <c r="B671" s="338"/>
      <c r="C671" s="338"/>
      <c r="D671" s="338"/>
      <c r="E671" s="338"/>
      <c r="F671" s="338"/>
      <c r="G671" s="338"/>
      <c r="H671" s="338"/>
      <c r="I671" s="338"/>
      <c r="J671" s="338"/>
      <c r="K671" s="338"/>
      <c r="L671" s="338"/>
      <c r="M671" s="338"/>
      <c r="N671" s="338"/>
      <c r="O671" s="338"/>
      <c r="P671" s="338"/>
      <c r="Q671" s="338"/>
      <c r="R671" s="338"/>
      <c r="S671" s="338"/>
      <c r="T671" s="338"/>
      <c r="U671" s="338"/>
      <c r="V671" s="338"/>
      <c r="W671" s="338"/>
      <c r="X671" s="338"/>
      <c r="Y671" s="338"/>
      <c r="Z671" s="338"/>
      <c r="AA671" s="338"/>
    </row>
    <row r="672" ht="15.75" customHeight="1">
      <c r="A672" s="338"/>
      <c r="B672" s="338"/>
      <c r="C672" s="338"/>
      <c r="D672" s="338"/>
      <c r="E672" s="338"/>
      <c r="F672" s="338"/>
      <c r="G672" s="338"/>
      <c r="H672" s="338"/>
      <c r="I672" s="338"/>
      <c r="J672" s="338"/>
      <c r="K672" s="338"/>
      <c r="L672" s="338"/>
      <c r="M672" s="338"/>
      <c r="N672" s="338"/>
      <c r="O672" s="338"/>
      <c r="P672" s="338"/>
      <c r="Q672" s="338"/>
      <c r="R672" s="338"/>
      <c r="S672" s="338"/>
      <c r="T672" s="338"/>
      <c r="U672" s="338"/>
      <c r="V672" s="338"/>
      <c r="W672" s="338"/>
      <c r="X672" s="338"/>
      <c r="Y672" s="338"/>
      <c r="Z672" s="338"/>
      <c r="AA672" s="338"/>
    </row>
    <row r="673" ht="15.75" customHeight="1">
      <c r="A673" s="338"/>
      <c r="B673" s="338"/>
      <c r="C673" s="338"/>
      <c r="D673" s="338"/>
      <c r="E673" s="338"/>
      <c r="F673" s="338"/>
      <c r="G673" s="338"/>
      <c r="H673" s="338"/>
      <c r="I673" s="338"/>
      <c r="J673" s="338"/>
      <c r="K673" s="338"/>
      <c r="L673" s="338"/>
      <c r="M673" s="338"/>
      <c r="N673" s="338"/>
      <c r="O673" s="338"/>
      <c r="P673" s="338"/>
      <c r="Q673" s="338"/>
      <c r="R673" s="338"/>
      <c r="S673" s="338"/>
      <c r="T673" s="338"/>
      <c r="U673" s="338"/>
      <c r="V673" s="338"/>
      <c r="W673" s="338"/>
      <c r="X673" s="338"/>
      <c r="Y673" s="338"/>
      <c r="Z673" s="338"/>
      <c r="AA673" s="338"/>
    </row>
    <row r="674" ht="15.75" customHeight="1">
      <c r="A674" s="338"/>
      <c r="B674" s="338"/>
      <c r="C674" s="338"/>
      <c r="D674" s="338"/>
      <c r="E674" s="338"/>
      <c r="F674" s="338"/>
      <c r="G674" s="338"/>
      <c r="H674" s="338"/>
      <c r="I674" s="338"/>
      <c r="J674" s="338"/>
      <c r="K674" s="338"/>
      <c r="L674" s="338"/>
      <c r="M674" s="338"/>
      <c r="N674" s="338"/>
      <c r="O674" s="338"/>
      <c r="P674" s="338"/>
      <c r="Q674" s="338"/>
      <c r="R674" s="338"/>
      <c r="S674" s="338"/>
      <c r="T674" s="338"/>
      <c r="U674" s="338"/>
      <c r="V674" s="338"/>
      <c r="W674" s="338"/>
      <c r="X674" s="338"/>
      <c r="Y674" s="338"/>
      <c r="Z674" s="338"/>
      <c r="AA674" s="338"/>
    </row>
    <row r="675" ht="15.75" customHeight="1">
      <c r="A675" s="338"/>
      <c r="B675" s="338"/>
      <c r="C675" s="338"/>
      <c r="D675" s="338"/>
      <c r="E675" s="338"/>
      <c r="F675" s="338"/>
      <c r="G675" s="338"/>
      <c r="H675" s="338"/>
      <c r="I675" s="338"/>
      <c r="J675" s="338"/>
      <c r="K675" s="338"/>
      <c r="L675" s="338"/>
      <c r="M675" s="338"/>
      <c r="N675" s="338"/>
      <c r="O675" s="338"/>
      <c r="P675" s="338"/>
      <c r="Q675" s="338"/>
      <c r="R675" s="338"/>
      <c r="S675" s="338"/>
      <c r="T675" s="338"/>
      <c r="U675" s="338"/>
      <c r="V675" s="338"/>
      <c r="W675" s="338"/>
      <c r="X675" s="338"/>
      <c r="Y675" s="338"/>
      <c r="Z675" s="338"/>
      <c r="AA675" s="338"/>
    </row>
    <row r="676" ht="15.75" customHeight="1">
      <c r="A676" s="338"/>
      <c r="B676" s="338"/>
      <c r="C676" s="338"/>
      <c r="D676" s="338"/>
      <c r="E676" s="338"/>
      <c r="F676" s="338"/>
      <c r="G676" s="338"/>
      <c r="H676" s="338"/>
      <c r="I676" s="338"/>
      <c r="J676" s="338"/>
      <c r="K676" s="338"/>
      <c r="L676" s="338"/>
      <c r="M676" s="338"/>
      <c r="N676" s="338"/>
      <c r="O676" s="338"/>
      <c r="P676" s="338"/>
      <c r="Q676" s="338"/>
      <c r="R676" s="338"/>
      <c r="S676" s="338"/>
      <c r="T676" s="338"/>
      <c r="U676" s="338"/>
      <c r="V676" s="338"/>
      <c r="W676" s="338"/>
      <c r="X676" s="338"/>
      <c r="Y676" s="338"/>
      <c r="Z676" s="338"/>
      <c r="AA676" s="338"/>
    </row>
    <row r="677" ht="15.75" customHeight="1">
      <c r="A677" s="338"/>
      <c r="B677" s="338"/>
      <c r="C677" s="338"/>
      <c r="D677" s="338"/>
      <c r="E677" s="338"/>
      <c r="F677" s="338"/>
      <c r="G677" s="338"/>
      <c r="H677" s="338"/>
      <c r="I677" s="338"/>
      <c r="J677" s="338"/>
      <c r="K677" s="338"/>
      <c r="L677" s="338"/>
      <c r="M677" s="338"/>
      <c r="N677" s="338"/>
      <c r="O677" s="338"/>
      <c r="P677" s="338"/>
      <c r="Q677" s="338"/>
      <c r="R677" s="338"/>
      <c r="S677" s="338"/>
      <c r="T677" s="338"/>
      <c r="U677" s="338"/>
      <c r="V677" s="338"/>
      <c r="W677" s="338"/>
      <c r="X677" s="338"/>
      <c r="Y677" s="338"/>
      <c r="Z677" s="338"/>
      <c r="AA677" s="338"/>
    </row>
    <row r="678" ht="15.75" customHeight="1">
      <c r="A678" s="338"/>
      <c r="B678" s="338"/>
      <c r="C678" s="338"/>
      <c r="D678" s="338"/>
      <c r="E678" s="338"/>
      <c r="F678" s="338"/>
      <c r="G678" s="338"/>
      <c r="H678" s="338"/>
      <c r="I678" s="338"/>
      <c r="J678" s="338"/>
      <c r="K678" s="338"/>
      <c r="L678" s="338"/>
      <c r="M678" s="338"/>
      <c r="N678" s="338"/>
      <c r="O678" s="338"/>
      <c r="P678" s="338"/>
      <c r="Q678" s="338"/>
      <c r="R678" s="338"/>
      <c r="S678" s="338"/>
      <c r="T678" s="338"/>
      <c r="U678" s="338"/>
      <c r="V678" s="338"/>
      <c r="W678" s="338"/>
      <c r="X678" s="338"/>
      <c r="Y678" s="338"/>
      <c r="Z678" s="338"/>
      <c r="AA678" s="338"/>
    </row>
    <row r="679" ht="15.75" customHeight="1">
      <c r="A679" s="338"/>
      <c r="B679" s="338"/>
      <c r="C679" s="338"/>
      <c r="D679" s="338"/>
      <c r="E679" s="338"/>
      <c r="F679" s="338"/>
      <c r="G679" s="338"/>
      <c r="H679" s="338"/>
      <c r="I679" s="338"/>
      <c r="J679" s="338"/>
      <c r="K679" s="338"/>
      <c r="L679" s="338"/>
      <c r="M679" s="338"/>
      <c r="N679" s="338"/>
      <c r="O679" s="338"/>
      <c r="P679" s="338"/>
      <c r="Q679" s="338"/>
      <c r="R679" s="338"/>
      <c r="S679" s="338"/>
      <c r="T679" s="338"/>
      <c r="U679" s="338"/>
      <c r="V679" s="338"/>
      <c r="W679" s="338"/>
      <c r="X679" s="338"/>
      <c r="Y679" s="338"/>
      <c r="Z679" s="338"/>
      <c r="AA679" s="338"/>
    </row>
    <row r="680" ht="15.75" customHeight="1">
      <c r="A680" s="338"/>
      <c r="B680" s="338"/>
      <c r="C680" s="338"/>
      <c r="D680" s="338"/>
      <c r="E680" s="338"/>
      <c r="F680" s="338"/>
      <c r="G680" s="338"/>
      <c r="H680" s="338"/>
      <c r="I680" s="338"/>
      <c r="J680" s="338"/>
      <c r="K680" s="338"/>
      <c r="L680" s="338"/>
      <c r="M680" s="338"/>
      <c r="N680" s="338"/>
      <c r="O680" s="338"/>
      <c r="P680" s="338"/>
      <c r="Q680" s="338"/>
      <c r="R680" s="338"/>
      <c r="S680" s="338"/>
      <c r="T680" s="338"/>
      <c r="U680" s="338"/>
      <c r="V680" s="338"/>
      <c r="W680" s="338"/>
      <c r="X680" s="338"/>
      <c r="Y680" s="338"/>
      <c r="Z680" s="338"/>
      <c r="AA680" s="338"/>
    </row>
    <row r="681" ht="15.75" customHeight="1">
      <c r="A681" s="338"/>
      <c r="B681" s="338"/>
      <c r="C681" s="338"/>
      <c r="D681" s="338"/>
      <c r="E681" s="338"/>
      <c r="F681" s="338"/>
      <c r="G681" s="338"/>
      <c r="H681" s="338"/>
      <c r="I681" s="338"/>
      <c r="J681" s="338"/>
      <c r="K681" s="338"/>
      <c r="L681" s="338"/>
      <c r="M681" s="338"/>
      <c r="N681" s="338"/>
      <c r="O681" s="338"/>
      <c r="P681" s="338"/>
      <c r="Q681" s="338"/>
      <c r="R681" s="338"/>
      <c r="S681" s="338"/>
      <c r="T681" s="338"/>
      <c r="U681" s="338"/>
      <c r="V681" s="338"/>
      <c r="W681" s="338"/>
      <c r="X681" s="338"/>
      <c r="Y681" s="338"/>
      <c r="Z681" s="338"/>
      <c r="AA681" s="338"/>
    </row>
    <row r="682" ht="15.75" customHeight="1">
      <c r="A682" s="338"/>
      <c r="B682" s="338"/>
      <c r="C682" s="338"/>
      <c r="D682" s="338"/>
      <c r="E682" s="338"/>
      <c r="F682" s="338"/>
      <c r="G682" s="338"/>
      <c r="H682" s="338"/>
      <c r="I682" s="338"/>
      <c r="J682" s="338"/>
      <c r="K682" s="338"/>
      <c r="L682" s="338"/>
      <c r="M682" s="338"/>
      <c r="N682" s="338"/>
      <c r="O682" s="338"/>
      <c r="P682" s="338"/>
      <c r="Q682" s="338"/>
      <c r="R682" s="338"/>
      <c r="S682" s="338"/>
      <c r="T682" s="338"/>
      <c r="U682" s="338"/>
      <c r="V682" s="338"/>
      <c r="W682" s="338"/>
      <c r="X682" s="338"/>
      <c r="Y682" s="338"/>
      <c r="Z682" s="338"/>
      <c r="AA682" s="338"/>
    </row>
    <row r="683" ht="15.75" customHeight="1">
      <c r="A683" s="338"/>
      <c r="B683" s="338"/>
      <c r="C683" s="338"/>
      <c r="D683" s="338"/>
      <c r="E683" s="338"/>
      <c r="F683" s="338"/>
      <c r="G683" s="338"/>
      <c r="H683" s="338"/>
      <c r="I683" s="338"/>
      <c r="J683" s="338"/>
      <c r="K683" s="338"/>
      <c r="L683" s="338"/>
      <c r="M683" s="338"/>
      <c r="N683" s="338"/>
      <c r="O683" s="338"/>
      <c r="P683" s="338"/>
      <c r="Q683" s="338"/>
      <c r="R683" s="338"/>
      <c r="S683" s="338"/>
      <c r="T683" s="338"/>
      <c r="U683" s="338"/>
      <c r="V683" s="338"/>
      <c r="W683" s="338"/>
      <c r="X683" s="338"/>
      <c r="Y683" s="338"/>
      <c r="Z683" s="338"/>
      <c r="AA683" s="338"/>
    </row>
    <row r="684" ht="15.75" customHeight="1">
      <c r="A684" s="338"/>
      <c r="B684" s="338"/>
      <c r="C684" s="338"/>
      <c r="D684" s="338"/>
      <c r="E684" s="338"/>
      <c r="F684" s="338"/>
      <c r="G684" s="338"/>
      <c r="H684" s="338"/>
      <c r="I684" s="338"/>
      <c r="J684" s="338"/>
      <c r="K684" s="338"/>
      <c r="L684" s="338"/>
      <c r="M684" s="338"/>
      <c r="N684" s="338"/>
      <c r="O684" s="338"/>
      <c r="P684" s="338"/>
      <c r="Q684" s="338"/>
      <c r="R684" s="338"/>
      <c r="S684" s="338"/>
      <c r="T684" s="338"/>
      <c r="U684" s="338"/>
      <c r="V684" s="338"/>
      <c r="W684" s="338"/>
      <c r="X684" s="338"/>
      <c r="Y684" s="338"/>
      <c r="Z684" s="338"/>
      <c r="AA684" s="338"/>
    </row>
    <row r="685" ht="15.75" customHeight="1">
      <c r="A685" s="338"/>
      <c r="B685" s="338"/>
      <c r="C685" s="338"/>
      <c r="D685" s="338"/>
      <c r="E685" s="338"/>
      <c r="F685" s="338"/>
      <c r="G685" s="338"/>
      <c r="H685" s="338"/>
      <c r="I685" s="338"/>
      <c r="J685" s="338"/>
      <c r="K685" s="338"/>
      <c r="L685" s="338"/>
      <c r="M685" s="338"/>
      <c r="N685" s="338"/>
      <c r="O685" s="338"/>
      <c r="P685" s="338"/>
      <c r="Q685" s="338"/>
      <c r="R685" s="338"/>
      <c r="S685" s="338"/>
      <c r="T685" s="338"/>
      <c r="U685" s="338"/>
      <c r="V685" s="338"/>
      <c r="W685" s="338"/>
      <c r="X685" s="338"/>
      <c r="Y685" s="338"/>
      <c r="Z685" s="338"/>
      <c r="AA685" s="338"/>
    </row>
    <row r="686" ht="15.75" customHeight="1">
      <c r="A686" s="338"/>
      <c r="B686" s="338"/>
      <c r="C686" s="338"/>
      <c r="D686" s="338"/>
      <c r="E686" s="338"/>
      <c r="F686" s="338"/>
      <c r="G686" s="338"/>
      <c r="H686" s="338"/>
      <c r="I686" s="338"/>
      <c r="J686" s="338"/>
      <c r="K686" s="338"/>
      <c r="L686" s="338"/>
      <c r="M686" s="338"/>
      <c r="N686" s="338"/>
      <c r="O686" s="338"/>
      <c r="P686" s="338"/>
      <c r="Q686" s="338"/>
      <c r="R686" s="338"/>
      <c r="S686" s="338"/>
      <c r="T686" s="338"/>
      <c r="U686" s="338"/>
      <c r="V686" s="338"/>
      <c r="W686" s="338"/>
      <c r="X686" s="338"/>
      <c r="Y686" s="338"/>
      <c r="Z686" s="338"/>
      <c r="AA686" s="338"/>
    </row>
    <row r="687" ht="15.75" customHeight="1">
      <c r="A687" s="338"/>
      <c r="B687" s="338"/>
      <c r="C687" s="338"/>
      <c r="D687" s="338"/>
      <c r="E687" s="338"/>
      <c r="F687" s="338"/>
      <c r="G687" s="338"/>
      <c r="H687" s="338"/>
      <c r="I687" s="338"/>
      <c r="J687" s="338"/>
      <c r="K687" s="338"/>
      <c r="L687" s="338"/>
      <c r="M687" s="338"/>
      <c r="N687" s="338"/>
      <c r="O687" s="338"/>
      <c r="P687" s="338"/>
      <c r="Q687" s="338"/>
      <c r="R687" s="338"/>
      <c r="S687" s="338"/>
      <c r="T687" s="338"/>
      <c r="U687" s="338"/>
      <c r="V687" s="338"/>
      <c r="W687" s="338"/>
      <c r="X687" s="338"/>
      <c r="Y687" s="338"/>
      <c r="Z687" s="338"/>
      <c r="AA687" s="338"/>
    </row>
    <row r="688" ht="15.75" customHeight="1">
      <c r="A688" s="338"/>
      <c r="B688" s="338"/>
      <c r="C688" s="338"/>
      <c r="D688" s="338"/>
      <c r="E688" s="338"/>
      <c r="F688" s="338"/>
      <c r="G688" s="338"/>
      <c r="H688" s="338"/>
      <c r="I688" s="338"/>
      <c r="J688" s="338"/>
      <c r="K688" s="338"/>
      <c r="L688" s="338"/>
      <c r="M688" s="338"/>
      <c r="N688" s="338"/>
      <c r="O688" s="338"/>
      <c r="P688" s="338"/>
      <c r="Q688" s="338"/>
      <c r="R688" s="338"/>
      <c r="S688" s="338"/>
      <c r="T688" s="338"/>
      <c r="U688" s="338"/>
      <c r="V688" s="338"/>
      <c r="W688" s="338"/>
      <c r="X688" s="338"/>
      <c r="Y688" s="338"/>
      <c r="Z688" s="338"/>
      <c r="AA688" s="338"/>
    </row>
    <row r="689" ht="15.75" customHeight="1">
      <c r="A689" s="338"/>
      <c r="B689" s="338"/>
      <c r="C689" s="338"/>
      <c r="D689" s="338"/>
      <c r="E689" s="338"/>
      <c r="F689" s="338"/>
      <c r="G689" s="338"/>
      <c r="H689" s="338"/>
      <c r="I689" s="338"/>
      <c r="J689" s="338"/>
      <c r="K689" s="338"/>
      <c r="L689" s="338"/>
      <c r="M689" s="338"/>
      <c r="N689" s="338"/>
      <c r="O689" s="338"/>
      <c r="P689" s="338"/>
      <c r="Q689" s="338"/>
      <c r="R689" s="338"/>
      <c r="S689" s="338"/>
      <c r="T689" s="338"/>
      <c r="U689" s="338"/>
      <c r="V689" s="338"/>
      <c r="W689" s="338"/>
      <c r="X689" s="338"/>
      <c r="Y689" s="338"/>
      <c r="Z689" s="338"/>
      <c r="AA689" s="338"/>
    </row>
    <row r="690" ht="15.75" customHeight="1">
      <c r="A690" s="338"/>
      <c r="B690" s="338"/>
      <c r="C690" s="338"/>
      <c r="D690" s="338"/>
      <c r="E690" s="338"/>
      <c r="F690" s="338"/>
      <c r="G690" s="338"/>
      <c r="H690" s="338"/>
      <c r="I690" s="338"/>
      <c r="J690" s="338"/>
      <c r="K690" s="338"/>
      <c r="L690" s="338"/>
      <c r="M690" s="338"/>
      <c r="N690" s="338"/>
      <c r="O690" s="338"/>
      <c r="P690" s="338"/>
      <c r="Q690" s="338"/>
      <c r="R690" s="338"/>
      <c r="S690" s="338"/>
      <c r="T690" s="338"/>
      <c r="U690" s="338"/>
      <c r="V690" s="338"/>
      <c r="W690" s="338"/>
      <c r="X690" s="338"/>
      <c r="Y690" s="338"/>
      <c r="Z690" s="338"/>
      <c r="AA690" s="338"/>
    </row>
    <row r="691" ht="15.75" customHeight="1">
      <c r="A691" s="338"/>
      <c r="B691" s="338"/>
      <c r="C691" s="338"/>
      <c r="D691" s="338"/>
      <c r="E691" s="338"/>
      <c r="F691" s="338"/>
      <c r="G691" s="338"/>
      <c r="H691" s="338"/>
      <c r="I691" s="338"/>
      <c r="J691" s="338"/>
      <c r="K691" s="338"/>
      <c r="L691" s="338"/>
      <c r="M691" s="338"/>
      <c r="N691" s="338"/>
      <c r="O691" s="338"/>
      <c r="P691" s="338"/>
      <c r="Q691" s="338"/>
      <c r="R691" s="338"/>
      <c r="S691" s="338"/>
      <c r="T691" s="338"/>
      <c r="U691" s="338"/>
      <c r="V691" s="338"/>
      <c r="W691" s="338"/>
      <c r="X691" s="338"/>
      <c r="Y691" s="338"/>
      <c r="Z691" s="338"/>
      <c r="AA691" s="338"/>
    </row>
    <row r="692" ht="15.75" customHeight="1">
      <c r="A692" s="338"/>
      <c r="B692" s="338"/>
      <c r="C692" s="338"/>
      <c r="D692" s="338"/>
      <c r="E692" s="338"/>
      <c r="F692" s="338"/>
      <c r="G692" s="338"/>
      <c r="H692" s="338"/>
      <c r="I692" s="338"/>
      <c r="J692" s="338"/>
      <c r="K692" s="338"/>
      <c r="L692" s="338"/>
      <c r="M692" s="338"/>
      <c r="N692" s="338"/>
      <c r="O692" s="338"/>
      <c r="P692" s="338"/>
      <c r="Q692" s="338"/>
      <c r="R692" s="338"/>
      <c r="S692" s="338"/>
      <c r="T692" s="338"/>
      <c r="U692" s="338"/>
      <c r="V692" s="338"/>
      <c r="W692" s="338"/>
      <c r="X692" s="338"/>
      <c r="Y692" s="338"/>
      <c r="Z692" s="338"/>
      <c r="AA692" s="338"/>
    </row>
    <row r="693" ht="15.75" customHeight="1">
      <c r="A693" s="338"/>
      <c r="B693" s="338"/>
      <c r="C693" s="338"/>
      <c r="D693" s="338"/>
      <c r="E693" s="338"/>
      <c r="F693" s="338"/>
      <c r="G693" s="338"/>
      <c r="H693" s="338"/>
      <c r="I693" s="338"/>
      <c r="J693" s="338"/>
      <c r="K693" s="338"/>
      <c r="L693" s="338"/>
      <c r="M693" s="338"/>
      <c r="N693" s="338"/>
      <c r="O693" s="338"/>
      <c r="P693" s="338"/>
      <c r="Q693" s="338"/>
      <c r="R693" s="338"/>
      <c r="S693" s="338"/>
      <c r="T693" s="338"/>
      <c r="U693" s="338"/>
      <c r="V693" s="338"/>
      <c r="W693" s="338"/>
      <c r="X693" s="338"/>
      <c r="Y693" s="338"/>
      <c r="Z693" s="338"/>
      <c r="AA693" s="338"/>
    </row>
    <row r="694" ht="15.75" customHeight="1">
      <c r="A694" s="338"/>
      <c r="B694" s="338"/>
      <c r="C694" s="338"/>
      <c r="D694" s="338"/>
      <c r="E694" s="338"/>
      <c r="F694" s="338"/>
      <c r="G694" s="338"/>
      <c r="H694" s="338"/>
      <c r="I694" s="338"/>
      <c r="J694" s="338"/>
      <c r="K694" s="338"/>
      <c r="L694" s="338"/>
      <c r="M694" s="338"/>
      <c r="N694" s="338"/>
      <c r="O694" s="338"/>
      <c r="P694" s="338"/>
      <c r="Q694" s="338"/>
      <c r="R694" s="338"/>
      <c r="S694" s="338"/>
      <c r="T694" s="338"/>
      <c r="U694" s="338"/>
      <c r="V694" s="338"/>
      <c r="W694" s="338"/>
      <c r="X694" s="338"/>
      <c r="Y694" s="338"/>
      <c r="Z694" s="338"/>
      <c r="AA694" s="338"/>
    </row>
    <row r="695" ht="15.75" customHeight="1">
      <c r="A695" s="338"/>
      <c r="B695" s="338"/>
      <c r="C695" s="338"/>
      <c r="D695" s="338"/>
      <c r="E695" s="338"/>
      <c r="F695" s="338"/>
      <c r="G695" s="338"/>
      <c r="H695" s="338"/>
      <c r="I695" s="338"/>
      <c r="J695" s="338"/>
      <c r="K695" s="338"/>
      <c r="L695" s="338"/>
      <c r="M695" s="338"/>
      <c r="N695" s="338"/>
      <c r="O695" s="338"/>
      <c r="P695" s="338"/>
      <c r="Q695" s="338"/>
      <c r="R695" s="338"/>
      <c r="S695" s="338"/>
      <c r="T695" s="338"/>
      <c r="U695" s="338"/>
      <c r="V695" s="338"/>
      <c r="W695" s="338"/>
      <c r="X695" s="338"/>
      <c r="Y695" s="338"/>
      <c r="Z695" s="338"/>
      <c r="AA695" s="338"/>
    </row>
    <row r="696" ht="15.75" customHeight="1">
      <c r="A696" s="338"/>
      <c r="B696" s="338"/>
      <c r="C696" s="338"/>
      <c r="D696" s="338"/>
      <c r="E696" s="338"/>
      <c r="F696" s="338"/>
      <c r="G696" s="338"/>
      <c r="H696" s="338"/>
      <c r="I696" s="338"/>
      <c r="J696" s="338"/>
      <c r="K696" s="338"/>
      <c r="L696" s="338"/>
      <c r="M696" s="338"/>
      <c r="N696" s="338"/>
      <c r="O696" s="338"/>
      <c r="P696" s="338"/>
      <c r="Q696" s="338"/>
      <c r="R696" s="338"/>
      <c r="S696" s="338"/>
      <c r="T696" s="338"/>
      <c r="U696" s="338"/>
      <c r="V696" s="338"/>
      <c r="W696" s="338"/>
      <c r="X696" s="338"/>
      <c r="Y696" s="338"/>
      <c r="Z696" s="338"/>
      <c r="AA696" s="338"/>
    </row>
    <row r="697" ht="15.75" customHeight="1">
      <c r="A697" s="338"/>
      <c r="B697" s="338"/>
      <c r="C697" s="338"/>
      <c r="D697" s="338"/>
      <c r="E697" s="338"/>
      <c r="F697" s="338"/>
      <c r="G697" s="338"/>
      <c r="H697" s="338"/>
      <c r="I697" s="338"/>
      <c r="J697" s="338"/>
      <c r="K697" s="338"/>
      <c r="L697" s="338"/>
      <c r="M697" s="338"/>
      <c r="N697" s="338"/>
      <c r="O697" s="338"/>
      <c r="P697" s="338"/>
      <c r="Q697" s="338"/>
      <c r="R697" s="338"/>
      <c r="S697" s="338"/>
      <c r="T697" s="338"/>
      <c r="U697" s="338"/>
      <c r="V697" s="338"/>
      <c r="W697" s="338"/>
      <c r="X697" s="338"/>
      <c r="Y697" s="338"/>
      <c r="Z697" s="338"/>
      <c r="AA697" s="338"/>
    </row>
    <row r="698" ht="15.75" customHeight="1">
      <c r="A698" s="338"/>
      <c r="B698" s="338"/>
      <c r="C698" s="338"/>
      <c r="D698" s="338"/>
      <c r="E698" s="338"/>
      <c r="F698" s="338"/>
      <c r="G698" s="338"/>
      <c r="H698" s="338"/>
      <c r="I698" s="338"/>
      <c r="J698" s="338"/>
      <c r="K698" s="338"/>
      <c r="L698" s="338"/>
      <c r="M698" s="338"/>
      <c r="N698" s="338"/>
      <c r="O698" s="338"/>
      <c r="P698" s="338"/>
      <c r="Q698" s="338"/>
      <c r="R698" s="338"/>
      <c r="S698" s="338"/>
      <c r="T698" s="338"/>
      <c r="U698" s="338"/>
      <c r="V698" s="338"/>
      <c r="W698" s="338"/>
      <c r="X698" s="338"/>
      <c r="Y698" s="338"/>
      <c r="Z698" s="338"/>
      <c r="AA698" s="338"/>
    </row>
    <row r="699" ht="15.75" customHeight="1">
      <c r="A699" s="338"/>
      <c r="B699" s="338"/>
      <c r="C699" s="338"/>
      <c r="D699" s="338"/>
      <c r="E699" s="338"/>
      <c r="F699" s="338"/>
      <c r="G699" s="338"/>
      <c r="H699" s="338"/>
      <c r="I699" s="338"/>
      <c r="J699" s="338"/>
      <c r="K699" s="338"/>
      <c r="L699" s="338"/>
      <c r="M699" s="338"/>
      <c r="N699" s="338"/>
      <c r="O699" s="338"/>
      <c r="P699" s="338"/>
      <c r="Q699" s="338"/>
      <c r="R699" s="338"/>
      <c r="S699" s="338"/>
      <c r="T699" s="338"/>
      <c r="U699" s="338"/>
      <c r="V699" s="338"/>
      <c r="W699" s="338"/>
      <c r="X699" s="338"/>
      <c r="Y699" s="338"/>
      <c r="Z699" s="338"/>
      <c r="AA699" s="338"/>
    </row>
    <row r="700" ht="15.75" customHeight="1">
      <c r="A700" s="338"/>
      <c r="B700" s="338"/>
      <c r="C700" s="338"/>
      <c r="D700" s="338"/>
      <c r="E700" s="338"/>
      <c r="F700" s="338"/>
      <c r="G700" s="338"/>
      <c r="H700" s="338"/>
      <c r="I700" s="338"/>
      <c r="J700" s="338"/>
      <c r="K700" s="338"/>
      <c r="L700" s="338"/>
      <c r="M700" s="338"/>
      <c r="N700" s="338"/>
      <c r="O700" s="338"/>
      <c r="P700" s="338"/>
      <c r="Q700" s="338"/>
      <c r="R700" s="338"/>
      <c r="S700" s="338"/>
      <c r="T700" s="338"/>
      <c r="U700" s="338"/>
      <c r="V700" s="338"/>
      <c r="W700" s="338"/>
      <c r="X700" s="338"/>
      <c r="Y700" s="338"/>
      <c r="Z700" s="338"/>
      <c r="AA700" s="338"/>
    </row>
    <row r="701" ht="15.75" customHeight="1">
      <c r="A701" s="338"/>
      <c r="B701" s="338"/>
      <c r="C701" s="338"/>
      <c r="D701" s="338"/>
      <c r="E701" s="338"/>
      <c r="F701" s="338"/>
      <c r="G701" s="338"/>
      <c r="H701" s="338"/>
      <c r="I701" s="338"/>
      <c r="J701" s="338"/>
      <c r="K701" s="338"/>
      <c r="L701" s="338"/>
      <c r="M701" s="338"/>
      <c r="N701" s="338"/>
      <c r="O701" s="338"/>
      <c r="P701" s="338"/>
      <c r="Q701" s="338"/>
      <c r="R701" s="338"/>
      <c r="S701" s="338"/>
      <c r="T701" s="338"/>
      <c r="U701" s="338"/>
      <c r="V701" s="338"/>
      <c r="W701" s="338"/>
      <c r="X701" s="338"/>
      <c r="Y701" s="338"/>
      <c r="Z701" s="338"/>
      <c r="AA701" s="338"/>
    </row>
    <row r="702" ht="15.75" customHeight="1">
      <c r="A702" s="338"/>
      <c r="B702" s="338"/>
      <c r="C702" s="338"/>
      <c r="D702" s="338"/>
      <c r="E702" s="338"/>
      <c r="F702" s="338"/>
      <c r="G702" s="338"/>
      <c r="H702" s="338"/>
      <c r="I702" s="338"/>
      <c r="J702" s="338"/>
      <c r="K702" s="338"/>
      <c r="L702" s="338"/>
      <c r="M702" s="338"/>
      <c r="N702" s="338"/>
      <c r="O702" s="338"/>
      <c r="P702" s="338"/>
      <c r="Q702" s="338"/>
      <c r="R702" s="338"/>
      <c r="S702" s="338"/>
      <c r="T702" s="338"/>
      <c r="U702" s="338"/>
      <c r="V702" s="338"/>
      <c r="W702" s="338"/>
      <c r="X702" s="338"/>
      <c r="Y702" s="338"/>
      <c r="Z702" s="338"/>
      <c r="AA702" s="338"/>
    </row>
    <row r="703" ht="15.75" customHeight="1">
      <c r="A703" s="338"/>
      <c r="B703" s="338"/>
      <c r="C703" s="338"/>
      <c r="D703" s="338"/>
      <c r="E703" s="338"/>
      <c r="F703" s="338"/>
      <c r="G703" s="338"/>
      <c r="H703" s="338"/>
      <c r="I703" s="338"/>
      <c r="J703" s="338"/>
      <c r="K703" s="338"/>
      <c r="L703" s="338"/>
      <c r="M703" s="338"/>
      <c r="N703" s="338"/>
      <c r="O703" s="338"/>
      <c r="P703" s="338"/>
      <c r="Q703" s="338"/>
      <c r="R703" s="338"/>
      <c r="S703" s="338"/>
      <c r="T703" s="338"/>
      <c r="U703" s="338"/>
      <c r="V703" s="338"/>
      <c r="W703" s="338"/>
      <c r="X703" s="338"/>
      <c r="Y703" s="338"/>
      <c r="Z703" s="338"/>
      <c r="AA703" s="338"/>
    </row>
    <row r="704" ht="15.75" customHeight="1">
      <c r="A704" s="338"/>
      <c r="B704" s="338"/>
      <c r="C704" s="338"/>
      <c r="D704" s="338"/>
      <c r="E704" s="338"/>
      <c r="F704" s="338"/>
      <c r="G704" s="338"/>
      <c r="H704" s="338"/>
      <c r="I704" s="338"/>
      <c r="J704" s="338"/>
      <c r="K704" s="338"/>
      <c r="L704" s="338"/>
      <c r="M704" s="338"/>
      <c r="N704" s="338"/>
      <c r="O704" s="338"/>
      <c r="P704" s="338"/>
      <c r="Q704" s="338"/>
      <c r="R704" s="338"/>
      <c r="S704" s="338"/>
      <c r="T704" s="338"/>
      <c r="U704" s="338"/>
      <c r="V704" s="338"/>
      <c r="W704" s="338"/>
      <c r="X704" s="338"/>
      <c r="Y704" s="338"/>
      <c r="Z704" s="338"/>
      <c r="AA704" s="338"/>
    </row>
    <row r="705" ht="15.75" customHeight="1">
      <c r="A705" s="338"/>
      <c r="B705" s="338"/>
      <c r="C705" s="338"/>
      <c r="D705" s="338"/>
      <c r="E705" s="338"/>
      <c r="F705" s="338"/>
      <c r="G705" s="338"/>
      <c r="H705" s="338"/>
      <c r="I705" s="338"/>
      <c r="J705" s="338"/>
      <c r="K705" s="338"/>
      <c r="L705" s="338"/>
      <c r="M705" s="338"/>
      <c r="N705" s="338"/>
      <c r="O705" s="338"/>
      <c r="P705" s="338"/>
      <c r="Q705" s="338"/>
      <c r="R705" s="338"/>
      <c r="S705" s="338"/>
      <c r="T705" s="338"/>
      <c r="U705" s="338"/>
      <c r="V705" s="338"/>
      <c r="W705" s="338"/>
      <c r="X705" s="338"/>
      <c r="Y705" s="338"/>
      <c r="Z705" s="338"/>
      <c r="AA705" s="338"/>
    </row>
    <row r="706" ht="15.75" customHeight="1">
      <c r="A706" s="338"/>
      <c r="B706" s="338"/>
      <c r="C706" s="338"/>
      <c r="D706" s="338"/>
      <c r="E706" s="338"/>
      <c r="F706" s="338"/>
      <c r="G706" s="338"/>
      <c r="H706" s="338"/>
      <c r="I706" s="338"/>
      <c r="J706" s="338"/>
      <c r="K706" s="338"/>
      <c r="L706" s="338"/>
      <c r="M706" s="338"/>
      <c r="N706" s="338"/>
      <c r="O706" s="338"/>
      <c r="P706" s="338"/>
      <c r="Q706" s="338"/>
      <c r="R706" s="338"/>
      <c r="S706" s="338"/>
      <c r="T706" s="338"/>
      <c r="U706" s="338"/>
      <c r="V706" s="338"/>
      <c r="W706" s="338"/>
      <c r="X706" s="338"/>
      <c r="Y706" s="338"/>
      <c r="Z706" s="338"/>
      <c r="AA706" s="338"/>
    </row>
    <row r="707" ht="15.75" customHeight="1">
      <c r="A707" s="338"/>
      <c r="B707" s="338"/>
      <c r="C707" s="338"/>
      <c r="D707" s="338"/>
      <c r="E707" s="338"/>
      <c r="F707" s="338"/>
      <c r="G707" s="338"/>
      <c r="H707" s="338"/>
      <c r="I707" s="338"/>
      <c r="J707" s="338"/>
      <c r="K707" s="338"/>
      <c r="L707" s="338"/>
      <c r="M707" s="338"/>
      <c r="N707" s="338"/>
      <c r="O707" s="338"/>
      <c r="P707" s="338"/>
      <c r="Q707" s="338"/>
      <c r="R707" s="338"/>
      <c r="S707" s="338"/>
      <c r="T707" s="338"/>
      <c r="U707" s="338"/>
      <c r="V707" s="338"/>
      <c r="W707" s="338"/>
      <c r="X707" s="338"/>
      <c r="Y707" s="338"/>
      <c r="Z707" s="338"/>
      <c r="AA707" s="338"/>
    </row>
    <row r="708" ht="15.75" customHeight="1">
      <c r="A708" s="338"/>
      <c r="B708" s="338"/>
      <c r="C708" s="338"/>
      <c r="D708" s="338"/>
      <c r="E708" s="338"/>
      <c r="F708" s="338"/>
      <c r="G708" s="338"/>
      <c r="H708" s="338"/>
      <c r="I708" s="338"/>
      <c r="J708" s="338"/>
      <c r="K708" s="338"/>
      <c r="L708" s="338"/>
      <c r="M708" s="338"/>
      <c r="N708" s="338"/>
      <c r="O708" s="338"/>
      <c r="P708" s="338"/>
      <c r="Q708" s="338"/>
      <c r="R708" s="338"/>
      <c r="S708" s="338"/>
      <c r="T708" s="338"/>
      <c r="U708" s="338"/>
      <c r="V708" s="338"/>
      <c r="W708" s="338"/>
      <c r="X708" s="338"/>
      <c r="Y708" s="338"/>
      <c r="Z708" s="338"/>
      <c r="AA708" s="338"/>
    </row>
    <row r="709" ht="15.75" customHeight="1">
      <c r="A709" s="338"/>
      <c r="B709" s="338"/>
      <c r="C709" s="338"/>
      <c r="D709" s="338"/>
      <c r="E709" s="338"/>
      <c r="F709" s="338"/>
      <c r="G709" s="338"/>
      <c r="H709" s="338"/>
      <c r="I709" s="338"/>
      <c r="J709" s="338"/>
      <c r="K709" s="338"/>
      <c r="L709" s="338"/>
      <c r="M709" s="338"/>
      <c r="N709" s="338"/>
      <c r="O709" s="338"/>
      <c r="P709" s="338"/>
      <c r="Q709" s="338"/>
      <c r="R709" s="338"/>
      <c r="S709" s="338"/>
      <c r="T709" s="338"/>
      <c r="U709" s="338"/>
      <c r="V709" s="338"/>
      <c r="W709" s="338"/>
      <c r="X709" s="338"/>
      <c r="Y709" s="338"/>
      <c r="Z709" s="338"/>
      <c r="AA709" s="338"/>
    </row>
    <row r="710" ht="15.75" customHeight="1">
      <c r="A710" s="338"/>
      <c r="B710" s="338"/>
      <c r="C710" s="338"/>
      <c r="D710" s="338"/>
      <c r="E710" s="338"/>
      <c r="F710" s="338"/>
      <c r="G710" s="338"/>
      <c r="H710" s="338"/>
      <c r="I710" s="338"/>
      <c r="J710" s="338"/>
      <c r="K710" s="338"/>
      <c r="L710" s="338"/>
      <c r="M710" s="338"/>
      <c r="N710" s="338"/>
      <c r="O710" s="338"/>
      <c r="P710" s="338"/>
      <c r="Q710" s="338"/>
      <c r="R710" s="338"/>
      <c r="S710" s="338"/>
      <c r="T710" s="338"/>
      <c r="U710" s="338"/>
      <c r="V710" s="338"/>
      <c r="W710" s="338"/>
      <c r="X710" s="338"/>
      <c r="Y710" s="338"/>
      <c r="Z710" s="338"/>
      <c r="AA710" s="338"/>
    </row>
    <row r="711" ht="15.75" customHeight="1">
      <c r="A711" s="338"/>
      <c r="B711" s="338"/>
      <c r="C711" s="338"/>
      <c r="D711" s="338"/>
      <c r="E711" s="338"/>
      <c r="F711" s="338"/>
      <c r="G711" s="338"/>
      <c r="H711" s="338"/>
      <c r="I711" s="338"/>
      <c r="J711" s="338"/>
      <c r="K711" s="338"/>
      <c r="L711" s="338"/>
      <c r="M711" s="338"/>
      <c r="N711" s="338"/>
      <c r="O711" s="338"/>
      <c r="P711" s="338"/>
      <c r="Q711" s="338"/>
      <c r="R711" s="338"/>
      <c r="S711" s="338"/>
      <c r="T711" s="338"/>
      <c r="U711" s="338"/>
      <c r="V711" s="338"/>
      <c r="W711" s="338"/>
      <c r="X711" s="338"/>
      <c r="Y711" s="338"/>
      <c r="Z711" s="338"/>
      <c r="AA711" s="338"/>
    </row>
    <row r="712" ht="15.75" customHeight="1">
      <c r="A712" s="338"/>
      <c r="B712" s="338"/>
      <c r="C712" s="338"/>
      <c r="D712" s="338"/>
      <c r="E712" s="338"/>
      <c r="F712" s="338"/>
      <c r="G712" s="338"/>
      <c r="H712" s="338"/>
      <c r="I712" s="338"/>
      <c r="J712" s="338"/>
      <c r="K712" s="338"/>
      <c r="L712" s="338"/>
      <c r="M712" s="338"/>
      <c r="N712" s="338"/>
      <c r="O712" s="338"/>
      <c r="P712" s="338"/>
      <c r="Q712" s="338"/>
      <c r="R712" s="338"/>
      <c r="S712" s="338"/>
      <c r="T712" s="338"/>
      <c r="U712" s="338"/>
      <c r="V712" s="338"/>
      <c r="W712" s="338"/>
      <c r="X712" s="338"/>
      <c r="Y712" s="338"/>
      <c r="Z712" s="338"/>
      <c r="AA712" s="338"/>
    </row>
    <row r="713" ht="15.75" customHeight="1">
      <c r="A713" s="338"/>
      <c r="B713" s="338"/>
      <c r="C713" s="338"/>
      <c r="D713" s="338"/>
      <c r="E713" s="338"/>
      <c r="F713" s="338"/>
      <c r="G713" s="338"/>
      <c r="H713" s="338"/>
      <c r="I713" s="338"/>
      <c r="J713" s="338"/>
      <c r="K713" s="338"/>
      <c r="L713" s="338"/>
      <c r="M713" s="338"/>
      <c r="N713" s="338"/>
      <c r="O713" s="338"/>
      <c r="P713" s="338"/>
      <c r="Q713" s="338"/>
      <c r="R713" s="338"/>
      <c r="S713" s="338"/>
      <c r="T713" s="338"/>
      <c r="U713" s="338"/>
      <c r="V713" s="338"/>
      <c r="W713" s="338"/>
      <c r="X713" s="338"/>
      <c r="Y713" s="338"/>
      <c r="Z713" s="338"/>
      <c r="AA713" s="338"/>
    </row>
    <row r="714" ht="15.75" customHeight="1">
      <c r="A714" s="338"/>
      <c r="B714" s="338"/>
      <c r="C714" s="338"/>
      <c r="D714" s="338"/>
      <c r="E714" s="338"/>
      <c r="F714" s="338"/>
      <c r="G714" s="338"/>
      <c r="H714" s="338"/>
      <c r="I714" s="338"/>
      <c r="J714" s="338"/>
      <c r="K714" s="338"/>
      <c r="L714" s="338"/>
      <c r="M714" s="338"/>
      <c r="N714" s="338"/>
      <c r="O714" s="338"/>
      <c r="P714" s="338"/>
      <c r="Q714" s="338"/>
      <c r="R714" s="338"/>
      <c r="S714" s="338"/>
      <c r="T714" s="338"/>
      <c r="U714" s="338"/>
      <c r="V714" s="338"/>
      <c r="W714" s="338"/>
      <c r="X714" s="338"/>
      <c r="Y714" s="338"/>
      <c r="Z714" s="338"/>
      <c r="AA714" s="338"/>
    </row>
    <row r="715" ht="15.75" customHeight="1">
      <c r="A715" s="338"/>
      <c r="B715" s="338"/>
      <c r="C715" s="338"/>
      <c r="D715" s="338"/>
      <c r="E715" s="338"/>
      <c r="F715" s="338"/>
      <c r="G715" s="338"/>
      <c r="H715" s="338"/>
      <c r="I715" s="338"/>
      <c r="J715" s="338"/>
      <c r="K715" s="338"/>
      <c r="L715" s="338"/>
      <c r="M715" s="338"/>
      <c r="N715" s="338"/>
      <c r="O715" s="338"/>
      <c r="P715" s="338"/>
      <c r="Q715" s="338"/>
      <c r="R715" s="338"/>
      <c r="S715" s="338"/>
      <c r="T715" s="338"/>
      <c r="U715" s="338"/>
      <c r="V715" s="338"/>
      <c r="W715" s="338"/>
      <c r="X715" s="338"/>
      <c r="Y715" s="338"/>
      <c r="Z715" s="338"/>
      <c r="AA715" s="338"/>
    </row>
    <row r="716" ht="15.75" customHeight="1">
      <c r="A716" s="338"/>
      <c r="B716" s="338"/>
      <c r="C716" s="338"/>
      <c r="D716" s="338"/>
      <c r="E716" s="338"/>
      <c r="F716" s="338"/>
      <c r="G716" s="338"/>
      <c r="H716" s="338"/>
      <c r="I716" s="338"/>
      <c r="J716" s="338"/>
      <c r="K716" s="338"/>
      <c r="L716" s="338"/>
      <c r="M716" s="338"/>
      <c r="N716" s="338"/>
      <c r="O716" s="338"/>
      <c r="P716" s="338"/>
      <c r="Q716" s="338"/>
      <c r="R716" s="338"/>
      <c r="S716" s="338"/>
      <c r="T716" s="338"/>
      <c r="U716" s="338"/>
      <c r="V716" s="338"/>
      <c r="W716" s="338"/>
      <c r="X716" s="338"/>
      <c r="Y716" s="338"/>
      <c r="Z716" s="338"/>
      <c r="AA716" s="338"/>
    </row>
    <row r="717" ht="15.75" customHeight="1">
      <c r="A717" s="338"/>
      <c r="B717" s="338"/>
      <c r="C717" s="338"/>
      <c r="D717" s="338"/>
      <c r="E717" s="338"/>
      <c r="F717" s="338"/>
      <c r="G717" s="338"/>
      <c r="H717" s="338"/>
      <c r="I717" s="338"/>
      <c r="J717" s="338"/>
      <c r="K717" s="338"/>
      <c r="L717" s="338"/>
      <c r="M717" s="338"/>
      <c r="N717" s="338"/>
      <c r="O717" s="338"/>
      <c r="P717" s="338"/>
      <c r="Q717" s="338"/>
      <c r="R717" s="338"/>
      <c r="S717" s="338"/>
      <c r="T717" s="338"/>
      <c r="U717" s="338"/>
      <c r="V717" s="338"/>
      <c r="W717" s="338"/>
      <c r="X717" s="338"/>
      <c r="Y717" s="338"/>
      <c r="Z717" s="338"/>
      <c r="AA717" s="338"/>
    </row>
    <row r="718" ht="15.75" customHeight="1">
      <c r="A718" s="338"/>
      <c r="B718" s="338"/>
      <c r="C718" s="338"/>
      <c r="D718" s="338"/>
      <c r="E718" s="338"/>
      <c r="F718" s="338"/>
      <c r="G718" s="338"/>
      <c r="H718" s="338"/>
      <c r="I718" s="338"/>
      <c r="J718" s="338"/>
      <c r="K718" s="338"/>
      <c r="L718" s="338"/>
      <c r="M718" s="338"/>
      <c r="N718" s="338"/>
      <c r="O718" s="338"/>
      <c r="P718" s="338"/>
      <c r="Q718" s="338"/>
      <c r="R718" s="338"/>
      <c r="S718" s="338"/>
      <c r="T718" s="338"/>
      <c r="U718" s="338"/>
      <c r="V718" s="338"/>
      <c r="W718" s="338"/>
      <c r="X718" s="338"/>
      <c r="Y718" s="338"/>
      <c r="Z718" s="338"/>
      <c r="AA718" s="338"/>
    </row>
    <row r="719" ht="15.75" customHeight="1">
      <c r="A719" s="338"/>
      <c r="B719" s="338"/>
      <c r="C719" s="338"/>
      <c r="D719" s="338"/>
      <c r="E719" s="338"/>
      <c r="F719" s="338"/>
      <c r="G719" s="338"/>
      <c r="H719" s="338"/>
      <c r="I719" s="338"/>
      <c r="J719" s="338"/>
      <c r="K719" s="338"/>
      <c r="L719" s="338"/>
      <c r="M719" s="338"/>
      <c r="N719" s="338"/>
      <c r="O719" s="338"/>
      <c r="P719" s="338"/>
      <c r="Q719" s="338"/>
      <c r="R719" s="338"/>
      <c r="S719" s="338"/>
      <c r="T719" s="338"/>
      <c r="U719" s="338"/>
      <c r="V719" s="338"/>
      <c r="W719" s="338"/>
      <c r="X719" s="338"/>
      <c r="Y719" s="338"/>
      <c r="Z719" s="338"/>
      <c r="AA719" s="338"/>
    </row>
    <row r="720" ht="15.75" customHeight="1">
      <c r="A720" s="338"/>
      <c r="B720" s="338"/>
      <c r="C720" s="338"/>
      <c r="D720" s="338"/>
      <c r="E720" s="338"/>
      <c r="F720" s="338"/>
      <c r="G720" s="338"/>
      <c r="H720" s="338"/>
      <c r="I720" s="338"/>
      <c r="J720" s="338"/>
      <c r="K720" s="338"/>
      <c r="L720" s="338"/>
      <c r="M720" s="338"/>
      <c r="N720" s="338"/>
      <c r="O720" s="338"/>
      <c r="P720" s="338"/>
      <c r="Q720" s="338"/>
      <c r="R720" s="338"/>
      <c r="S720" s="338"/>
      <c r="T720" s="338"/>
      <c r="U720" s="338"/>
      <c r="V720" s="338"/>
      <c r="W720" s="338"/>
      <c r="X720" s="338"/>
      <c r="Y720" s="338"/>
      <c r="Z720" s="338"/>
      <c r="AA720" s="338"/>
    </row>
    <row r="721" ht="15.75" customHeight="1">
      <c r="A721" s="338"/>
      <c r="B721" s="338"/>
      <c r="C721" s="338"/>
      <c r="D721" s="338"/>
      <c r="E721" s="338"/>
      <c r="F721" s="338"/>
      <c r="G721" s="338"/>
      <c r="H721" s="338"/>
      <c r="I721" s="338"/>
      <c r="J721" s="338"/>
      <c r="K721" s="338"/>
      <c r="L721" s="338"/>
      <c r="M721" s="338"/>
      <c r="N721" s="338"/>
      <c r="O721" s="338"/>
      <c r="P721" s="338"/>
      <c r="Q721" s="338"/>
      <c r="R721" s="338"/>
      <c r="S721" s="338"/>
      <c r="T721" s="338"/>
      <c r="U721" s="338"/>
      <c r="V721" s="338"/>
      <c r="W721" s="338"/>
      <c r="X721" s="338"/>
      <c r="Y721" s="338"/>
      <c r="Z721" s="338"/>
      <c r="AA721" s="338"/>
    </row>
    <row r="722" ht="15.75" customHeight="1">
      <c r="A722" s="338"/>
      <c r="B722" s="338"/>
      <c r="C722" s="338"/>
      <c r="D722" s="338"/>
      <c r="E722" s="338"/>
      <c r="F722" s="338"/>
      <c r="G722" s="338"/>
      <c r="H722" s="338"/>
      <c r="I722" s="338"/>
      <c r="J722" s="338"/>
      <c r="K722" s="338"/>
      <c r="L722" s="338"/>
      <c r="M722" s="338"/>
      <c r="N722" s="338"/>
      <c r="O722" s="338"/>
      <c r="P722" s="338"/>
      <c r="Q722" s="338"/>
      <c r="R722" s="338"/>
      <c r="S722" s="338"/>
      <c r="T722" s="338"/>
      <c r="U722" s="338"/>
      <c r="V722" s="338"/>
      <c r="W722" s="338"/>
      <c r="X722" s="338"/>
      <c r="Y722" s="338"/>
      <c r="Z722" s="338"/>
      <c r="AA722" s="338"/>
    </row>
    <row r="723" ht="15.75" customHeight="1">
      <c r="A723" s="338"/>
      <c r="B723" s="338"/>
      <c r="C723" s="338"/>
      <c r="D723" s="338"/>
      <c r="E723" s="338"/>
      <c r="F723" s="338"/>
      <c r="G723" s="338"/>
      <c r="H723" s="338"/>
      <c r="I723" s="338"/>
      <c r="J723" s="338"/>
      <c r="K723" s="338"/>
      <c r="L723" s="338"/>
      <c r="M723" s="338"/>
      <c r="N723" s="338"/>
      <c r="O723" s="338"/>
      <c r="P723" s="338"/>
      <c r="Q723" s="338"/>
      <c r="R723" s="338"/>
      <c r="S723" s="338"/>
      <c r="T723" s="338"/>
      <c r="U723" s="338"/>
      <c r="V723" s="338"/>
      <c r="W723" s="338"/>
      <c r="X723" s="338"/>
      <c r="Y723" s="338"/>
      <c r="Z723" s="338"/>
      <c r="AA723" s="338"/>
    </row>
    <row r="724" ht="15.75" customHeight="1">
      <c r="A724" s="338"/>
      <c r="B724" s="338"/>
      <c r="C724" s="338"/>
      <c r="D724" s="338"/>
      <c r="E724" s="338"/>
      <c r="F724" s="338"/>
      <c r="G724" s="338"/>
      <c r="H724" s="338"/>
      <c r="I724" s="338"/>
      <c r="J724" s="338"/>
      <c r="K724" s="338"/>
      <c r="L724" s="338"/>
      <c r="M724" s="338"/>
      <c r="N724" s="338"/>
      <c r="O724" s="338"/>
      <c r="P724" s="338"/>
      <c r="Q724" s="338"/>
      <c r="R724" s="338"/>
      <c r="S724" s="338"/>
      <c r="T724" s="338"/>
      <c r="U724" s="338"/>
      <c r="V724" s="338"/>
      <c r="W724" s="338"/>
      <c r="X724" s="338"/>
      <c r="Y724" s="338"/>
      <c r="Z724" s="338"/>
      <c r="AA724" s="338"/>
    </row>
    <row r="725" ht="15.75" customHeight="1">
      <c r="A725" s="338"/>
      <c r="B725" s="338"/>
      <c r="C725" s="338"/>
      <c r="D725" s="338"/>
      <c r="E725" s="338"/>
      <c r="F725" s="338"/>
      <c r="G725" s="338"/>
      <c r="H725" s="338"/>
      <c r="I725" s="338"/>
      <c r="J725" s="338"/>
      <c r="K725" s="338"/>
      <c r="L725" s="338"/>
      <c r="M725" s="338"/>
      <c r="N725" s="338"/>
      <c r="O725" s="338"/>
      <c r="P725" s="338"/>
      <c r="Q725" s="338"/>
      <c r="R725" s="338"/>
      <c r="S725" s="338"/>
      <c r="T725" s="338"/>
      <c r="U725" s="338"/>
      <c r="V725" s="338"/>
      <c r="W725" s="338"/>
      <c r="X725" s="338"/>
      <c r="Y725" s="338"/>
      <c r="Z725" s="338"/>
      <c r="AA725" s="338"/>
    </row>
    <row r="726" ht="15.75" customHeight="1">
      <c r="A726" s="338"/>
      <c r="B726" s="338"/>
      <c r="C726" s="338"/>
      <c r="D726" s="338"/>
      <c r="E726" s="338"/>
      <c r="F726" s="338"/>
      <c r="G726" s="338"/>
      <c r="H726" s="338"/>
      <c r="I726" s="338"/>
      <c r="J726" s="338"/>
      <c r="K726" s="338"/>
      <c r="L726" s="338"/>
      <c r="M726" s="338"/>
      <c r="N726" s="338"/>
      <c r="O726" s="338"/>
      <c r="P726" s="338"/>
      <c r="Q726" s="338"/>
      <c r="R726" s="338"/>
      <c r="S726" s="338"/>
      <c r="T726" s="338"/>
      <c r="U726" s="338"/>
      <c r="V726" s="338"/>
      <c r="W726" s="338"/>
      <c r="X726" s="338"/>
      <c r="Y726" s="338"/>
      <c r="Z726" s="338"/>
      <c r="AA726" s="338"/>
    </row>
    <row r="727" ht="15.75" customHeight="1">
      <c r="A727" s="338"/>
      <c r="B727" s="338"/>
      <c r="C727" s="338"/>
      <c r="D727" s="338"/>
      <c r="E727" s="338"/>
      <c r="F727" s="338"/>
      <c r="G727" s="338"/>
      <c r="H727" s="338"/>
      <c r="I727" s="338"/>
      <c r="J727" s="338"/>
      <c r="K727" s="338"/>
      <c r="L727" s="338"/>
      <c r="M727" s="338"/>
      <c r="N727" s="338"/>
      <c r="O727" s="338"/>
      <c r="P727" s="338"/>
      <c r="Q727" s="338"/>
      <c r="R727" s="338"/>
      <c r="S727" s="338"/>
      <c r="T727" s="338"/>
      <c r="U727" s="338"/>
      <c r="V727" s="338"/>
      <c r="W727" s="338"/>
      <c r="X727" s="338"/>
      <c r="Y727" s="338"/>
      <c r="Z727" s="338"/>
      <c r="AA727" s="338"/>
    </row>
    <row r="728" ht="15.75" customHeight="1">
      <c r="A728" s="338"/>
      <c r="B728" s="338"/>
      <c r="C728" s="338"/>
      <c r="D728" s="338"/>
      <c r="E728" s="338"/>
      <c r="F728" s="338"/>
      <c r="G728" s="338"/>
      <c r="H728" s="338"/>
      <c r="I728" s="338"/>
      <c r="J728" s="338"/>
      <c r="K728" s="338"/>
      <c r="L728" s="338"/>
      <c r="M728" s="338"/>
      <c r="N728" s="338"/>
      <c r="O728" s="338"/>
      <c r="P728" s="338"/>
      <c r="Q728" s="338"/>
      <c r="R728" s="338"/>
      <c r="S728" s="338"/>
      <c r="T728" s="338"/>
      <c r="U728" s="338"/>
      <c r="V728" s="338"/>
      <c r="W728" s="338"/>
      <c r="X728" s="338"/>
      <c r="Y728" s="338"/>
      <c r="Z728" s="338"/>
      <c r="AA728" s="338"/>
    </row>
    <row r="729" ht="15.75" customHeight="1">
      <c r="A729" s="338"/>
      <c r="B729" s="338"/>
      <c r="C729" s="338"/>
      <c r="D729" s="338"/>
      <c r="E729" s="338"/>
      <c r="F729" s="338"/>
      <c r="G729" s="338"/>
      <c r="H729" s="338"/>
      <c r="I729" s="338"/>
      <c r="J729" s="338"/>
      <c r="K729" s="338"/>
      <c r="L729" s="338"/>
      <c r="M729" s="338"/>
      <c r="N729" s="338"/>
      <c r="O729" s="338"/>
      <c r="P729" s="338"/>
      <c r="Q729" s="338"/>
      <c r="R729" s="338"/>
      <c r="S729" s="338"/>
      <c r="T729" s="338"/>
      <c r="U729" s="338"/>
      <c r="V729" s="338"/>
      <c r="W729" s="338"/>
      <c r="X729" s="338"/>
      <c r="Y729" s="338"/>
      <c r="Z729" s="338"/>
      <c r="AA729" s="338"/>
    </row>
    <row r="730" ht="15.75" customHeight="1">
      <c r="A730" s="338"/>
      <c r="B730" s="338"/>
      <c r="C730" s="338"/>
      <c r="D730" s="338"/>
      <c r="E730" s="338"/>
      <c r="F730" s="338"/>
      <c r="G730" s="338"/>
      <c r="H730" s="338"/>
      <c r="I730" s="338"/>
      <c r="J730" s="338"/>
      <c r="K730" s="338"/>
      <c r="L730" s="338"/>
      <c r="M730" s="338"/>
      <c r="N730" s="338"/>
      <c r="O730" s="338"/>
      <c r="P730" s="338"/>
      <c r="Q730" s="338"/>
      <c r="R730" s="338"/>
      <c r="S730" s="338"/>
      <c r="T730" s="338"/>
      <c r="U730" s="338"/>
      <c r="V730" s="338"/>
      <c r="W730" s="338"/>
      <c r="X730" s="338"/>
      <c r="Y730" s="338"/>
      <c r="Z730" s="338"/>
      <c r="AA730" s="338"/>
    </row>
    <row r="731" ht="15.75" customHeight="1">
      <c r="A731" s="338"/>
      <c r="B731" s="338"/>
      <c r="C731" s="338"/>
      <c r="D731" s="338"/>
      <c r="E731" s="338"/>
      <c r="F731" s="338"/>
      <c r="G731" s="338"/>
      <c r="H731" s="338"/>
      <c r="I731" s="338"/>
      <c r="J731" s="338"/>
      <c r="K731" s="338"/>
      <c r="L731" s="338"/>
      <c r="M731" s="338"/>
      <c r="N731" s="338"/>
      <c r="O731" s="338"/>
      <c r="P731" s="338"/>
      <c r="Q731" s="338"/>
      <c r="R731" s="338"/>
      <c r="S731" s="338"/>
      <c r="T731" s="338"/>
      <c r="U731" s="338"/>
      <c r="V731" s="338"/>
      <c r="W731" s="338"/>
      <c r="X731" s="338"/>
      <c r="Y731" s="338"/>
      <c r="Z731" s="338"/>
      <c r="AA731" s="338"/>
    </row>
    <row r="732" ht="15.75" customHeight="1">
      <c r="A732" s="338"/>
      <c r="B732" s="338"/>
      <c r="C732" s="338"/>
      <c r="D732" s="338"/>
      <c r="E732" s="338"/>
      <c r="F732" s="338"/>
      <c r="G732" s="338"/>
      <c r="H732" s="338"/>
      <c r="I732" s="338"/>
      <c r="J732" s="338"/>
      <c r="K732" s="338"/>
      <c r="L732" s="338"/>
      <c r="M732" s="338"/>
      <c r="N732" s="338"/>
      <c r="O732" s="338"/>
      <c r="P732" s="338"/>
      <c r="Q732" s="338"/>
      <c r="R732" s="338"/>
      <c r="S732" s="338"/>
      <c r="T732" s="338"/>
      <c r="U732" s="338"/>
      <c r="V732" s="338"/>
      <c r="W732" s="338"/>
      <c r="X732" s="338"/>
      <c r="Y732" s="338"/>
      <c r="Z732" s="338"/>
      <c r="AA732" s="338"/>
    </row>
    <row r="733" ht="15.75" customHeight="1">
      <c r="A733" s="338"/>
      <c r="B733" s="338"/>
      <c r="C733" s="338"/>
      <c r="D733" s="338"/>
      <c r="E733" s="338"/>
      <c r="F733" s="338"/>
      <c r="G733" s="338"/>
      <c r="H733" s="338"/>
      <c r="I733" s="338"/>
      <c r="J733" s="338"/>
      <c r="K733" s="338"/>
      <c r="L733" s="338"/>
      <c r="M733" s="338"/>
      <c r="N733" s="338"/>
      <c r="O733" s="338"/>
      <c r="P733" s="338"/>
      <c r="Q733" s="338"/>
      <c r="R733" s="338"/>
      <c r="S733" s="338"/>
      <c r="T733" s="338"/>
      <c r="U733" s="338"/>
      <c r="V733" s="338"/>
      <c r="W733" s="338"/>
      <c r="X733" s="338"/>
      <c r="Y733" s="338"/>
      <c r="Z733" s="338"/>
      <c r="AA733" s="338"/>
    </row>
    <row r="734" ht="15.75" customHeight="1">
      <c r="A734" s="338"/>
      <c r="B734" s="338"/>
      <c r="C734" s="338"/>
      <c r="D734" s="338"/>
      <c r="E734" s="338"/>
      <c r="F734" s="338"/>
      <c r="G734" s="338"/>
      <c r="H734" s="338"/>
      <c r="I734" s="338"/>
      <c r="J734" s="338"/>
      <c r="K734" s="338"/>
      <c r="L734" s="338"/>
      <c r="M734" s="338"/>
      <c r="N734" s="338"/>
      <c r="O734" s="338"/>
      <c r="P734" s="338"/>
      <c r="Q734" s="338"/>
      <c r="R734" s="338"/>
      <c r="S734" s="338"/>
      <c r="T734" s="338"/>
      <c r="U734" s="338"/>
      <c r="V734" s="338"/>
      <c r="W734" s="338"/>
      <c r="X734" s="338"/>
      <c r="Y734" s="338"/>
      <c r="Z734" s="338"/>
      <c r="AA734" s="338"/>
    </row>
    <row r="735" ht="15.75" customHeight="1">
      <c r="A735" s="338"/>
      <c r="B735" s="338"/>
      <c r="C735" s="338"/>
      <c r="D735" s="338"/>
      <c r="E735" s="338"/>
      <c r="F735" s="338"/>
      <c r="G735" s="338"/>
      <c r="H735" s="338"/>
      <c r="I735" s="338"/>
      <c r="J735" s="338"/>
      <c r="K735" s="338"/>
      <c r="L735" s="338"/>
      <c r="M735" s="338"/>
      <c r="N735" s="338"/>
      <c r="O735" s="338"/>
      <c r="P735" s="338"/>
      <c r="Q735" s="338"/>
      <c r="R735" s="338"/>
      <c r="S735" s="338"/>
      <c r="T735" s="338"/>
      <c r="U735" s="338"/>
      <c r="V735" s="338"/>
      <c r="W735" s="338"/>
      <c r="X735" s="338"/>
      <c r="Y735" s="338"/>
      <c r="Z735" s="338"/>
      <c r="AA735" s="338"/>
    </row>
    <row r="736" ht="15.75" customHeight="1">
      <c r="A736" s="338"/>
      <c r="B736" s="338"/>
      <c r="C736" s="338"/>
      <c r="D736" s="338"/>
      <c r="E736" s="338"/>
      <c r="F736" s="338"/>
      <c r="G736" s="338"/>
      <c r="H736" s="338"/>
      <c r="I736" s="338"/>
      <c r="J736" s="338"/>
      <c r="K736" s="338"/>
      <c r="L736" s="338"/>
      <c r="M736" s="338"/>
      <c r="N736" s="338"/>
      <c r="O736" s="338"/>
      <c r="P736" s="338"/>
      <c r="Q736" s="338"/>
      <c r="R736" s="338"/>
      <c r="S736" s="338"/>
      <c r="T736" s="338"/>
      <c r="U736" s="338"/>
      <c r="V736" s="338"/>
      <c r="W736" s="338"/>
      <c r="X736" s="338"/>
      <c r="Y736" s="338"/>
      <c r="Z736" s="338"/>
      <c r="AA736" s="338"/>
    </row>
    <row r="737" ht="15.75" customHeight="1">
      <c r="A737" s="338"/>
      <c r="B737" s="338"/>
      <c r="C737" s="338"/>
      <c r="D737" s="338"/>
      <c r="E737" s="338"/>
      <c r="F737" s="338"/>
      <c r="G737" s="338"/>
      <c r="H737" s="338"/>
      <c r="I737" s="338"/>
      <c r="J737" s="338"/>
      <c r="K737" s="338"/>
      <c r="L737" s="338"/>
      <c r="M737" s="338"/>
      <c r="N737" s="338"/>
      <c r="O737" s="338"/>
      <c r="P737" s="338"/>
      <c r="Q737" s="338"/>
      <c r="R737" s="338"/>
      <c r="S737" s="338"/>
      <c r="T737" s="338"/>
      <c r="U737" s="338"/>
      <c r="V737" s="338"/>
      <c r="W737" s="338"/>
      <c r="X737" s="338"/>
      <c r="Y737" s="338"/>
      <c r="Z737" s="338"/>
      <c r="AA737" s="338"/>
    </row>
    <row r="738" ht="15.75" customHeight="1">
      <c r="A738" s="338"/>
      <c r="B738" s="338"/>
      <c r="C738" s="338"/>
      <c r="D738" s="338"/>
      <c r="E738" s="338"/>
      <c r="F738" s="338"/>
      <c r="G738" s="338"/>
      <c r="H738" s="338"/>
      <c r="I738" s="338"/>
      <c r="J738" s="338"/>
      <c r="K738" s="338"/>
      <c r="L738" s="338"/>
      <c r="M738" s="338"/>
      <c r="N738" s="338"/>
      <c r="O738" s="338"/>
      <c r="P738" s="338"/>
      <c r="Q738" s="338"/>
      <c r="R738" s="338"/>
      <c r="S738" s="338"/>
      <c r="T738" s="338"/>
      <c r="U738" s="338"/>
      <c r="V738" s="338"/>
      <c r="W738" s="338"/>
      <c r="X738" s="338"/>
      <c r="Y738" s="338"/>
      <c r="Z738" s="338"/>
      <c r="AA738" s="338"/>
    </row>
    <row r="739" ht="15.75" customHeight="1">
      <c r="A739" s="338"/>
      <c r="B739" s="338"/>
      <c r="C739" s="338"/>
      <c r="D739" s="338"/>
      <c r="E739" s="338"/>
      <c r="F739" s="338"/>
      <c r="G739" s="338"/>
      <c r="H739" s="338"/>
      <c r="I739" s="338"/>
      <c r="J739" s="338"/>
      <c r="K739" s="338"/>
      <c r="L739" s="338"/>
      <c r="M739" s="338"/>
      <c r="N739" s="338"/>
      <c r="O739" s="338"/>
      <c r="P739" s="338"/>
      <c r="Q739" s="338"/>
      <c r="R739" s="338"/>
      <c r="S739" s="338"/>
      <c r="T739" s="338"/>
      <c r="U739" s="338"/>
      <c r="V739" s="338"/>
      <c r="W739" s="338"/>
      <c r="X739" s="338"/>
      <c r="Y739" s="338"/>
      <c r="Z739" s="338"/>
      <c r="AA739" s="338"/>
    </row>
    <row r="740" ht="15.75" customHeight="1">
      <c r="A740" s="338"/>
      <c r="B740" s="338"/>
      <c r="C740" s="338"/>
      <c r="D740" s="338"/>
      <c r="E740" s="338"/>
      <c r="F740" s="338"/>
      <c r="G740" s="338"/>
      <c r="H740" s="338"/>
      <c r="I740" s="338"/>
      <c r="J740" s="338"/>
      <c r="K740" s="338"/>
      <c r="L740" s="338"/>
      <c r="M740" s="338"/>
      <c r="N740" s="338"/>
      <c r="O740" s="338"/>
      <c r="P740" s="338"/>
      <c r="Q740" s="338"/>
      <c r="R740" s="338"/>
      <c r="S740" s="338"/>
      <c r="T740" s="338"/>
      <c r="U740" s="338"/>
      <c r="V740" s="338"/>
      <c r="W740" s="338"/>
      <c r="X740" s="338"/>
      <c r="Y740" s="338"/>
      <c r="Z740" s="338"/>
      <c r="AA740" s="338"/>
    </row>
    <row r="741" ht="15.75" customHeight="1">
      <c r="A741" s="338"/>
      <c r="B741" s="338"/>
      <c r="C741" s="338"/>
      <c r="D741" s="338"/>
      <c r="E741" s="338"/>
      <c r="F741" s="338"/>
      <c r="G741" s="338"/>
      <c r="H741" s="338"/>
      <c r="I741" s="338"/>
      <c r="J741" s="338"/>
      <c r="K741" s="338"/>
      <c r="L741" s="338"/>
      <c r="M741" s="338"/>
      <c r="N741" s="338"/>
      <c r="O741" s="338"/>
      <c r="P741" s="338"/>
      <c r="Q741" s="338"/>
      <c r="R741" s="338"/>
      <c r="S741" s="338"/>
      <c r="T741" s="338"/>
      <c r="U741" s="338"/>
      <c r="V741" s="338"/>
      <c r="W741" s="338"/>
      <c r="X741" s="338"/>
      <c r="Y741" s="338"/>
      <c r="Z741" s="338"/>
      <c r="AA741" s="338"/>
    </row>
    <row r="742" ht="15.75" customHeight="1">
      <c r="A742" s="338"/>
      <c r="B742" s="338"/>
      <c r="C742" s="338"/>
      <c r="D742" s="338"/>
      <c r="E742" s="338"/>
      <c r="F742" s="338"/>
      <c r="G742" s="338"/>
      <c r="H742" s="338"/>
      <c r="I742" s="338"/>
      <c r="J742" s="338"/>
      <c r="K742" s="338"/>
      <c r="L742" s="338"/>
      <c r="M742" s="338"/>
      <c r="N742" s="338"/>
      <c r="O742" s="338"/>
      <c r="P742" s="338"/>
      <c r="Q742" s="338"/>
      <c r="R742" s="338"/>
      <c r="S742" s="338"/>
      <c r="T742" s="338"/>
      <c r="U742" s="338"/>
      <c r="V742" s="338"/>
      <c r="W742" s="338"/>
      <c r="X742" s="338"/>
      <c r="Y742" s="338"/>
      <c r="Z742" s="338"/>
      <c r="AA742" s="338"/>
    </row>
    <row r="743" ht="15.75" customHeight="1">
      <c r="A743" s="338"/>
      <c r="B743" s="338"/>
      <c r="C743" s="338"/>
      <c r="D743" s="338"/>
      <c r="E743" s="338"/>
      <c r="F743" s="338"/>
      <c r="G743" s="338"/>
      <c r="H743" s="338"/>
      <c r="I743" s="338"/>
      <c r="J743" s="338"/>
      <c r="K743" s="338"/>
      <c r="L743" s="338"/>
      <c r="M743" s="338"/>
      <c r="N743" s="338"/>
      <c r="O743" s="338"/>
      <c r="P743" s="338"/>
      <c r="Q743" s="338"/>
      <c r="R743" s="338"/>
      <c r="S743" s="338"/>
      <c r="T743" s="338"/>
      <c r="U743" s="338"/>
      <c r="V743" s="338"/>
      <c r="W743" s="338"/>
      <c r="X743" s="338"/>
      <c r="Y743" s="338"/>
      <c r="Z743" s="338"/>
      <c r="AA743" s="338"/>
    </row>
    <row r="744" ht="15.75" customHeight="1">
      <c r="A744" s="338"/>
      <c r="B744" s="338"/>
      <c r="C744" s="338"/>
      <c r="D744" s="338"/>
      <c r="E744" s="338"/>
      <c r="F744" s="338"/>
      <c r="G744" s="338"/>
      <c r="H744" s="338"/>
      <c r="I744" s="338"/>
      <c r="J744" s="338"/>
      <c r="K744" s="338"/>
      <c r="L744" s="338"/>
      <c r="M744" s="338"/>
      <c r="N744" s="338"/>
      <c r="O744" s="338"/>
      <c r="P744" s="338"/>
      <c r="Q744" s="338"/>
      <c r="R744" s="338"/>
      <c r="S744" s="338"/>
      <c r="T744" s="338"/>
      <c r="U744" s="338"/>
      <c r="V744" s="338"/>
      <c r="W744" s="338"/>
      <c r="X744" s="338"/>
      <c r="Y744" s="338"/>
      <c r="Z744" s="338"/>
      <c r="AA744" s="338"/>
    </row>
    <row r="745" ht="15.75" customHeight="1">
      <c r="A745" s="338"/>
      <c r="B745" s="338"/>
      <c r="C745" s="338"/>
      <c r="D745" s="338"/>
      <c r="E745" s="338"/>
      <c r="F745" s="338"/>
      <c r="G745" s="338"/>
      <c r="H745" s="338"/>
      <c r="I745" s="338"/>
      <c r="J745" s="338"/>
      <c r="K745" s="338"/>
      <c r="L745" s="338"/>
      <c r="M745" s="338"/>
      <c r="N745" s="338"/>
      <c r="O745" s="338"/>
      <c r="P745" s="338"/>
      <c r="Q745" s="338"/>
      <c r="R745" s="338"/>
      <c r="S745" s="338"/>
      <c r="T745" s="338"/>
      <c r="U745" s="338"/>
      <c r="V745" s="338"/>
      <c r="W745" s="338"/>
      <c r="X745" s="338"/>
      <c r="Y745" s="338"/>
      <c r="Z745" s="338"/>
      <c r="AA745" s="338"/>
    </row>
    <row r="746" ht="15.75" customHeight="1">
      <c r="A746" s="338"/>
      <c r="B746" s="338"/>
      <c r="C746" s="338"/>
      <c r="D746" s="338"/>
      <c r="E746" s="338"/>
      <c r="F746" s="338"/>
      <c r="G746" s="338"/>
      <c r="H746" s="338"/>
      <c r="I746" s="338"/>
      <c r="J746" s="338"/>
      <c r="K746" s="338"/>
      <c r="L746" s="338"/>
      <c r="M746" s="338"/>
      <c r="N746" s="338"/>
      <c r="O746" s="338"/>
      <c r="P746" s="338"/>
      <c r="Q746" s="338"/>
      <c r="R746" s="338"/>
      <c r="S746" s="338"/>
      <c r="T746" s="338"/>
      <c r="U746" s="338"/>
      <c r="V746" s="338"/>
      <c r="W746" s="338"/>
      <c r="X746" s="338"/>
      <c r="Y746" s="338"/>
      <c r="Z746" s="338"/>
      <c r="AA746" s="338"/>
    </row>
    <row r="747" ht="15.75" customHeight="1">
      <c r="A747" s="338"/>
      <c r="B747" s="338"/>
      <c r="C747" s="338"/>
      <c r="D747" s="338"/>
      <c r="E747" s="338"/>
      <c r="F747" s="338"/>
      <c r="G747" s="338"/>
      <c r="H747" s="338"/>
      <c r="I747" s="338"/>
      <c r="J747" s="338"/>
      <c r="K747" s="338"/>
      <c r="L747" s="338"/>
      <c r="M747" s="338"/>
      <c r="N747" s="338"/>
      <c r="O747" s="338"/>
      <c r="P747" s="338"/>
      <c r="Q747" s="338"/>
      <c r="R747" s="338"/>
      <c r="S747" s="338"/>
      <c r="T747" s="338"/>
      <c r="U747" s="338"/>
      <c r="V747" s="338"/>
      <c r="W747" s="338"/>
      <c r="X747" s="338"/>
      <c r="Y747" s="338"/>
      <c r="Z747" s="338"/>
      <c r="AA747" s="338"/>
    </row>
    <row r="748" ht="15.75" customHeight="1">
      <c r="A748" s="338"/>
      <c r="B748" s="338"/>
      <c r="C748" s="338"/>
      <c r="D748" s="338"/>
      <c r="E748" s="338"/>
      <c r="F748" s="338"/>
      <c r="G748" s="338"/>
      <c r="H748" s="338"/>
      <c r="I748" s="338"/>
      <c r="J748" s="338"/>
      <c r="K748" s="338"/>
      <c r="L748" s="338"/>
      <c r="M748" s="338"/>
      <c r="N748" s="338"/>
      <c r="O748" s="338"/>
      <c r="P748" s="338"/>
      <c r="Q748" s="338"/>
      <c r="R748" s="338"/>
      <c r="S748" s="338"/>
      <c r="T748" s="338"/>
      <c r="U748" s="338"/>
      <c r="V748" s="338"/>
      <c r="W748" s="338"/>
      <c r="X748" s="338"/>
      <c r="Y748" s="338"/>
      <c r="Z748" s="338"/>
      <c r="AA748" s="338"/>
    </row>
    <row r="749" ht="15.75" customHeight="1">
      <c r="A749" s="338"/>
      <c r="B749" s="338"/>
      <c r="C749" s="338"/>
      <c r="D749" s="338"/>
      <c r="E749" s="338"/>
      <c r="F749" s="338"/>
      <c r="G749" s="338"/>
      <c r="H749" s="338"/>
      <c r="I749" s="338"/>
      <c r="J749" s="338"/>
      <c r="K749" s="338"/>
      <c r="L749" s="338"/>
      <c r="M749" s="338"/>
      <c r="N749" s="338"/>
      <c r="O749" s="338"/>
      <c r="P749" s="338"/>
      <c r="Q749" s="338"/>
      <c r="R749" s="338"/>
      <c r="S749" s="338"/>
      <c r="T749" s="338"/>
      <c r="U749" s="338"/>
      <c r="V749" s="338"/>
      <c r="W749" s="338"/>
      <c r="X749" s="338"/>
      <c r="Y749" s="338"/>
      <c r="Z749" s="338"/>
      <c r="AA749" s="338"/>
    </row>
    <row r="750" ht="15.75" customHeight="1">
      <c r="A750" s="338"/>
      <c r="B750" s="338"/>
      <c r="C750" s="338"/>
      <c r="D750" s="338"/>
      <c r="E750" s="338"/>
      <c r="F750" s="338"/>
      <c r="G750" s="338"/>
      <c r="H750" s="338"/>
      <c r="I750" s="338"/>
      <c r="J750" s="338"/>
      <c r="K750" s="338"/>
      <c r="L750" s="338"/>
      <c r="M750" s="338"/>
      <c r="N750" s="338"/>
      <c r="O750" s="338"/>
      <c r="P750" s="338"/>
      <c r="Q750" s="338"/>
      <c r="R750" s="338"/>
      <c r="S750" s="338"/>
      <c r="T750" s="338"/>
      <c r="U750" s="338"/>
      <c r="V750" s="338"/>
      <c r="W750" s="338"/>
      <c r="X750" s="338"/>
      <c r="Y750" s="338"/>
      <c r="Z750" s="338"/>
      <c r="AA750" s="338"/>
    </row>
    <row r="751" ht="15.75" customHeight="1">
      <c r="A751" s="338"/>
      <c r="B751" s="338"/>
      <c r="C751" s="338"/>
      <c r="D751" s="338"/>
      <c r="E751" s="338"/>
      <c r="F751" s="338"/>
      <c r="G751" s="338"/>
      <c r="H751" s="338"/>
      <c r="I751" s="338"/>
      <c r="J751" s="338"/>
      <c r="K751" s="338"/>
      <c r="L751" s="338"/>
      <c r="M751" s="338"/>
      <c r="N751" s="338"/>
      <c r="O751" s="338"/>
      <c r="P751" s="338"/>
      <c r="Q751" s="338"/>
      <c r="R751" s="338"/>
      <c r="S751" s="338"/>
      <c r="T751" s="338"/>
      <c r="U751" s="338"/>
      <c r="V751" s="338"/>
      <c r="W751" s="338"/>
      <c r="X751" s="338"/>
      <c r="Y751" s="338"/>
      <c r="Z751" s="338"/>
      <c r="AA751" s="338"/>
    </row>
    <row r="752" ht="15.75" customHeight="1">
      <c r="A752" s="338"/>
      <c r="B752" s="338"/>
      <c r="C752" s="338"/>
      <c r="D752" s="338"/>
      <c r="E752" s="338"/>
      <c r="F752" s="338"/>
      <c r="G752" s="338"/>
      <c r="H752" s="338"/>
      <c r="I752" s="338"/>
      <c r="J752" s="338"/>
      <c r="K752" s="338"/>
      <c r="L752" s="338"/>
      <c r="M752" s="338"/>
      <c r="N752" s="338"/>
      <c r="O752" s="338"/>
      <c r="P752" s="338"/>
      <c r="Q752" s="338"/>
      <c r="R752" s="338"/>
      <c r="S752" s="338"/>
      <c r="T752" s="338"/>
      <c r="U752" s="338"/>
      <c r="V752" s="338"/>
      <c r="W752" s="338"/>
      <c r="X752" s="338"/>
      <c r="Y752" s="338"/>
      <c r="Z752" s="338"/>
      <c r="AA752" s="338"/>
    </row>
    <row r="753" ht="15.75" customHeight="1">
      <c r="A753" s="338"/>
      <c r="B753" s="338"/>
      <c r="C753" s="338"/>
      <c r="D753" s="338"/>
      <c r="E753" s="338"/>
      <c r="F753" s="338"/>
      <c r="G753" s="338"/>
      <c r="H753" s="338"/>
      <c r="I753" s="338"/>
      <c r="J753" s="338"/>
      <c r="K753" s="338"/>
      <c r="L753" s="338"/>
      <c r="M753" s="338"/>
      <c r="N753" s="338"/>
      <c r="O753" s="338"/>
      <c r="P753" s="338"/>
      <c r="Q753" s="338"/>
      <c r="R753" s="338"/>
      <c r="S753" s="338"/>
      <c r="T753" s="338"/>
      <c r="U753" s="338"/>
      <c r="V753" s="338"/>
      <c r="W753" s="338"/>
      <c r="X753" s="338"/>
      <c r="Y753" s="338"/>
      <c r="Z753" s="338"/>
      <c r="AA753" s="338"/>
    </row>
    <row r="754" ht="15.75" customHeight="1">
      <c r="A754" s="338"/>
      <c r="B754" s="338"/>
      <c r="C754" s="338"/>
      <c r="D754" s="338"/>
      <c r="E754" s="338"/>
      <c r="F754" s="338"/>
      <c r="G754" s="338"/>
      <c r="H754" s="338"/>
      <c r="I754" s="338"/>
      <c r="J754" s="338"/>
      <c r="K754" s="338"/>
      <c r="L754" s="338"/>
      <c r="M754" s="338"/>
      <c r="N754" s="338"/>
      <c r="O754" s="338"/>
      <c r="P754" s="338"/>
      <c r="Q754" s="338"/>
      <c r="R754" s="338"/>
      <c r="S754" s="338"/>
      <c r="T754" s="338"/>
      <c r="U754" s="338"/>
      <c r="V754" s="338"/>
      <c r="W754" s="338"/>
      <c r="X754" s="338"/>
      <c r="Y754" s="338"/>
      <c r="Z754" s="338"/>
      <c r="AA754" s="338"/>
    </row>
    <row r="755" ht="15.75" customHeight="1">
      <c r="A755" s="338"/>
      <c r="B755" s="338"/>
      <c r="C755" s="338"/>
      <c r="D755" s="338"/>
      <c r="E755" s="338"/>
      <c r="F755" s="338"/>
      <c r="G755" s="338"/>
      <c r="H755" s="338"/>
      <c r="I755" s="338"/>
      <c r="J755" s="338"/>
      <c r="K755" s="338"/>
      <c r="L755" s="338"/>
      <c r="M755" s="338"/>
      <c r="N755" s="338"/>
      <c r="O755" s="338"/>
      <c r="P755" s="338"/>
      <c r="Q755" s="338"/>
      <c r="R755" s="338"/>
      <c r="S755" s="338"/>
      <c r="T755" s="338"/>
      <c r="U755" s="338"/>
      <c r="V755" s="338"/>
      <c r="W755" s="338"/>
      <c r="X755" s="338"/>
      <c r="Y755" s="338"/>
      <c r="Z755" s="338"/>
      <c r="AA755" s="338"/>
    </row>
    <row r="756" ht="15.75" customHeight="1">
      <c r="A756" s="338"/>
      <c r="B756" s="338"/>
      <c r="C756" s="338"/>
      <c r="D756" s="338"/>
      <c r="E756" s="338"/>
      <c r="F756" s="338"/>
      <c r="G756" s="338"/>
      <c r="H756" s="338"/>
      <c r="I756" s="338"/>
      <c r="J756" s="338"/>
      <c r="K756" s="338"/>
      <c r="L756" s="338"/>
      <c r="M756" s="338"/>
      <c r="N756" s="338"/>
      <c r="O756" s="338"/>
      <c r="P756" s="338"/>
      <c r="Q756" s="338"/>
      <c r="R756" s="338"/>
      <c r="S756" s="338"/>
      <c r="T756" s="338"/>
      <c r="U756" s="338"/>
      <c r="V756" s="338"/>
      <c r="W756" s="338"/>
      <c r="X756" s="338"/>
      <c r="Y756" s="338"/>
      <c r="Z756" s="338"/>
      <c r="AA756" s="338"/>
    </row>
    <row r="757" ht="15.75" customHeight="1">
      <c r="A757" s="338"/>
      <c r="B757" s="338"/>
      <c r="C757" s="338"/>
      <c r="D757" s="338"/>
      <c r="E757" s="338"/>
      <c r="F757" s="338"/>
      <c r="G757" s="338"/>
      <c r="H757" s="338"/>
      <c r="I757" s="338"/>
      <c r="J757" s="338"/>
      <c r="K757" s="338"/>
      <c r="L757" s="338"/>
      <c r="M757" s="338"/>
      <c r="N757" s="338"/>
      <c r="O757" s="338"/>
      <c r="P757" s="338"/>
      <c r="Q757" s="338"/>
      <c r="R757" s="338"/>
      <c r="S757" s="338"/>
      <c r="T757" s="338"/>
      <c r="U757" s="338"/>
      <c r="V757" s="338"/>
      <c r="W757" s="338"/>
      <c r="X757" s="338"/>
      <c r="Y757" s="338"/>
      <c r="Z757" s="338"/>
      <c r="AA757" s="338"/>
    </row>
    <row r="758" ht="15.75" customHeight="1">
      <c r="A758" s="338"/>
      <c r="B758" s="338"/>
      <c r="C758" s="338"/>
      <c r="D758" s="338"/>
      <c r="E758" s="338"/>
      <c r="F758" s="338"/>
      <c r="G758" s="338"/>
      <c r="H758" s="338"/>
      <c r="I758" s="338"/>
      <c r="J758" s="338"/>
      <c r="K758" s="338"/>
      <c r="L758" s="338"/>
      <c r="M758" s="338"/>
      <c r="N758" s="338"/>
      <c r="O758" s="338"/>
      <c r="P758" s="338"/>
      <c r="Q758" s="338"/>
      <c r="R758" s="338"/>
      <c r="S758" s="338"/>
      <c r="T758" s="338"/>
      <c r="U758" s="338"/>
      <c r="V758" s="338"/>
      <c r="W758" s="338"/>
      <c r="X758" s="338"/>
      <c r="Y758" s="338"/>
      <c r="Z758" s="338"/>
      <c r="AA758" s="338"/>
    </row>
    <row r="759" ht="15.75" customHeight="1">
      <c r="A759" s="338"/>
      <c r="B759" s="338"/>
      <c r="C759" s="338"/>
      <c r="D759" s="338"/>
      <c r="E759" s="338"/>
      <c r="F759" s="338"/>
      <c r="G759" s="338"/>
      <c r="H759" s="338"/>
      <c r="I759" s="338"/>
      <c r="J759" s="338"/>
      <c r="K759" s="338"/>
      <c r="L759" s="338"/>
      <c r="M759" s="338"/>
      <c r="N759" s="338"/>
      <c r="O759" s="338"/>
      <c r="P759" s="338"/>
      <c r="Q759" s="338"/>
      <c r="R759" s="338"/>
      <c r="S759" s="338"/>
      <c r="T759" s="338"/>
      <c r="U759" s="338"/>
      <c r="V759" s="338"/>
      <c r="W759" s="338"/>
      <c r="X759" s="338"/>
      <c r="Y759" s="338"/>
      <c r="Z759" s="338"/>
      <c r="AA759" s="338"/>
    </row>
    <row r="760" ht="15.75" customHeight="1">
      <c r="A760" s="338"/>
      <c r="B760" s="338"/>
      <c r="C760" s="338"/>
      <c r="D760" s="338"/>
      <c r="E760" s="338"/>
      <c r="F760" s="338"/>
      <c r="G760" s="338"/>
      <c r="H760" s="338"/>
      <c r="I760" s="338"/>
      <c r="J760" s="338"/>
      <c r="K760" s="338"/>
      <c r="L760" s="338"/>
      <c r="M760" s="338"/>
      <c r="N760" s="338"/>
      <c r="O760" s="338"/>
      <c r="P760" s="338"/>
      <c r="Q760" s="338"/>
      <c r="R760" s="338"/>
      <c r="S760" s="338"/>
      <c r="T760" s="338"/>
      <c r="U760" s="338"/>
      <c r="V760" s="338"/>
      <c r="W760" s="338"/>
      <c r="X760" s="338"/>
      <c r="Y760" s="338"/>
      <c r="Z760" s="338"/>
      <c r="AA760" s="338"/>
    </row>
    <row r="761" ht="15.75" customHeight="1">
      <c r="A761" s="338"/>
      <c r="B761" s="338"/>
      <c r="C761" s="338"/>
      <c r="D761" s="338"/>
      <c r="E761" s="338"/>
      <c r="F761" s="338"/>
      <c r="G761" s="338"/>
      <c r="H761" s="338"/>
      <c r="I761" s="338"/>
      <c r="J761" s="338"/>
      <c r="K761" s="338"/>
      <c r="L761" s="338"/>
      <c r="M761" s="338"/>
      <c r="N761" s="338"/>
      <c r="O761" s="338"/>
      <c r="P761" s="338"/>
      <c r="Q761" s="338"/>
      <c r="R761" s="338"/>
      <c r="S761" s="338"/>
      <c r="T761" s="338"/>
      <c r="U761" s="338"/>
      <c r="V761" s="338"/>
      <c r="W761" s="338"/>
      <c r="X761" s="338"/>
      <c r="Y761" s="338"/>
      <c r="Z761" s="338"/>
      <c r="AA761" s="338"/>
    </row>
    <row r="762" ht="15.75" customHeight="1">
      <c r="A762" s="338"/>
      <c r="B762" s="338"/>
      <c r="C762" s="338"/>
      <c r="D762" s="338"/>
      <c r="E762" s="338"/>
      <c r="F762" s="338"/>
      <c r="G762" s="338"/>
      <c r="H762" s="338"/>
      <c r="I762" s="338"/>
      <c r="J762" s="338"/>
      <c r="K762" s="338"/>
      <c r="L762" s="338"/>
      <c r="M762" s="338"/>
      <c r="N762" s="338"/>
      <c r="O762" s="338"/>
      <c r="P762" s="338"/>
      <c r="Q762" s="338"/>
      <c r="R762" s="338"/>
      <c r="S762" s="338"/>
      <c r="T762" s="338"/>
      <c r="U762" s="338"/>
      <c r="V762" s="338"/>
      <c r="W762" s="338"/>
      <c r="X762" s="338"/>
      <c r="Y762" s="338"/>
      <c r="Z762" s="338"/>
      <c r="AA762" s="338"/>
    </row>
    <row r="763" ht="15.75" customHeight="1">
      <c r="A763" s="338"/>
      <c r="B763" s="338"/>
      <c r="C763" s="338"/>
      <c r="D763" s="338"/>
      <c r="E763" s="338"/>
      <c r="F763" s="338"/>
      <c r="G763" s="338"/>
      <c r="H763" s="338"/>
      <c r="I763" s="338"/>
      <c r="J763" s="338"/>
      <c r="K763" s="338"/>
      <c r="L763" s="338"/>
      <c r="M763" s="338"/>
      <c r="N763" s="338"/>
      <c r="O763" s="338"/>
      <c r="P763" s="338"/>
      <c r="Q763" s="338"/>
      <c r="R763" s="338"/>
      <c r="S763" s="338"/>
      <c r="T763" s="338"/>
      <c r="U763" s="338"/>
      <c r="V763" s="338"/>
      <c r="W763" s="338"/>
      <c r="X763" s="338"/>
      <c r="Y763" s="338"/>
      <c r="Z763" s="338"/>
      <c r="AA763" s="338"/>
    </row>
    <row r="764" ht="15.75" customHeight="1">
      <c r="A764" s="338"/>
      <c r="B764" s="338"/>
      <c r="C764" s="338"/>
      <c r="D764" s="338"/>
      <c r="E764" s="338"/>
      <c r="F764" s="338"/>
      <c r="G764" s="338"/>
      <c r="H764" s="338"/>
      <c r="I764" s="338"/>
      <c r="J764" s="338"/>
      <c r="K764" s="338"/>
      <c r="L764" s="338"/>
      <c r="M764" s="338"/>
      <c r="N764" s="338"/>
      <c r="O764" s="338"/>
      <c r="P764" s="338"/>
      <c r="Q764" s="338"/>
      <c r="R764" s="338"/>
      <c r="S764" s="338"/>
      <c r="T764" s="338"/>
      <c r="U764" s="338"/>
      <c r="V764" s="338"/>
      <c r="W764" s="338"/>
      <c r="X764" s="338"/>
      <c r="Y764" s="338"/>
      <c r="Z764" s="338"/>
      <c r="AA764" s="338"/>
    </row>
    <row r="765" ht="15.75" customHeight="1">
      <c r="A765" s="338"/>
      <c r="B765" s="338"/>
      <c r="C765" s="338"/>
      <c r="D765" s="338"/>
      <c r="E765" s="338"/>
      <c r="F765" s="338"/>
      <c r="G765" s="338"/>
      <c r="H765" s="338"/>
      <c r="I765" s="338"/>
      <c r="J765" s="338"/>
      <c r="K765" s="338"/>
      <c r="L765" s="338"/>
      <c r="M765" s="338"/>
      <c r="N765" s="338"/>
      <c r="O765" s="338"/>
      <c r="P765" s="338"/>
      <c r="Q765" s="338"/>
      <c r="R765" s="338"/>
      <c r="S765" s="338"/>
      <c r="T765" s="338"/>
      <c r="U765" s="338"/>
      <c r="V765" s="338"/>
      <c r="W765" s="338"/>
      <c r="X765" s="338"/>
      <c r="Y765" s="338"/>
      <c r="Z765" s="338"/>
      <c r="AA765" s="338"/>
    </row>
    <row r="766" ht="15.75" customHeight="1">
      <c r="A766" s="338"/>
      <c r="B766" s="338"/>
      <c r="C766" s="338"/>
      <c r="D766" s="338"/>
      <c r="E766" s="338"/>
      <c r="F766" s="338"/>
      <c r="G766" s="338"/>
      <c r="H766" s="338"/>
      <c r="I766" s="338"/>
      <c r="J766" s="338"/>
      <c r="K766" s="338"/>
      <c r="L766" s="338"/>
      <c r="M766" s="338"/>
      <c r="N766" s="338"/>
      <c r="O766" s="338"/>
      <c r="P766" s="338"/>
      <c r="Q766" s="338"/>
      <c r="R766" s="338"/>
      <c r="S766" s="338"/>
      <c r="T766" s="338"/>
      <c r="U766" s="338"/>
      <c r="V766" s="338"/>
      <c r="W766" s="338"/>
      <c r="X766" s="338"/>
      <c r="Y766" s="338"/>
      <c r="Z766" s="338"/>
      <c r="AA766" s="338"/>
    </row>
    <row r="767" ht="15.75" customHeight="1">
      <c r="A767" s="338"/>
      <c r="B767" s="338"/>
      <c r="C767" s="338"/>
      <c r="D767" s="338"/>
      <c r="E767" s="338"/>
      <c r="F767" s="338"/>
      <c r="G767" s="338"/>
      <c r="H767" s="338"/>
      <c r="I767" s="338"/>
      <c r="J767" s="338"/>
      <c r="K767" s="338"/>
      <c r="L767" s="338"/>
      <c r="M767" s="338"/>
      <c r="N767" s="338"/>
      <c r="O767" s="338"/>
      <c r="P767" s="338"/>
      <c r="Q767" s="338"/>
      <c r="R767" s="338"/>
      <c r="S767" s="338"/>
      <c r="T767" s="338"/>
      <c r="U767" s="338"/>
      <c r="V767" s="338"/>
      <c r="W767" s="338"/>
      <c r="X767" s="338"/>
      <c r="Y767" s="338"/>
      <c r="Z767" s="338"/>
      <c r="AA767" s="338"/>
    </row>
    <row r="768" ht="15.75" customHeight="1">
      <c r="A768" s="338"/>
      <c r="B768" s="338"/>
      <c r="C768" s="338"/>
      <c r="D768" s="338"/>
      <c r="E768" s="338"/>
      <c r="F768" s="338"/>
      <c r="G768" s="338"/>
      <c r="H768" s="338"/>
      <c r="I768" s="338"/>
      <c r="J768" s="338"/>
      <c r="K768" s="338"/>
      <c r="L768" s="338"/>
      <c r="M768" s="338"/>
      <c r="N768" s="338"/>
      <c r="O768" s="338"/>
      <c r="P768" s="338"/>
      <c r="Q768" s="338"/>
      <c r="R768" s="338"/>
      <c r="S768" s="338"/>
      <c r="T768" s="338"/>
      <c r="U768" s="338"/>
      <c r="V768" s="338"/>
      <c r="W768" s="338"/>
      <c r="X768" s="338"/>
      <c r="Y768" s="338"/>
      <c r="Z768" s="338"/>
      <c r="AA768" s="338"/>
    </row>
    <row r="769" ht="15.75" customHeight="1">
      <c r="A769" s="338"/>
      <c r="B769" s="338"/>
      <c r="C769" s="338"/>
      <c r="D769" s="338"/>
      <c r="E769" s="338"/>
      <c r="F769" s="338"/>
      <c r="G769" s="338"/>
      <c r="H769" s="338"/>
      <c r="I769" s="338"/>
      <c r="J769" s="338"/>
      <c r="K769" s="338"/>
      <c r="L769" s="338"/>
      <c r="M769" s="338"/>
      <c r="N769" s="338"/>
      <c r="O769" s="338"/>
      <c r="P769" s="338"/>
      <c r="Q769" s="338"/>
      <c r="R769" s="338"/>
      <c r="S769" s="338"/>
      <c r="T769" s="338"/>
      <c r="U769" s="338"/>
      <c r="V769" s="338"/>
      <c r="W769" s="338"/>
      <c r="X769" s="338"/>
      <c r="Y769" s="338"/>
      <c r="Z769" s="338"/>
      <c r="AA769" s="338"/>
    </row>
    <row r="770" ht="15.75" customHeight="1">
      <c r="A770" s="338"/>
      <c r="B770" s="338"/>
      <c r="C770" s="338"/>
      <c r="D770" s="338"/>
      <c r="E770" s="338"/>
      <c r="F770" s="338"/>
      <c r="G770" s="338"/>
      <c r="H770" s="338"/>
      <c r="I770" s="338"/>
      <c r="J770" s="338"/>
      <c r="K770" s="338"/>
      <c r="L770" s="338"/>
      <c r="M770" s="338"/>
      <c r="N770" s="338"/>
      <c r="O770" s="338"/>
      <c r="P770" s="338"/>
      <c r="Q770" s="338"/>
      <c r="R770" s="338"/>
      <c r="S770" s="338"/>
      <c r="T770" s="338"/>
      <c r="U770" s="338"/>
      <c r="V770" s="338"/>
      <c r="W770" s="338"/>
      <c r="X770" s="338"/>
      <c r="Y770" s="338"/>
      <c r="Z770" s="338"/>
      <c r="AA770" s="338"/>
    </row>
    <row r="771" ht="15.75" customHeight="1">
      <c r="A771" s="338"/>
      <c r="B771" s="338"/>
      <c r="C771" s="338"/>
      <c r="D771" s="338"/>
      <c r="E771" s="338"/>
      <c r="F771" s="338"/>
      <c r="G771" s="338"/>
      <c r="H771" s="338"/>
      <c r="I771" s="338"/>
      <c r="J771" s="338"/>
      <c r="K771" s="338"/>
      <c r="L771" s="338"/>
      <c r="M771" s="338"/>
      <c r="N771" s="338"/>
      <c r="O771" s="338"/>
      <c r="P771" s="338"/>
      <c r="Q771" s="338"/>
      <c r="R771" s="338"/>
      <c r="S771" s="338"/>
      <c r="T771" s="338"/>
      <c r="U771" s="338"/>
      <c r="V771" s="338"/>
      <c r="W771" s="338"/>
      <c r="X771" s="338"/>
      <c r="Y771" s="338"/>
      <c r="Z771" s="338"/>
      <c r="AA771" s="338"/>
    </row>
    <row r="772" ht="15.75" customHeight="1">
      <c r="A772" s="338"/>
      <c r="B772" s="338"/>
      <c r="C772" s="338"/>
      <c r="D772" s="338"/>
      <c r="E772" s="338"/>
      <c r="F772" s="338"/>
      <c r="G772" s="338"/>
      <c r="H772" s="338"/>
      <c r="I772" s="338"/>
      <c r="J772" s="338"/>
      <c r="K772" s="338"/>
      <c r="L772" s="338"/>
      <c r="M772" s="338"/>
      <c r="N772" s="338"/>
      <c r="O772" s="338"/>
      <c r="P772" s="338"/>
      <c r="Q772" s="338"/>
      <c r="R772" s="338"/>
      <c r="S772" s="338"/>
      <c r="T772" s="338"/>
      <c r="U772" s="338"/>
      <c r="V772" s="338"/>
      <c r="W772" s="338"/>
      <c r="X772" s="338"/>
      <c r="Y772" s="338"/>
      <c r="Z772" s="338"/>
      <c r="AA772" s="338"/>
    </row>
    <row r="773" ht="15.75" customHeight="1">
      <c r="A773" s="338"/>
      <c r="B773" s="338"/>
      <c r="C773" s="338"/>
      <c r="D773" s="338"/>
      <c r="E773" s="338"/>
      <c r="F773" s="338"/>
      <c r="G773" s="338"/>
      <c r="H773" s="338"/>
      <c r="I773" s="338"/>
      <c r="J773" s="338"/>
      <c r="K773" s="338"/>
      <c r="L773" s="338"/>
      <c r="M773" s="338"/>
      <c r="N773" s="338"/>
      <c r="O773" s="338"/>
      <c r="P773" s="338"/>
      <c r="Q773" s="338"/>
      <c r="R773" s="338"/>
      <c r="S773" s="338"/>
      <c r="T773" s="338"/>
      <c r="U773" s="338"/>
      <c r="V773" s="338"/>
      <c r="W773" s="338"/>
      <c r="X773" s="338"/>
      <c r="Y773" s="338"/>
      <c r="Z773" s="338"/>
      <c r="AA773" s="338"/>
    </row>
    <row r="774" ht="15.75" customHeight="1">
      <c r="A774" s="338"/>
      <c r="B774" s="338"/>
      <c r="C774" s="338"/>
      <c r="D774" s="338"/>
      <c r="E774" s="338"/>
      <c r="F774" s="338"/>
      <c r="G774" s="338"/>
      <c r="H774" s="338"/>
      <c r="I774" s="338"/>
      <c r="J774" s="338"/>
      <c r="K774" s="338"/>
      <c r="L774" s="338"/>
      <c r="M774" s="338"/>
      <c r="N774" s="338"/>
      <c r="O774" s="338"/>
      <c r="P774" s="338"/>
      <c r="Q774" s="338"/>
      <c r="R774" s="338"/>
      <c r="S774" s="338"/>
      <c r="T774" s="338"/>
      <c r="U774" s="338"/>
      <c r="V774" s="338"/>
      <c r="W774" s="338"/>
      <c r="X774" s="338"/>
      <c r="Y774" s="338"/>
      <c r="Z774" s="338"/>
      <c r="AA774" s="338"/>
    </row>
    <row r="775" ht="15.75" customHeight="1">
      <c r="A775" s="338"/>
      <c r="B775" s="338"/>
      <c r="C775" s="338"/>
      <c r="D775" s="338"/>
      <c r="E775" s="338"/>
      <c r="F775" s="338"/>
      <c r="G775" s="338"/>
      <c r="H775" s="338"/>
      <c r="I775" s="338"/>
      <c r="J775" s="338"/>
      <c r="K775" s="338"/>
      <c r="L775" s="338"/>
      <c r="M775" s="338"/>
      <c r="N775" s="338"/>
      <c r="O775" s="338"/>
      <c r="P775" s="338"/>
      <c r="Q775" s="338"/>
      <c r="R775" s="338"/>
      <c r="S775" s="338"/>
      <c r="T775" s="338"/>
      <c r="U775" s="338"/>
      <c r="V775" s="338"/>
      <c r="W775" s="338"/>
      <c r="X775" s="338"/>
      <c r="Y775" s="338"/>
      <c r="Z775" s="338"/>
      <c r="AA775" s="338"/>
    </row>
    <row r="776" ht="15.75" customHeight="1">
      <c r="A776" s="338"/>
      <c r="B776" s="338"/>
      <c r="C776" s="338"/>
      <c r="D776" s="338"/>
      <c r="E776" s="338"/>
      <c r="F776" s="338"/>
      <c r="G776" s="338"/>
      <c r="H776" s="338"/>
      <c r="I776" s="338"/>
      <c r="J776" s="338"/>
      <c r="K776" s="338"/>
      <c r="L776" s="338"/>
      <c r="M776" s="338"/>
      <c r="N776" s="338"/>
      <c r="O776" s="338"/>
      <c r="P776" s="338"/>
      <c r="Q776" s="338"/>
      <c r="R776" s="338"/>
      <c r="S776" s="338"/>
      <c r="T776" s="338"/>
      <c r="U776" s="338"/>
      <c r="V776" s="338"/>
      <c r="W776" s="338"/>
      <c r="X776" s="338"/>
      <c r="Y776" s="338"/>
      <c r="Z776" s="338"/>
      <c r="AA776" s="338"/>
    </row>
    <row r="777" ht="15.75" customHeight="1">
      <c r="A777" s="338"/>
      <c r="B777" s="338"/>
      <c r="C777" s="338"/>
      <c r="D777" s="338"/>
      <c r="E777" s="338"/>
      <c r="F777" s="338"/>
      <c r="G777" s="338"/>
      <c r="H777" s="338"/>
      <c r="I777" s="338"/>
      <c r="J777" s="338"/>
      <c r="K777" s="338"/>
      <c r="L777" s="338"/>
      <c r="M777" s="338"/>
      <c r="N777" s="338"/>
      <c r="O777" s="338"/>
      <c r="P777" s="338"/>
      <c r="Q777" s="338"/>
      <c r="R777" s="338"/>
      <c r="S777" s="338"/>
      <c r="T777" s="338"/>
      <c r="U777" s="338"/>
      <c r="V777" s="338"/>
      <c r="W777" s="338"/>
      <c r="X777" s="338"/>
      <c r="Y777" s="338"/>
      <c r="Z777" s="338"/>
      <c r="AA777" s="338"/>
    </row>
    <row r="778" ht="15.75" customHeight="1">
      <c r="A778" s="338"/>
      <c r="B778" s="338"/>
      <c r="C778" s="338"/>
      <c r="D778" s="338"/>
      <c r="E778" s="338"/>
      <c r="F778" s="338"/>
      <c r="G778" s="338"/>
      <c r="H778" s="338"/>
      <c r="I778" s="338"/>
      <c r="J778" s="338"/>
      <c r="K778" s="338"/>
      <c r="L778" s="338"/>
      <c r="M778" s="338"/>
      <c r="N778" s="338"/>
      <c r="O778" s="338"/>
      <c r="P778" s="338"/>
      <c r="Q778" s="338"/>
      <c r="R778" s="338"/>
      <c r="S778" s="338"/>
      <c r="T778" s="338"/>
      <c r="U778" s="338"/>
      <c r="V778" s="338"/>
      <c r="W778" s="338"/>
      <c r="X778" s="338"/>
      <c r="Y778" s="338"/>
      <c r="Z778" s="338"/>
      <c r="AA778" s="338"/>
    </row>
    <row r="779" ht="15.75" customHeight="1">
      <c r="A779" s="338"/>
      <c r="B779" s="338"/>
      <c r="C779" s="338"/>
      <c r="D779" s="338"/>
      <c r="E779" s="338"/>
      <c r="F779" s="338"/>
      <c r="G779" s="338"/>
      <c r="H779" s="338"/>
      <c r="I779" s="338"/>
      <c r="J779" s="338"/>
      <c r="K779" s="338"/>
      <c r="L779" s="338"/>
      <c r="M779" s="338"/>
      <c r="N779" s="338"/>
      <c r="O779" s="338"/>
      <c r="P779" s="338"/>
      <c r="Q779" s="338"/>
      <c r="R779" s="338"/>
      <c r="S779" s="338"/>
      <c r="T779" s="338"/>
      <c r="U779" s="338"/>
      <c r="V779" s="338"/>
      <c r="W779" s="338"/>
      <c r="X779" s="338"/>
      <c r="Y779" s="338"/>
      <c r="Z779" s="338"/>
      <c r="AA779" s="338"/>
    </row>
    <row r="780" ht="15.75" customHeight="1">
      <c r="A780" s="338"/>
      <c r="B780" s="338"/>
      <c r="C780" s="338"/>
      <c r="D780" s="338"/>
      <c r="E780" s="338"/>
      <c r="F780" s="338"/>
      <c r="G780" s="338"/>
      <c r="H780" s="338"/>
      <c r="I780" s="338"/>
      <c r="J780" s="338"/>
      <c r="K780" s="338"/>
      <c r="L780" s="338"/>
      <c r="M780" s="338"/>
      <c r="N780" s="338"/>
      <c r="O780" s="338"/>
      <c r="P780" s="338"/>
      <c r="Q780" s="338"/>
      <c r="R780" s="338"/>
      <c r="S780" s="338"/>
      <c r="T780" s="338"/>
      <c r="U780" s="338"/>
      <c r="V780" s="338"/>
      <c r="W780" s="338"/>
      <c r="X780" s="338"/>
      <c r="Y780" s="338"/>
      <c r="Z780" s="338"/>
      <c r="AA780" s="338"/>
    </row>
    <row r="781" ht="15.75" customHeight="1">
      <c r="A781" s="338"/>
      <c r="B781" s="338"/>
      <c r="C781" s="338"/>
      <c r="D781" s="338"/>
      <c r="E781" s="338"/>
      <c r="F781" s="338"/>
      <c r="G781" s="338"/>
      <c r="H781" s="338"/>
      <c r="I781" s="338"/>
      <c r="J781" s="338"/>
      <c r="K781" s="338"/>
      <c r="L781" s="338"/>
      <c r="M781" s="338"/>
      <c r="N781" s="338"/>
      <c r="O781" s="338"/>
      <c r="P781" s="338"/>
      <c r="Q781" s="338"/>
      <c r="R781" s="338"/>
      <c r="S781" s="338"/>
      <c r="T781" s="338"/>
      <c r="U781" s="338"/>
      <c r="V781" s="338"/>
      <c r="W781" s="338"/>
      <c r="X781" s="338"/>
      <c r="Y781" s="338"/>
      <c r="Z781" s="338"/>
      <c r="AA781" s="338"/>
    </row>
    <row r="782" ht="15.75" customHeight="1">
      <c r="A782" s="338"/>
      <c r="B782" s="338"/>
      <c r="C782" s="338"/>
      <c r="D782" s="338"/>
      <c r="E782" s="338"/>
      <c r="F782" s="338"/>
      <c r="G782" s="338"/>
      <c r="H782" s="338"/>
      <c r="I782" s="338"/>
      <c r="J782" s="338"/>
      <c r="K782" s="338"/>
      <c r="L782" s="338"/>
      <c r="M782" s="338"/>
      <c r="N782" s="338"/>
      <c r="O782" s="338"/>
      <c r="P782" s="338"/>
      <c r="Q782" s="338"/>
      <c r="R782" s="338"/>
      <c r="S782" s="338"/>
      <c r="T782" s="338"/>
      <c r="U782" s="338"/>
      <c r="V782" s="338"/>
      <c r="W782" s="338"/>
      <c r="X782" s="338"/>
      <c r="Y782" s="338"/>
      <c r="Z782" s="338"/>
      <c r="AA782" s="338"/>
    </row>
    <row r="783" ht="15.75" customHeight="1">
      <c r="A783" s="338"/>
      <c r="B783" s="338"/>
      <c r="C783" s="338"/>
      <c r="D783" s="338"/>
      <c r="E783" s="338"/>
      <c r="F783" s="338"/>
      <c r="G783" s="338"/>
      <c r="H783" s="338"/>
      <c r="I783" s="338"/>
      <c r="J783" s="338"/>
      <c r="K783" s="338"/>
      <c r="L783" s="338"/>
      <c r="M783" s="338"/>
      <c r="N783" s="338"/>
      <c r="O783" s="338"/>
      <c r="P783" s="338"/>
      <c r="Q783" s="338"/>
      <c r="R783" s="338"/>
      <c r="S783" s="338"/>
      <c r="T783" s="338"/>
      <c r="U783" s="338"/>
      <c r="V783" s="338"/>
      <c r="W783" s="338"/>
      <c r="X783" s="338"/>
      <c r="Y783" s="338"/>
      <c r="Z783" s="338"/>
      <c r="AA783" s="338"/>
    </row>
    <row r="784" ht="15.75" customHeight="1">
      <c r="A784" s="338"/>
      <c r="B784" s="338"/>
      <c r="C784" s="338"/>
      <c r="D784" s="338"/>
      <c r="E784" s="338"/>
      <c r="F784" s="338"/>
      <c r="G784" s="338"/>
      <c r="H784" s="338"/>
      <c r="I784" s="338"/>
      <c r="J784" s="338"/>
      <c r="K784" s="338"/>
      <c r="L784" s="338"/>
      <c r="M784" s="338"/>
      <c r="N784" s="338"/>
      <c r="O784" s="338"/>
      <c r="P784" s="338"/>
      <c r="Q784" s="338"/>
      <c r="R784" s="338"/>
      <c r="S784" s="338"/>
      <c r="T784" s="338"/>
      <c r="U784" s="338"/>
      <c r="V784" s="338"/>
      <c r="W784" s="338"/>
      <c r="X784" s="338"/>
      <c r="Y784" s="338"/>
      <c r="Z784" s="338"/>
      <c r="AA784" s="338"/>
    </row>
    <row r="785" ht="15.75" customHeight="1">
      <c r="A785" s="338"/>
      <c r="B785" s="338"/>
      <c r="C785" s="338"/>
      <c r="D785" s="338"/>
      <c r="E785" s="338"/>
      <c r="F785" s="338"/>
      <c r="G785" s="338"/>
      <c r="H785" s="338"/>
      <c r="I785" s="338"/>
      <c r="J785" s="338"/>
      <c r="K785" s="338"/>
      <c r="L785" s="338"/>
      <c r="M785" s="338"/>
      <c r="N785" s="338"/>
      <c r="O785" s="338"/>
      <c r="P785" s="338"/>
      <c r="Q785" s="338"/>
      <c r="R785" s="338"/>
      <c r="S785" s="338"/>
      <c r="T785" s="338"/>
      <c r="U785" s="338"/>
      <c r="V785" s="338"/>
      <c r="W785" s="338"/>
      <c r="X785" s="338"/>
      <c r="Y785" s="338"/>
      <c r="Z785" s="338"/>
      <c r="AA785" s="338"/>
    </row>
    <row r="786" ht="15.75" customHeight="1">
      <c r="A786" s="338"/>
      <c r="B786" s="338"/>
      <c r="C786" s="338"/>
      <c r="D786" s="338"/>
      <c r="E786" s="338"/>
      <c r="F786" s="338"/>
      <c r="G786" s="338"/>
      <c r="H786" s="338"/>
      <c r="I786" s="338"/>
      <c r="J786" s="338"/>
      <c r="K786" s="338"/>
      <c r="L786" s="338"/>
      <c r="M786" s="338"/>
      <c r="N786" s="338"/>
      <c r="O786" s="338"/>
      <c r="P786" s="338"/>
      <c r="Q786" s="338"/>
      <c r="R786" s="338"/>
      <c r="S786" s="338"/>
      <c r="T786" s="338"/>
      <c r="U786" s="338"/>
      <c r="V786" s="338"/>
      <c r="W786" s="338"/>
      <c r="X786" s="338"/>
      <c r="Y786" s="338"/>
      <c r="Z786" s="338"/>
      <c r="AA786" s="338"/>
    </row>
    <row r="787" ht="15.75" customHeight="1">
      <c r="A787" s="338"/>
      <c r="B787" s="338"/>
      <c r="C787" s="338"/>
      <c r="D787" s="338"/>
      <c r="E787" s="338"/>
      <c r="F787" s="338"/>
      <c r="G787" s="338"/>
      <c r="H787" s="338"/>
      <c r="I787" s="338"/>
      <c r="J787" s="338"/>
      <c r="K787" s="338"/>
      <c r="L787" s="338"/>
      <c r="M787" s="338"/>
      <c r="N787" s="338"/>
      <c r="O787" s="338"/>
      <c r="P787" s="338"/>
      <c r="Q787" s="338"/>
      <c r="R787" s="338"/>
      <c r="S787" s="338"/>
      <c r="T787" s="338"/>
      <c r="U787" s="338"/>
      <c r="V787" s="338"/>
      <c r="W787" s="338"/>
      <c r="X787" s="338"/>
      <c r="Y787" s="338"/>
      <c r="Z787" s="338"/>
      <c r="AA787" s="338"/>
    </row>
    <row r="788" ht="15.75" customHeight="1">
      <c r="A788" s="338"/>
      <c r="B788" s="338"/>
      <c r="C788" s="338"/>
      <c r="D788" s="338"/>
      <c r="E788" s="338"/>
      <c r="F788" s="338"/>
      <c r="G788" s="338"/>
      <c r="H788" s="338"/>
      <c r="I788" s="338"/>
      <c r="J788" s="338"/>
      <c r="K788" s="338"/>
      <c r="L788" s="338"/>
      <c r="M788" s="338"/>
      <c r="N788" s="338"/>
      <c r="O788" s="338"/>
      <c r="P788" s="338"/>
      <c r="Q788" s="338"/>
      <c r="R788" s="338"/>
      <c r="S788" s="338"/>
      <c r="T788" s="338"/>
      <c r="U788" s="338"/>
      <c r="V788" s="338"/>
      <c r="W788" s="338"/>
      <c r="X788" s="338"/>
      <c r="Y788" s="338"/>
      <c r="Z788" s="338"/>
      <c r="AA788" s="338"/>
    </row>
    <row r="789" ht="15.75" customHeight="1">
      <c r="A789" s="338"/>
      <c r="B789" s="338"/>
      <c r="C789" s="338"/>
      <c r="D789" s="338"/>
      <c r="E789" s="338"/>
      <c r="F789" s="338"/>
      <c r="G789" s="338"/>
      <c r="H789" s="338"/>
      <c r="I789" s="338"/>
      <c r="J789" s="338"/>
      <c r="K789" s="338"/>
      <c r="L789" s="338"/>
      <c r="M789" s="338"/>
      <c r="N789" s="338"/>
      <c r="O789" s="338"/>
      <c r="P789" s="338"/>
      <c r="Q789" s="338"/>
      <c r="R789" s="338"/>
      <c r="S789" s="338"/>
      <c r="T789" s="338"/>
      <c r="U789" s="338"/>
      <c r="V789" s="338"/>
      <c r="W789" s="338"/>
      <c r="X789" s="338"/>
      <c r="Y789" s="338"/>
      <c r="Z789" s="338"/>
      <c r="AA789" s="338"/>
    </row>
    <row r="790" ht="15.75" customHeight="1">
      <c r="A790" s="338"/>
      <c r="B790" s="338"/>
      <c r="C790" s="338"/>
      <c r="D790" s="338"/>
      <c r="E790" s="338"/>
      <c r="F790" s="338"/>
      <c r="G790" s="338"/>
      <c r="H790" s="338"/>
      <c r="I790" s="338"/>
      <c r="J790" s="338"/>
      <c r="K790" s="338"/>
      <c r="L790" s="338"/>
      <c r="M790" s="338"/>
      <c r="N790" s="338"/>
      <c r="O790" s="338"/>
      <c r="P790" s="338"/>
      <c r="Q790" s="338"/>
      <c r="R790" s="338"/>
      <c r="S790" s="338"/>
      <c r="T790" s="338"/>
      <c r="U790" s="338"/>
      <c r="V790" s="338"/>
      <c r="W790" s="338"/>
      <c r="X790" s="338"/>
      <c r="Y790" s="338"/>
      <c r="Z790" s="338"/>
      <c r="AA790" s="338"/>
    </row>
    <row r="791" ht="15.75" customHeight="1">
      <c r="A791" s="338"/>
      <c r="B791" s="338"/>
      <c r="C791" s="338"/>
      <c r="D791" s="338"/>
      <c r="E791" s="338"/>
      <c r="F791" s="338"/>
      <c r="G791" s="338"/>
      <c r="H791" s="338"/>
      <c r="I791" s="338"/>
      <c r="J791" s="338"/>
      <c r="K791" s="338"/>
      <c r="L791" s="338"/>
      <c r="M791" s="338"/>
      <c r="N791" s="338"/>
      <c r="O791" s="338"/>
      <c r="P791" s="338"/>
      <c r="Q791" s="338"/>
      <c r="R791" s="338"/>
      <c r="S791" s="338"/>
      <c r="T791" s="338"/>
      <c r="U791" s="338"/>
      <c r="V791" s="338"/>
      <c r="W791" s="338"/>
      <c r="X791" s="338"/>
      <c r="Y791" s="338"/>
      <c r="Z791" s="338"/>
      <c r="AA791" s="338"/>
    </row>
    <row r="792" ht="15.75" customHeight="1">
      <c r="A792" s="338"/>
      <c r="B792" s="338"/>
      <c r="C792" s="338"/>
      <c r="D792" s="338"/>
      <c r="E792" s="338"/>
      <c r="F792" s="338"/>
      <c r="G792" s="338"/>
      <c r="H792" s="338"/>
      <c r="I792" s="338"/>
      <c r="J792" s="338"/>
      <c r="K792" s="338"/>
      <c r="L792" s="338"/>
      <c r="M792" s="338"/>
      <c r="N792" s="338"/>
      <c r="O792" s="338"/>
      <c r="P792" s="338"/>
      <c r="Q792" s="338"/>
      <c r="R792" s="338"/>
      <c r="S792" s="338"/>
      <c r="T792" s="338"/>
      <c r="U792" s="338"/>
      <c r="V792" s="338"/>
      <c r="W792" s="338"/>
      <c r="X792" s="338"/>
      <c r="Y792" s="338"/>
      <c r="Z792" s="338"/>
      <c r="AA792" s="338"/>
    </row>
    <row r="793" ht="15.75" customHeight="1">
      <c r="A793" s="338"/>
      <c r="B793" s="338"/>
      <c r="C793" s="338"/>
      <c r="D793" s="338"/>
      <c r="E793" s="338"/>
      <c r="F793" s="338"/>
      <c r="G793" s="338"/>
      <c r="H793" s="338"/>
      <c r="I793" s="338"/>
      <c r="J793" s="338"/>
      <c r="K793" s="338"/>
      <c r="L793" s="338"/>
      <c r="M793" s="338"/>
      <c r="N793" s="338"/>
      <c r="O793" s="338"/>
      <c r="P793" s="338"/>
      <c r="Q793" s="338"/>
      <c r="R793" s="338"/>
      <c r="S793" s="338"/>
      <c r="T793" s="338"/>
      <c r="U793" s="338"/>
      <c r="V793" s="338"/>
      <c r="W793" s="338"/>
      <c r="X793" s="338"/>
      <c r="Y793" s="338"/>
      <c r="Z793" s="338"/>
      <c r="AA793" s="338"/>
    </row>
    <row r="794" ht="15.75" customHeight="1">
      <c r="A794" s="338"/>
      <c r="B794" s="338"/>
      <c r="C794" s="338"/>
      <c r="D794" s="338"/>
      <c r="E794" s="338"/>
      <c r="F794" s="338"/>
      <c r="G794" s="338"/>
      <c r="H794" s="338"/>
      <c r="I794" s="338"/>
      <c r="J794" s="338"/>
      <c r="K794" s="338"/>
      <c r="L794" s="338"/>
      <c r="M794" s="338"/>
      <c r="N794" s="338"/>
      <c r="O794" s="338"/>
      <c r="P794" s="338"/>
      <c r="Q794" s="338"/>
      <c r="R794" s="338"/>
      <c r="S794" s="338"/>
      <c r="T794" s="338"/>
      <c r="U794" s="338"/>
      <c r="V794" s="338"/>
      <c r="W794" s="338"/>
      <c r="X794" s="338"/>
      <c r="Y794" s="338"/>
      <c r="Z794" s="338"/>
      <c r="AA794" s="338"/>
    </row>
    <row r="795" ht="15.75" customHeight="1">
      <c r="A795" s="338"/>
      <c r="B795" s="338"/>
      <c r="C795" s="338"/>
      <c r="D795" s="338"/>
      <c r="E795" s="338"/>
      <c r="F795" s="338"/>
      <c r="G795" s="338"/>
      <c r="H795" s="338"/>
      <c r="I795" s="338"/>
      <c r="J795" s="338"/>
      <c r="K795" s="338"/>
      <c r="L795" s="338"/>
      <c r="M795" s="338"/>
      <c r="N795" s="338"/>
      <c r="O795" s="338"/>
      <c r="P795" s="338"/>
      <c r="Q795" s="338"/>
      <c r="R795" s="338"/>
      <c r="S795" s="338"/>
      <c r="T795" s="338"/>
      <c r="U795" s="338"/>
      <c r="V795" s="338"/>
      <c r="W795" s="338"/>
      <c r="X795" s="338"/>
      <c r="Y795" s="338"/>
      <c r="Z795" s="338"/>
      <c r="AA795" s="338"/>
    </row>
    <row r="796" ht="15.75" customHeight="1">
      <c r="A796" s="338"/>
      <c r="B796" s="338"/>
      <c r="C796" s="338"/>
      <c r="D796" s="338"/>
      <c r="E796" s="338"/>
      <c r="F796" s="338"/>
      <c r="G796" s="338"/>
      <c r="H796" s="338"/>
      <c r="I796" s="338"/>
      <c r="J796" s="338"/>
      <c r="K796" s="338"/>
      <c r="L796" s="338"/>
      <c r="M796" s="338"/>
      <c r="N796" s="338"/>
      <c r="O796" s="338"/>
      <c r="P796" s="338"/>
      <c r="Q796" s="338"/>
      <c r="R796" s="338"/>
      <c r="S796" s="338"/>
      <c r="T796" s="338"/>
      <c r="U796" s="338"/>
      <c r="V796" s="338"/>
      <c r="W796" s="338"/>
      <c r="X796" s="338"/>
      <c r="Y796" s="338"/>
      <c r="Z796" s="338"/>
      <c r="AA796" s="338"/>
    </row>
    <row r="797" ht="15.75" customHeight="1">
      <c r="A797" s="338"/>
      <c r="B797" s="338"/>
      <c r="C797" s="338"/>
      <c r="D797" s="338"/>
      <c r="E797" s="338"/>
      <c r="F797" s="338"/>
      <c r="G797" s="338"/>
      <c r="H797" s="338"/>
      <c r="I797" s="338"/>
      <c r="J797" s="338"/>
      <c r="K797" s="338"/>
      <c r="L797" s="338"/>
      <c r="M797" s="338"/>
      <c r="N797" s="338"/>
      <c r="O797" s="338"/>
      <c r="P797" s="338"/>
      <c r="Q797" s="338"/>
      <c r="R797" s="338"/>
      <c r="S797" s="338"/>
      <c r="T797" s="338"/>
      <c r="U797" s="338"/>
      <c r="V797" s="338"/>
      <c r="W797" s="338"/>
      <c r="X797" s="338"/>
      <c r="Y797" s="338"/>
      <c r="Z797" s="338"/>
      <c r="AA797" s="338"/>
    </row>
    <row r="798" ht="15.75" customHeight="1">
      <c r="A798" s="338"/>
      <c r="B798" s="338"/>
      <c r="C798" s="338"/>
      <c r="D798" s="338"/>
      <c r="E798" s="338"/>
      <c r="F798" s="338"/>
      <c r="G798" s="338"/>
      <c r="H798" s="338"/>
      <c r="I798" s="338"/>
      <c r="J798" s="338"/>
      <c r="K798" s="338"/>
      <c r="L798" s="338"/>
      <c r="M798" s="338"/>
      <c r="N798" s="338"/>
      <c r="O798" s="338"/>
      <c r="P798" s="338"/>
      <c r="Q798" s="338"/>
      <c r="R798" s="338"/>
      <c r="S798" s="338"/>
      <c r="T798" s="338"/>
      <c r="U798" s="338"/>
      <c r="V798" s="338"/>
      <c r="W798" s="338"/>
      <c r="X798" s="338"/>
      <c r="Y798" s="338"/>
      <c r="Z798" s="338"/>
      <c r="AA798" s="338"/>
    </row>
    <row r="799" ht="15.75" customHeight="1">
      <c r="A799" s="338"/>
      <c r="B799" s="338"/>
      <c r="C799" s="338"/>
      <c r="D799" s="338"/>
      <c r="E799" s="338"/>
      <c r="F799" s="338"/>
      <c r="G799" s="338"/>
      <c r="H799" s="338"/>
      <c r="I799" s="338"/>
      <c r="J799" s="338"/>
      <c r="K799" s="338"/>
      <c r="L799" s="338"/>
      <c r="M799" s="338"/>
      <c r="N799" s="338"/>
      <c r="O799" s="338"/>
      <c r="P799" s="338"/>
      <c r="Q799" s="338"/>
      <c r="R799" s="338"/>
      <c r="S799" s="338"/>
      <c r="T799" s="338"/>
      <c r="U799" s="338"/>
      <c r="V799" s="338"/>
      <c r="W799" s="338"/>
      <c r="X799" s="338"/>
      <c r="Y799" s="338"/>
      <c r="Z799" s="338"/>
      <c r="AA799" s="338"/>
    </row>
    <row r="800" ht="15.75" customHeight="1">
      <c r="A800" s="338"/>
      <c r="B800" s="338"/>
      <c r="C800" s="338"/>
      <c r="D800" s="338"/>
      <c r="E800" s="338"/>
      <c r="F800" s="338"/>
      <c r="G800" s="338"/>
      <c r="H800" s="338"/>
      <c r="I800" s="338"/>
      <c r="J800" s="338"/>
      <c r="K800" s="338"/>
      <c r="L800" s="338"/>
      <c r="M800" s="338"/>
      <c r="N800" s="338"/>
      <c r="O800" s="338"/>
      <c r="P800" s="338"/>
      <c r="Q800" s="338"/>
      <c r="R800" s="338"/>
      <c r="S800" s="338"/>
      <c r="T800" s="338"/>
      <c r="U800" s="338"/>
      <c r="V800" s="338"/>
      <c r="W800" s="338"/>
      <c r="X800" s="338"/>
      <c r="Y800" s="338"/>
      <c r="Z800" s="338"/>
      <c r="AA800" s="338"/>
    </row>
    <row r="801" ht="15.75" customHeight="1">
      <c r="A801" s="338"/>
      <c r="B801" s="338"/>
      <c r="C801" s="338"/>
      <c r="D801" s="338"/>
      <c r="E801" s="338"/>
      <c r="F801" s="338"/>
      <c r="G801" s="338"/>
      <c r="H801" s="338"/>
      <c r="I801" s="338"/>
      <c r="J801" s="338"/>
      <c r="K801" s="338"/>
      <c r="L801" s="338"/>
      <c r="M801" s="338"/>
      <c r="N801" s="338"/>
      <c r="O801" s="338"/>
      <c r="P801" s="338"/>
      <c r="Q801" s="338"/>
      <c r="R801" s="338"/>
      <c r="S801" s="338"/>
      <c r="T801" s="338"/>
      <c r="U801" s="338"/>
      <c r="V801" s="338"/>
      <c r="W801" s="338"/>
      <c r="X801" s="338"/>
      <c r="Y801" s="338"/>
      <c r="Z801" s="338"/>
      <c r="AA801" s="338"/>
    </row>
    <row r="802" ht="15.75" customHeight="1">
      <c r="A802" s="338"/>
      <c r="B802" s="338"/>
      <c r="C802" s="338"/>
      <c r="D802" s="338"/>
      <c r="E802" s="338"/>
      <c r="F802" s="338"/>
      <c r="G802" s="338"/>
      <c r="H802" s="338"/>
      <c r="I802" s="338"/>
      <c r="J802" s="338"/>
      <c r="K802" s="338"/>
      <c r="L802" s="338"/>
      <c r="M802" s="338"/>
      <c r="N802" s="338"/>
      <c r="O802" s="338"/>
      <c r="P802" s="338"/>
      <c r="Q802" s="338"/>
      <c r="R802" s="338"/>
      <c r="S802" s="338"/>
      <c r="T802" s="338"/>
      <c r="U802" s="338"/>
      <c r="V802" s="338"/>
      <c r="W802" s="338"/>
      <c r="X802" s="338"/>
      <c r="Y802" s="338"/>
      <c r="Z802" s="338"/>
      <c r="AA802" s="338"/>
    </row>
    <row r="803" ht="15.75" customHeight="1">
      <c r="A803" s="338"/>
      <c r="B803" s="338"/>
      <c r="C803" s="338"/>
      <c r="D803" s="338"/>
      <c r="E803" s="338"/>
      <c r="F803" s="338"/>
      <c r="G803" s="338"/>
      <c r="H803" s="338"/>
      <c r="I803" s="338"/>
      <c r="J803" s="338"/>
      <c r="K803" s="338"/>
      <c r="L803" s="338"/>
      <c r="M803" s="338"/>
      <c r="N803" s="338"/>
      <c r="O803" s="338"/>
      <c r="P803" s="338"/>
      <c r="Q803" s="338"/>
      <c r="R803" s="338"/>
      <c r="S803" s="338"/>
      <c r="T803" s="338"/>
      <c r="U803" s="338"/>
      <c r="V803" s="338"/>
      <c r="W803" s="338"/>
      <c r="X803" s="338"/>
      <c r="Y803" s="338"/>
      <c r="Z803" s="338"/>
      <c r="AA803" s="338"/>
    </row>
    <row r="804" ht="15.75" customHeight="1">
      <c r="A804" s="338"/>
      <c r="B804" s="338"/>
      <c r="C804" s="338"/>
      <c r="D804" s="338"/>
      <c r="E804" s="338"/>
      <c r="F804" s="338"/>
      <c r="G804" s="338"/>
      <c r="H804" s="338"/>
      <c r="I804" s="338"/>
      <c r="J804" s="338"/>
      <c r="K804" s="338"/>
      <c r="L804" s="338"/>
      <c r="M804" s="338"/>
      <c r="N804" s="338"/>
      <c r="O804" s="338"/>
      <c r="P804" s="338"/>
      <c r="Q804" s="338"/>
      <c r="R804" s="338"/>
      <c r="S804" s="338"/>
      <c r="T804" s="338"/>
      <c r="U804" s="338"/>
      <c r="V804" s="338"/>
      <c r="W804" s="338"/>
      <c r="X804" s="338"/>
      <c r="Y804" s="338"/>
      <c r="Z804" s="338"/>
      <c r="AA804" s="338"/>
    </row>
    <row r="805" ht="15.75" customHeight="1">
      <c r="A805" s="338"/>
      <c r="B805" s="338"/>
      <c r="C805" s="338"/>
      <c r="D805" s="338"/>
      <c r="E805" s="338"/>
      <c r="F805" s="338"/>
      <c r="G805" s="338"/>
      <c r="H805" s="338"/>
      <c r="I805" s="338"/>
      <c r="J805" s="338"/>
      <c r="K805" s="338"/>
      <c r="L805" s="338"/>
      <c r="M805" s="338"/>
      <c r="N805" s="338"/>
      <c r="O805" s="338"/>
      <c r="P805" s="338"/>
      <c r="Q805" s="338"/>
      <c r="R805" s="338"/>
      <c r="S805" s="338"/>
      <c r="T805" s="338"/>
      <c r="U805" s="338"/>
      <c r="V805" s="338"/>
      <c r="W805" s="338"/>
      <c r="X805" s="338"/>
      <c r="Y805" s="338"/>
      <c r="Z805" s="338"/>
      <c r="AA805" s="338"/>
    </row>
    <row r="806" ht="15.75" customHeight="1">
      <c r="A806" s="338"/>
      <c r="B806" s="338"/>
      <c r="C806" s="338"/>
      <c r="D806" s="338"/>
      <c r="E806" s="338"/>
      <c r="F806" s="338"/>
      <c r="G806" s="338"/>
      <c r="H806" s="338"/>
      <c r="I806" s="338"/>
      <c r="J806" s="338"/>
      <c r="K806" s="338"/>
      <c r="L806" s="338"/>
      <c r="M806" s="338"/>
      <c r="N806" s="338"/>
      <c r="O806" s="338"/>
      <c r="P806" s="338"/>
      <c r="Q806" s="338"/>
      <c r="R806" s="338"/>
      <c r="S806" s="338"/>
      <c r="T806" s="338"/>
      <c r="U806" s="338"/>
      <c r="V806" s="338"/>
      <c r="W806" s="338"/>
      <c r="X806" s="338"/>
      <c r="Y806" s="338"/>
      <c r="Z806" s="338"/>
      <c r="AA806" s="338"/>
    </row>
    <row r="807" ht="15.75" customHeight="1">
      <c r="A807" s="338"/>
      <c r="B807" s="338"/>
      <c r="C807" s="338"/>
      <c r="D807" s="338"/>
      <c r="E807" s="338"/>
      <c r="F807" s="338"/>
      <c r="G807" s="338"/>
      <c r="H807" s="338"/>
      <c r="I807" s="338"/>
      <c r="J807" s="338"/>
      <c r="K807" s="338"/>
      <c r="L807" s="338"/>
      <c r="M807" s="338"/>
      <c r="N807" s="338"/>
      <c r="O807" s="338"/>
      <c r="P807" s="338"/>
      <c r="Q807" s="338"/>
      <c r="R807" s="338"/>
      <c r="S807" s="338"/>
      <c r="T807" s="338"/>
      <c r="U807" s="338"/>
      <c r="V807" s="338"/>
      <c r="W807" s="338"/>
      <c r="X807" s="338"/>
      <c r="Y807" s="338"/>
      <c r="Z807" s="338"/>
      <c r="AA807" s="338"/>
    </row>
    <row r="808" ht="15.75" customHeight="1">
      <c r="A808" s="338"/>
      <c r="B808" s="338"/>
      <c r="C808" s="338"/>
      <c r="D808" s="338"/>
      <c r="E808" s="338"/>
      <c r="F808" s="338"/>
      <c r="G808" s="338"/>
      <c r="H808" s="338"/>
      <c r="I808" s="338"/>
      <c r="J808" s="338"/>
      <c r="K808" s="338"/>
      <c r="L808" s="338"/>
      <c r="M808" s="338"/>
      <c r="N808" s="338"/>
      <c r="O808" s="338"/>
      <c r="P808" s="338"/>
      <c r="Q808" s="338"/>
      <c r="R808" s="338"/>
      <c r="S808" s="338"/>
      <c r="T808" s="338"/>
      <c r="U808" s="338"/>
      <c r="V808" s="338"/>
      <c r="W808" s="338"/>
      <c r="X808" s="338"/>
      <c r="Y808" s="338"/>
      <c r="Z808" s="338"/>
      <c r="AA808" s="338"/>
    </row>
    <row r="809" ht="15.75" customHeight="1">
      <c r="A809" s="338"/>
      <c r="B809" s="338"/>
      <c r="C809" s="338"/>
      <c r="D809" s="338"/>
      <c r="E809" s="338"/>
      <c r="F809" s="338"/>
      <c r="G809" s="338"/>
      <c r="H809" s="338"/>
      <c r="I809" s="338"/>
      <c r="J809" s="338"/>
      <c r="K809" s="338"/>
      <c r="L809" s="338"/>
      <c r="M809" s="338"/>
      <c r="N809" s="338"/>
      <c r="O809" s="338"/>
      <c r="P809" s="338"/>
      <c r="Q809" s="338"/>
      <c r="R809" s="338"/>
      <c r="S809" s="338"/>
      <c r="T809" s="338"/>
      <c r="U809" s="338"/>
      <c r="V809" s="338"/>
      <c r="W809" s="338"/>
      <c r="X809" s="338"/>
      <c r="Y809" s="338"/>
      <c r="Z809" s="338"/>
      <c r="AA809" s="338"/>
    </row>
    <row r="810" ht="15.75" customHeight="1">
      <c r="A810" s="338"/>
      <c r="B810" s="338"/>
      <c r="C810" s="338"/>
      <c r="D810" s="338"/>
      <c r="E810" s="338"/>
      <c r="F810" s="338"/>
      <c r="G810" s="338"/>
      <c r="H810" s="338"/>
      <c r="I810" s="338"/>
      <c r="J810" s="338"/>
      <c r="K810" s="338"/>
      <c r="L810" s="338"/>
      <c r="M810" s="338"/>
      <c r="N810" s="338"/>
      <c r="O810" s="338"/>
      <c r="P810" s="338"/>
      <c r="Q810" s="338"/>
      <c r="R810" s="338"/>
      <c r="S810" s="338"/>
      <c r="T810" s="338"/>
      <c r="U810" s="338"/>
      <c r="V810" s="338"/>
      <c r="W810" s="338"/>
      <c r="X810" s="338"/>
      <c r="Y810" s="338"/>
      <c r="Z810" s="338"/>
      <c r="AA810" s="338"/>
    </row>
    <row r="811" ht="15.75" customHeight="1">
      <c r="A811" s="338"/>
      <c r="B811" s="338"/>
      <c r="C811" s="338"/>
      <c r="D811" s="338"/>
      <c r="E811" s="338"/>
      <c r="F811" s="338"/>
      <c r="G811" s="338"/>
      <c r="H811" s="338"/>
      <c r="I811" s="338"/>
      <c r="J811" s="338"/>
      <c r="K811" s="338"/>
      <c r="L811" s="338"/>
      <c r="M811" s="338"/>
      <c r="N811" s="338"/>
      <c r="O811" s="338"/>
      <c r="P811" s="338"/>
      <c r="Q811" s="338"/>
      <c r="R811" s="338"/>
      <c r="S811" s="338"/>
      <c r="T811" s="338"/>
      <c r="U811" s="338"/>
      <c r="V811" s="338"/>
      <c r="W811" s="338"/>
      <c r="X811" s="338"/>
      <c r="Y811" s="338"/>
      <c r="Z811" s="338"/>
      <c r="AA811" s="338"/>
    </row>
    <row r="812" ht="15.75" customHeight="1">
      <c r="A812" s="338"/>
      <c r="B812" s="338"/>
      <c r="C812" s="338"/>
      <c r="D812" s="338"/>
      <c r="E812" s="338"/>
      <c r="F812" s="338"/>
      <c r="G812" s="338"/>
      <c r="H812" s="338"/>
      <c r="I812" s="338"/>
      <c r="J812" s="338"/>
      <c r="K812" s="338"/>
      <c r="L812" s="338"/>
      <c r="M812" s="338"/>
      <c r="N812" s="338"/>
      <c r="O812" s="338"/>
      <c r="P812" s="338"/>
      <c r="Q812" s="338"/>
      <c r="R812" s="338"/>
      <c r="S812" s="338"/>
      <c r="T812" s="338"/>
      <c r="U812" s="338"/>
      <c r="V812" s="338"/>
      <c r="W812" s="338"/>
      <c r="X812" s="338"/>
      <c r="Y812" s="338"/>
      <c r="Z812" s="338"/>
      <c r="AA812" s="338"/>
    </row>
    <row r="813" ht="15.75" customHeight="1">
      <c r="A813" s="338"/>
      <c r="B813" s="338"/>
      <c r="C813" s="338"/>
      <c r="D813" s="338"/>
      <c r="E813" s="338"/>
      <c r="F813" s="338"/>
      <c r="G813" s="338"/>
      <c r="H813" s="338"/>
      <c r="I813" s="338"/>
      <c r="J813" s="338"/>
      <c r="K813" s="338"/>
      <c r="L813" s="338"/>
      <c r="M813" s="338"/>
      <c r="N813" s="338"/>
      <c r="O813" s="338"/>
      <c r="P813" s="338"/>
      <c r="Q813" s="338"/>
      <c r="R813" s="338"/>
      <c r="S813" s="338"/>
      <c r="T813" s="338"/>
      <c r="U813" s="338"/>
      <c r="V813" s="338"/>
      <c r="W813" s="338"/>
      <c r="X813" s="338"/>
      <c r="Y813" s="338"/>
      <c r="Z813" s="338"/>
      <c r="AA813" s="338"/>
    </row>
    <row r="814" ht="15.75" customHeight="1">
      <c r="A814" s="338"/>
      <c r="B814" s="338"/>
      <c r="C814" s="338"/>
      <c r="D814" s="338"/>
      <c r="E814" s="338"/>
      <c r="F814" s="338"/>
      <c r="G814" s="338"/>
      <c r="H814" s="338"/>
      <c r="I814" s="338"/>
      <c r="J814" s="338"/>
      <c r="K814" s="338"/>
      <c r="L814" s="338"/>
      <c r="M814" s="338"/>
      <c r="N814" s="338"/>
      <c r="O814" s="338"/>
      <c r="P814" s="338"/>
      <c r="Q814" s="338"/>
      <c r="R814" s="338"/>
      <c r="S814" s="338"/>
      <c r="T814" s="338"/>
      <c r="U814" s="338"/>
      <c r="V814" s="338"/>
      <c r="W814" s="338"/>
      <c r="X814" s="338"/>
      <c r="Y814" s="338"/>
      <c r="Z814" s="338"/>
      <c r="AA814" s="338"/>
    </row>
    <row r="815" ht="15.75" customHeight="1">
      <c r="A815" s="338"/>
      <c r="B815" s="338"/>
      <c r="C815" s="338"/>
      <c r="D815" s="338"/>
      <c r="E815" s="338"/>
      <c r="F815" s="338"/>
      <c r="G815" s="338"/>
      <c r="H815" s="338"/>
      <c r="I815" s="338"/>
      <c r="J815" s="338"/>
      <c r="K815" s="338"/>
      <c r="L815" s="338"/>
      <c r="M815" s="338"/>
      <c r="N815" s="338"/>
      <c r="O815" s="338"/>
      <c r="P815" s="338"/>
      <c r="Q815" s="338"/>
      <c r="R815" s="338"/>
      <c r="S815" s="338"/>
      <c r="T815" s="338"/>
      <c r="U815" s="338"/>
      <c r="V815" s="338"/>
      <c r="W815" s="338"/>
      <c r="X815" s="338"/>
      <c r="Y815" s="338"/>
      <c r="Z815" s="338"/>
      <c r="AA815" s="338"/>
    </row>
    <row r="816" ht="15.75" customHeight="1">
      <c r="A816" s="338"/>
      <c r="B816" s="338"/>
      <c r="C816" s="338"/>
      <c r="D816" s="338"/>
      <c r="E816" s="338"/>
      <c r="F816" s="338"/>
      <c r="G816" s="338"/>
      <c r="H816" s="338"/>
      <c r="I816" s="338"/>
      <c r="J816" s="338"/>
      <c r="K816" s="338"/>
      <c r="L816" s="338"/>
      <c r="M816" s="338"/>
      <c r="N816" s="338"/>
      <c r="O816" s="338"/>
      <c r="P816" s="338"/>
      <c r="Q816" s="338"/>
      <c r="R816" s="338"/>
      <c r="S816" s="338"/>
      <c r="T816" s="338"/>
      <c r="U816" s="338"/>
      <c r="V816" s="338"/>
      <c r="W816" s="338"/>
      <c r="X816" s="338"/>
      <c r="Y816" s="338"/>
      <c r="Z816" s="338"/>
      <c r="AA816" s="338"/>
    </row>
    <row r="817" ht="15.75" customHeight="1">
      <c r="A817" s="338"/>
      <c r="B817" s="338"/>
      <c r="C817" s="338"/>
      <c r="D817" s="338"/>
      <c r="E817" s="338"/>
      <c r="F817" s="338"/>
      <c r="G817" s="338"/>
      <c r="H817" s="338"/>
      <c r="I817" s="338"/>
      <c r="J817" s="338"/>
      <c r="K817" s="338"/>
      <c r="L817" s="338"/>
      <c r="M817" s="338"/>
      <c r="N817" s="338"/>
      <c r="O817" s="338"/>
      <c r="P817" s="338"/>
      <c r="Q817" s="338"/>
      <c r="R817" s="338"/>
      <c r="S817" s="338"/>
      <c r="T817" s="338"/>
      <c r="U817" s="338"/>
      <c r="V817" s="338"/>
      <c r="W817" s="338"/>
      <c r="X817" s="338"/>
      <c r="Y817" s="338"/>
      <c r="Z817" s="338"/>
      <c r="AA817" s="338"/>
    </row>
    <row r="818" ht="15.75" customHeight="1">
      <c r="A818" s="338"/>
      <c r="B818" s="338"/>
      <c r="C818" s="338"/>
      <c r="D818" s="338"/>
      <c r="E818" s="338"/>
      <c r="F818" s="338"/>
      <c r="G818" s="338"/>
      <c r="H818" s="338"/>
      <c r="I818" s="338"/>
      <c r="J818" s="338"/>
      <c r="K818" s="338"/>
      <c r="L818" s="338"/>
      <c r="M818" s="338"/>
      <c r="N818" s="338"/>
      <c r="O818" s="338"/>
      <c r="P818" s="338"/>
      <c r="Q818" s="338"/>
      <c r="R818" s="338"/>
      <c r="S818" s="338"/>
      <c r="T818" s="338"/>
      <c r="U818" s="338"/>
      <c r="V818" s="338"/>
      <c r="W818" s="338"/>
      <c r="X818" s="338"/>
      <c r="Y818" s="338"/>
      <c r="Z818" s="338"/>
      <c r="AA818" s="338"/>
    </row>
    <row r="819" ht="15.75" customHeight="1">
      <c r="A819" s="338"/>
      <c r="B819" s="338"/>
      <c r="C819" s="338"/>
      <c r="D819" s="338"/>
      <c r="E819" s="338"/>
      <c r="F819" s="338"/>
      <c r="G819" s="338"/>
      <c r="H819" s="338"/>
      <c r="I819" s="338"/>
      <c r="J819" s="338"/>
      <c r="K819" s="338"/>
      <c r="L819" s="338"/>
      <c r="M819" s="338"/>
      <c r="N819" s="338"/>
      <c r="O819" s="338"/>
      <c r="P819" s="338"/>
      <c r="Q819" s="338"/>
      <c r="R819" s="338"/>
      <c r="S819" s="338"/>
      <c r="T819" s="338"/>
      <c r="U819" s="338"/>
      <c r="V819" s="338"/>
      <c r="W819" s="338"/>
      <c r="X819" s="338"/>
      <c r="Y819" s="338"/>
      <c r="Z819" s="338"/>
      <c r="AA819" s="338"/>
    </row>
    <row r="820" ht="15.75" customHeight="1">
      <c r="A820" s="338"/>
      <c r="B820" s="338"/>
      <c r="C820" s="338"/>
      <c r="D820" s="338"/>
      <c r="E820" s="338"/>
      <c r="F820" s="338"/>
      <c r="G820" s="338"/>
      <c r="H820" s="338"/>
      <c r="I820" s="338"/>
      <c r="J820" s="338"/>
      <c r="K820" s="338"/>
      <c r="L820" s="338"/>
      <c r="M820" s="338"/>
      <c r="N820" s="338"/>
      <c r="O820" s="338"/>
      <c r="P820" s="338"/>
      <c r="Q820" s="338"/>
      <c r="R820" s="338"/>
      <c r="S820" s="338"/>
      <c r="T820" s="338"/>
      <c r="U820" s="338"/>
      <c r="V820" s="338"/>
      <c r="W820" s="338"/>
      <c r="X820" s="338"/>
      <c r="Y820" s="338"/>
      <c r="Z820" s="338"/>
      <c r="AA820" s="338"/>
    </row>
    <row r="821" ht="15.75" customHeight="1">
      <c r="A821" s="338"/>
      <c r="B821" s="338"/>
      <c r="C821" s="338"/>
      <c r="D821" s="338"/>
      <c r="E821" s="338"/>
      <c r="F821" s="338"/>
      <c r="G821" s="338"/>
      <c r="H821" s="338"/>
      <c r="I821" s="338"/>
      <c r="J821" s="338"/>
      <c r="K821" s="338"/>
      <c r="L821" s="338"/>
      <c r="M821" s="338"/>
      <c r="N821" s="338"/>
      <c r="O821" s="338"/>
      <c r="P821" s="338"/>
      <c r="Q821" s="338"/>
      <c r="R821" s="338"/>
      <c r="S821" s="338"/>
      <c r="T821" s="338"/>
      <c r="U821" s="338"/>
      <c r="V821" s="338"/>
      <c r="W821" s="338"/>
      <c r="X821" s="338"/>
      <c r="Y821" s="338"/>
      <c r="Z821" s="338"/>
      <c r="AA821" s="338"/>
    </row>
    <row r="822" ht="15.75" customHeight="1">
      <c r="A822" s="338"/>
      <c r="B822" s="338"/>
      <c r="C822" s="338"/>
      <c r="D822" s="338"/>
      <c r="E822" s="338"/>
      <c r="F822" s="338"/>
      <c r="G822" s="338"/>
      <c r="H822" s="338"/>
      <c r="I822" s="338"/>
      <c r="J822" s="338"/>
      <c r="K822" s="338"/>
      <c r="L822" s="338"/>
      <c r="M822" s="338"/>
      <c r="N822" s="338"/>
      <c r="O822" s="338"/>
      <c r="P822" s="338"/>
      <c r="Q822" s="338"/>
      <c r="R822" s="338"/>
      <c r="S822" s="338"/>
      <c r="T822" s="338"/>
      <c r="U822" s="338"/>
      <c r="V822" s="338"/>
      <c r="W822" s="338"/>
      <c r="X822" s="338"/>
      <c r="Y822" s="338"/>
      <c r="Z822" s="338"/>
      <c r="AA822" s="338"/>
    </row>
    <row r="823" ht="15.75" customHeight="1">
      <c r="A823" s="338"/>
      <c r="B823" s="338"/>
      <c r="C823" s="338"/>
      <c r="D823" s="338"/>
      <c r="E823" s="338"/>
      <c r="F823" s="338"/>
      <c r="G823" s="338"/>
      <c r="H823" s="338"/>
      <c r="I823" s="338"/>
      <c r="J823" s="338"/>
      <c r="K823" s="338"/>
      <c r="L823" s="338"/>
      <c r="M823" s="338"/>
      <c r="N823" s="338"/>
      <c r="O823" s="338"/>
      <c r="P823" s="338"/>
      <c r="Q823" s="338"/>
      <c r="R823" s="338"/>
      <c r="S823" s="338"/>
      <c r="T823" s="338"/>
      <c r="U823" s="338"/>
      <c r="V823" s="338"/>
      <c r="W823" s="338"/>
      <c r="X823" s="338"/>
      <c r="Y823" s="338"/>
      <c r="Z823" s="338"/>
      <c r="AA823" s="338"/>
    </row>
    <row r="824" ht="15.75" customHeight="1">
      <c r="A824" s="338"/>
      <c r="B824" s="338"/>
      <c r="C824" s="338"/>
      <c r="D824" s="338"/>
      <c r="E824" s="338"/>
      <c r="F824" s="338"/>
      <c r="G824" s="338"/>
      <c r="H824" s="338"/>
      <c r="I824" s="338"/>
      <c r="J824" s="338"/>
      <c r="K824" s="338"/>
      <c r="L824" s="338"/>
      <c r="M824" s="338"/>
      <c r="N824" s="338"/>
      <c r="O824" s="338"/>
      <c r="P824" s="338"/>
      <c r="Q824" s="338"/>
      <c r="R824" s="338"/>
      <c r="S824" s="338"/>
      <c r="T824" s="338"/>
      <c r="U824" s="338"/>
      <c r="V824" s="338"/>
      <c r="W824" s="338"/>
      <c r="X824" s="338"/>
      <c r="Y824" s="338"/>
      <c r="Z824" s="338"/>
      <c r="AA824" s="338"/>
    </row>
    <row r="825" ht="15.75" customHeight="1">
      <c r="A825" s="338"/>
      <c r="B825" s="338"/>
      <c r="C825" s="338"/>
      <c r="D825" s="338"/>
      <c r="E825" s="338"/>
      <c r="F825" s="338"/>
      <c r="G825" s="338"/>
      <c r="H825" s="338"/>
      <c r="I825" s="338"/>
      <c r="J825" s="338"/>
      <c r="K825" s="338"/>
      <c r="L825" s="338"/>
      <c r="M825" s="338"/>
      <c r="N825" s="338"/>
      <c r="O825" s="338"/>
      <c r="P825" s="338"/>
      <c r="Q825" s="338"/>
      <c r="R825" s="338"/>
      <c r="S825" s="338"/>
      <c r="T825" s="338"/>
      <c r="U825" s="338"/>
      <c r="V825" s="338"/>
      <c r="W825" s="338"/>
      <c r="X825" s="338"/>
      <c r="Y825" s="338"/>
      <c r="Z825" s="338"/>
      <c r="AA825" s="338"/>
    </row>
    <row r="826" ht="15.75" customHeight="1">
      <c r="A826" s="338"/>
      <c r="B826" s="338"/>
      <c r="C826" s="338"/>
      <c r="D826" s="338"/>
      <c r="E826" s="338"/>
      <c r="F826" s="338"/>
      <c r="G826" s="338"/>
      <c r="H826" s="338"/>
      <c r="I826" s="338"/>
      <c r="J826" s="338"/>
      <c r="K826" s="338"/>
      <c r="L826" s="338"/>
      <c r="M826" s="338"/>
      <c r="N826" s="338"/>
      <c r="O826" s="338"/>
      <c r="P826" s="338"/>
      <c r="Q826" s="338"/>
      <c r="R826" s="338"/>
      <c r="S826" s="338"/>
      <c r="T826" s="338"/>
      <c r="U826" s="338"/>
      <c r="V826" s="338"/>
      <c r="W826" s="338"/>
      <c r="X826" s="338"/>
      <c r="Y826" s="338"/>
      <c r="Z826" s="338"/>
      <c r="AA826" s="338"/>
    </row>
    <row r="827" ht="15.75" customHeight="1">
      <c r="A827" s="338"/>
      <c r="B827" s="338"/>
      <c r="C827" s="338"/>
      <c r="D827" s="338"/>
      <c r="E827" s="338"/>
      <c r="F827" s="338"/>
      <c r="G827" s="338"/>
      <c r="H827" s="338"/>
      <c r="I827" s="338"/>
      <c r="J827" s="338"/>
      <c r="K827" s="338"/>
      <c r="L827" s="338"/>
      <c r="M827" s="338"/>
      <c r="N827" s="338"/>
      <c r="O827" s="338"/>
      <c r="P827" s="338"/>
      <c r="Q827" s="338"/>
      <c r="R827" s="338"/>
      <c r="S827" s="338"/>
      <c r="T827" s="338"/>
      <c r="U827" s="338"/>
      <c r="V827" s="338"/>
      <c r="W827" s="338"/>
      <c r="X827" s="338"/>
      <c r="Y827" s="338"/>
      <c r="Z827" s="338"/>
      <c r="AA827" s="338"/>
    </row>
    <row r="828" ht="15.75" customHeight="1">
      <c r="A828" s="338"/>
      <c r="B828" s="338"/>
      <c r="C828" s="338"/>
      <c r="D828" s="338"/>
      <c r="E828" s="338"/>
      <c r="F828" s="338"/>
      <c r="G828" s="338"/>
      <c r="H828" s="338"/>
      <c r="I828" s="338"/>
      <c r="J828" s="338"/>
      <c r="K828" s="338"/>
      <c r="L828" s="338"/>
      <c r="M828" s="338"/>
      <c r="N828" s="338"/>
      <c r="O828" s="338"/>
      <c r="P828" s="338"/>
      <c r="Q828" s="338"/>
      <c r="R828" s="338"/>
      <c r="S828" s="338"/>
      <c r="T828" s="338"/>
      <c r="U828" s="338"/>
      <c r="V828" s="338"/>
      <c r="W828" s="338"/>
      <c r="X828" s="338"/>
      <c r="Y828" s="338"/>
      <c r="Z828" s="338"/>
      <c r="AA828" s="338"/>
    </row>
    <row r="829" ht="15.75" customHeight="1">
      <c r="A829" s="338"/>
      <c r="B829" s="338"/>
      <c r="C829" s="338"/>
      <c r="D829" s="338"/>
      <c r="E829" s="338"/>
      <c r="F829" s="338"/>
      <c r="G829" s="338"/>
      <c r="H829" s="338"/>
      <c r="I829" s="338"/>
      <c r="J829" s="338"/>
      <c r="K829" s="338"/>
      <c r="L829" s="338"/>
      <c r="M829" s="338"/>
      <c r="N829" s="338"/>
      <c r="O829" s="338"/>
      <c r="P829" s="338"/>
      <c r="Q829" s="338"/>
      <c r="R829" s="338"/>
      <c r="S829" s="338"/>
      <c r="T829" s="338"/>
      <c r="U829" s="338"/>
      <c r="V829" s="338"/>
      <c r="W829" s="338"/>
      <c r="X829" s="338"/>
      <c r="Y829" s="338"/>
      <c r="Z829" s="338"/>
      <c r="AA829" s="338"/>
    </row>
    <row r="830" ht="15.75" customHeight="1">
      <c r="A830" s="338"/>
      <c r="B830" s="338"/>
      <c r="C830" s="338"/>
      <c r="D830" s="338"/>
      <c r="E830" s="338"/>
      <c r="F830" s="338"/>
      <c r="G830" s="338"/>
      <c r="H830" s="338"/>
      <c r="I830" s="338"/>
      <c r="J830" s="338"/>
      <c r="K830" s="338"/>
      <c r="L830" s="338"/>
      <c r="M830" s="338"/>
      <c r="N830" s="338"/>
      <c r="O830" s="338"/>
      <c r="P830" s="338"/>
      <c r="Q830" s="338"/>
      <c r="R830" s="338"/>
      <c r="S830" s="338"/>
      <c r="T830" s="338"/>
      <c r="U830" s="338"/>
      <c r="V830" s="338"/>
      <c r="W830" s="338"/>
      <c r="X830" s="338"/>
      <c r="Y830" s="338"/>
      <c r="Z830" s="338"/>
      <c r="AA830" s="338"/>
    </row>
    <row r="831" ht="15.75" customHeight="1">
      <c r="A831" s="338"/>
      <c r="B831" s="338"/>
      <c r="C831" s="338"/>
      <c r="D831" s="338"/>
      <c r="E831" s="338"/>
      <c r="F831" s="338"/>
      <c r="G831" s="338"/>
      <c r="H831" s="338"/>
      <c r="I831" s="338"/>
      <c r="J831" s="338"/>
      <c r="K831" s="338"/>
      <c r="L831" s="338"/>
      <c r="M831" s="338"/>
      <c r="N831" s="338"/>
      <c r="O831" s="338"/>
      <c r="P831" s="338"/>
      <c r="Q831" s="338"/>
      <c r="R831" s="338"/>
      <c r="S831" s="338"/>
      <c r="T831" s="338"/>
      <c r="U831" s="338"/>
      <c r="V831" s="338"/>
      <c r="W831" s="338"/>
      <c r="X831" s="338"/>
      <c r="Y831" s="338"/>
      <c r="Z831" s="338"/>
      <c r="AA831" s="338"/>
    </row>
    <row r="832" ht="15.75" customHeight="1">
      <c r="A832" s="338"/>
      <c r="B832" s="338"/>
      <c r="C832" s="338"/>
      <c r="D832" s="338"/>
      <c r="E832" s="338"/>
      <c r="F832" s="338"/>
      <c r="G832" s="338"/>
      <c r="H832" s="338"/>
      <c r="I832" s="338"/>
      <c r="J832" s="338"/>
      <c r="K832" s="338"/>
      <c r="L832" s="338"/>
      <c r="M832" s="338"/>
      <c r="N832" s="338"/>
      <c r="O832" s="338"/>
      <c r="P832" s="338"/>
      <c r="Q832" s="338"/>
      <c r="R832" s="338"/>
      <c r="S832" s="338"/>
      <c r="T832" s="338"/>
      <c r="U832" s="338"/>
      <c r="V832" s="338"/>
      <c r="W832" s="338"/>
      <c r="X832" s="338"/>
      <c r="Y832" s="338"/>
      <c r="Z832" s="338"/>
      <c r="AA832" s="338"/>
    </row>
    <row r="833" ht="15.75" customHeight="1">
      <c r="A833" s="338"/>
      <c r="B833" s="338"/>
      <c r="C833" s="338"/>
      <c r="D833" s="338"/>
      <c r="E833" s="338"/>
      <c r="F833" s="338"/>
      <c r="G833" s="338"/>
      <c r="H833" s="338"/>
      <c r="I833" s="338"/>
      <c r="J833" s="338"/>
      <c r="K833" s="338"/>
      <c r="L833" s="338"/>
      <c r="M833" s="338"/>
      <c r="N833" s="338"/>
      <c r="O833" s="338"/>
      <c r="P833" s="338"/>
      <c r="Q833" s="338"/>
      <c r="R833" s="338"/>
      <c r="S833" s="338"/>
      <c r="T833" s="338"/>
      <c r="U833" s="338"/>
      <c r="V833" s="338"/>
      <c r="W833" s="338"/>
      <c r="X833" s="338"/>
      <c r="Y833" s="338"/>
      <c r="Z833" s="338"/>
      <c r="AA833" s="338"/>
    </row>
    <row r="834" ht="15.75" customHeight="1">
      <c r="A834" s="338"/>
      <c r="B834" s="338"/>
      <c r="C834" s="338"/>
      <c r="D834" s="338"/>
      <c r="E834" s="338"/>
      <c r="F834" s="338"/>
      <c r="G834" s="338"/>
      <c r="H834" s="338"/>
      <c r="I834" s="338"/>
      <c r="J834" s="338"/>
      <c r="K834" s="338"/>
      <c r="L834" s="338"/>
      <c r="M834" s="338"/>
      <c r="N834" s="338"/>
      <c r="O834" s="338"/>
      <c r="P834" s="338"/>
      <c r="Q834" s="338"/>
      <c r="R834" s="338"/>
      <c r="S834" s="338"/>
      <c r="T834" s="338"/>
      <c r="U834" s="338"/>
      <c r="V834" s="338"/>
      <c r="W834" s="338"/>
      <c r="X834" s="338"/>
      <c r="Y834" s="338"/>
      <c r="Z834" s="338"/>
      <c r="AA834" s="338"/>
    </row>
    <row r="835" ht="15.75" customHeight="1">
      <c r="A835" s="338"/>
      <c r="B835" s="338"/>
      <c r="C835" s="338"/>
      <c r="D835" s="338"/>
      <c r="E835" s="338"/>
      <c r="F835" s="338"/>
      <c r="G835" s="338"/>
      <c r="H835" s="338"/>
      <c r="I835" s="338"/>
      <c r="J835" s="338"/>
      <c r="K835" s="338"/>
      <c r="L835" s="338"/>
      <c r="M835" s="338"/>
      <c r="N835" s="338"/>
      <c r="O835" s="338"/>
      <c r="P835" s="338"/>
      <c r="Q835" s="338"/>
      <c r="R835" s="338"/>
      <c r="S835" s="338"/>
      <c r="T835" s="338"/>
      <c r="U835" s="338"/>
      <c r="V835" s="338"/>
      <c r="W835" s="338"/>
      <c r="X835" s="338"/>
      <c r="Y835" s="338"/>
      <c r="Z835" s="338"/>
      <c r="AA835" s="338"/>
    </row>
    <row r="836" ht="15.75" customHeight="1">
      <c r="A836" s="338"/>
      <c r="B836" s="338"/>
      <c r="C836" s="338"/>
      <c r="D836" s="338"/>
      <c r="E836" s="338"/>
      <c r="F836" s="338"/>
      <c r="G836" s="338"/>
      <c r="H836" s="338"/>
      <c r="I836" s="338"/>
      <c r="J836" s="338"/>
      <c r="K836" s="338"/>
      <c r="L836" s="338"/>
      <c r="M836" s="338"/>
      <c r="N836" s="338"/>
      <c r="O836" s="338"/>
      <c r="P836" s="338"/>
      <c r="Q836" s="338"/>
      <c r="R836" s="338"/>
      <c r="S836" s="338"/>
      <c r="T836" s="338"/>
      <c r="U836" s="338"/>
      <c r="V836" s="338"/>
      <c r="W836" s="338"/>
      <c r="X836" s="338"/>
      <c r="Y836" s="338"/>
      <c r="Z836" s="338"/>
      <c r="AA836" s="338"/>
    </row>
    <row r="837" ht="15.75" customHeight="1">
      <c r="A837" s="338"/>
      <c r="B837" s="338"/>
      <c r="C837" s="338"/>
      <c r="D837" s="338"/>
      <c r="E837" s="338"/>
      <c r="F837" s="338"/>
      <c r="G837" s="338"/>
      <c r="H837" s="338"/>
      <c r="I837" s="338"/>
      <c r="J837" s="338"/>
      <c r="K837" s="338"/>
      <c r="L837" s="338"/>
      <c r="M837" s="338"/>
      <c r="N837" s="338"/>
      <c r="O837" s="338"/>
      <c r="P837" s="338"/>
      <c r="Q837" s="338"/>
      <c r="R837" s="338"/>
      <c r="S837" s="338"/>
      <c r="T837" s="338"/>
      <c r="U837" s="338"/>
      <c r="V837" s="338"/>
      <c r="W837" s="338"/>
      <c r="X837" s="338"/>
      <c r="Y837" s="338"/>
      <c r="Z837" s="338"/>
      <c r="AA837" s="338"/>
    </row>
    <row r="838" ht="15.75" customHeight="1">
      <c r="A838" s="338"/>
      <c r="B838" s="338"/>
      <c r="C838" s="338"/>
      <c r="D838" s="338"/>
      <c r="E838" s="338"/>
      <c r="F838" s="338"/>
      <c r="G838" s="338"/>
      <c r="H838" s="338"/>
      <c r="I838" s="338"/>
      <c r="J838" s="338"/>
      <c r="K838" s="338"/>
      <c r="L838" s="338"/>
      <c r="M838" s="338"/>
      <c r="N838" s="338"/>
      <c r="O838" s="338"/>
      <c r="P838" s="338"/>
      <c r="Q838" s="338"/>
      <c r="R838" s="338"/>
      <c r="S838" s="338"/>
      <c r="T838" s="338"/>
      <c r="U838" s="338"/>
      <c r="V838" s="338"/>
      <c r="W838" s="338"/>
      <c r="X838" s="338"/>
      <c r="Y838" s="338"/>
      <c r="Z838" s="338"/>
      <c r="AA838" s="338"/>
    </row>
    <row r="839" ht="15.75" customHeight="1">
      <c r="A839" s="338"/>
      <c r="B839" s="338"/>
      <c r="C839" s="338"/>
      <c r="D839" s="338"/>
      <c r="E839" s="338"/>
      <c r="F839" s="338"/>
      <c r="G839" s="338"/>
      <c r="H839" s="338"/>
      <c r="I839" s="338"/>
      <c r="J839" s="338"/>
      <c r="K839" s="338"/>
      <c r="L839" s="338"/>
      <c r="M839" s="338"/>
      <c r="N839" s="338"/>
      <c r="O839" s="338"/>
      <c r="P839" s="338"/>
      <c r="Q839" s="338"/>
      <c r="R839" s="338"/>
      <c r="S839" s="338"/>
      <c r="T839" s="338"/>
      <c r="U839" s="338"/>
      <c r="V839" s="338"/>
      <c r="W839" s="338"/>
      <c r="X839" s="338"/>
      <c r="Y839" s="338"/>
      <c r="Z839" s="338"/>
      <c r="AA839" s="338"/>
    </row>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6.0"/>
    <col customWidth="1" min="2" max="2" width="27.13"/>
    <col customWidth="1" min="3" max="3" width="11.0"/>
    <col customWidth="1" min="4" max="4" width="28.75"/>
    <col customWidth="1" min="5" max="5" width="35.38"/>
    <col customWidth="1" min="6" max="26" width="11.0"/>
  </cols>
  <sheetData>
    <row r="1" ht="40.5" customHeight="1">
      <c r="A1" s="361" t="s">
        <v>2629</v>
      </c>
      <c r="B1" s="338"/>
      <c r="C1" s="338"/>
      <c r="D1" s="361" t="s">
        <v>2630</v>
      </c>
      <c r="E1" s="338"/>
      <c r="F1" s="338"/>
      <c r="G1" s="338"/>
      <c r="H1" s="338"/>
      <c r="I1" s="338"/>
      <c r="J1" s="338"/>
      <c r="K1" s="338"/>
      <c r="L1" s="338"/>
      <c r="M1" s="338"/>
      <c r="N1" s="338"/>
      <c r="O1" s="338"/>
      <c r="P1" s="338"/>
      <c r="Q1" s="338"/>
      <c r="R1" s="338"/>
      <c r="S1" s="338"/>
      <c r="T1" s="338"/>
      <c r="U1" s="338"/>
      <c r="V1" s="338"/>
      <c r="W1" s="338"/>
      <c r="X1" s="338"/>
      <c r="Y1" s="338"/>
      <c r="Z1" s="338"/>
    </row>
    <row r="2" ht="15.75" customHeight="1">
      <c r="A2" s="338"/>
      <c r="B2" s="338"/>
      <c r="C2" s="338"/>
      <c r="D2" s="338"/>
      <c r="E2" s="338"/>
      <c r="F2" s="338"/>
      <c r="G2" s="338"/>
      <c r="H2" s="338"/>
      <c r="I2" s="338"/>
      <c r="J2" s="338"/>
      <c r="K2" s="338"/>
      <c r="L2" s="338"/>
      <c r="M2" s="338"/>
      <c r="N2" s="338"/>
      <c r="O2" s="338"/>
      <c r="P2" s="338"/>
      <c r="Q2" s="338"/>
      <c r="R2" s="338"/>
      <c r="S2" s="338"/>
      <c r="T2" s="338"/>
      <c r="U2" s="338"/>
      <c r="V2" s="338"/>
      <c r="W2" s="338"/>
      <c r="X2" s="338"/>
      <c r="Y2" s="338"/>
      <c r="Z2" s="338"/>
    </row>
    <row r="3" ht="29.25" customHeight="1">
      <c r="A3" s="362" t="s">
        <v>2631</v>
      </c>
      <c r="B3" s="362" t="s">
        <v>2632</v>
      </c>
      <c r="C3" s="338"/>
      <c r="D3" s="362" t="s">
        <v>2631</v>
      </c>
      <c r="E3" s="362" t="s">
        <v>2632</v>
      </c>
      <c r="F3" s="338"/>
      <c r="G3" s="338"/>
      <c r="H3" s="338"/>
      <c r="I3" s="338"/>
      <c r="J3" s="338"/>
      <c r="K3" s="338"/>
      <c r="L3" s="338"/>
      <c r="M3" s="338"/>
      <c r="N3" s="338"/>
      <c r="O3" s="338"/>
      <c r="P3" s="338"/>
      <c r="Q3" s="338"/>
      <c r="R3" s="338"/>
      <c r="S3" s="338"/>
      <c r="T3" s="338"/>
      <c r="U3" s="338"/>
      <c r="V3" s="338"/>
      <c r="W3" s="338"/>
      <c r="X3" s="338"/>
      <c r="Y3" s="338"/>
      <c r="Z3" s="338"/>
    </row>
    <row r="4" ht="15.75" customHeight="1">
      <c r="A4" s="363" t="s">
        <v>2633</v>
      </c>
      <c r="B4" s="363" t="s">
        <v>2633</v>
      </c>
      <c r="C4" s="338"/>
      <c r="D4" s="363" t="s">
        <v>2634</v>
      </c>
      <c r="E4" s="363" t="s">
        <v>2635</v>
      </c>
      <c r="F4" s="338"/>
      <c r="G4" s="338"/>
      <c r="H4" s="338"/>
      <c r="I4" s="338"/>
      <c r="J4" s="338"/>
      <c r="K4" s="338"/>
      <c r="L4" s="338"/>
      <c r="M4" s="338"/>
      <c r="N4" s="338"/>
      <c r="O4" s="338"/>
      <c r="P4" s="338"/>
      <c r="Q4" s="338"/>
      <c r="R4" s="338"/>
      <c r="S4" s="338"/>
      <c r="T4" s="338"/>
      <c r="U4" s="338"/>
      <c r="V4" s="338"/>
      <c r="W4" s="338"/>
      <c r="X4" s="338"/>
      <c r="Y4" s="338"/>
      <c r="Z4" s="338"/>
    </row>
    <row r="5" ht="15.75" customHeight="1">
      <c r="A5" s="363" t="s">
        <v>2636</v>
      </c>
      <c r="B5" s="357" t="s">
        <v>2637</v>
      </c>
      <c r="C5" s="338"/>
      <c r="D5" s="363" t="s">
        <v>2638</v>
      </c>
      <c r="E5" s="357" t="s">
        <v>2637</v>
      </c>
      <c r="F5" s="338"/>
      <c r="G5" s="338"/>
      <c r="H5" s="338"/>
      <c r="I5" s="338"/>
      <c r="J5" s="338"/>
      <c r="K5" s="338"/>
      <c r="L5" s="338"/>
      <c r="M5" s="338"/>
      <c r="N5" s="338"/>
      <c r="O5" s="338"/>
      <c r="P5" s="338"/>
      <c r="Q5" s="338"/>
      <c r="R5" s="338"/>
      <c r="S5" s="338"/>
      <c r="T5" s="338"/>
      <c r="U5" s="338"/>
      <c r="V5" s="338"/>
      <c r="W5" s="338"/>
      <c r="X5" s="338"/>
      <c r="Y5" s="338"/>
      <c r="Z5" s="338"/>
    </row>
    <row r="6" ht="15.75" customHeight="1">
      <c r="A6" s="363" t="s">
        <v>1579</v>
      </c>
      <c r="B6" s="363" t="s">
        <v>1579</v>
      </c>
      <c r="C6" s="338"/>
      <c r="D6" s="363" t="s">
        <v>1579</v>
      </c>
      <c r="E6" s="363" t="s">
        <v>1579</v>
      </c>
      <c r="F6" s="338"/>
      <c r="G6" s="338"/>
      <c r="H6" s="338"/>
      <c r="I6" s="338"/>
      <c r="J6" s="338"/>
      <c r="K6" s="338"/>
      <c r="L6" s="338"/>
      <c r="M6" s="338"/>
      <c r="N6" s="338"/>
      <c r="O6" s="338"/>
      <c r="P6" s="338"/>
      <c r="Q6" s="338"/>
      <c r="R6" s="338"/>
      <c r="S6" s="338"/>
      <c r="T6" s="338"/>
      <c r="U6" s="338"/>
      <c r="V6" s="338"/>
      <c r="W6" s="338"/>
      <c r="X6" s="338"/>
      <c r="Y6" s="338"/>
      <c r="Z6" s="338"/>
    </row>
    <row r="7" ht="15.75" customHeight="1">
      <c r="A7" s="363" t="s">
        <v>1245</v>
      </c>
      <c r="B7" s="363" t="s">
        <v>1579</v>
      </c>
      <c r="C7" s="338"/>
      <c r="D7" s="363" t="s">
        <v>2636</v>
      </c>
      <c r="E7" s="357" t="s">
        <v>2637</v>
      </c>
      <c r="F7" s="338"/>
      <c r="G7" s="338"/>
      <c r="H7" s="338"/>
      <c r="I7" s="338"/>
      <c r="J7" s="338"/>
      <c r="K7" s="338"/>
      <c r="L7" s="338"/>
      <c r="M7" s="338"/>
      <c r="N7" s="338"/>
      <c r="O7" s="338"/>
      <c r="P7" s="338"/>
      <c r="Q7" s="338"/>
      <c r="R7" s="338"/>
      <c r="S7" s="338"/>
      <c r="T7" s="338"/>
      <c r="U7" s="338"/>
      <c r="V7" s="338"/>
      <c r="W7" s="338"/>
      <c r="X7" s="338"/>
      <c r="Y7" s="338"/>
      <c r="Z7" s="338"/>
    </row>
    <row r="8" ht="15.75" customHeight="1">
      <c r="A8" s="363" t="s">
        <v>2639</v>
      </c>
      <c r="B8" s="357" t="s">
        <v>2637</v>
      </c>
      <c r="C8" s="338"/>
      <c r="D8" s="363" t="s">
        <v>2640</v>
      </c>
      <c r="E8" s="363" t="s">
        <v>2640</v>
      </c>
      <c r="F8" s="338"/>
      <c r="G8" s="338"/>
      <c r="H8" s="338"/>
      <c r="I8" s="338"/>
      <c r="J8" s="338"/>
      <c r="K8" s="338"/>
      <c r="L8" s="338"/>
      <c r="M8" s="338"/>
      <c r="N8" s="338"/>
      <c r="O8" s="338"/>
      <c r="P8" s="338"/>
      <c r="Q8" s="338"/>
      <c r="R8" s="338"/>
      <c r="S8" s="338"/>
      <c r="T8" s="338"/>
      <c r="U8" s="338"/>
      <c r="V8" s="338"/>
      <c r="W8" s="338"/>
      <c r="X8" s="338"/>
      <c r="Y8" s="338"/>
      <c r="Z8" s="338"/>
    </row>
    <row r="9" ht="15.75" customHeight="1">
      <c r="A9" s="363" t="s">
        <v>2640</v>
      </c>
      <c r="B9" s="363" t="s">
        <v>2640</v>
      </c>
      <c r="C9" s="338"/>
      <c r="D9" s="363" t="s">
        <v>1245</v>
      </c>
      <c r="E9" s="363" t="s">
        <v>1579</v>
      </c>
      <c r="F9" s="338"/>
      <c r="G9" s="338"/>
      <c r="H9" s="338"/>
      <c r="I9" s="338"/>
      <c r="J9" s="338"/>
      <c r="K9" s="338"/>
      <c r="L9" s="338"/>
      <c r="M9" s="338"/>
      <c r="N9" s="338"/>
      <c r="O9" s="338"/>
      <c r="P9" s="338"/>
      <c r="Q9" s="338"/>
      <c r="R9" s="338"/>
      <c r="S9" s="338"/>
      <c r="T9" s="338"/>
      <c r="U9" s="338"/>
      <c r="V9" s="338"/>
      <c r="W9" s="338"/>
      <c r="X9" s="338"/>
      <c r="Y9" s="338"/>
      <c r="Z9" s="338"/>
    </row>
    <row r="10" ht="15.75" customHeight="1">
      <c r="A10" s="363" t="s">
        <v>2641</v>
      </c>
      <c r="B10" s="363" t="s">
        <v>2641</v>
      </c>
      <c r="C10" s="338"/>
      <c r="D10" s="363" t="s">
        <v>2642</v>
      </c>
      <c r="E10" s="363" t="s">
        <v>1579</v>
      </c>
      <c r="F10" s="338"/>
      <c r="G10" s="338"/>
      <c r="H10" s="338"/>
      <c r="I10" s="338"/>
      <c r="J10" s="338"/>
      <c r="K10" s="338"/>
      <c r="L10" s="338"/>
      <c r="M10" s="338"/>
      <c r="N10" s="338"/>
      <c r="O10" s="338"/>
      <c r="P10" s="338"/>
      <c r="Q10" s="338"/>
      <c r="R10" s="338"/>
      <c r="S10" s="338"/>
      <c r="T10" s="338"/>
      <c r="U10" s="338"/>
      <c r="V10" s="338"/>
      <c r="W10" s="338"/>
      <c r="X10" s="338"/>
      <c r="Y10" s="338"/>
      <c r="Z10" s="338"/>
    </row>
    <row r="11" ht="15.75" customHeight="1">
      <c r="A11" s="363" t="s">
        <v>2643</v>
      </c>
      <c r="B11" s="363" t="s">
        <v>2635</v>
      </c>
      <c r="C11" s="338"/>
      <c r="D11" s="363" t="s">
        <v>2644</v>
      </c>
      <c r="E11" s="363" t="s">
        <v>2644</v>
      </c>
      <c r="F11" s="338"/>
      <c r="G11" s="338"/>
      <c r="H11" s="338"/>
      <c r="I11" s="338"/>
      <c r="J11" s="338"/>
      <c r="K11" s="338"/>
      <c r="L11" s="338"/>
      <c r="M11" s="338"/>
      <c r="N11" s="338"/>
      <c r="O11" s="338"/>
      <c r="P11" s="338"/>
      <c r="Q11" s="338"/>
      <c r="R11" s="338"/>
      <c r="S11" s="338"/>
      <c r="T11" s="338"/>
      <c r="U11" s="338"/>
      <c r="V11" s="338"/>
      <c r="W11" s="338"/>
      <c r="X11" s="338"/>
      <c r="Y11" s="338"/>
      <c r="Z11" s="338"/>
    </row>
    <row r="12" ht="15.75" customHeight="1">
      <c r="A12" s="363" t="s">
        <v>2645</v>
      </c>
      <c r="B12" s="363" t="s">
        <v>2644</v>
      </c>
      <c r="C12" s="338"/>
      <c r="D12" s="363" t="s">
        <v>969</v>
      </c>
      <c r="E12" s="363" t="s">
        <v>2646</v>
      </c>
      <c r="F12" s="338"/>
      <c r="G12" s="338"/>
      <c r="H12" s="338"/>
      <c r="I12" s="338"/>
      <c r="J12" s="338"/>
      <c r="K12" s="338"/>
      <c r="L12" s="338"/>
      <c r="M12" s="338"/>
      <c r="N12" s="338"/>
      <c r="O12" s="338"/>
      <c r="P12" s="338"/>
      <c r="Q12" s="338"/>
      <c r="R12" s="338"/>
      <c r="S12" s="338"/>
      <c r="T12" s="338"/>
      <c r="U12" s="338"/>
      <c r="V12" s="338"/>
      <c r="W12" s="338"/>
      <c r="X12" s="338"/>
      <c r="Y12" s="338"/>
      <c r="Z12" s="338"/>
    </row>
    <row r="13" ht="15.75" customHeight="1">
      <c r="A13" s="363" t="s">
        <v>2644</v>
      </c>
      <c r="B13" s="363" t="s">
        <v>2644</v>
      </c>
      <c r="C13" s="338"/>
      <c r="D13" s="363" t="s">
        <v>2647</v>
      </c>
      <c r="E13" s="363" t="s">
        <v>2646</v>
      </c>
      <c r="F13" s="338"/>
      <c r="G13" s="338"/>
      <c r="H13" s="338"/>
      <c r="I13" s="338"/>
      <c r="J13" s="338"/>
      <c r="K13" s="338"/>
      <c r="L13" s="338"/>
      <c r="M13" s="338"/>
      <c r="N13" s="338"/>
      <c r="O13" s="338"/>
      <c r="P13" s="338"/>
      <c r="Q13" s="338"/>
      <c r="R13" s="338"/>
      <c r="S13" s="338"/>
      <c r="T13" s="338"/>
      <c r="U13" s="338"/>
      <c r="V13" s="338"/>
      <c r="W13" s="338"/>
      <c r="X13" s="338"/>
      <c r="Y13" s="338"/>
      <c r="Z13" s="338"/>
    </row>
    <row r="14" ht="15.75" customHeight="1">
      <c r="A14" s="363" t="s">
        <v>2648</v>
      </c>
      <c r="B14" s="363" t="s">
        <v>2646</v>
      </c>
      <c r="C14" s="338"/>
      <c r="D14" s="363" t="s">
        <v>2641</v>
      </c>
      <c r="E14" s="363" t="s">
        <v>2641</v>
      </c>
      <c r="F14" s="338"/>
      <c r="G14" s="338"/>
      <c r="H14" s="338"/>
      <c r="I14" s="338"/>
      <c r="J14" s="338"/>
      <c r="K14" s="338"/>
      <c r="L14" s="338"/>
      <c r="M14" s="338"/>
      <c r="N14" s="338"/>
      <c r="O14" s="338"/>
      <c r="P14" s="338"/>
      <c r="Q14" s="338"/>
      <c r="R14" s="338"/>
      <c r="S14" s="338"/>
      <c r="T14" s="338"/>
      <c r="U14" s="338"/>
      <c r="V14" s="338"/>
      <c r="W14" s="338"/>
      <c r="X14" s="338"/>
      <c r="Y14" s="338"/>
      <c r="Z14" s="338"/>
    </row>
    <row r="15" ht="15.75" customHeight="1">
      <c r="A15" s="363" t="s">
        <v>2649</v>
      </c>
      <c r="B15" s="363" t="s">
        <v>2646</v>
      </c>
      <c r="C15" s="338"/>
      <c r="D15" s="363" t="s">
        <v>2650</v>
      </c>
      <c r="E15" s="363" t="s">
        <v>2650</v>
      </c>
      <c r="F15" s="338"/>
      <c r="G15" s="338"/>
      <c r="H15" s="338"/>
      <c r="I15" s="338"/>
      <c r="J15" s="338"/>
      <c r="K15" s="338"/>
      <c r="L15" s="338"/>
      <c r="M15" s="338"/>
      <c r="N15" s="338"/>
      <c r="O15" s="338"/>
      <c r="P15" s="338"/>
      <c r="Q15" s="338"/>
      <c r="R15" s="338"/>
      <c r="S15" s="338"/>
      <c r="T15" s="338"/>
      <c r="U15" s="338"/>
      <c r="V15" s="338"/>
      <c r="W15" s="338"/>
      <c r="X15" s="338"/>
      <c r="Y15" s="338"/>
      <c r="Z15" s="338"/>
    </row>
    <row r="16" ht="15.75" customHeight="1">
      <c r="A16" s="363" t="s">
        <v>2651</v>
      </c>
      <c r="B16" s="363" t="s">
        <v>2646</v>
      </c>
      <c r="C16" s="338"/>
      <c r="D16" s="363" t="s">
        <v>2648</v>
      </c>
      <c r="E16" s="363" t="s">
        <v>2646</v>
      </c>
      <c r="F16" s="338"/>
      <c r="G16" s="338"/>
      <c r="H16" s="338"/>
      <c r="I16" s="338"/>
      <c r="J16" s="338"/>
      <c r="K16" s="338"/>
      <c r="L16" s="338"/>
      <c r="M16" s="338"/>
      <c r="N16" s="338"/>
      <c r="O16" s="338"/>
      <c r="P16" s="338"/>
      <c r="Q16" s="338"/>
      <c r="R16" s="338"/>
      <c r="S16" s="338"/>
      <c r="T16" s="338"/>
      <c r="U16" s="338"/>
      <c r="V16" s="338"/>
      <c r="W16" s="338"/>
      <c r="X16" s="338"/>
      <c r="Y16" s="338"/>
      <c r="Z16" s="338"/>
    </row>
    <row r="17" ht="15.75" customHeight="1">
      <c r="A17" s="363" t="s">
        <v>969</v>
      </c>
      <c r="B17" s="363" t="s">
        <v>2646</v>
      </c>
      <c r="C17" s="338"/>
      <c r="D17" s="363" t="s">
        <v>2649</v>
      </c>
      <c r="E17" s="363" t="s">
        <v>2646</v>
      </c>
      <c r="F17" s="338"/>
      <c r="G17" s="338"/>
      <c r="H17" s="338"/>
      <c r="I17" s="338"/>
      <c r="J17" s="338"/>
      <c r="K17" s="338"/>
      <c r="L17" s="338"/>
      <c r="M17" s="338"/>
      <c r="N17" s="338"/>
      <c r="O17" s="338"/>
      <c r="P17" s="338"/>
      <c r="Q17" s="338"/>
      <c r="R17" s="338"/>
      <c r="S17" s="338"/>
      <c r="T17" s="338"/>
      <c r="U17" s="338"/>
      <c r="V17" s="338"/>
      <c r="W17" s="338"/>
      <c r="X17" s="338"/>
      <c r="Y17" s="338"/>
      <c r="Z17" s="338"/>
    </row>
    <row r="18" ht="15.75" customHeight="1">
      <c r="A18" s="363" t="s">
        <v>2650</v>
      </c>
      <c r="B18" s="363" t="s">
        <v>2650</v>
      </c>
      <c r="C18" s="338"/>
      <c r="D18" s="363" t="s">
        <v>2635</v>
      </c>
      <c r="E18" s="363" t="s">
        <v>2635</v>
      </c>
      <c r="F18" s="338"/>
      <c r="G18" s="338"/>
      <c r="H18" s="338"/>
      <c r="I18" s="338"/>
      <c r="J18" s="338"/>
      <c r="K18" s="338"/>
      <c r="L18" s="338"/>
      <c r="M18" s="338"/>
      <c r="N18" s="338"/>
      <c r="O18" s="338"/>
      <c r="P18" s="338"/>
      <c r="Q18" s="338"/>
      <c r="R18" s="338"/>
      <c r="S18" s="338"/>
      <c r="T18" s="338"/>
      <c r="U18" s="338"/>
      <c r="V18" s="338"/>
      <c r="W18" s="338"/>
      <c r="X18" s="338"/>
      <c r="Y18" s="338"/>
      <c r="Z18" s="338"/>
    </row>
    <row r="19" ht="15.75" customHeight="1">
      <c r="A19" s="363" t="s">
        <v>2635</v>
      </c>
      <c r="B19" s="363" t="s">
        <v>2635</v>
      </c>
      <c r="C19" s="338"/>
      <c r="D19" s="363" t="s">
        <v>900</v>
      </c>
      <c r="E19" s="363" t="s">
        <v>900</v>
      </c>
      <c r="F19" s="338"/>
      <c r="G19" s="338"/>
      <c r="H19" s="338"/>
      <c r="I19" s="338"/>
      <c r="J19" s="338"/>
      <c r="K19" s="338"/>
      <c r="L19" s="338"/>
      <c r="M19" s="338"/>
      <c r="N19" s="338"/>
      <c r="O19" s="338"/>
      <c r="P19" s="338"/>
      <c r="Q19" s="338"/>
      <c r="R19" s="338"/>
      <c r="S19" s="338"/>
      <c r="T19" s="338"/>
      <c r="U19" s="338"/>
      <c r="V19" s="338"/>
      <c r="W19" s="338"/>
      <c r="X19" s="338"/>
      <c r="Y19" s="338"/>
      <c r="Z19" s="338"/>
    </row>
    <row r="20" ht="15.75" customHeight="1">
      <c r="A20" s="363" t="s">
        <v>2652</v>
      </c>
      <c r="B20" s="357" t="s">
        <v>2637</v>
      </c>
      <c r="C20" s="338"/>
      <c r="D20" s="338"/>
      <c r="E20" s="338"/>
      <c r="F20" s="338"/>
      <c r="G20" s="338"/>
      <c r="H20" s="338"/>
      <c r="I20" s="338"/>
      <c r="J20" s="338"/>
      <c r="K20" s="338"/>
      <c r="L20" s="338"/>
      <c r="M20" s="338"/>
      <c r="N20" s="338"/>
      <c r="O20" s="338"/>
      <c r="P20" s="338"/>
      <c r="Q20" s="338"/>
      <c r="R20" s="338"/>
      <c r="S20" s="338"/>
      <c r="T20" s="338"/>
      <c r="U20" s="338"/>
      <c r="V20" s="338"/>
      <c r="W20" s="338"/>
      <c r="X20" s="338"/>
      <c r="Y20" s="338"/>
      <c r="Z20" s="338"/>
    </row>
    <row r="21" ht="15.75" customHeight="1">
      <c r="A21" s="363" t="s">
        <v>2653</v>
      </c>
      <c r="B21" s="363" t="s">
        <v>2653</v>
      </c>
      <c r="C21" s="338"/>
      <c r="D21" s="338"/>
      <c r="E21" s="338"/>
      <c r="F21" s="338"/>
      <c r="G21" s="338"/>
      <c r="H21" s="338"/>
      <c r="I21" s="338"/>
      <c r="J21" s="338"/>
      <c r="K21" s="338"/>
      <c r="L21" s="338"/>
      <c r="M21" s="338"/>
      <c r="N21" s="338"/>
      <c r="O21" s="338"/>
      <c r="P21" s="338"/>
      <c r="Q21" s="338"/>
      <c r="R21" s="338"/>
      <c r="S21" s="338"/>
      <c r="T21" s="338"/>
      <c r="U21" s="338"/>
      <c r="V21" s="338"/>
      <c r="W21" s="338"/>
      <c r="X21" s="338"/>
      <c r="Y21" s="338"/>
      <c r="Z21" s="338"/>
    </row>
    <row r="22" ht="15.75" customHeight="1">
      <c r="A22" s="363" t="s">
        <v>2654</v>
      </c>
      <c r="B22" s="357" t="s">
        <v>1056</v>
      </c>
      <c r="C22" s="338"/>
      <c r="D22" s="338"/>
      <c r="E22" s="338"/>
      <c r="F22" s="338"/>
      <c r="G22" s="338"/>
      <c r="H22" s="338"/>
      <c r="I22" s="338"/>
      <c r="J22" s="338"/>
      <c r="K22" s="338"/>
      <c r="L22" s="338"/>
      <c r="M22" s="338"/>
      <c r="N22" s="338"/>
      <c r="O22" s="338"/>
      <c r="P22" s="338"/>
      <c r="Q22" s="338"/>
      <c r="R22" s="338"/>
      <c r="S22" s="338"/>
      <c r="T22" s="338"/>
      <c r="U22" s="338"/>
      <c r="V22" s="338"/>
      <c r="W22" s="338"/>
      <c r="X22" s="338"/>
      <c r="Y22" s="338"/>
      <c r="Z22" s="338"/>
    </row>
    <row r="23" ht="15.75" customHeight="1">
      <c r="A23" s="363" t="s">
        <v>2646</v>
      </c>
      <c r="B23" s="363" t="s">
        <v>2646</v>
      </c>
      <c r="C23" s="338"/>
      <c r="D23" s="338"/>
      <c r="E23" s="338"/>
      <c r="F23" s="338"/>
      <c r="G23" s="338"/>
      <c r="H23" s="338"/>
      <c r="I23" s="338"/>
      <c r="J23" s="338"/>
      <c r="K23" s="338"/>
      <c r="L23" s="338"/>
      <c r="M23" s="338"/>
      <c r="N23" s="338"/>
      <c r="O23" s="338"/>
      <c r="P23" s="338"/>
      <c r="Q23" s="338"/>
      <c r="R23" s="338"/>
      <c r="S23" s="338"/>
      <c r="T23" s="338"/>
      <c r="U23" s="338"/>
      <c r="V23" s="338"/>
      <c r="W23" s="338"/>
      <c r="X23" s="338"/>
      <c r="Y23" s="338"/>
      <c r="Z23" s="338"/>
    </row>
    <row r="24" ht="15.75" customHeight="1">
      <c r="A24" s="363" t="s">
        <v>900</v>
      </c>
      <c r="B24" s="363" t="s">
        <v>900</v>
      </c>
      <c r="C24" s="338"/>
      <c r="D24" s="338"/>
      <c r="E24" s="338"/>
      <c r="F24" s="338"/>
      <c r="G24" s="338"/>
      <c r="H24" s="338"/>
      <c r="I24" s="338"/>
      <c r="J24" s="338"/>
      <c r="K24" s="338"/>
      <c r="L24" s="338"/>
      <c r="M24" s="338"/>
      <c r="N24" s="338"/>
      <c r="O24" s="338"/>
      <c r="P24" s="338"/>
      <c r="Q24" s="338"/>
      <c r="R24" s="338"/>
      <c r="S24" s="338"/>
      <c r="T24" s="338"/>
      <c r="U24" s="338"/>
      <c r="V24" s="338"/>
      <c r="W24" s="338"/>
      <c r="X24" s="338"/>
      <c r="Y24" s="338"/>
      <c r="Z24" s="338"/>
    </row>
    <row r="25" ht="15.75" customHeight="1">
      <c r="A25" s="363" t="s">
        <v>2655</v>
      </c>
      <c r="B25" s="363" t="s">
        <v>2635</v>
      </c>
      <c r="C25" s="338"/>
      <c r="D25" s="338"/>
      <c r="E25" s="338"/>
      <c r="F25" s="338"/>
      <c r="G25" s="338"/>
      <c r="H25" s="338"/>
      <c r="I25" s="338"/>
      <c r="J25" s="338"/>
      <c r="K25" s="338"/>
      <c r="L25" s="338"/>
      <c r="M25" s="338"/>
      <c r="N25" s="338"/>
      <c r="O25" s="338"/>
      <c r="P25" s="338"/>
      <c r="Q25" s="338"/>
      <c r="R25" s="338"/>
      <c r="S25" s="338"/>
      <c r="T25" s="338"/>
      <c r="U25" s="338"/>
      <c r="V25" s="338"/>
      <c r="W25" s="338"/>
      <c r="X25" s="338"/>
      <c r="Y25" s="338"/>
      <c r="Z25" s="338"/>
    </row>
    <row r="26" ht="15.75" customHeight="1">
      <c r="A26" s="363" t="s">
        <v>2656</v>
      </c>
      <c r="B26" s="363" t="s">
        <v>2635</v>
      </c>
      <c r="C26" s="338"/>
      <c r="D26" s="338"/>
      <c r="E26" s="338"/>
      <c r="F26" s="338"/>
      <c r="G26" s="338"/>
      <c r="H26" s="338"/>
      <c r="I26" s="338"/>
      <c r="J26" s="338"/>
      <c r="K26" s="338"/>
      <c r="L26" s="338"/>
      <c r="M26" s="338"/>
      <c r="N26" s="338"/>
      <c r="O26" s="338"/>
      <c r="P26" s="338"/>
      <c r="Q26" s="338"/>
      <c r="R26" s="338"/>
      <c r="S26" s="338"/>
      <c r="T26" s="338"/>
      <c r="U26" s="338"/>
      <c r="V26" s="338"/>
      <c r="W26" s="338"/>
      <c r="X26" s="338"/>
      <c r="Y26" s="338"/>
      <c r="Z26" s="338"/>
    </row>
    <row r="27" ht="15.75" customHeight="1">
      <c r="A27" s="363" t="s">
        <v>2647</v>
      </c>
      <c r="B27" s="363" t="s">
        <v>2646</v>
      </c>
      <c r="C27" s="338"/>
      <c r="D27" s="338"/>
      <c r="E27" s="338"/>
      <c r="F27" s="338"/>
      <c r="G27" s="338"/>
      <c r="H27" s="338"/>
      <c r="I27" s="338"/>
      <c r="J27" s="338"/>
      <c r="K27" s="338"/>
      <c r="L27" s="338"/>
      <c r="M27" s="338"/>
      <c r="N27" s="338"/>
      <c r="O27" s="338"/>
      <c r="P27" s="338"/>
      <c r="Q27" s="338"/>
      <c r="R27" s="338"/>
      <c r="S27" s="338"/>
      <c r="T27" s="338"/>
      <c r="U27" s="338"/>
      <c r="V27" s="338"/>
      <c r="W27" s="338"/>
      <c r="X27" s="338"/>
      <c r="Y27" s="338"/>
      <c r="Z27" s="338"/>
    </row>
    <row r="28" ht="15.75" customHeight="1">
      <c r="A28" s="363" t="s">
        <v>2657</v>
      </c>
      <c r="B28" s="363" t="s">
        <v>2646</v>
      </c>
      <c r="C28" s="338"/>
      <c r="D28" s="338"/>
      <c r="E28" s="338"/>
      <c r="F28" s="338"/>
      <c r="G28" s="338"/>
      <c r="H28" s="338"/>
      <c r="I28" s="338"/>
      <c r="J28" s="338"/>
      <c r="K28" s="338"/>
      <c r="L28" s="338"/>
      <c r="M28" s="338"/>
      <c r="N28" s="338"/>
      <c r="O28" s="338"/>
      <c r="P28" s="338"/>
      <c r="Q28" s="338"/>
      <c r="R28" s="338"/>
      <c r="S28" s="338"/>
      <c r="T28" s="338"/>
      <c r="U28" s="338"/>
      <c r="V28" s="338"/>
      <c r="W28" s="338"/>
      <c r="X28" s="338"/>
      <c r="Y28" s="338"/>
      <c r="Z28" s="338"/>
    </row>
    <row r="29" ht="15.75" customHeight="1">
      <c r="A29" s="338"/>
      <c r="B29" s="338"/>
      <c r="C29" s="338"/>
      <c r="D29" s="338"/>
      <c r="E29" s="338" t="s">
        <v>563</v>
      </c>
      <c r="F29" s="338"/>
      <c r="G29" s="338"/>
      <c r="H29" s="338"/>
      <c r="I29" s="338"/>
      <c r="J29" s="338"/>
      <c r="K29" s="338"/>
      <c r="L29" s="338"/>
      <c r="M29" s="338"/>
      <c r="N29" s="338"/>
      <c r="O29" s="338"/>
      <c r="P29" s="338"/>
      <c r="Q29" s="338"/>
      <c r="R29" s="338"/>
      <c r="S29" s="338"/>
      <c r="T29" s="338"/>
      <c r="U29" s="338"/>
      <c r="V29" s="338"/>
      <c r="W29" s="338"/>
      <c r="X29" s="338"/>
      <c r="Y29" s="338"/>
      <c r="Z29" s="338"/>
    </row>
    <row r="30" ht="15.75" customHeight="1">
      <c r="A30" s="338"/>
      <c r="B30" s="338"/>
      <c r="C30" s="338"/>
      <c r="D30" s="338"/>
      <c r="E30" s="338"/>
      <c r="F30" s="338"/>
      <c r="G30" s="338"/>
      <c r="H30" s="338"/>
      <c r="I30" s="338"/>
      <c r="J30" s="338"/>
      <c r="K30" s="338"/>
      <c r="L30" s="338"/>
      <c r="M30" s="338"/>
      <c r="N30" s="338"/>
      <c r="O30" s="338"/>
      <c r="P30" s="338"/>
      <c r="Q30" s="338"/>
      <c r="R30" s="338"/>
      <c r="S30" s="338"/>
      <c r="T30" s="338"/>
      <c r="U30" s="338"/>
      <c r="V30" s="338"/>
      <c r="W30" s="338"/>
      <c r="X30" s="338"/>
      <c r="Y30" s="338"/>
      <c r="Z30" s="338"/>
    </row>
    <row r="31" ht="15.75" customHeight="1">
      <c r="A31" s="338"/>
      <c r="B31" s="338"/>
      <c r="C31" s="338"/>
      <c r="D31" s="338"/>
      <c r="E31" s="338"/>
      <c r="F31" s="338"/>
      <c r="G31" s="338"/>
      <c r="H31" s="338"/>
      <c r="I31" s="338"/>
      <c r="J31" s="338"/>
      <c r="K31" s="338"/>
      <c r="L31" s="338"/>
      <c r="M31" s="338"/>
      <c r="N31" s="338"/>
      <c r="O31" s="338"/>
      <c r="P31" s="338"/>
      <c r="Q31" s="338"/>
      <c r="R31" s="338"/>
      <c r="S31" s="338"/>
      <c r="T31" s="338"/>
      <c r="U31" s="338"/>
      <c r="V31" s="338"/>
      <c r="W31" s="338"/>
      <c r="X31" s="338"/>
      <c r="Y31" s="338"/>
      <c r="Z31" s="338"/>
    </row>
    <row r="32" ht="15.75" customHeight="1">
      <c r="A32" s="338"/>
      <c r="B32" s="338"/>
      <c r="C32" s="338"/>
      <c r="D32" s="338"/>
      <c r="E32" s="338"/>
      <c r="F32" s="338"/>
      <c r="G32" s="338"/>
      <c r="H32" s="338"/>
      <c r="I32" s="338"/>
      <c r="J32" s="338"/>
      <c r="K32" s="338"/>
      <c r="L32" s="338"/>
      <c r="M32" s="338"/>
      <c r="N32" s="338"/>
      <c r="O32" s="338"/>
      <c r="P32" s="338"/>
      <c r="Q32" s="338"/>
      <c r="R32" s="338"/>
      <c r="S32" s="338"/>
      <c r="T32" s="338"/>
      <c r="U32" s="338"/>
      <c r="V32" s="338"/>
      <c r="W32" s="338"/>
      <c r="X32" s="338"/>
      <c r="Y32" s="338"/>
      <c r="Z32" s="338"/>
    </row>
    <row r="33" ht="15.75" customHeight="1">
      <c r="A33" s="338"/>
      <c r="B33" s="338"/>
      <c r="C33" s="338"/>
      <c r="D33" s="338"/>
      <c r="E33" s="338"/>
      <c r="F33" s="338"/>
      <c r="G33" s="338"/>
      <c r="H33" s="338"/>
      <c r="I33" s="338"/>
      <c r="J33" s="338"/>
      <c r="K33" s="338"/>
      <c r="L33" s="338"/>
      <c r="M33" s="338"/>
      <c r="N33" s="338"/>
      <c r="O33" s="338"/>
      <c r="P33" s="338"/>
      <c r="Q33" s="338"/>
      <c r="R33" s="338"/>
      <c r="S33" s="338"/>
      <c r="T33" s="338"/>
      <c r="U33" s="338"/>
      <c r="V33" s="338"/>
      <c r="W33" s="338"/>
      <c r="X33" s="338"/>
      <c r="Y33" s="338"/>
      <c r="Z33" s="338"/>
    </row>
    <row r="34" ht="15.75" customHeight="1">
      <c r="A34" s="338"/>
      <c r="B34" s="338"/>
      <c r="C34" s="338"/>
      <c r="D34" s="338"/>
      <c r="E34" s="338"/>
      <c r="F34" s="338"/>
      <c r="G34" s="338"/>
      <c r="H34" s="338"/>
      <c r="I34" s="338"/>
      <c r="J34" s="338"/>
      <c r="K34" s="338"/>
      <c r="L34" s="338"/>
      <c r="M34" s="338"/>
      <c r="N34" s="338"/>
      <c r="O34" s="338"/>
      <c r="P34" s="338"/>
      <c r="Q34" s="338"/>
      <c r="R34" s="338"/>
      <c r="S34" s="338"/>
      <c r="T34" s="338"/>
      <c r="U34" s="338"/>
      <c r="V34" s="338"/>
      <c r="W34" s="338"/>
      <c r="X34" s="338"/>
      <c r="Y34" s="338"/>
      <c r="Z34" s="338"/>
    </row>
    <row r="35" ht="15.75" customHeight="1">
      <c r="A35" s="338"/>
      <c r="B35" s="338"/>
      <c r="C35" s="338"/>
      <c r="D35" s="338"/>
      <c r="E35" s="338"/>
      <c r="F35" s="338"/>
      <c r="G35" s="338"/>
      <c r="H35" s="338"/>
      <c r="I35" s="338"/>
      <c r="J35" s="338"/>
      <c r="K35" s="338"/>
      <c r="L35" s="338"/>
      <c r="M35" s="338"/>
      <c r="N35" s="338"/>
      <c r="O35" s="338"/>
      <c r="P35" s="338"/>
      <c r="Q35" s="338"/>
      <c r="R35" s="338"/>
      <c r="S35" s="338"/>
      <c r="T35" s="338"/>
      <c r="U35" s="338"/>
      <c r="V35" s="338"/>
      <c r="W35" s="338"/>
      <c r="X35" s="338"/>
      <c r="Y35" s="338"/>
      <c r="Z35" s="338"/>
    </row>
    <row r="36" ht="15.75" customHeight="1">
      <c r="A36" s="338"/>
      <c r="B36" s="338"/>
      <c r="C36" s="338"/>
      <c r="D36" s="338"/>
      <c r="E36" s="338"/>
      <c r="F36" s="338"/>
      <c r="G36" s="338"/>
      <c r="H36" s="338"/>
      <c r="I36" s="338"/>
      <c r="J36" s="338"/>
      <c r="K36" s="338"/>
      <c r="L36" s="338"/>
      <c r="M36" s="338"/>
      <c r="N36" s="338"/>
      <c r="O36" s="338"/>
      <c r="P36" s="338"/>
      <c r="Q36" s="338"/>
      <c r="R36" s="338"/>
      <c r="S36" s="338"/>
      <c r="T36" s="338"/>
      <c r="U36" s="338"/>
      <c r="V36" s="338"/>
      <c r="W36" s="338"/>
      <c r="X36" s="338"/>
      <c r="Y36" s="338"/>
      <c r="Z36" s="338"/>
    </row>
    <row r="37" ht="15.75" customHeight="1">
      <c r="A37" s="338"/>
      <c r="B37" s="338"/>
      <c r="C37" s="338"/>
      <c r="D37" s="338"/>
      <c r="E37" s="338"/>
      <c r="F37" s="338"/>
      <c r="G37" s="338"/>
      <c r="H37" s="338"/>
      <c r="I37" s="338"/>
      <c r="J37" s="338"/>
      <c r="K37" s="338"/>
      <c r="L37" s="338"/>
      <c r="M37" s="338"/>
      <c r="N37" s="338"/>
      <c r="O37" s="338"/>
      <c r="P37" s="338"/>
      <c r="Q37" s="338"/>
      <c r="R37" s="338"/>
      <c r="S37" s="338"/>
      <c r="T37" s="338"/>
      <c r="U37" s="338"/>
      <c r="V37" s="338"/>
      <c r="W37" s="338"/>
      <c r="X37" s="338"/>
      <c r="Y37" s="338"/>
      <c r="Z37" s="338"/>
    </row>
    <row r="38" ht="15.75" customHeight="1">
      <c r="A38" s="338"/>
      <c r="B38" s="338"/>
      <c r="C38" s="338"/>
      <c r="D38" s="338"/>
      <c r="E38" s="338"/>
      <c r="F38" s="338"/>
      <c r="G38" s="338"/>
      <c r="H38" s="338"/>
      <c r="I38" s="338"/>
      <c r="J38" s="338"/>
      <c r="K38" s="338"/>
      <c r="L38" s="338"/>
      <c r="M38" s="338"/>
      <c r="N38" s="338"/>
      <c r="O38" s="338"/>
      <c r="P38" s="338"/>
      <c r="Q38" s="338"/>
      <c r="R38" s="338"/>
      <c r="S38" s="338"/>
      <c r="T38" s="338"/>
      <c r="U38" s="338"/>
      <c r="V38" s="338"/>
      <c r="W38" s="338"/>
      <c r="X38" s="338"/>
      <c r="Y38" s="338"/>
      <c r="Z38" s="338"/>
    </row>
    <row r="39" ht="15.75" customHeight="1">
      <c r="A39" s="338"/>
      <c r="B39" s="338"/>
      <c r="C39" s="338"/>
      <c r="D39" s="338"/>
      <c r="E39" s="338"/>
      <c r="F39" s="338"/>
      <c r="G39" s="338"/>
      <c r="H39" s="338"/>
      <c r="I39" s="338"/>
      <c r="J39" s="338"/>
      <c r="K39" s="338"/>
      <c r="L39" s="338"/>
      <c r="M39" s="338"/>
      <c r="N39" s="338"/>
      <c r="O39" s="338"/>
      <c r="P39" s="338"/>
      <c r="Q39" s="338"/>
      <c r="R39" s="338"/>
      <c r="S39" s="338"/>
      <c r="T39" s="338"/>
      <c r="U39" s="338"/>
      <c r="V39" s="338"/>
      <c r="W39" s="338"/>
      <c r="X39" s="338"/>
      <c r="Y39" s="338"/>
      <c r="Z39" s="338"/>
    </row>
    <row r="40" ht="15.75" customHeight="1">
      <c r="A40" s="338"/>
      <c r="B40" s="338"/>
      <c r="C40" s="338"/>
      <c r="D40" s="338"/>
      <c r="E40" s="338"/>
      <c r="F40" s="338"/>
      <c r="G40" s="338"/>
      <c r="H40" s="338"/>
      <c r="I40" s="338"/>
      <c r="J40" s="338"/>
      <c r="K40" s="338"/>
      <c r="L40" s="338"/>
      <c r="M40" s="338"/>
      <c r="N40" s="338"/>
      <c r="O40" s="338"/>
      <c r="P40" s="338"/>
      <c r="Q40" s="338"/>
      <c r="R40" s="338"/>
      <c r="S40" s="338"/>
      <c r="T40" s="338"/>
      <c r="U40" s="338"/>
      <c r="V40" s="338"/>
      <c r="W40" s="338"/>
      <c r="X40" s="338"/>
      <c r="Y40" s="338"/>
      <c r="Z40" s="338"/>
    </row>
    <row r="41" ht="15.75" customHeight="1">
      <c r="A41" s="338"/>
      <c r="B41" s="338"/>
      <c r="C41" s="338"/>
      <c r="D41" s="338"/>
      <c r="E41" s="338"/>
      <c r="F41" s="338"/>
      <c r="G41" s="338"/>
      <c r="H41" s="338"/>
      <c r="I41" s="338"/>
      <c r="J41" s="338"/>
      <c r="K41" s="338"/>
      <c r="L41" s="338"/>
      <c r="M41" s="338"/>
      <c r="N41" s="338"/>
      <c r="O41" s="338"/>
      <c r="P41" s="338"/>
      <c r="Q41" s="338"/>
      <c r="R41" s="338"/>
      <c r="S41" s="338"/>
      <c r="T41" s="338"/>
      <c r="U41" s="338"/>
      <c r="V41" s="338"/>
      <c r="W41" s="338"/>
      <c r="X41" s="338"/>
      <c r="Y41" s="338"/>
      <c r="Z41" s="338"/>
    </row>
    <row r="42" ht="15.75" customHeight="1">
      <c r="A42" s="338"/>
      <c r="B42" s="338"/>
      <c r="C42" s="338"/>
      <c r="D42" s="338"/>
      <c r="E42" s="338"/>
      <c r="F42" s="338"/>
      <c r="G42" s="338"/>
      <c r="H42" s="338"/>
      <c r="I42" s="338"/>
      <c r="J42" s="338"/>
      <c r="K42" s="338"/>
      <c r="L42" s="338"/>
      <c r="M42" s="338"/>
      <c r="N42" s="338"/>
      <c r="O42" s="338"/>
      <c r="P42" s="338"/>
      <c r="Q42" s="338"/>
      <c r="R42" s="338"/>
      <c r="S42" s="338"/>
      <c r="T42" s="338"/>
      <c r="U42" s="338"/>
      <c r="V42" s="338"/>
      <c r="W42" s="338"/>
      <c r="X42" s="338"/>
      <c r="Y42" s="338"/>
      <c r="Z42" s="338"/>
    </row>
    <row r="43" ht="15.75" customHeight="1">
      <c r="A43" s="338"/>
      <c r="B43" s="338"/>
      <c r="C43" s="338"/>
      <c r="D43" s="338"/>
      <c r="E43" s="338"/>
      <c r="F43" s="338"/>
      <c r="G43" s="338"/>
      <c r="H43" s="338"/>
      <c r="I43" s="338"/>
      <c r="J43" s="338"/>
      <c r="K43" s="338"/>
      <c r="L43" s="338"/>
      <c r="M43" s="338"/>
      <c r="N43" s="338"/>
      <c r="O43" s="338"/>
      <c r="P43" s="338"/>
      <c r="Q43" s="338"/>
      <c r="R43" s="338"/>
      <c r="S43" s="338"/>
      <c r="T43" s="338"/>
      <c r="U43" s="338"/>
      <c r="V43" s="338"/>
      <c r="W43" s="338"/>
      <c r="X43" s="338"/>
      <c r="Y43" s="338"/>
      <c r="Z43" s="338"/>
    </row>
    <row r="44" ht="15.75" customHeight="1">
      <c r="A44" s="338"/>
      <c r="B44" s="338"/>
      <c r="C44" s="338"/>
      <c r="D44" s="338"/>
      <c r="E44" s="338"/>
      <c r="F44" s="338"/>
      <c r="G44" s="338"/>
      <c r="H44" s="338"/>
      <c r="I44" s="338"/>
      <c r="J44" s="338"/>
      <c r="K44" s="338"/>
      <c r="L44" s="338"/>
      <c r="M44" s="338"/>
      <c r="N44" s="338"/>
      <c r="O44" s="338"/>
      <c r="P44" s="338"/>
      <c r="Q44" s="338"/>
      <c r="R44" s="338"/>
      <c r="S44" s="338"/>
      <c r="T44" s="338"/>
      <c r="U44" s="338"/>
      <c r="V44" s="338"/>
      <c r="W44" s="338"/>
      <c r="X44" s="338"/>
      <c r="Y44" s="338"/>
      <c r="Z44" s="338"/>
    </row>
    <row r="45" ht="15.75" customHeight="1">
      <c r="A45" s="338"/>
      <c r="B45" s="338"/>
      <c r="C45" s="338"/>
      <c r="D45" s="338"/>
      <c r="E45" s="338"/>
      <c r="F45" s="338"/>
      <c r="G45" s="338"/>
      <c r="H45" s="338"/>
      <c r="I45" s="338"/>
      <c r="J45" s="338"/>
      <c r="K45" s="338"/>
      <c r="L45" s="338"/>
      <c r="M45" s="338"/>
      <c r="N45" s="338"/>
      <c r="O45" s="338"/>
      <c r="P45" s="338"/>
      <c r="Q45" s="338"/>
      <c r="R45" s="338"/>
      <c r="S45" s="338"/>
      <c r="T45" s="338"/>
      <c r="U45" s="338"/>
      <c r="V45" s="338"/>
      <c r="W45" s="338"/>
      <c r="X45" s="338"/>
      <c r="Y45" s="338"/>
      <c r="Z45" s="338"/>
    </row>
    <row r="46" ht="15.75" customHeight="1">
      <c r="A46" s="338"/>
      <c r="B46" s="338"/>
      <c r="C46" s="338"/>
      <c r="D46" s="338"/>
      <c r="E46" s="338"/>
      <c r="F46" s="338"/>
      <c r="G46" s="338"/>
      <c r="H46" s="338"/>
      <c r="I46" s="338"/>
      <c r="J46" s="338"/>
      <c r="K46" s="338"/>
      <c r="L46" s="338"/>
      <c r="M46" s="338"/>
      <c r="N46" s="338"/>
      <c r="O46" s="338"/>
      <c r="P46" s="338"/>
      <c r="Q46" s="338"/>
      <c r="R46" s="338"/>
      <c r="S46" s="338"/>
      <c r="T46" s="338"/>
      <c r="U46" s="338"/>
      <c r="V46" s="338"/>
      <c r="W46" s="338"/>
      <c r="X46" s="338"/>
      <c r="Y46" s="338"/>
      <c r="Z46" s="338"/>
    </row>
    <row r="47" ht="15.75" customHeight="1">
      <c r="A47" s="338"/>
      <c r="B47" s="338"/>
      <c r="C47" s="338"/>
      <c r="D47" s="338"/>
      <c r="E47" s="338"/>
      <c r="F47" s="338"/>
      <c r="G47" s="338"/>
      <c r="H47" s="338"/>
      <c r="I47" s="338"/>
      <c r="J47" s="338"/>
      <c r="K47" s="338"/>
      <c r="L47" s="338"/>
      <c r="M47" s="338"/>
      <c r="N47" s="338"/>
      <c r="O47" s="338"/>
      <c r="P47" s="338"/>
      <c r="Q47" s="338"/>
      <c r="R47" s="338"/>
      <c r="S47" s="338"/>
      <c r="T47" s="338"/>
      <c r="U47" s="338"/>
      <c r="V47" s="338"/>
      <c r="W47" s="338"/>
      <c r="X47" s="338"/>
      <c r="Y47" s="338"/>
      <c r="Z47" s="338"/>
    </row>
    <row r="48" ht="15.75" customHeight="1">
      <c r="A48" s="338"/>
      <c r="B48" s="338"/>
      <c r="C48" s="338"/>
      <c r="D48" s="338"/>
      <c r="E48" s="338"/>
      <c r="F48" s="338"/>
      <c r="G48" s="338"/>
      <c r="H48" s="338"/>
      <c r="I48" s="338"/>
      <c r="J48" s="338"/>
      <c r="K48" s="338"/>
      <c r="L48" s="338"/>
      <c r="M48" s="338"/>
      <c r="N48" s="338"/>
      <c r="O48" s="338"/>
      <c r="P48" s="338"/>
      <c r="Q48" s="338"/>
      <c r="R48" s="338"/>
      <c r="S48" s="338"/>
      <c r="T48" s="338"/>
      <c r="U48" s="338"/>
      <c r="V48" s="338"/>
      <c r="W48" s="338"/>
      <c r="X48" s="338"/>
      <c r="Y48" s="338"/>
      <c r="Z48" s="338"/>
    </row>
    <row r="49" ht="15.75" customHeight="1">
      <c r="A49" s="338"/>
      <c r="B49" s="338"/>
      <c r="C49" s="338"/>
      <c r="D49" s="338"/>
      <c r="E49" s="338"/>
      <c r="F49" s="338"/>
      <c r="G49" s="338"/>
      <c r="H49" s="338"/>
      <c r="I49" s="338"/>
      <c r="J49" s="338"/>
      <c r="K49" s="338"/>
      <c r="L49" s="338"/>
      <c r="M49" s="338"/>
      <c r="N49" s="338"/>
      <c r="O49" s="338"/>
      <c r="P49" s="338"/>
      <c r="Q49" s="338"/>
      <c r="R49" s="338"/>
      <c r="S49" s="338"/>
      <c r="T49" s="338"/>
      <c r="U49" s="338"/>
      <c r="V49" s="338"/>
      <c r="W49" s="338"/>
      <c r="X49" s="338"/>
      <c r="Y49" s="338"/>
      <c r="Z49" s="338"/>
    </row>
    <row r="50" ht="15.75" customHeight="1">
      <c r="A50" s="338"/>
      <c r="B50" s="338"/>
      <c r="C50" s="338"/>
      <c r="D50" s="338"/>
      <c r="E50" s="338"/>
      <c r="F50" s="338"/>
      <c r="G50" s="338"/>
      <c r="H50" s="338"/>
      <c r="I50" s="338"/>
      <c r="J50" s="338"/>
      <c r="K50" s="338"/>
      <c r="L50" s="338"/>
      <c r="M50" s="338"/>
      <c r="N50" s="338"/>
      <c r="O50" s="338"/>
      <c r="P50" s="338"/>
      <c r="Q50" s="338"/>
      <c r="R50" s="338"/>
      <c r="S50" s="338"/>
      <c r="T50" s="338"/>
      <c r="U50" s="338"/>
      <c r="V50" s="338"/>
      <c r="W50" s="338"/>
      <c r="X50" s="338"/>
      <c r="Y50" s="338"/>
      <c r="Z50" s="338"/>
    </row>
    <row r="51" ht="15.75" customHeight="1">
      <c r="A51" s="338"/>
      <c r="B51" s="338"/>
      <c r="C51" s="338"/>
      <c r="D51" s="338"/>
      <c r="E51" s="338"/>
      <c r="F51" s="338"/>
      <c r="G51" s="338"/>
      <c r="H51" s="338"/>
      <c r="I51" s="338"/>
      <c r="J51" s="338"/>
      <c r="K51" s="338"/>
      <c r="L51" s="338"/>
      <c r="M51" s="338"/>
      <c r="N51" s="338"/>
      <c r="O51" s="338"/>
      <c r="P51" s="338"/>
      <c r="Q51" s="338"/>
      <c r="R51" s="338"/>
      <c r="S51" s="338"/>
      <c r="T51" s="338"/>
      <c r="U51" s="338"/>
      <c r="V51" s="338"/>
      <c r="W51" s="338"/>
      <c r="X51" s="338"/>
      <c r="Y51" s="338"/>
      <c r="Z51" s="338"/>
    </row>
    <row r="52" ht="15.75" customHeight="1">
      <c r="A52" s="338"/>
      <c r="B52" s="338"/>
      <c r="C52" s="338"/>
      <c r="D52" s="338"/>
      <c r="E52" s="338"/>
      <c r="F52" s="338"/>
      <c r="G52" s="338"/>
      <c r="H52" s="338"/>
      <c r="I52" s="338"/>
      <c r="J52" s="338"/>
      <c r="K52" s="338"/>
      <c r="L52" s="338"/>
      <c r="M52" s="338"/>
      <c r="N52" s="338"/>
      <c r="O52" s="338"/>
      <c r="P52" s="338"/>
      <c r="Q52" s="338"/>
      <c r="R52" s="338"/>
      <c r="S52" s="338"/>
      <c r="T52" s="338"/>
      <c r="U52" s="338"/>
      <c r="V52" s="338"/>
      <c r="W52" s="338"/>
      <c r="X52" s="338"/>
      <c r="Y52" s="338"/>
      <c r="Z52" s="338"/>
    </row>
    <row r="53" ht="15.75" customHeight="1">
      <c r="A53" s="338"/>
      <c r="B53" s="338"/>
      <c r="C53" s="338"/>
      <c r="D53" s="338"/>
      <c r="E53" s="338"/>
      <c r="F53" s="338"/>
      <c r="G53" s="338"/>
      <c r="H53" s="338"/>
      <c r="I53" s="338"/>
      <c r="J53" s="338"/>
      <c r="K53" s="338"/>
      <c r="L53" s="338"/>
      <c r="M53" s="338"/>
      <c r="N53" s="338"/>
      <c r="O53" s="338"/>
      <c r="P53" s="338"/>
      <c r="Q53" s="338"/>
      <c r="R53" s="338"/>
      <c r="S53" s="338"/>
      <c r="T53" s="338"/>
      <c r="U53" s="338"/>
      <c r="V53" s="338"/>
      <c r="W53" s="338"/>
      <c r="X53" s="338"/>
      <c r="Y53" s="338"/>
      <c r="Z53" s="338"/>
    </row>
    <row r="54" ht="15.75" customHeight="1">
      <c r="A54" s="338"/>
      <c r="B54" s="338"/>
      <c r="C54" s="338"/>
      <c r="D54" s="338"/>
      <c r="E54" s="338"/>
      <c r="F54" s="338"/>
      <c r="G54" s="338"/>
      <c r="H54" s="338"/>
      <c r="I54" s="338"/>
      <c r="J54" s="338"/>
      <c r="K54" s="338"/>
      <c r="L54" s="338"/>
      <c r="M54" s="338"/>
      <c r="N54" s="338"/>
      <c r="O54" s="338"/>
      <c r="P54" s="338"/>
      <c r="Q54" s="338"/>
      <c r="R54" s="338"/>
      <c r="S54" s="338"/>
      <c r="T54" s="338"/>
      <c r="U54" s="338"/>
      <c r="V54" s="338"/>
      <c r="W54" s="338"/>
      <c r="X54" s="338"/>
      <c r="Y54" s="338"/>
      <c r="Z54" s="338"/>
    </row>
    <row r="55" ht="15.75" customHeight="1">
      <c r="A55" s="338"/>
      <c r="B55" s="338"/>
      <c r="C55" s="338"/>
      <c r="D55" s="338"/>
      <c r="E55" s="338"/>
      <c r="F55" s="338"/>
      <c r="G55" s="338"/>
      <c r="H55" s="338"/>
      <c r="I55" s="338"/>
      <c r="J55" s="338"/>
      <c r="K55" s="338"/>
      <c r="L55" s="338"/>
      <c r="M55" s="338"/>
      <c r="N55" s="338"/>
      <c r="O55" s="338"/>
      <c r="P55" s="338"/>
      <c r="Q55" s="338"/>
      <c r="R55" s="338"/>
      <c r="S55" s="338"/>
      <c r="T55" s="338"/>
      <c r="U55" s="338"/>
      <c r="V55" s="338"/>
      <c r="W55" s="338"/>
      <c r="X55" s="338"/>
      <c r="Y55" s="338"/>
      <c r="Z55" s="338"/>
    </row>
    <row r="56" ht="15.75" customHeight="1">
      <c r="A56" s="338"/>
      <c r="B56" s="338"/>
      <c r="C56" s="338"/>
      <c r="D56" s="338"/>
      <c r="E56" s="338"/>
      <c r="F56" s="338"/>
      <c r="G56" s="338"/>
      <c r="H56" s="338"/>
      <c r="I56" s="338"/>
      <c r="J56" s="338"/>
      <c r="K56" s="338"/>
      <c r="L56" s="338"/>
      <c r="M56" s="338"/>
      <c r="N56" s="338"/>
      <c r="O56" s="338"/>
      <c r="P56" s="338"/>
      <c r="Q56" s="338"/>
      <c r="R56" s="338"/>
      <c r="S56" s="338"/>
      <c r="T56" s="338"/>
      <c r="U56" s="338"/>
      <c r="V56" s="338"/>
      <c r="W56" s="338"/>
      <c r="X56" s="338"/>
      <c r="Y56" s="338"/>
      <c r="Z56" s="338"/>
    </row>
    <row r="57" ht="15.75" customHeight="1">
      <c r="A57" s="338"/>
      <c r="B57" s="338"/>
      <c r="C57" s="338"/>
      <c r="D57" s="338"/>
      <c r="E57" s="338"/>
      <c r="F57" s="338"/>
      <c r="G57" s="338"/>
      <c r="H57" s="338"/>
      <c r="I57" s="338"/>
      <c r="J57" s="338"/>
      <c r="K57" s="338"/>
      <c r="L57" s="338"/>
      <c r="M57" s="338"/>
      <c r="N57" s="338"/>
      <c r="O57" s="338"/>
      <c r="P57" s="338"/>
      <c r="Q57" s="338"/>
      <c r="R57" s="338"/>
      <c r="S57" s="338"/>
      <c r="T57" s="338"/>
      <c r="U57" s="338"/>
      <c r="V57" s="338"/>
      <c r="W57" s="338"/>
      <c r="X57" s="338"/>
      <c r="Y57" s="338"/>
      <c r="Z57" s="338"/>
    </row>
    <row r="58" ht="15.75" customHeight="1">
      <c r="A58" s="338"/>
      <c r="B58" s="338"/>
      <c r="C58" s="338"/>
      <c r="D58" s="338"/>
      <c r="E58" s="338"/>
      <c r="F58" s="338"/>
      <c r="G58" s="338"/>
      <c r="H58" s="338"/>
      <c r="I58" s="338"/>
      <c r="J58" s="338"/>
      <c r="K58" s="338"/>
      <c r="L58" s="338"/>
      <c r="M58" s="338"/>
      <c r="N58" s="338"/>
      <c r="O58" s="338"/>
      <c r="P58" s="338"/>
      <c r="Q58" s="338"/>
      <c r="R58" s="338"/>
      <c r="S58" s="338"/>
      <c r="T58" s="338"/>
      <c r="U58" s="338"/>
      <c r="V58" s="338"/>
      <c r="W58" s="338"/>
      <c r="X58" s="338"/>
      <c r="Y58" s="338"/>
      <c r="Z58" s="338"/>
    </row>
    <row r="59" ht="15.75" customHeight="1">
      <c r="A59" s="338"/>
      <c r="B59" s="338"/>
      <c r="C59" s="338"/>
      <c r="D59" s="338"/>
      <c r="E59" s="338"/>
      <c r="F59" s="338"/>
      <c r="G59" s="338"/>
      <c r="H59" s="338"/>
      <c r="I59" s="338"/>
      <c r="J59" s="338"/>
      <c r="K59" s="338"/>
      <c r="L59" s="338"/>
      <c r="M59" s="338"/>
      <c r="N59" s="338"/>
      <c r="O59" s="338"/>
      <c r="P59" s="338"/>
      <c r="Q59" s="338"/>
      <c r="R59" s="338"/>
      <c r="S59" s="338"/>
      <c r="T59" s="338"/>
      <c r="U59" s="338"/>
      <c r="V59" s="338"/>
      <c r="W59" s="338"/>
      <c r="X59" s="338"/>
      <c r="Y59" s="338"/>
      <c r="Z59" s="338"/>
    </row>
    <row r="60" ht="15.75" customHeight="1">
      <c r="A60" s="338"/>
      <c r="B60" s="338"/>
      <c r="C60" s="338"/>
      <c r="D60" s="338"/>
      <c r="E60" s="338"/>
      <c r="F60" s="338"/>
      <c r="G60" s="338"/>
      <c r="H60" s="338"/>
      <c r="I60" s="338"/>
      <c r="J60" s="338"/>
      <c r="K60" s="338"/>
      <c r="L60" s="338"/>
      <c r="M60" s="338"/>
      <c r="N60" s="338"/>
      <c r="O60" s="338"/>
      <c r="P60" s="338"/>
      <c r="Q60" s="338"/>
      <c r="R60" s="338"/>
      <c r="S60" s="338"/>
      <c r="T60" s="338"/>
      <c r="U60" s="338"/>
      <c r="V60" s="338"/>
      <c r="W60" s="338"/>
      <c r="X60" s="338"/>
      <c r="Y60" s="338"/>
      <c r="Z60" s="338"/>
    </row>
    <row r="61" ht="15.75" customHeight="1">
      <c r="A61" s="338"/>
      <c r="B61" s="338"/>
      <c r="C61" s="338"/>
      <c r="D61" s="338"/>
      <c r="E61" s="338"/>
      <c r="F61" s="338"/>
      <c r="G61" s="338"/>
      <c r="H61" s="338"/>
      <c r="I61" s="338"/>
      <c r="J61" s="338"/>
      <c r="K61" s="338"/>
      <c r="L61" s="338"/>
      <c r="M61" s="338"/>
      <c r="N61" s="338"/>
      <c r="O61" s="338"/>
      <c r="P61" s="338"/>
      <c r="Q61" s="338"/>
      <c r="R61" s="338"/>
      <c r="S61" s="338"/>
      <c r="T61" s="338"/>
      <c r="U61" s="338"/>
      <c r="V61" s="338"/>
      <c r="W61" s="338"/>
      <c r="X61" s="338"/>
      <c r="Y61" s="338"/>
      <c r="Z61" s="338"/>
    </row>
    <row r="62" ht="15.75" customHeight="1">
      <c r="A62" s="338"/>
      <c r="B62" s="338"/>
      <c r="C62" s="338"/>
      <c r="D62" s="338"/>
      <c r="E62" s="338"/>
      <c r="F62" s="338"/>
      <c r="G62" s="338"/>
      <c r="H62" s="338"/>
      <c r="I62" s="338"/>
      <c r="J62" s="338"/>
      <c r="K62" s="338"/>
      <c r="L62" s="338"/>
      <c r="M62" s="338"/>
      <c r="N62" s="338"/>
      <c r="O62" s="338"/>
      <c r="P62" s="338"/>
      <c r="Q62" s="338"/>
      <c r="R62" s="338"/>
      <c r="S62" s="338"/>
      <c r="T62" s="338"/>
      <c r="U62" s="338"/>
      <c r="V62" s="338"/>
      <c r="W62" s="338"/>
      <c r="X62" s="338"/>
      <c r="Y62" s="338"/>
      <c r="Z62" s="338"/>
    </row>
    <row r="63" ht="15.75" customHeight="1">
      <c r="A63" s="338"/>
      <c r="B63" s="338"/>
      <c r="C63" s="338"/>
      <c r="D63" s="338"/>
      <c r="E63" s="338"/>
      <c r="F63" s="338"/>
      <c r="G63" s="338"/>
      <c r="H63" s="338"/>
      <c r="I63" s="338"/>
      <c r="J63" s="338"/>
      <c r="K63" s="338"/>
      <c r="L63" s="338"/>
      <c r="M63" s="338"/>
      <c r="N63" s="338"/>
      <c r="O63" s="338"/>
      <c r="P63" s="338"/>
      <c r="Q63" s="338"/>
      <c r="R63" s="338"/>
      <c r="S63" s="338"/>
      <c r="T63" s="338"/>
      <c r="U63" s="338"/>
      <c r="V63" s="338"/>
      <c r="W63" s="338"/>
      <c r="X63" s="338"/>
      <c r="Y63" s="338"/>
      <c r="Z63" s="338"/>
    </row>
    <row r="64" ht="15.75" customHeight="1">
      <c r="A64" s="338"/>
      <c r="B64" s="338"/>
      <c r="C64" s="338"/>
      <c r="D64" s="338"/>
      <c r="E64" s="338"/>
      <c r="F64" s="338"/>
      <c r="G64" s="338"/>
      <c r="H64" s="338"/>
      <c r="I64" s="338"/>
      <c r="J64" s="338"/>
      <c r="K64" s="338"/>
      <c r="L64" s="338"/>
      <c r="M64" s="338"/>
      <c r="N64" s="338"/>
      <c r="O64" s="338"/>
      <c r="P64" s="338"/>
      <c r="Q64" s="338"/>
      <c r="R64" s="338"/>
      <c r="S64" s="338"/>
      <c r="T64" s="338"/>
      <c r="U64" s="338"/>
      <c r="V64" s="338"/>
      <c r="W64" s="338"/>
      <c r="X64" s="338"/>
      <c r="Y64" s="338"/>
      <c r="Z64" s="338"/>
    </row>
    <row r="65" ht="15.75" customHeight="1">
      <c r="A65" s="338"/>
      <c r="B65" s="338"/>
      <c r="C65" s="338"/>
      <c r="D65" s="338"/>
      <c r="E65" s="338"/>
      <c r="F65" s="338"/>
      <c r="G65" s="338"/>
      <c r="H65" s="338"/>
      <c r="I65" s="338"/>
      <c r="J65" s="338"/>
      <c r="K65" s="338"/>
      <c r="L65" s="338"/>
      <c r="M65" s="338"/>
      <c r="N65" s="338"/>
      <c r="O65" s="338"/>
      <c r="P65" s="338"/>
      <c r="Q65" s="338"/>
      <c r="R65" s="338"/>
      <c r="S65" s="338"/>
      <c r="T65" s="338"/>
      <c r="U65" s="338"/>
      <c r="V65" s="338"/>
      <c r="W65" s="338"/>
      <c r="X65" s="338"/>
      <c r="Y65" s="338"/>
      <c r="Z65" s="338"/>
    </row>
    <row r="66" ht="15.75" customHeight="1">
      <c r="A66" s="338"/>
      <c r="B66" s="338"/>
      <c r="C66" s="338"/>
      <c r="D66" s="338"/>
      <c r="E66" s="338"/>
      <c r="F66" s="338"/>
      <c r="G66" s="338"/>
      <c r="H66" s="338"/>
      <c r="I66" s="338"/>
      <c r="J66" s="338"/>
      <c r="K66" s="338"/>
      <c r="L66" s="338"/>
      <c r="M66" s="338"/>
      <c r="N66" s="338"/>
      <c r="O66" s="338"/>
      <c r="P66" s="338"/>
      <c r="Q66" s="338"/>
      <c r="R66" s="338"/>
      <c r="S66" s="338"/>
      <c r="T66" s="338"/>
      <c r="U66" s="338"/>
      <c r="V66" s="338"/>
      <c r="W66" s="338"/>
      <c r="X66" s="338"/>
      <c r="Y66" s="338"/>
      <c r="Z66" s="338"/>
    </row>
    <row r="67" ht="15.75" customHeight="1">
      <c r="A67" s="338"/>
      <c r="B67" s="338"/>
      <c r="C67" s="338"/>
      <c r="D67" s="338"/>
      <c r="E67" s="338"/>
      <c r="F67" s="338"/>
      <c r="G67" s="338"/>
      <c r="H67" s="338"/>
      <c r="I67" s="338"/>
      <c r="J67" s="338"/>
      <c r="K67" s="338"/>
      <c r="L67" s="338"/>
      <c r="M67" s="338"/>
      <c r="N67" s="338"/>
      <c r="O67" s="338"/>
      <c r="P67" s="338"/>
      <c r="Q67" s="338"/>
      <c r="R67" s="338"/>
      <c r="S67" s="338"/>
      <c r="T67" s="338"/>
      <c r="U67" s="338"/>
      <c r="V67" s="338"/>
      <c r="W67" s="338"/>
      <c r="X67" s="338"/>
      <c r="Y67" s="338"/>
      <c r="Z67" s="338"/>
    </row>
    <row r="68" ht="15.75" customHeight="1">
      <c r="A68" s="338"/>
      <c r="B68" s="338"/>
      <c r="C68" s="338"/>
      <c r="D68" s="338"/>
      <c r="E68" s="338"/>
      <c r="F68" s="338"/>
      <c r="G68" s="338"/>
      <c r="H68" s="338"/>
      <c r="I68" s="338"/>
      <c r="J68" s="338"/>
      <c r="K68" s="338"/>
      <c r="L68" s="338"/>
      <c r="M68" s="338"/>
      <c r="N68" s="338"/>
      <c r="O68" s="338"/>
      <c r="P68" s="338"/>
      <c r="Q68" s="338"/>
      <c r="R68" s="338"/>
      <c r="S68" s="338"/>
      <c r="T68" s="338"/>
      <c r="U68" s="338"/>
      <c r="V68" s="338"/>
      <c r="W68" s="338"/>
      <c r="X68" s="338"/>
      <c r="Y68" s="338"/>
      <c r="Z68" s="338"/>
    </row>
    <row r="69" ht="15.75" customHeight="1">
      <c r="A69" s="338"/>
      <c r="B69" s="338"/>
      <c r="C69" s="338"/>
      <c r="D69" s="338"/>
      <c r="E69" s="338"/>
      <c r="F69" s="338"/>
      <c r="G69" s="338"/>
      <c r="H69" s="338"/>
      <c r="I69" s="338"/>
      <c r="J69" s="338"/>
      <c r="K69" s="338"/>
      <c r="L69" s="338"/>
      <c r="M69" s="338"/>
      <c r="N69" s="338"/>
      <c r="O69" s="338"/>
      <c r="P69" s="338"/>
      <c r="Q69" s="338"/>
      <c r="R69" s="338"/>
      <c r="S69" s="338"/>
      <c r="T69" s="338"/>
      <c r="U69" s="338"/>
      <c r="V69" s="338"/>
      <c r="W69" s="338"/>
      <c r="X69" s="338"/>
      <c r="Y69" s="338"/>
      <c r="Z69" s="338"/>
    </row>
    <row r="70" ht="15.75" customHeight="1">
      <c r="A70" s="338"/>
      <c r="B70" s="338"/>
      <c r="C70" s="338"/>
      <c r="D70" s="338"/>
      <c r="E70" s="338"/>
      <c r="F70" s="338"/>
      <c r="G70" s="338"/>
      <c r="H70" s="338"/>
      <c r="I70" s="338"/>
      <c r="J70" s="338"/>
      <c r="K70" s="338"/>
      <c r="L70" s="338"/>
      <c r="M70" s="338"/>
      <c r="N70" s="338"/>
      <c r="O70" s="338"/>
      <c r="P70" s="338"/>
      <c r="Q70" s="338"/>
      <c r="R70" s="338"/>
      <c r="S70" s="338"/>
      <c r="T70" s="338"/>
      <c r="U70" s="338"/>
      <c r="V70" s="338"/>
      <c r="W70" s="338"/>
      <c r="X70" s="338"/>
      <c r="Y70" s="338"/>
      <c r="Z70" s="338"/>
    </row>
    <row r="71" ht="15.75" customHeight="1">
      <c r="A71" s="338"/>
      <c r="B71" s="338"/>
      <c r="C71" s="338"/>
      <c r="D71" s="338"/>
      <c r="E71" s="338"/>
      <c r="F71" s="338"/>
      <c r="G71" s="338"/>
      <c r="H71" s="338"/>
      <c r="I71" s="338"/>
      <c r="J71" s="338"/>
      <c r="K71" s="338"/>
      <c r="L71" s="338"/>
      <c r="M71" s="338"/>
      <c r="N71" s="338"/>
      <c r="O71" s="338"/>
      <c r="P71" s="338"/>
      <c r="Q71" s="338"/>
      <c r="R71" s="338"/>
      <c r="S71" s="338"/>
      <c r="T71" s="338"/>
      <c r="U71" s="338"/>
      <c r="V71" s="338"/>
      <c r="W71" s="338"/>
      <c r="X71" s="338"/>
      <c r="Y71" s="338"/>
      <c r="Z71" s="338"/>
    </row>
    <row r="72" ht="15.75" customHeight="1">
      <c r="A72" s="338"/>
      <c r="B72" s="338"/>
      <c r="C72" s="338"/>
      <c r="D72" s="338"/>
      <c r="E72" s="338"/>
      <c r="F72" s="338"/>
      <c r="G72" s="338"/>
      <c r="H72" s="338"/>
      <c r="I72" s="338"/>
      <c r="J72" s="338"/>
      <c r="K72" s="338"/>
      <c r="L72" s="338"/>
      <c r="M72" s="338"/>
      <c r="N72" s="338"/>
      <c r="O72" s="338"/>
      <c r="P72" s="338"/>
      <c r="Q72" s="338"/>
      <c r="R72" s="338"/>
      <c r="S72" s="338"/>
      <c r="T72" s="338"/>
      <c r="U72" s="338"/>
      <c r="V72" s="338"/>
      <c r="W72" s="338"/>
      <c r="X72" s="338"/>
      <c r="Y72" s="338"/>
      <c r="Z72" s="338"/>
    </row>
    <row r="73" ht="15.75" customHeight="1">
      <c r="A73" s="338"/>
      <c r="B73" s="338"/>
      <c r="C73" s="338"/>
      <c r="D73" s="338"/>
      <c r="E73" s="338"/>
      <c r="F73" s="338"/>
      <c r="G73" s="338"/>
      <c r="H73" s="338"/>
      <c r="I73" s="338"/>
      <c r="J73" s="338"/>
      <c r="K73" s="338"/>
      <c r="L73" s="338"/>
      <c r="M73" s="338"/>
      <c r="N73" s="338"/>
      <c r="O73" s="338"/>
      <c r="P73" s="338"/>
      <c r="Q73" s="338"/>
      <c r="R73" s="338"/>
      <c r="S73" s="338"/>
      <c r="T73" s="338"/>
      <c r="U73" s="338"/>
      <c r="V73" s="338"/>
      <c r="W73" s="338"/>
      <c r="X73" s="338"/>
      <c r="Y73" s="338"/>
      <c r="Z73" s="338"/>
    </row>
    <row r="74" ht="15.75" customHeight="1">
      <c r="A74" s="338"/>
      <c r="B74" s="338"/>
      <c r="C74" s="338"/>
      <c r="D74" s="338"/>
      <c r="E74" s="338"/>
      <c r="F74" s="338"/>
      <c r="G74" s="338"/>
      <c r="H74" s="338"/>
      <c r="I74" s="338"/>
      <c r="J74" s="338"/>
      <c r="K74" s="338"/>
      <c r="L74" s="338"/>
      <c r="M74" s="338"/>
      <c r="N74" s="338"/>
      <c r="O74" s="338"/>
      <c r="P74" s="338"/>
      <c r="Q74" s="338"/>
      <c r="R74" s="338"/>
      <c r="S74" s="338"/>
      <c r="T74" s="338"/>
      <c r="U74" s="338"/>
      <c r="V74" s="338"/>
      <c r="W74" s="338"/>
      <c r="X74" s="338"/>
      <c r="Y74" s="338"/>
      <c r="Z74" s="338"/>
    </row>
    <row r="75" ht="15.75" customHeight="1">
      <c r="A75" s="338"/>
      <c r="B75" s="338"/>
      <c r="C75" s="338"/>
      <c r="D75" s="338"/>
      <c r="E75" s="338"/>
      <c r="F75" s="338"/>
      <c r="G75" s="338"/>
      <c r="H75" s="338"/>
      <c r="I75" s="338"/>
      <c r="J75" s="338"/>
      <c r="K75" s="338"/>
      <c r="L75" s="338"/>
      <c r="M75" s="338"/>
      <c r="N75" s="338"/>
      <c r="O75" s="338"/>
      <c r="P75" s="338"/>
      <c r="Q75" s="338"/>
      <c r="R75" s="338"/>
      <c r="S75" s="338"/>
      <c r="T75" s="338"/>
      <c r="U75" s="338"/>
      <c r="V75" s="338"/>
      <c r="W75" s="338"/>
      <c r="X75" s="338"/>
      <c r="Y75" s="338"/>
      <c r="Z75" s="338"/>
    </row>
    <row r="76" ht="15.75" customHeight="1">
      <c r="A76" s="338"/>
      <c r="B76" s="338"/>
      <c r="C76" s="338"/>
      <c r="D76" s="338"/>
      <c r="E76" s="338"/>
      <c r="F76" s="338"/>
      <c r="G76" s="338"/>
      <c r="H76" s="338"/>
      <c r="I76" s="338"/>
      <c r="J76" s="338"/>
      <c r="K76" s="338"/>
      <c r="L76" s="338"/>
      <c r="M76" s="338"/>
      <c r="N76" s="338"/>
      <c r="O76" s="338"/>
      <c r="P76" s="338"/>
      <c r="Q76" s="338"/>
      <c r="R76" s="338"/>
      <c r="S76" s="338"/>
      <c r="T76" s="338"/>
      <c r="U76" s="338"/>
      <c r="V76" s="338"/>
      <c r="W76" s="338"/>
      <c r="X76" s="338"/>
      <c r="Y76" s="338"/>
      <c r="Z76" s="338"/>
    </row>
    <row r="77" ht="15.75" customHeight="1">
      <c r="A77" s="338"/>
      <c r="B77" s="338"/>
      <c r="C77" s="338"/>
      <c r="D77" s="338"/>
      <c r="E77" s="338"/>
      <c r="F77" s="338"/>
      <c r="G77" s="338"/>
      <c r="H77" s="338"/>
      <c r="I77" s="338"/>
      <c r="J77" s="338"/>
      <c r="K77" s="338"/>
      <c r="L77" s="338"/>
      <c r="M77" s="338"/>
      <c r="N77" s="338"/>
      <c r="O77" s="338"/>
      <c r="P77" s="338"/>
      <c r="Q77" s="338"/>
      <c r="R77" s="338"/>
      <c r="S77" s="338"/>
      <c r="T77" s="338"/>
      <c r="U77" s="338"/>
      <c r="V77" s="338"/>
      <c r="W77" s="338"/>
      <c r="X77" s="338"/>
      <c r="Y77" s="338"/>
      <c r="Z77" s="338"/>
    </row>
    <row r="78" ht="15.75" customHeight="1">
      <c r="A78" s="338"/>
      <c r="B78" s="338"/>
      <c r="C78" s="338"/>
      <c r="D78" s="338"/>
      <c r="E78" s="338"/>
      <c r="F78" s="338"/>
      <c r="G78" s="338"/>
      <c r="H78" s="338"/>
      <c r="I78" s="338"/>
      <c r="J78" s="338"/>
      <c r="K78" s="338"/>
      <c r="L78" s="338"/>
      <c r="M78" s="338"/>
      <c r="N78" s="338"/>
      <c r="O78" s="338"/>
      <c r="P78" s="338"/>
      <c r="Q78" s="338"/>
      <c r="R78" s="338"/>
      <c r="S78" s="338"/>
      <c r="T78" s="338"/>
      <c r="U78" s="338"/>
      <c r="V78" s="338"/>
      <c r="W78" s="338"/>
      <c r="X78" s="338"/>
      <c r="Y78" s="338"/>
      <c r="Z78" s="338"/>
    </row>
    <row r="79" ht="15.75" customHeight="1">
      <c r="A79" s="338"/>
      <c r="B79" s="338"/>
      <c r="C79" s="338"/>
      <c r="D79" s="338"/>
      <c r="E79" s="338"/>
      <c r="F79" s="338"/>
      <c r="G79" s="338"/>
      <c r="H79" s="338"/>
      <c r="I79" s="338"/>
      <c r="J79" s="338"/>
      <c r="K79" s="338"/>
      <c r="L79" s="338"/>
      <c r="M79" s="338"/>
      <c r="N79" s="338"/>
      <c r="O79" s="338"/>
      <c r="P79" s="338"/>
      <c r="Q79" s="338"/>
      <c r="R79" s="338"/>
      <c r="S79" s="338"/>
      <c r="T79" s="338"/>
      <c r="U79" s="338"/>
      <c r="V79" s="338"/>
      <c r="W79" s="338"/>
      <c r="X79" s="338"/>
      <c r="Y79" s="338"/>
      <c r="Z79" s="338"/>
    </row>
    <row r="80" ht="15.75" customHeight="1">
      <c r="A80" s="338"/>
      <c r="B80" s="338"/>
      <c r="C80" s="338"/>
      <c r="D80" s="338"/>
      <c r="E80" s="338"/>
      <c r="F80" s="338"/>
      <c r="G80" s="338"/>
      <c r="H80" s="338"/>
      <c r="I80" s="338"/>
      <c r="J80" s="338"/>
      <c r="K80" s="338"/>
      <c r="L80" s="338"/>
      <c r="M80" s="338"/>
      <c r="N80" s="338"/>
      <c r="O80" s="338"/>
      <c r="P80" s="338"/>
      <c r="Q80" s="338"/>
      <c r="R80" s="338"/>
      <c r="S80" s="338"/>
      <c r="T80" s="338"/>
      <c r="U80" s="338"/>
      <c r="V80" s="338"/>
      <c r="W80" s="338"/>
      <c r="X80" s="338"/>
      <c r="Y80" s="338"/>
      <c r="Z80" s="338"/>
    </row>
    <row r="81" ht="15.75" customHeight="1">
      <c r="A81" s="338"/>
      <c r="B81" s="338"/>
      <c r="C81" s="338"/>
      <c r="D81" s="338"/>
      <c r="E81" s="338"/>
      <c r="F81" s="338"/>
      <c r="G81" s="338"/>
      <c r="H81" s="338"/>
      <c r="I81" s="338"/>
      <c r="J81" s="338"/>
      <c r="K81" s="338"/>
      <c r="L81" s="338"/>
      <c r="M81" s="338"/>
      <c r="N81" s="338"/>
      <c r="O81" s="338"/>
      <c r="P81" s="338"/>
      <c r="Q81" s="338"/>
      <c r="R81" s="338"/>
      <c r="S81" s="338"/>
      <c r="T81" s="338"/>
      <c r="U81" s="338"/>
      <c r="V81" s="338"/>
      <c r="W81" s="338"/>
      <c r="X81" s="338"/>
      <c r="Y81" s="338"/>
      <c r="Z81" s="338"/>
    </row>
    <row r="82" ht="15.75" customHeight="1">
      <c r="A82" s="338"/>
      <c r="B82" s="338"/>
      <c r="C82" s="338"/>
      <c r="D82" s="338"/>
      <c r="E82" s="338"/>
      <c r="F82" s="338"/>
      <c r="G82" s="338"/>
      <c r="H82" s="338"/>
      <c r="I82" s="338"/>
      <c r="J82" s="338"/>
      <c r="K82" s="338"/>
      <c r="L82" s="338"/>
      <c r="M82" s="338"/>
      <c r="N82" s="338"/>
      <c r="O82" s="338"/>
      <c r="P82" s="338"/>
      <c r="Q82" s="338"/>
      <c r="R82" s="338"/>
      <c r="S82" s="338"/>
      <c r="T82" s="338"/>
      <c r="U82" s="338"/>
      <c r="V82" s="338"/>
      <c r="W82" s="338"/>
      <c r="X82" s="338"/>
      <c r="Y82" s="338"/>
      <c r="Z82" s="338"/>
    </row>
    <row r="83" ht="15.75" customHeight="1">
      <c r="A83" s="338"/>
      <c r="B83" s="338"/>
      <c r="C83" s="338"/>
      <c r="D83" s="338"/>
      <c r="E83" s="338"/>
      <c r="F83" s="338"/>
      <c r="G83" s="338"/>
      <c r="H83" s="338"/>
      <c r="I83" s="338"/>
      <c r="J83" s="338"/>
      <c r="K83" s="338"/>
      <c r="L83" s="338"/>
      <c r="M83" s="338"/>
      <c r="N83" s="338"/>
      <c r="O83" s="338"/>
      <c r="P83" s="338"/>
      <c r="Q83" s="338"/>
      <c r="R83" s="338"/>
      <c r="S83" s="338"/>
      <c r="T83" s="338"/>
      <c r="U83" s="338"/>
      <c r="V83" s="338"/>
      <c r="W83" s="338"/>
      <c r="X83" s="338"/>
      <c r="Y83" s="338"/>
      <c r="Z83" s="338"/>
    </row>
    <row r="84" ht="15.75" customHeight="1">
      <c r="A84" s="338"/>
      <c r="B84" s="338"/>
      <c r="C84" s="338"/>
      <c r="D84" s="338"/>
      <c r="E84" s="338"/>
      <c r="F84" s="338"/>
      <c r="G84" s="338"/>
      <c r="H84" s="338"/>
      <c r="I84" s="338"/>
      <c r="J84" s="338"/>
      <c r="K84" s="338"/>
      <c r="L84" s="338"/>
      <c r="M84" s="338"/>
      <c r="N84" s="338"/>
      <c r="O84" s="338"/>
      <c r="P84" s="338"/>
      <c r="Q84" s="338"/>
      <c r="R84" s="338"/>
      <c r="S84" s="338"/>
      <c r="T84" s="338"/>
      <c r="U84" s="338"/>
      <c r="V84" s="338"/>
      <c r="W84" s="338"/>
      <c r="X84" s="338"/>
      <c r="Y84" s="338"/>
      <c r="Z84" s="338"/>
    </row>
    <row r="85" ht="15.75" customHeight="1">
      <c r="A85" s="338"/>
      <c r="B85" s="338"/>
      <c r="C85" s="338"/>
      <c r="D85" s="338"/>
      <c r="E85" s="338"/>
      <c r="F85" s="338"/>
      <c r="G85" s="338"/>
      <c r="H85" s="338"/>
      <c r="I85" s="338"/>
      <c r="J85" s="338"/>
      <c r="K85" s="338"/>
      <c r="L85" s="338"/>
      <c r="M85" s="338"/>
      <c r="N85" s="338"/>
      <c r="O85" s="338"/>
      <c r="P85" s="338"/>
      <c r="Q85" s="338"/>
      <c r="R85" s="338"/>
      <c r="S85" s="338"/>
      <c r="T85" s="338"/>
      <c r="U85" s="338"/>
      <c r="V85" s="338"/>
      <c r="W85" s="338"/>
      <c r="X85" s="338"/>
      <c r="Y85" s="338"/>
      <c r="Z85" s="338"/>
    </row>
    <row r="86" ht="15.75" customHeight="1">
      <c r="A86" s="338"/>
      <c r="B86" s="338"/>
      <c r="C86" s="338"/>
      <c r="D86" s="338"/>
      <c r="E86" s="338"/>
      <c r="F86" s="338"/>
      <c r="G86" s="338"/>
      <c r="H86" s="338"/>
      <c r="I86" s="338"/>
      <c r="J86" s="338"/>
      <c r="K86" s="338"/>
      <c r="L86" s="338"/>
      <c r="M86" s="338"/>
      <c r="N86" s="338"/>
      <c r="O86" s="338"/>
      <c r="P86" s="338"/>
      <c r="Q86" s="338"/>
      <c r="R86" s="338"/>
      <c r="S86" s="338"/>
      <c r="T86" s="338"/>
      <c r="U86" s="338"/>
      <c r="V86" s="338"/>
      <c r="W86" s="338"/>
      <c r="X86" s="338"/>
      <c r="Y86" s="338"/>
      <c r="Z86" s="338"/>
    </row>
    <row r="87" ht="15.75" customHeight="1">
      <c r="A87" s="338"/>
      <c r="B87" s="338"/>
      <c r="C87" s="338"/>
      <c r="D87" s="338"/>
      <c r="E87" s="338"/>
      <c r="F87" s="338"/>
      <c r="G87" s="338"/>
      <c r="H87" s="338"/>
      <c r="I87" s="338"/>
      <c r="J87" s="338"/>
      <c r="K87" s="338"/>
      <c r="L87" s="338"/>
      <c r="M87" s="338"/>
      <c r="N87" s="338"/>
      <c r="O87" s="338"/>
      <c r="P87" s="338"/>
      <c r="Q87" s="338"/>
      <c r="R87" s="338"/>
      <c r="S87" s="338"/>
      <c r="T87" s="338"/>
      <c r="U87" s="338"/>
      <c r="V87" s="338"/>
      <c r="W87" s="338"/>
      <c r="X87" s="338"/>
      <c r="Y87" s="338"/>
      <c r="Z87" s="338"/>
    </row>
    <row r="88" ht="15.75" customHeight="1">
      <c r="A88" s="338"/>
      <c r="B88" s="338"/>
      <c r="C88" s="338"/>
      <c r="D88" s="338"/>
      <c r="E88" s="338"/>
      <c r="F88" s="338"/>
      <c r="G88" s="338"/>
      <c r="H88" s="338"/>
      <c r="I88" s="338"/>
      <c r="J88" s="338"/>
      <c r="K88" s="338"/>
      <c r="L88" s="338"/>
      <c r="M88" s="338"/>
      <c r="N88" s="338"/>
      <c r="O88" s="338"/>
      <c r="P88" s="338"/>
      <c r="Q88" s="338"/>
      <c r="R88" s="338"/>
      <c r="S88" s="338"/>
      <c r="T88" s="338"/>
      <c r="U88" s="338"/>
      <c r="V88" s="338"/>
      <c r="W88" s="338"/>
      <c r="X88" s="338"/>
      <c r="Y88" s="338"/>
      <c r="Z88" s="338"/>
    </row>
    <row r="89" ht="15.75" customHeight="1">
      <c r="A89" s="338"/>
      <c r="B89" s="338"/>
      <c r="C89" s="338"/>
      <c r="D89" s="338"/>
      <c r="E89" s="338"/>
      <c r="F89" s="338"/>
      <c r="G89" s="338"/>
      <c r="H89" s="338"/>
      <c r="I89" s="338"/>
      <c r="J89" s="338"/>
      <c r="K89" s="338"/>
      <c r="L89" s="338"/>
      <c r="M89" s="338"/>
      <c r="N89" s="338"/>
      <c r="O89" s="338"/>
      <c r="P89" s="338"/>
      <c r="Q89" s="338"/>
      <c r="R89" s="338"/>
      <c r="S89" s="338"/>
      <c r="T89" s="338"/>
      <c r="U89" s="338"/>
      <c r="V89" s="338"/>
      <c r="W89" s="338"/>
      <c r="X89" s="338"/>
      <c r="Y89" s="338"/>
      <c r="Z89" s="338"/>
    </row>
    <row r="90" ht="15.75" customHeight="1">
      <c r="A90" s="338"/>
      <c r="B90" s="338"/>
      <c r="C90" s="338"/>
      <c r="D90" s="338"/>
      <c r="E90" s="338"/>
      <c r="F90" s="338"/>
      <c r="G90" s="338"/>
      <c r="H90" s="338"/>
      <c r="I90" s="338"/>
      <c r="J90" s="338"/>
      <c r="K90" s="338"/>
      <c r="L90" s="338"/>
      <c r="M90" s="338"/>
      <c r="N90" s="338"/>
      <c r="O90" s="338"/>
      <c r="P90" s="338"/>
      <c r="Q90" s="338"/>
      <c r="R90" s="338"/>
      <c r="S90" s="338"/>
      <c r="T90" s="338"/>
      <c r="U90" s="338"/>
      <c r="V90" s="338"/>
      <c r="W90" s="338"/>
      <c r="X90" s="338"/>
      <c r="Y90" s="338"/>
      <c r="Z90" s="338"/>
    </row>
    <row r="91" ht="15.75" customHeight="1">
      <c r="A91" s="338"/>
      <c r="B91" s="338"/>
      <c r="C91" s="338"/>
      <c r="D91" s="338"/>
      <c r="E91" s="338"/>
      <c r="F91" s="338"/>
      <c r="G91" s="338"/>
      <c r="H91" s="338"/>
      <c r="I91" s="338"/>
      <c r="J91" s="338"/>
      <c r="K91" s="338"/>
      <c r="L91" s="338"/>
      <c r="M91" s="338"/>
      <c r="N91" s="338"/>
      <c r="O91" s="338"/>
      <c r="P91" s="338"/>
      <c r="Q91" s="338"/>
      <c r="R91" s="338"/>
      <c r="S91" s="338"/>
      <c r="T91" s="338"/>
      <c r="U91" s="338"/>
      <c r="V91" s="338"/>
      <c r="W91" s="338"/>
      <c r="X91" s="338"/>
      <c r="Y91" s="338"/>
      <c r="Z91" s="338"/>
    </row>
    <row r="92" ht="15.75" customHeight="1">
      <c r="A92" s="338"/>
      <c r="B92" s="338"/>
      <c r="C92" s="338"/>
      <c r="D92" s="338"/>
      <c r="E92" s="338"/>
      <c r="F92" s="338"/>
      <c r="G92" s="338"/>
      <c r="H92" s="338"/>
      <c r="I92" s="338"/>
      <c r="J92" s="338"/>
      <c r="K92" s="338"/>
      <c r="L92" s="338"/>
      <c r="M92" s="338"/>
      <c r="N92" s="338"/>
      <c r="O92" s="338"/>
      <c r="P92" s="338"/>
      <c r="Q92" s="338"/>
      <c r="R92" s="338"/>
      <c r="S92" s="338"/>
      <c r="T92" s="338"/>
      <c r="U92" s="338"/>
      <c r="V92" s="338"/>
      <c r="W92" s="338"/>
      <c r="X92" s="338"/>
      <c r="Y92" s="338"/>
      <c r="Z92" s="338"/>
    </row>
    <row r="93" ht="15.75" customHeight="1">
      <c r="A93" s="338"/>
      <c r="B93" s="338"/>
      <c r="C93" s="338"/>
      <c r="D93" s="338"/>
      <c r="E93" s="338"/>
      <c r="F93" s="338"/>
      <c r="G93" s="338"/>
      <c r="H93" s="338"/>
      <c r="I93" s="338"/>
      <c r="J93" s="338"/>
      <c r="K93" s="338"/>
      <c r="L93" s="338"/>
      <c r="M93" s="338"/>
      <c r="N93" s="338"/>
      <c r="O93" s="338"/>
      <c r="P93" s="338"/>
      <c r="Q93" s="338"/>
      <c r="R93" s="338"/>
      <c r="S93" s="338"/>
      <c r="T93" s="338"/>
      <c r="U93" s="338"/>
      <c r="V93" s="338"/>
      <c r="W93" s="338"/>
      <c r="X93" s="338"/>
      <c r="Y93" s="338"/>
      <c r="Z93" s="338"/>
    </row>
    <row r="94" ht="15.75" customHeight="1">
      <c r="A94" s="338"/>
      <c r="B94" s="338"/>
      <c r="C94" s="338"/>
      <c r="D94" s="338"/>
      <c r="E94" s="338"/>
      <c r="F94" s="338"/>
      <c r="G94" s="338"/>
      <c r="H94" s="338"/>
      <c r="I94" s="338"/>
      <c r="J94" s="338"/>
      <c r="K94" s="338"/>
      <c r="L94" s="338"/>
      <c r="M94" s="338"/>
      <c r="N94" s="338"/>
      <c r="O94" s="338"/>
      <c r="P94" s="338"/>
      <c r="Q94" s="338"/>
      <c r="R94" s="338"/>
      <c r="S94" s="338"/>
      <c r="T94" s="338"/>
      <c r="U94" s="338"/>
      <c r="V94" s="338"/>
      <c r="W94" s="338"/>
      <c r="X94" s="338"/>
      <c r="Y94" s="338"/>
      <c r="Z94" s="338"/>
    </row>
    <row r="95" ht="15.75" customHeight="1">
      <c r="A95" s="338"/>
      <c r="B95" s="338"/>
      <c r="C95" s="338"/>
      <c r="D95" s="338"/>
      <c r="E95" s="338"/>
      <c r="F95" s="338"/>
      <c r="G95" s="338"/>
      <c r="H95" s="338"/>
      <c r="I95" s="338"/>
      <c r="J95" s="338"/>
      <c r="K95" s="338"/>
      <c r="L95" s="338"/>
      <c r="M95" s="338"/>
      <c r="N95" s="338"/>
      <c r="O95" s="338"/>
      <c r="P95" s="338"/>
      <c r="Q95" s="338"/>
      <c r="R95" s="338"/>
      <c r="S95" s="338"/>
      <c r="T95" s="338"/>
      <c r="U95" s="338"/>
      <c r="V95" s="338"/>
      <c r="W95" s="338"/>
      <c r="X95" s="338"/>
      <c r="Y95" s="338"/>
      <c r="Z95" s="338"/>
    </row>
    <row r="96" ht="15.75" customHeight="1">
      <c r="A96" s="338"/>
      <c r="B96" s="338"/>
      <c r="C96" s="338"/>
      <c r="D96" s="338"/>
      <c r="E96" s="338"/>
      <c r="F96" s="338"/>
      <c r="G96" s="338"/>
      <c r="H96" s="338"/>
      <c r="I96" s="338"/>
      <c r="J96" s="338"/>
      <c r="K96" s="338"/>
      <c r="L96" s="338"/>
      <c r="M96" s="338"/>
      <c r="N96" s="338"/>
      <c r="O96" s="338"/>
      <c r="P96" s="338"/>
      <c r="Q96" s="338"/>
      <c r="R96" s="338"/>
      <c r="S96" s="338"/>
      <c r="T96" s="338"/>
      <c r="U96" s="338"/>
      <c r="V96" s="338"/>
      <c r="W96" s="338"/>
      <c r="X96" s="338"/>
      <c r="Y96" s="338"/>
      <c r="Z96" s="338"/>
    </row>
    <row r="97" ht="15.75" customHeight="1">
      <c r="A97" s="338"/>
      <c r="B97" s="338"/>
      <c r="C97" s="338"/>
      <c r="D97" s="338"/>
      <c r="E97" s="338"/>
      <c r="F97" s="338"/>
      <c r="G97" s="338"/>
      <c r="H97" s="338"/>
      <c r="I97" s="338"/>
      <c r="J97" s="338"/>
      <c r="K97" s="338"/>
      <c r="L97" s="338"/>
      <c r="M97" s="338"/>
      <c r="N97" s="338"/>
      <c r="O97" s="338"/>
      <c r="P97" s="338"/>
      <c r="Q97" s="338"/>
      <c r="R97" s="338"/>
      <c r="S97" s="338"/>
      <c r="T97" s="338"/>
      <c r="U97" s="338"/>
      <c r="V97" s="338"/>
      <c r="W97" s="338"/>
      <c r="X97" s="338"/>
      <c r="Y97" s="338"/>
      <c r="Z97" s="338"/>
    </row>
    <row r="98" ht="15.75" customHeight="1">
      <c r="A98" s="338"/>
      <c r="B98" s="338"/>
      <c r="C98" s="338"/>
      <c r="D98" s="338"/>
      <c r="E98" s="338"/>
      <c r="F98" s="338"/>
      <c r="G98" s="338"/>
      <c r="H98" s="338"/>
      <c r="I98" s="338"/>
      <c r="J98" s="338"/>
      <c r="K98" s="338"/>
      <c r="L98" s="338"/>
      <c r="M98" s="338"/>
      <c r="N98" s="338"/>
      <c r="O98" s="338"/>
      <c r="P98" s="338"/>
      <c r="Q98" s="338"/>
      <c r="R98" s="338"/>
      <c r="S98" s="338"/>
      <c r="T98" s="338"/>
      <c r="U98" s="338"/>
      <c r="V98" s="338"/>
      <c r="W98" s="338"/>
      <c r="X98" s="338"/>
      <c r="Y98" s="338"/>
      <c r="Z98" s="338"/>
    </row>
    <row r="99" ht="15.75" customHeight="1">
      <c r="A99" s="338"/>
      <c r="B99" s="338"/>
      <c r="C99" s="338"/>
      <c r="D99" s="338"/>
      <c r="E99" s="338"/>
      <c r="F99" s="338"/>
      <c r="G99" s="338"/>
      <c r="H99" s="338"/>
      <c r="I99" s="338"/>
      <c r="J99" s="338"/>
      <c r="K99" s="338"/>
      <c r="L99" s="338"/>
      <c r="M99" s="338"/>
      <c r="N99" s="338"/>
      <c r="O99" s="338"/>
      <c r="P99" s="338"/>
      <c r="Q99" s="338"/>
      <c r="R99" s="338"/>
      <c r="S99" s="338"/>
      <c r="T99" s="338"/>
      <c r="U99" s="338"/>
      <c r="V99" s="338"/>
      <c r="W99" s="338"/>
      <c r="X99" s="338"/>
      <c r="Y99" s="338"/>
      <c r="Z99" s="338"/>
    </row>
    <row r="100" ht="15.75" customHeight="1">
      <c r="A100" s="338"/>
      <c r="B100" s="338"/>
      <c r="C100" s="338"/>
      <c r="D100" s="338"/>
      <c r="E100" s="338"/>
      <c r="F100" s="338"/>
      <c r="G100" s="338"/>
      <c r="H100" s="338"/>
      <c r="I100" s="338"/>
      <c r="J100" s="338"/>
      <c r="K100" s="338"/>
      <c r="L100" s="338"/>
      <c r="M100" s="338"/>
      <c r="N100" s="338"/>
      <c r="O100" s="338"/>
      <c r="P100" s="338"/>
      <c r="Q100" s="338"/>
      <c r="R100" s="338"/>
      <c r="S100" s="338"/>
      <c r="T100" s="338"/>
      <c r="U100" s="338"/>
      <c r="V100" s="338"/>
      <c r="W100" s="338"/>
      <c r="X100" s="338"/>
      <c r="Y100" s="338"/>
      <c r="Z100" s="338"/>
    </row>
    <row r="101" ht="15.75" customHeight="1">
      <c r="A101" s="338"/>
      <c r="B101" s="338"/>
      <c r="C101" s="338"/>
      <c r="D101" s="338"/>
      <c r="E101" s="338"/>
      <c r="F101" s="338"/>
      <c r="G101" s="338"/>
      <c r="H101" s="338"/>
      <c r="I101" s="338"/>
      <c r="J101" s="338"/>
      <c r="K101" s="338"/>
      <c r="L101" s="338"/>
      <c r="M101" s="338"/>
      <c r="N101" s="338"/>
      <c r="O101" s="338"/>
      <c r="P101" s="338"/>
      <c r="Q101" s="338"/>
      <c r="R101" s="338"/>
      <c r="S101" s="338"/>
      <c r="T101" s="338"/>
      <c r="U101" s="338"/>
      <c r="V101" s="338"/>
      <c r="W101" s="338"/>
      <c r="X101" s="338"/>
      <c r="Y101" s="338"/>
      <c r="Z101" s="338"/>
    </row>
    <row r="102" ht="15.75" customHeight="1">
      <c r="A102" s="338"/>
      <c r="B102" s="338"/>
      <c r="C102" s="338"/>
      <c r="D102" s="338"/>
      <c r="E102" s="338"/>
      <c r="F102" s="338"/>
      <c r="G102" s="338"/>
      <c r="H102" s="338"/>
      <c r="I102" s="338"/>
      <c r="J102" s="338"/>
      <c r="K102" s="338"/>
      <c r="L102" s="338"/>
      <c r="M102" s="338"/>
      <c r="N102" s="338"/>
      <c r="O102" s="338"/>
      <c r="P102" s="338"/>
      <c r="Q102" s="338"/>
      <c r="R102" s="338"/>
      <c r="S102" s="338"/>
      <c r="T102" s="338"/>
      <c r="U102" s="338"/>
      <c r="V102" s="338"/>
      <c r="W102" s="338"/>
      <c r="X102" s="338"/>
      <c r="Y102" s="338"/>
      <c r="Z102" s="338"/>
    </row>
    <row r="103" ht="15.75" customHeight="1">
      <c r="A103" s="338"/>
      <c r="B103" s="338"/>
      <c r="C103" s="338"/>
      <c r="D103" s="338"/>
      <c r="E103" s="338"/>
      <c r="F103" s="338"/>
      <c r="G103" s="338"/>
      <c r="H103" s="338"/>
      <c r="I103" s="338"/>
      <c r="J103" s="338"/>
      <c r="K103" s="338"/>
      <c r="L103" s="338"/>
      <c r="M103" s="338"/>
      <c r="N103" s="338"/>
      <c r="O103" s="338"/>
      <c r="P103" s="338"/>
      <c r="Q103" s="338"/>
      <c r="R103" s="338"/>
      <c r="S103" s="338"/>
      <c r="T103" s="338"/>
      <c r="U103" s="338"/>
      <c r="V103" s="338"/>
      <c r="W103" s="338"/>
      <c r="X103" s="338"/>
      <c r="Y103" s="338"/>
      <c r="Z103" s="338"/>
    </row>
    <row r="104" ht="15.75" customHeight="1">
      <c r="A104" s="338"/>
      <c r="B104" s="338"/>
      <c r="C104" s="338"/>
      <c r="D104" s="338"/>
      <c r="E104" s="338"/>
      <c r="F104" s="338"/>
      <c r="G104" s="338"/>
      <c r="H104" s="338"/>
      <c r="I104" s="338"/>
      <c r="J104" s="338"/>
      <c r="K104" s="338"/>
      <c r="L104" s="338"/>
      <c r="M104" s="338"/>
      <c r="N104" s="338"/>
      <c r="O104" s="338"/>
      <c r="P104" s="338"/>
      <c r="Q104" s="338"/>
      <c r="R104" s="338"/>
      <c r="S104" s="338"/>
      <c r="T104" s="338"/>
      <c r="U104" s="338"/>
      <c r="V104" s="338"/>
      <c r="W104" s="338"/>
      <c r="X104" s="338"/>
      <c r="Y104" s="338"/>
      <c r="Z104" s="338"/>
    </row>
    <row r="105" ht="15.75" customHeight="1">
      <c r="A105" s="338"/>
      <c r="B105" s="338"/>
      <c r="C105" s="338"/>
      <c r="D105" s="338"/>
      <c r="E105" s="338"/>
      <c r="F105" s="338"/>
      <c r="G105" s="338"/>
      <c r="H105" s="338"/>
      <c r="I105" s="338"/>
      <c r="J105" s="338"/>
      <c r="K105" s="338"/>
      <c r="L105" s="338"/>
      <c r="M105" s="338"/>
      <c r="N105" s="338"/>
      <c r="O105" s="338"/>
      <c r="P105" s="338"/>
      <c r="Q105" s="338"/>
      <c r="R105" s="338"/>
      <c r="S105" s="338"/>
      <c r="T105" s="338"/>
      <c r="U105" s="338"/>
      <c r="V105" s="338"/>
      <c r="W105" s="338"/>
      <c r="X105" s="338"/>
      <c r="Y105" s="338"/>
      <c r="Z105" s="338"/>
    </row>
    <row r="106" ht="15.75" customHeight="1">
      <c r="A106" s="338"/>
      <c r="B106" s="338"/>
      <c r="C106" s="338"/>
      <c r="D106" s="338"/>
      <c r="E106" s="338"/>
      <c r="F106" s="338"/>
      <c r="G106" s="338"/>
      <c r="H106" s="338"/>
      <c r="I106" s="338"/>
      <c r="J106" s="338"/>
      <c r="K106" s="338"/>
      <c r="L106" s="338"/>
      <c r="M106" s="338"/>
      <c r="N106" s="338"/>
      <c r="O106" s="338"/>
      <c r="P106" s="338"/>
      <c r="Q106" s="338"/>
      <c r="R106" s="338"/>
      <c r="S106" s="338"/>
      <c r="T106" s="338"/>
      <c r="U106" s="338"/>
      <c r="V106" s="338"/>
      <c r="W106" s="338"/>
      <c r="X106" s="338"/>
      <c r="Y106" s="338"/>
      <c r="Z106" s="338"/>
    </row>
    <row r="107" ht="15.75" customHeight="1">
      <c r="A107" s="338"/>
      <c r="B107" s="338"/>
      <c r="C107" s="338"/>
      <c r="D107" s="338"/>
      <c r="E107" s="338"/>
      <c r="F107" s="338"/>
      <c r="G107" s="338"/>
      <c r="H107" s="338"/>
      <c r="I107" s="338"/>
      <c r="J107" s="338"/>
      <c r="K107" s="338"/>
      <c r="L107" s="338"/>
      <c r="M107" s="338"/>
      <c r="N107" s="338"/>
      <c r="O107" s="338"/>
      <c r="P107" s="338"/>
      <c r="Q107" s="338"/>
      <c r="R107" s="338"/>
      <c r="S107" s="338"/>
      <c r="T107" s="338"/>
      <c r="U107" s="338"/>
      <c r="V107" s="338"/>
      <c r="W107" s="338"/>
      <c r="X107" s="338"/>
      <c r="Y107" s="338"/>
      <c r="Z107" s="338"/>
    </row>
    <row r="108" ht="15.75" customHeight="1">
      <c r="A108" s="338"/>
      <c r="B108" s="338"/>
      <c r="C108" s="338"/>
      <c r="D108" s="338"/>
      <c r="E108" s="338"/>
      <c r="F108" s="338"/>
      <c r="G108" s="338"/>
      <c r="H108" s="338"/>
      <c r="I108" s="338"/>
      <c r="J108" s="338"/>
      <c r="K108" s="338"/>
      <c r="L108" s="338"/>
      <c r="M108" s="338"/>
      <c r="N108" s="338"/>
      <c r="O108" s="338"/>
      <c r="P108" s="338"/>
      <c r="Q108" s="338"/>
      <c r="R108" s="338"/>
      <c r="S108" s="338"/>
      <c r="T108" s="338"/>
      <c r="U108" s="338"/>
      <c r="V108" s="338"/>
      <c r="W108" s="338"/>
      <c r="X108" s="338"/>
      <c r="Y108" s="338"/>
      <c r="Z108" s="338"/>
    </row>
    <row r="109" ht="15.75" customHeight="1">
      <c r="A109" s="338"/>
      <c r="B109" s="338"/>
      <c r="C109" s="338"/>
      <c r="D109" s="338"/>
      <c r="E109" s="338"/>
      <c r="F109" s="338"/>
      <c r="G109" s="338"/>
      <c r="H109" s="338"/>
      <c r="I109" s="338"/>
      <c r="J109" s="338"/>
      <c r="K109" s="338"/>
      <c r="L109" s="338"/>
      <c r="M109" s="338"/>
      <c r="N109" s="338"/>
      <c r="O109" s="338"/>
      <c r="P109" s="338"/>
      <c r="Q109" s="338"/>
      <c r="R109" s="338"/>
      <c r="S109" s="338"/>
      <c r="T109" s="338"/>
      <c r="U109" s="338"/>
      <c r="V109" s="338"/>
      <c r="W109" s="338"/>
      <c r="X109" s="338"/>
      <c r="Y109" s="338"/>
      <c r="Z109" s="338"/>
    </row>
    <row r="110" ht="15.75" customHeight="1">
      <c r="A110" s="338"/>
      <c r="B110" s="338"/>
      <c r="C110" s="338"/>
      <c r="D110" s="338"/>
      <c r="E110" s="338"/>
      <c r="F110" s="338"/>
      <c r="G110" s="338"/>
      <c r="H110" s="338"/>
      <c r="I110" s="338"/>
      <c r="J110" s="338"/>
      <c r="K110" s="338"/>
      <c r="L110" s="338"/>
      <c r="M110" s="338"/>
      <c r="N110" s="338"/>
      <c r="O110" s="338"/>
      <c r="P110" s="338"/>
      <c r="Q110" s="338"/>
      <c r="R110" s="338"/>
      <c r="S110" s="338"/>
      <c r="T110" s="338"/>
      <c r="U110" s="338"/>
      <c r="V110" s="338"/>
      <c r="W110" s="338"/>
      <c r="X110" s="338"/>
      <c r="Y110" s="338"/>
      <c r="Z110" s="338"/>
    </row>
    <row r="111" ht="15.75" customHeight="1">
      <c r="A111" s="338"/>
      <c r="B111" s="338"/>
      <c r="C111" s="338"/>
      <c r="D111" s="338"/>
      <c r="E111" s="338"/>
      <c r="F111" s="338"/>
      <c r="G111" s="338"/>
      <c r="H111" s="338"/>
      <c r="I111" s="338"/>
      <c r="J111" s="338"/>
      <c r="K111" s="338"/>
      <c r="L111" s="338"/>
      <c r="M111" s="338"/>
      <c r="N111" s="338"/>
      <c r="O111" s="338"/>
      <c r="P111" s="338"/>
      <c r="Q111" s="338"/>
      <c r="R111" s="338"/>
      <c r="S111" s="338"/>
      <c r="T111" s="338"/>
      <c r="U111" s="338"/>
      <c r="V111" s="338"/>
      <c r="W111" s="338"/>
      <c r="X111" s="338"/>
      <c r="Y111" s="338"/>
      <c r="Z111" s="338"/>
    </row>
    <row r="112" ht="15.75" customHeight="1">
      <c r="A112" s="338"/>
      <c r="B112" s="338"/>
      <c r="C112" s="338"/>
      <c r="D112" s="338"/>
      <c r="E112" s="338"/>
      <c r="F112" s="338"/>
      <c r="G112" s="338"/>
      <c r="H112" s="338"/>
      <c r="I112" s="338"/>
      <c r="J112" s="338"/>
      <c r="K112" s="338"/>
      <c r="L112" s="338"/>
      <c r="M112" s="338"/>
      <c r="N112" s="338"/>
      <c r="O112" s="338"/>
      <c r="P112" s="338"/>
      <c r="Q112" s="338"/>
      <c r="R112" s="338"/>
      <c r="S112" s="338"/>
      <c r="T112" s="338"/>
      <c r="U112" s="338"/>
      <c r="V112" s="338"/>
      <c r="W112" s="338"/>
      <c r="X112" s="338"/>
      <c r="Y112" s="338"/>
      <c r="Z112" s="338"/>
    </row>
    <row r="113" ht="15.75" customHeight="1">
      <c r="A113" s="338"/>
      <c r="B113" s="338"/>
      <c r="C113" s="338"/>
      <c r="D113" s="338"/>
      <c r="E113" s="338"/>
      <c r="F113" s="338"/>
      <c r="G113" s="338"/>
      <c r="H113" s="338"/>
      <c r="I113" s="338"/>
      <c r="J113" s="338"/>
      <c r="K113" s="338"/>
      <c r="L113" s="338"/>
      <c r="M113" s="338"/>
      <c r="N113" s="338"/>
      <c r="O113" s="338"/>
      <c r="P113" s="338"/>
      <c r="Q113" s="338"/>
      <c r="R113" s="338"/>
      <c r="S113" s="338"/>
      <c r="T113" s="338"/>
      <c r="U113" s="338"/>
      <c r="V113" s="338"/>
      <c r="W113" s="338"/>
      <c r="X113" s="338"/>
      <c r="Y113" s="338"/>
      <c r="Z113" s="338"/>
    </row>
    <row r="114" ht="15.75" customHeight="1">
      <c r="A114" s="338"/>
      <c r="B114" s="338"/>
      <c r="C114" s="338"/>
      <c r="D114" s="338"/>
      <c r="E114" s="338"/>
      <c r="F114" s="338"/>
      <c r="G114" s="338"/>
      <c r="H114" s="338"/>
      <c r="I114" s="338"/>
      <c r="J114" s="338"/>
      <c r="K114" s="338"/>
      <c r="L114" s="338"/>
      <c r="M114" s="338"/>
      <c r="N114" s="338"/>
      <c r="O114" s="338"/>
      <c r="P114" s="338"/>
      <c r="Q114" s="338"/>
      <c r="R114" s="338"/>
      <c r="S114" s="338"/>
      <c r="T114" s="338"/>
      <c r="U114" s="338"/>
      <c r="V114" s="338"/>
      <c r="W114" s="338"/>
      <c r="X114" s="338"/>
      <c r="Y114" s="338"/>
      <c r="Z114" s="338"/>
    </row>
    <row r="115" ht="15.75" customHeight="1">
      <c r="A115" s="338"/>
      <c r="B115" s="338"/>
      <c r="C115" s="338"/>
      <c r="D115" s="338"/>
      <c r="E115" s="338"/>
      <c r="F115" s="338"/>
      <c r="G115" s="338"/>
      <c r="H115" s="338"/>
      <c r="I115" s="338"/>
      <c r="J115" s="338"/>
      <c r="K115" s="338"/>
      <c r="L115" s="338"/>
      <c r="M115" s="338"/>
      <c r="N115" s="338"/>
      <c r="O115" s="338"/>
      <c r="P115" s="338"/>
      <c r="Q115" s="338"/>
      <c r="R115" s="338"/>
      <c r="S115" s="338"/>
      <c r="T115" s="338"/>
      <c r="U115" s="338"/>
      <c r="V115" s="338"/>
      <c r="W115" s="338"/>
      <c r="X115" s="338"/>
      <c r="Y115" s="338"/>
      <c r="Z115" s="338"/>
    </row>
    <row r="116" ht="15.75" customHeight="1">
      <c r="A116" s="338"/>
      <c r="B116" s="338"/>
      <c r="C116" s="338"/>
      <c r="D116" s="338"/>
      <c r="E116" s="338"/>
      <c r="F116" s="338"/>
      <c r="G116" s="338"/>
      <c r="H116" s="338"/>
      <c r="I116" s="338"/>
      <c r="J116" s="338"/>
      <c r="K116" s="338"/>
      <c r="L116" s="338"/>
      <c r="M116" s="338"/>
      <c r="N116" s="338"/>
      <c r="O116" s="338"/>
      <c r="P116" s="338"/>
      <c r="Q116" s="338"/>
      <c r="R116" s="338"/>
      <c r="S116" s="338"/>
      <c r="T116" s="338"/>
      <c r="U116" s="338"/>
      <c r="V116" s="338"/>
      <c r="W116" s="338"/>
      <c r="X116" s="338"/>
      <c r="Y116" s="338"/>
      <c r="Z116" s="338"/>
    </row>
    <row r="117" ht="15.75" customHeight="1">
      <c r="A117" s="338"/>
      <c r="B117" s="338"/>
      <c r="C117" s="338"/>
      <c r="D117" s="338"/>
      <c r="E117" s="338"/>
      <c r="F117" s="338"/>
      <c r="G117" s="338"/>
      <c r="H117" s="338"/>
      <c r="I117" s="338"/>
      <c r="J117" s="338"/>
      <c r="K117" s="338"/>
      <c r="L117" s="338"/>
      <c r="M117" s="338"/>
      <c r="N117" s="338"/>
      <c r="O117" s="338"/>
      <c r="P117" s="338"/>
      <c r="Q117" s="338"/>
      <c r="R117" s="338"/>
      <c r="S117" s="338"/>
      <c r="T117" s="338"/>
      <c r="U117" s="338"/>
      <c r="V117" s="338"/>
      <c r="W117" s="338"/>
      <c r="X117" s="338"/>
      <c r="Y117" s="338"/>
      <c r="Z117" s="338"/>
    </row>
    <row r="118" ht="15.75" customHeight="1">
      <c r="A118" s="338"/>
      <c r="B118" s="338"/>
      <c r="C118" s="338"/>
      <c r="D118" s="338"/>
      <c r="E118" s="338"/>
      <c r="F118" s="338"/>
      <c r="G118" s="338"/>
      <c r="H118" s="338"/>
      <c r="I118" s="338"/>
      <c r="J118" s="338"/>
      <c r="K118" s="338"/>
      <c r="L118" s="338"/>
      <c r="M118" s="338"/>
      <c r="N118" s="338"/>
      <c r="O118" s="338"/>
      <c r="P118" s="338"/>
      <c r="Q118" s="338"/>
      <c r="R118" s="338"/>
      <c r="S118" s="338"/>
      <c r="T118" s="338"/>
      <c r="U118" s="338"/>
      <c r="V118" s="338"/>
      <c r="W118" s="338"/>
      <c r="X118" s="338"/>
      <c r="Y118" s="338"/>
      <c r="Z118" s="338"/>
    </row>
    <row r="119" ht="15.75" customHeight="1">
      <c r="A119" s="338"/>
      <c r="B119" s="338"/>
      <c r="C119" s="338"/>
      <c r="D119" s="338"/>
      <c r="E119" s="338"/>
      <c r="F119" s="338"/>
      <c r="G119" s="338"/>
      <c r="H119" s="338"/>
      <c r="I119" s="338"/>
      <c r="J119" s="338"/>
      <c r="K119" s="338"/>
      <c r="L119" s="338"/>
      <c r="M119" s="338"/>
      <c r="N119" s="338"/>
      <c r="O119" s="338"/>
      <c r="P119" s="338"/>
      <c r="Q119" s="338"/>
      <c r="R119" s="338"/>
      <c r="S119" s="338"/>
      <c r="T119" s="338"/>
      <c r="U119" s="338"/>
      <c r="V119" s="338"/>
      <c r="W119" s="338"/>
      <c r="X119" s="338"/>
      <c r="Y119" s="338"/>
      <c r="Z119" s="338"/>
    </row>
    <row r="120" ht="15.75" customHeight="1">
      <c r="A120" s="338"/>
      <c r="B120" s="338"/>
      <c r="C120" s="338"/>
      <c r="D120" s="338"/>
      <c r="E120" s="338"/>
      <c r="F120" s="338"/>
      <c r="G120" s="338"/>
      <c r="H120" s="338"/>
      <c r="I120" s="338"/>
      <c r="J120" s="338"/>
      <c r="K120" s="338"/>
      <c r="L120" s="338"/>
      <c r="M120" s="338"/>
      <c r="N120" s="338"/>
      <c r="O120" s="338"/>
      <c r="P120" s="338"/>
      <c r="Q120" s="338"/>
      <c r="R120" s="338"/>
      <c r="S120" s="338"/>
      <c r="T120" s="338"/>
      <c r="U120" s="338"/>
      <c r="V120" s="338"/>
      <c r="W120" s="338"/>
      <c r="X120" s="338"/>
      <c r="Y120" s="338"/>
      <c r="Z120" s="338"/>
    </row>
    <row r="121" ht="15.75" customHeight="1">
      <c r="A121" s="338"/>
      <c r="B121" s="338"/>
      <c r="C121" s="338"/>
      <c r="D121" s="338"/>
      <c r="E121" s="338"/>
      <c r="F121" s="338"/>
      <c r="G121" s="338"/>
      <c r="H121" s="338"/>
      <c r="I121" s="338"/>
      <c r="J121" s="338"/>
      <c r="K121" s="338"/>
      <c r="L121" s="338"/>
      <c r="M121" s="338"/>
      <c r="N121" s="338"/>
      <c r="O121" s="338"/>
      <c r="P121" s="338"/>
      <c r="Q121" s="338"/>
      <c r="R121" s="338"/>
      <c r="S121" s="338"/>
      <c r="T121" s="338"/>
      <c r="U121" s="338"/>
      <c r="V121" s="338"/>
      <c r="W121" s="338"/>
      <c r="X121" s="338"/>
      <c r="Y121" s="338"/>
      <c r="Z121" s="338"/>
    </row>
    <row r="122" ht="15.75" customHeight="1">
      <c r="A122" s="338"/>
      <c r="B122" s="338"/>
      <c r="C122" s="338"/>
      <c r="D122" s="338"/>
      <c r="E122" s="338"/>
      <c r="F122" s="338"/>
      <c r="G122" s="338"/>
      <c r="H122" s="338"/>
      <c r="I122" s="338"/>
      <c r="J122" s="338"/>
      <c r="K122" s="338"/>
      <c r="L122" s="338"/>
      <c r="M122" s="338"/>
      <c r="N122" s="338"/>
      <c r="O122" s="338"/>
      <c r="P122" s="338"/>
      <c r="Q122" s="338"/>
      <c r="R122" s="338"/>
      <c r="S122" s="338"/>
      <c r="T122" s="338"/>
      <c r="U122" s="338"/>
      <c r="V122" s="338"/>
      <c r="W122" s="338"/>
      <c r="X122" s="338"/>
      <c r="Y122" s="338"/>
      <c r="Z122" s="338"/>
    </row>
    <row r="123" ht="15.75" customHeight="1">
      <c r="A123" s="338"/>
      <c r="B123" s="338"/>
      <c r="C123" s="338"/>
      <c r="D123" s="338"/>
      <c r="E123" s="338"/>
      <c r="F123" s="338"/>
      <c r="G123" s="338"/>
      <c r="H123" s="338"/>
      <c r="I123" s="338"/>
      <c r="J123" s="338"/>
      <c r="K123" s="338"/>
      <c r="L123" s="338"/>
      <c r="M123" s="338"/>
      <c r="N123" s="338"/>
      <c r="O123" s="338"/>
      <c r="P123" s="338"/>
      <c r="Q123" s="338"/>
      <c r="R123" s="338"/>
      <c r="S123" s="338"/>
      <c r="T123" s="338"/>
      <c r="U123" s="338"/>
      <c r="V123" s="338"/>
      <c r="W123" s="338"/>
      <c r="X123" s="338"/>
      <c r="Y123" s="338"/>
      <c r="Z123" s="338"/>
    </row>
    <row r="124" ht="15.75" customHeight="1">
      <c r="A124" s="338"/>
      <c r="B124" s="338"/>
      <c r="C124" s="338"/>
      <c r="D124" s="338"/>
      <c r="E124" s="338"/>
      <c r="F124" s="338"/>
      <c r="G124" s="338"/>
      <c r="H124" s="338"/>
      <c r="I124" s="338"/>
      <c r="J124" s="338"/>
      <c r="K124" s="338"/>
      <c r="L124" s="338"/>
      <c r="M124" s="338"/>
      <c r="N124" s="338"/>
      <c r="O124" s="338"/>
      <c r="P124" s="338"/>
      <c r="Q124" s="338"/>
      <c r="R124" s="338"/>
      <c r="S124" s="338"/>
      <c r="T124" s="338"/>
      <c r="U124" s="338"/>
      <c r="V124" s="338"/>
      <c r="W124" s="338"/>
      <c r="X124" s="338"/>
      <c r="Y124" s="338"/>
      <c r="Z124" s="338"/>
    </row>
    <row r="125" ht="15.75" customHeight="1">
      <c r="A125" s="338"/>
      <c r="B125" s="338"/>
      <c r="C125" s="338"/>
      <c r="D125" s="338"/>
      <c r="E125" s="338"/>
      <c r="F125" s="338"/>
      <c r="G125" s="338"/>
      <c r="H125" s="338"/>
      <c r="I125" s="338"/>
      <c r="J125" s="338"/>
      <c r="K125" s="338"/>
      <c r="L125" s="338"/>
      <c r="M125" s="338"/>
      <c r="N125" s="338"/>
      <c r="O125" s="338"/>
      <c r="P125" s="338"/>
      <c r="Q125" s="338"/>
      <c r="R125" s="338"/>
      <c r="S125" s="338"/>
      <c r="T125" s="338"/>
      <c r="U125" s="338"/>
      <c r="V125" s="338"/>
      <c r="W125" s="338"/>
      <c r="X125" s="338"/>
      <c r="Y125" s="338"/>
      <c r="Z125" s="338"/>
    </row>
    <row r="126" ht="15.75" customHeight="1">
      <c r="A126" s="338"/>
      <c r="B126" s="338"/>
      <c r="C126" s="338"/>
      <c r="D126" s="338"/>
      <c r="E126" s="338"/>
      <c r="F126" s="338"/>
      <c r="G126" s="338"/>
      <c r="H126" s="338"/>
      <c r="I126" s="338"/>
      <c r="J126" s="338"/>
      <c r="K126" s="338"/>
      <c r="L126" s="338"/>
      <c r="M126" s="338"/>
      <c r="N126" s="338"/>
      <c r="O126" s="338"/>
      <c r="P126" s="338"/>
      <c r="Q126" s="338"/>
      <c r="R126" s="338"/>
      <c r="S126" s="338"/>
      <c r="T126" s="338"/>
      <c r="U126" s="338"/>
      <c r="V126" s="338"/>
      <c r="W126" s="338"/>
      <c r="X126" s="338"/>
      <c r="Y126" s="338"/>
      <c r="Z126" s="338"/>
    </row>
    <row r="127" ht="15.75" customHeight="1">
      <c r="A127" s="338"/>
      <c r="B127" s="338"/>
      <c r="C127" s="338"/>
      <c r="D127" s="338"/>
      <c r="E127" s="338"/>
      <c r="F127" s="338"/>
      <c r="G127" s="338"/>
      <c r="H127" s="338"/>
      <c r="I127" s="338"/>
      <c r="J127" s="338"/>
      <c r="K127" s="338"/>
      <c r="L127" s="338"/>
      <c r="M127" s="338"/>
      <c r="N127" s="338"/>
      <c r="O127" s="338"/>
      <c r="P127" s="338"/>
      <c r="Q127" s="338"/>
      <c r="R127" s="338"/>
      <c r="S127" s="338"/>
      <c r="T127" s="338"/>
      <c r="U127" s="338"/>
      <c r="V127" s="338"/>
      <c r="W127" s="338"/>
      <c r="X127" s="338"/>
      <c r="Y127" s="338"/>
      <c r="Z127" s="338"/>
    </row>
    <row r="128" ht="15.75" customHeight="1">
      <c r="A128" s="338"/>
      <c r="B128" s="338"/>
      <c r="C128" s="338"/>
      <c r="D128" s="338"/>
      <c r="E128" s="338"/>
      <c r="F128" s="338"/>
      <c r="G128" s="338"/>
      <c r="H128" s="338"/>
      <c r="I128" s="338"/>
      <c r="J128" s="338"/>
      <c r="K128" s="338"/>
      <c r="L128" s="338"/>
      <c r="M128" s="338"/>
      <c r="N128" s="338"/>
      <c r="O128" s="338"/>
      <c r="P128" s="338"/>
      <c r="Q128" s="338"/>
      <c r="R128" s="338"/>
      <c r="S128" s="338"/>
      <c r="T128" s="338"/>
      <c r="U128" s="338"/>
      <c r="V128" s="338"/>
      <c r="W128" s="338"/>
      <c r="X128" s="338"/>
      <c r="Y128" s="338"/>
      <c r="Z128" s="338"/>
    </row>
    <row r="129" ht="15.75" customHeight="1">
      <c r="A129" s="338"/>
      <c r="B129" s="338"/>
      <c r="C129" s="338"/>
      <c r="D129" s="338"/>
      <c r="E129" s="338"/>
      <c r="F129" s="338"/>
      <c r="G129" s="338"/>
      <c r="H129" s="338"/>
      <c r="I129" s="338"/>
      <c r="J129" s="338"/>
      <c r="K129" s="338"/>
      <c r="L129" s="338"/>
      <c r="M129" s="338"/>
      <c r="N129" s="338"/>
      <c r="O129" s="338"/>
      <c r="P129" s="338"/>
      <c r="Q129" s="338"/>
      <c r="R129" s="338"/>
      <c r="S129" s="338"/>
      <c r="T129" s="338"/>
      <c r="U129" s="338"/>
      <c r="V129" s="338"/>
      <c r="W129" s="338"/>
      <c r="X129" s="338"/>
      <c r="Y129" s="338"/>
      <c r="Z129" s="338"/>
    </row>
    <row r="130" ht="15.75" customHeight="1">
      <c r="A130" s="338"/>
      <c r="B130" s="338"/>
      <c r="C130" s="338"/>
      <c r="D130" s="338"/>
      <c r="E130" s="338"/>
      <c r="F130" s="338"/>
      <c r="G130" s="338"/>
      <c r="H130" s="338"/>
      <c r="I130" s="338"/>
      <c r="J130" s="338"/>
      <c r="K130" s="338"/>
      <c r="L130" s="338"/>
      <c r="M130" s="338"/>
      <c r="N130" s="338"/>
      <c r="O130" s="338"/>
      <c r="P130" s="338"/>
      <c r="Q130" s="338"/>
      <c r="R130" s="338"/>
      <c r="S130" s="338"/>
      <c r="T130" s="338"/>
      <c r="U130" s="338"/>
      <c r="V130" s="338"/>
      <c r="W130" s="338"/>
      <c r="X130" s="338"/>
      <c r="Y130" s="338"/>
      <c r="Z130" s="338"/>
    </row>
    <row r="131" ht="15.75" customHeight="1">
      <c r="A131" s="338"/>
      <c r="B131" s="338"/>
      <c r="C131" s="338"/>
      <c r="D131" s="338"/>
      <c r="E131" s="338"/>
      <c r="F131" s="338"/>
      <c r="G131" s="338"/>
      <c r="H131" s="338"/>
      <c r="I131" s="338"/>
      <c r="J131" s="338"/>
      <c r="K131" s="338"/>
      <c r="L131" s="338"/>
      <c r="M131" s="338"/>
      <c r="N131" s="338"/>
      <c r="O131" s="338"/>
      <c r="P131" s="338"/>
      <c r="Q131" s="338"/>
      <c r="R131" s="338"/>
      <c r="S131" s="338"/>
      <c r="T131" s="338"/>
      <c r="U131" s="338"/>
      <c r="V131" s="338"/>
      <c r="W131" s="338"/>
      <c r="X131" s="338"/>
      <c r="Y131" s="338"/>
      <c r="Z131" s="338"/>
    </row>
    <row r="132" ht="15.75" customHeight="1">
      <c r="A132" s="338"/>
      <c r="B132" s="338"/>
      <c r="C132" s="338"/>
      <c r="D132" s="338"/>
      <c r="E132" s="338"/>
      <c r="F132" s="338"/>
      <c r="G132" s="338"/>
      <c r="H132" s="338"/>
      <c r="I132" s="338"/>
      <c r="J132" s="338"/>
      <c r="K132" s="338"/>
      <c r="L132" s="338"/>
      <c r="M132" s="338"/>
      <c r="N132" s="338"/>
      <c r="O132" s="338"/>
      <c r="P132" s="338"/>
      <c r="Q132" s="338"/>
      <c r="R132" s="338"/>
      <c r="S132" s="338"/>
      <c r="T132" s="338"/>
      <c r="U132" s="338"/>
      <c r="V132" s="338"/>
      <c r="W132" s="338"/>
      <c r="X132" s="338"/>
      <c r="Y132" s="338"/>
      <c r="Z132" s="338"/>
    </row>
    <row r="133" ht="15.75" customHeight="1">
      <c r="A133" s="338"/>
      <c r="B133" s="338"/>
      <c r="C133" s="338"/>
      <c r="D133" s="338"/>
      <c r="E133" s="338"/>
      <c r="F133" s="338"/>
      <c r="G133" s="338"/>
      <c r="H133" s="338"/>
      <c r="I133" s="338"/>
      <c r="J133" s="338"/>
      <c r="K133" s="338"/>
      <c r="L133" s="338"/>
      <c r="M133" s="338"/>
      <c r="N133" s="338"/>
      <c r="O133" s="338"/>
      <c r="P133" s="338"/>
      <c r="Q133" s="338"/>
      <c r="R133" s="338"/>
      <c r="S133" s="338"/>
      <c r="T133" s="338"/>
      <c r="U133" s="338"/>
      <c r="V133" s="338"/>
      <c r="W133" s="338"/>
      <c r="X133" s="338"/>
      <c r="Y133" s="338"/>
      <c r="Z133" s="338"/>
    </row>
    <row r="134" ht="15.75" customHeight="1">
      <c r="A134" s="338"/>
      <c r="B134" s="338"/>
      <c r="C134" s="338"/>
      <c r="D134" s="338"/>
      <c r="E134" s="338"/>
      <c r="F134" s="338"/>
      <c r="G134" s="338"/>
      <c r="H134" s="338"/>
      <c r="I134" s="338"/>
      <c r="J134" s="338"/>
      <c r="K134" s="338"/>
      <c r="L134" s="338"/>
      <c r="M134" s="338"/>
      <c r="N134" s="338"/>
      <c r="O134" s="338"/>
      <c r="P134" s="338"/>
      <c r="Q134" s="338"/>
      <c r="R134" s="338"/>
      <c r="S134" s="338"/>
      <c r="T134" s="338"/>
      <c r="U134" s="338"/>
      <c r="V134" s="338"/>
      <c r="W134" s="338"/>
      <c r="X134" s="338"/>
      <c r="Y134" s="338"/>
      <c r="Z134" s="338"/>
    </row>
    <row r="135" ht="15.75" customHeight="1">
      <c r="A135" s="338"/>
      <c r="B135" s="338"/>
      <c r="C135" s="338"/>
      <c r="D135" s="338"/>
      <c r="E135" s="338"/>
      <c r="F135" s="338"/>
      <c r="G135" s="338"/>
      <c r="H135" s="338"/>
      <c r="I135" s="338"/>
      <c r="J135" s="338"/>
      <c r="K135" s="338"/>
      <c r="L135" s="338"/>
      <c r="M135" s="338"/>
      <c r="N135" s="338"/>
      <c r="O135" s="338"/>
      <c r="P135" s="338"/>
      <c r="Q135" s="338"/>
      <c r="R135" s="338"/>
      <c r="S135" s="338"/>
      <c r="T135" s="338"/>
      <c r="U135" s="338"/>
      <c r="V135" s="338"/>
      <c r="W135" s="338"/>
      <c r="X135" s="338"/>
      <c r="Y135" s="338"/>
      <c r="Z135" s="338"/>
    </row>
    <row r="136" ht="15.75" customHeight="1">
      <c r="A136" s="338"/>
      <c r="B136" s="338"/>
      <c r="C136" s="338"/>
      <c r="D136" s="338"/>
      <c r="E136" s="338"/>
      <c r="F136" s="338"/>
      <c r="G136" s="338"/>
      <c r="H136" s="338"/>
      <c r="I136" s="338"/>
      <c r="J136" s="338"/>
      <c r="K136" s="338"/>
      <c r="L136" s="338"/>
      <c r="M136" s="338"/>
      <c r="N136" s="338"/>
      <c r="O136" s="338"/>
      <c r="P136" s="338"/>
      <c r="Q136" s="338"/>
      <c r="R136" s="338"/>
      <c r="S136" s="338"/>
      <c r="T136" s="338"/>
      <c r="U136" s="338"/>
      <c r="V136" s="338"/>
      <c r="W136" s="338"/>
      <c r="X136" s="338"/>
      <c r="Y136" s="338"/>
      <c r="Z136" s="338"/>
    </row>
    <row r="137" ht="15.75" customHeight="1">
      <c r="A137" s="338"/>
      <c r="B137" s="338"/>
      <c r="C137" s="338"/>
      <c r="D137" s="338"/>
      <c r="E137" s="338"/>
      <c r="F137" s="338"/>
      <c r="G137" s="338"/>
      <c r="H137" s="338"/>
      <c r="I137" s="338"/>
      <c r="J137" s="338"/>
      <c r="K137" s="338"/>
      <c r="L137" s="338"/>
      <c r="M137" s="338"/>
      <c r="N137" s="338"/>
      <c r="O137" s="338"/>
      <c r="P137" s="338"/>
      <c r="Q137" s="338"/>
      <c r="R137" s="338"/>
      <c r="S137" s="338"/>
      <c r="T137" s="338"/>
      <c r="U137" s="338"/>
      <c r="V137" s="338"/>
      <c r="W137" s="338"/>
      <c r="X137" s="338"/>
      <c r="Y137" s="338"/>
      <c r="Z137" s="338"/>
    </row>
    <row r="138" ht="15.75" customHeight="1">
      <c r="A138" s="338"/>
      <c r="B138" s="338"/>
      <c r="C138" s="338"/>
      <c r="D138" s="338"/>
      <c r="E138" s="338"/>
      <c r="F138" s="338"/>
      <c r="G138" s="338"/>
      <c r="H138" s="338"/>
      <c r="I138" s="338"/>
      <c r="J138" s="338"/>
      <c r="K138" s="338"/>
      <c r="L138" s="338"/>
      <c r="M138" s="338"/>
      <c r="N138" s="338"/>
      <c r="O138" s="338"/>
      <c r="P138" s="338"/>
      <c r="Q138" s="338"/>
      <c r="R138" s="338"/>
      <c r="S138" s="338"/>
      <c r="T138" s="338"/>
      <c r="U138" s="338"/>
      <c r="V138" s="338"/>
      <c r="W138" s="338"/>
      <c r="X138" s="338"/>
      <c r="Y138" s="338"/>
      <c r="Z138" s="338"/>
    </row>
    <row r="139" ht="15.75" customHeight="1">
      <c r="A139" s="338"/>
      <c r="B139" s="338"/>
      <c r="C139" s="338"/>
      <c r="D139" s="338"/>
      <c r="E139" s="338"/>
      <c r="F139" s="338"/>
      <c r="G139" s="338"/>
      <c r="H139" s="338"/>
      <c r="I139" s="338"/>
      <c r="J139" s="338"/>
      <c r="K139" s="338"/>
      <c r="L139" s="338"/>
      <c r="M139" s="338"/>
      <c r="N139" s="338"/>
      <c r="O139" s="338"/>
      <c r="P139" s="338"/>
      <c r="Q139" s="338"/>
      <c r="R139" s="338"/>
      <c r="S139" s="338"/>
      <c r="T139" s="338"/>
      <c r="U139" s="338"/>
      <c r="V139" s="338"/>
      <c r="W139" s="338"/>
      <c r="X139" s="338"/>
      <c r="Y139" s="338"/>
      <c r="Z139" s="338"/>
    </row>
    <row r="140" ht="15.75" customHeight="1">
      <c r="A140" s="338"/>
      <c r="B140" s="338"/>
      <c r="C140" s="338"/>
      <c r="D140" s="338"/>
      <c r="E140" s="338"/>
      <c r="F140" s="338"/>
      <c r="G140" s="338"/>
      <c r="H140" s="338"/>
      <c r="I140" s="338"/>
      <c r="J140" s="338"/>
      <c r="K140" s="338"/>
      <c r="L140" s="338"/>
      <c r="M140" s="338"/>
      <c r="N140" s="338"/>
      <c r="O140" s="338"/>
      <c r="P140" s="338"/>
      <c r="Q140" s="338"/>
      <c r="R140" s="338"/>
      <c r="S140" s="338"/>
      <c r="T140" s="338"/>
      <c r="U140" s="338"/>
      <c r="V140" s="338"/>
      <c r="W140" s="338"/>
      <c r="X140" s="338"/>
      <c r="Y140" s="338"/>
      <c r="Z140" s="338"/>
    </row>
    <row r="141" ht="15.75" customHeight="1">
      <c r="A141" s="338"/>
      <c r="B141" s="338"/>
      <c r="C141" s="338"/>
      <c r="D141" s="338"/>
      <c r="E141" s="338"/>
      <c r="F141" s="338"/>
      <c r="G141" s="338"/>
      <c r="H141" s="338"/>
      <c r="I141" s="338"/>
      <c r="J141" s="338"/>
      <c r="K141" s="338"/>
      <c r="L141" s="338"/>
      <c r="M141" s="338"/>
      <c r="N141" s="338"/>
      <c r="O141" s="338"/>
      <c r="P141" s="338"/>
      <c r="Q141" s="338"/>
      <c r="R141" s="338"/>
      <c r="S141" s="338"/>
      <c r="T141" s="338"/>
      <c r="U141" s="338"/>
      <c r="V141" s="338"/>
      <c r="W141" s="338"/>
      <c r="X141" s="338"/>
      <c r="Y141" s="338"/>
      <c r="Z141" s="338"/>
    </row>
    <row r="142" ht="15.75" customHeight="1">
      <c r="A142" s="338"/>
      <c r="B142" s="338"/>
      <c r="C142" s="338"/>
      <c r="D142" s="338"/>
      <c r="E142" s="338"/>
      <c r="F142" s="338"/>
      <c r="G142" s="338"/>
      <c r="H142" s="338"/>
      <c r="I142" s="338"/>
      <c r="J142" s="338"/>
      <c r="K142" s="338"/>
      <c r="L142" s="338"/>
      <c r="M142" s="338"/>
      <c r="N142" s="338"/>
      <c r="O142" s="338"/>
      <c r="P142" s="338"/>
      <c r="Q142" s="338"/>
      <c r="R142" s="338"/>
      <c r="S142" s="338"/>
      <c r="T142" s="338"/>
      <c r="U142" s="338"/>
      <c r="V142" s="338"/>
      <c r="W142" s="338"/>
      <c r="X142" s="338"/>
      <c r="Y142" s="338"/>
      <c r="Z142" s="338"/>
    </row>
    <row r="143" ht="15.75" customHeight="1">
      <c r="A143" s="338"/>
      <c r="B143" s="338"/>
      <c r="C143" s="338"/>
      <c r="D143" s="338"/>
      <c r="E143" s="338"/>
      <c r="F143" s="338"/>
      <c r="G143" s="338"/>
      <c r="H143" s="338"/>
      <c r="I143" s="338"/>
      <c r="J143" s="338"/>
      <c r="K143" s="338"/>
      <c r="L143" s="338"/>
      <c r="M143" s="338"/>
      <c r="N143" s="338"/>
      <c r="O143" s="338"/>
      <c r="P143" s="338"/>
      <c r="Q143" s="338"/>
      <c r="R143" s="338"/>
      <c r="S143" s="338"/>
      <c r="T143" s="338"/>
      <c r="U143" s="338"/>
      <c r="V143" s="338"/>
      <c r="W143" s="338"/>
      <c r="X143" s="338"/>
      <c r="Y143" s="338"/>
      <c r="Z143" s="338"/>
    </row>
    <row r="144" ht="15.75" customHeight="1">
      <c r="A144" s="338"/>
      <c r="B144" s="338"/>
      <c r="C144" s="338"/>
      <c r="D144" s="338"/>
      <c r="E144" s="338"/>
      <c r="F144" s="338"/>
      <c r="G144" s="338"/>
      <c r="H144" s="338"/>
      <c r="I144" s="338"/>
      <c r="J144" s="338"/>
      <c r="K144" s="338"/>
      <c r="L144" s="338"/>
      <c r="M144" s="338"/>
      <c r="N144" s="338"/>
      <c r="O144" s="338"/>
      <c r="P144" s="338"/>
      <c r="Q144" s="338"/>
      <c r="R144" s="338"/>
      <c r="S144" s="338"/>
      <c r="T144" s="338"/>
      <c r="U144" s="338"/>
      <c r="V144" s="338"/>
      <c r="W144" s="338"/>
      <c r="X144" s="338"/>
      <c r="Y144" s="338"/>
      <c r="Z144" s="338"/>
    </row>
    <row r="145" ht="15.75" customHeight="1">
      <c r="A145" s="338"/>
      <c r="B145" s="338"/>
      <c r="C145" s="338"/>
      <c r="D145" s="338"/>
      <c r="E145" s="338"/>
      <c r="F145" s="338"/>
      <c r="G145" s="338"/>
      <c r="H145" s="338"/>
      <c r="I145" s="338"/>
      <c r="J145" s="338"/>
      <c r="K145" s="338"/>
      <c r="L145" s="338"/>
      <c r="M145" s="338"/>
      <c r="N145" s="338"/>
      <c r="O145" s="338"/>
      <c r="P145" s="338"/>
      <c r="Q145" s="338"/>
      <c r="R145" s="338"/>
      <c r="S145" s="338"/>
      <c r="T145" s="338"/>
      <c r="U145" s="338"/>
      <c r="V145" s="338"/>
      <c r="W145" s="338"/>
      <c r="X145" s="338"/>
      <c r="Y145" s="338"/>
      <c r="Z145" s="338"/>
    </row>
    <row r="146" ht="15.75" customHeight="1">
      <c r="A146" s="338"/>
      <c r="B146" s="338"/>
      <c r="C146" s="338"/>
      <c r="D146" s="338"/>
      <c r="E146" s="338"/>
      <c r="F146" s="338"/>
      <c r="G146" s="338"/>
      <c r="H146" s="338"/>
      <c r="I146" s="338"/>
      <c r="J146" s="338"/>
      <c r="K146" s="338"/>
      <c r="L146" s="338"/>
      <c r="M146" s="338"/>
      <c r="N146" s="338"/>
      <c r="O146" s="338"/>
      <c r="P146" s="338"/>
      <c r="Q146" s="338"/>
      <c r="R146" s="338"/>
      <c r="S146" s="338"/>
      <c r="T146" s="338"/>
      <c r="U146" s="338"/>
      <c r="V146" s="338"/>
      <c r="W146" s="338"/>
      <c r="X146" s="338"/>
      <c r="Y146" s="338"/>
      <c r="Z146" s="338"/>
    </row>
    <row r="147" ht="15.75" customHeight="1">
      <c r="A147" s="338"/>
      <c r="B147" s="338"/>
      <c r="C147" s="338"/>
      <c r="D147" s="338"/>
      <c r="E147" s="338"/>
      <c r="F147" s="338"/>
      <c r="G147" s="338"/>
      <c r="H147" s="338"/>
      <c r="I147" s="338"/>
      <c r="J147" s="338"/>
      <c r="K147" s="338"/>
      <c r="L147" s="338"/>
      <c r="M147" s="338"/>
      <c r="N147" s="338"/>
      <c r="O147" s="338"/>
      <c r="P147" s="338"/>
      <c r="Q147" s="338"/>
      <c r="R147" s="338"/>
      <c r="S147" s="338"/>
      <c r="T147" s="338"/>
      <c r="U147" s="338"/>
      <c r="V147" s="338"/>
      <c r="W147" s="338"/>
      <c r="X147" s="338"/>
      <c r="Y147" s="338"/>
      <c r="Z147" s="338"/>
    </row>
    <row r="148" ht="15.75" customHeight="1">
      <c r="A148" s="338"/>
      <c r="B148" s="338"/>
      <c r="C148" s="338"/>
      <c r="D148" s="338"/>
      <c r="E148" s="338"/>
      <c r="F148" s="338"/>
      <c r="G148" s="338"/>
      <c r="H148" s="338"/>
      <c r="I148" s="338"/>
      <c r="J148" s="338"/>
      <c r="K148" s="338"/>
      <c r="L148" s="338"/>
      <c r="M148" s="338"/>
      <c r="N148" s="338"/>
      <c r="O148" s="338"/>
      <c r="P148" s="338"/>
      <c r="Q148" s="338"/>
      <c r="R148" s="338"/>
      <c r="S148" s="338"/>
      <c r="T148" s="338"/>
      <c r="U148" s="338"/>
      <c r="V148" s="338"/>
      <c r="W148" s="338"/>
      <c r="X148" s="338"/>
      <c r="Y148" s="338"/>
      <c r="Z148" s="338"/>
    </row>
    <row r="149" ht="15.75" customHeight="1">
      <c r="A149" s="338"/>
      <c r="B149" s="338"/>
      <c r="C149" s="338"/>
      <c r="D149" s="338"/>
      <c r="E149" s="338"/>
      <c r="F149" s="338"/>
      <c r="G149" s="338"/>
      <c r="H149" s="338"/>
      <c r="I149" s="338"/>
      <c r="J149" s="338"/>
      <c r="K149" s="338"/>
      <c r="L149" s="338"/>
      <c r="M149" s="338"/>
      <c r="N149" s="338"/>
      <c r="O149" s="338"/>
      <c r="P149" s="338"/>
      <c r="Q149" s="338"/>
      <c r="R149" s="338"/>
      <c r="S149" s="338"/>
      <c r="T149" s="338"/>
      <c r="U149" s="338"/>
      <c r="V149" s="338"/>
      <c r="W149" s="338"/>
      <c r="X149" s="338"/>
      <c r="Y149" s="338"/>
      <c r="Z149" s="338"/>
    </row>
    <row r="150" ht="15.75" customHeight="1">
      <c r="A150" s="338"/>
      <c r="B150" s="338"/>
      <c r="C150" s="338"/>
      <c r="D150" s="338"/>
      <c r="E150" s="338"/>
      <c r="F150" s="338"/>
      <c r="G150" s="338"/>
      <c r="H150" s="338"/>
      <c r="I150" s="338"/>
      <c r="J150" s="338"/>
      <c r="K150" s="338"/>
      <c r="L150" s="338"/>
      <c r="M150" s="338"/>
      <c r="N150" s="338"/>
      <c r="O150" s="338"/>
      <c r="P150" s="338"/>
      <c r="Q150" s="338"/>
      <c r="R150" s="338"/>
      <c r="S150" s="338"/>
      <c r="T150" s="338"/>
      <c r="U150" s="338"/>
      <c r="V150" s="338"/>
      <c r="W150" s="338"/>
      <c r="X150" s="338"/>
      <c r="Y150" s="338"/>
      <c r="Z150" s="338"/>
    </row>
    <row r="151" ht="15.75" customHeight="1">
      <c r="A151" s="338"/>
      <c r="B151" s="338"/>
      <c r="C151" s="338"/>
      <c r="D151" s="338"/>
      <c r="E151" s="338"/>
      <c r="F151" s="338"/>
      <c r="G151" s="338"/>
      <c r="H151" s="338"/>
      <c r="I151" s="338"/>
      <c r="J151" s="338"/>
      <c r="K151" s="338"/>
      <c r="L151" s="338"/>
      <c r="M151" s="338"/>
      <c r="N151" s="338"/>
      <c r="O151" s="338"/>
      <c r="P151" s="338"/>
      <c r="Q151" s="338"/>
      <c r="R151" s="338"/>
      <c r="S151" s="338"/>
      <c r="T151" s="338"/>
      <c r="U151" s="338"/>
      <c r="V151" s="338"/>
      <c r="W151" s="338"/>
      <c r="X151" s="338"/>
      <c r="Y151" s="338"/>
      <c r="Z151" s="338"/>
    </row>
    <row r="152" ht="15.75" customHeight="1">
      <c r="A152" s="338"/>
      <c r="B152" s="338"/>
      <c r="C152" s="338"/>
      <c r="D152" s="338"/>
      <c r="E152" s="338"/>
      <c r="F152" s="338"/>
      <c r="G152" s="338"/>
      <c r="H152" s="338"/>
      <c r="I152" s="338"/>
      <c r="J152" s="338"/>
      <c r="K152" s="338"/>
      <c r="L152" s="338"/>
      <c r="M152" s="338"/>
      <c r="N152" s="338"/>
      <c r="O152" s="338"/>
      <c r="P152" s="338"/>
      <c r="Q152" s="338"/>
      <c r="R152" s="338"/>
      <c r="S152" s="338"/>
      <c r="T152" s="338"/>
      <c r="U152" s="338"/>
      <c r="V152" s="338"/>
      <c r="W152" s="338"/>
      <c r="X152" s="338"/>
      <c r="Y152" s="338"/>
      <c r="Z152" s="338"/>
    </row>
    <row r="153" ht="15.75" customHeight="1">
      <c r="A153" s="338"/>
      <c r="B153" s="338"/>
      <c r="C153" s="338"/>
      <c r="D153" s="338"/>
      <c r="E153" s="338"/>
      <c r="F153" s="338"/>
      <c r="G153" s="338"/>
      <c r="H153" s="338"/>
      <c r="I153" s="338"/>
      <c r="J153" s="338"/>
      <c r="K153" s="338"/>
      <c r="L153" s="338"/>
      <c r="M153" s="338"/>
      <c r="N153" s="338"/>
      <c r="O153" s="338"/>
      <c r="P153" s="338"/>
      <c r="Q153" s="338"/>
      <c r="R153" s="338"/>
      <c r="S153" s="338"/>
      <c r="T153" s="338"/>
      <c r="U153" s="338"/>
      <c r="V153" s="338"/>
      <c r="W153" s="338"/>
      <c r="X153" s="338"/>
      <c r="Y153" s="338"/>
      <c r="Z153" s="338"/>
    </row>
    <row r="154" ht="15.75" customHeight="1">
      <c r="A154" s="338"/>
      <c r="B154" s="338"/>
      <c r="C154" s="338"/>
      <c r="D154" s="338"/>
      <c r="E154" s="338"/>
      <c r="F154" s="338"/>
      <c r="G154" s="338"/>
      <c r="H154" s="338"/>
      <c r="I154" s="338"/>
      <c r="J154" s="338"/>
      <c r="K154" s="338"/>
      <c r="L154" s="338"/>
      <c r="M154" s="338"/>
      <c r="N154" s="338"/>
      <c r="O154" s="338"/>
      <c r="P154" s="338"/>
      <c r="Q154" s="338"/>
      <c r="R154" s="338"/>
      <c r="S154" s="338"/>
      <c r="T154" s="338"/>
      <c r="U154" s="338"/>
      <c r="V154" s="338"/>
      <c r="W154" s="338"/>
      <c r="X154" s="338"/>
      <c r="Y154" s="338"/>
      <c r="Z154" s="338"/>
    </row>
    <row r="155" ht="15.75" customHeight="1">
      <c r="A155" s="338"/>
      <c r="B155" s="338"/>
      <c r="C155" s="338"/>
      <c r="D155" s="338"/>
      <c r="E155" s="338"/>
      <c r="F155" s="338"/>
      <c r="G155" s="338"/>
      <c r="H155" s="338"/>
      <c r="I155" s="338"/>
      <c r="J155" s="338"/>
      <c r="K155" s="338"/>
      <c r="L155" s="338"/>
      <c r="M155" s="338"/>
      <c r="N155" s="338"/>
      <c r="O155" s="338"/>
      <c r="P155" s="338"/>
      <c r="Q155" s="338"/>
      <c r="R155" s="338"/>
      <c r="S155" s="338"/>
      <c r="T155" s="338"/>
      <c r="U155" s="338"/>
      <c r="V155" s="338"/>
      <c r="W155" s="338"/>
      <c r="X155" s="338"/>
      <c r="Y155" s="338"/>
      <c r="Z155" s="338"/>
    </row>
    <row r="156" ht="15.75" customHeight="1">
      <c r="A156" s="338"/>
      <c r="B156" s="338"/>
      <c r="C156" s="338"/>
      <c r="D156" s="338"/>
      <c r="E156" s="338"/>
      <c r="F156" s="338"/>
      <c r="G156" s="338"/>
      <c r="H156" s="338"/>
      <c r="I156" s="338"/>
      <c r="J156" s="338"/>
      <c r="K156" s="338"/>
      <c r="L156" s="338"/>
      <c r="M156" s="338"/>
      <c r="N156" s="338"/>
      <c r="O156" s="338"/>
      <c r="P156" s="338"/>
      <c r="Q156" s="338"/>
      <c r="R156" s="338"/>
      <c r="S156" s="338"/>
      <c r="T156" s="338"/>
      <c r="U156" s="338"/>
      <c r="V156" s="338"/>
      <c r="W156" s="338"/>
      <c r="X156" s="338"/>
      <c r="Y156" s="338"/>
      <c r="Z156" s="338"/>
    </row>
    <row r="157" ht="15.75" customHeight="1">
      <c r="A157" s="338"/>
      <c r="B157" s="338"/>
      <c r="C157" s="338"/>
      <c r="D157" s="338"/>
      <c r="E157" s="338"/>
      <c r="F157" s="338"/>
      <c r="G157" s="338"/>
      <c r="H157" s="338"/>
      <c r="I157" s="338"/>
      <c r="J157" s="338"/>
      <c r="K157" s="338"/>
      <c r="L157" s="338"/>
      <c r="M157" s="338"/>
      <c r="N157" s="338"/>
      <c r="O157" s="338"/>
      <c r="P157" s="338"/>
      <c r="Q157" s="338"/>
      <c r="R157" s="338"/>
      <c r="S157" s="338"/>
      <c r="T157" s="338"/>
      <c r="U157" s="338"/>
      <c r="V157" s="338"/>
      <c r="W157" s="338"/>
      <c r="X157" s="338"/>
      <c r="Y157" s="338"/>
      <c r="Z157" s="338"/>
    </row>
    <row r="158" ht="15.75" customHeight="1">
      <c r="A158" s="338"/>
      <c r="B158" s="338"/>
      <c r="C158" s="338"/>
      <c r="D158" s="338"/>
      <c r="E158" s="338"/>
      <c r="F158" s="338"/>
      <c r="G158" s="338"/>
      <c r="H158" s="338"/>
      <c r="I158" s="338"/>
      <c r="J158" s="338"/>
      <c r="K158" s="338"/>
      <c r="L158" s="338"/>
      <c r="M158" s="338"/>
      <c r="N158" s="338"/>
      <c r="O158" s="338"/>
      <c r="P158" s="338"/>
      <c r="Q158" s="338"/>
      <c r="R158" s="338"/>
      <c r="S158" s="338"/>
      <c r="T158" s="338"/>
      <c r="U158" s="338"/>
      <c r="V158" s="338"/>
      <c r="W158" s="338"/>
      <c r="X158" s="338"/>
      <c r="Y158" s="338"/>
      <c r="Z158" s="338"/>
    </row>
    <row r="159" ht="15.75" customHeight="1">
      <c r="A159" s="338"/>
      <c r="B159" s="338"/>
      <c r="C159" s="338"/>
      <c r="D159" s="338"/>
      <c r="E159" s="338"/>
      <c r="F159" s="338"/>
      <c r="G159" s="338"/>
      <c r="H159" s="338"/>
      <c r="I159" s="338"/>
      <c r="J159" s="338"/>
      <c r="K159" s="338"/>
      <c r="L159" s="338"/>
      <c r="M159" s="338"/>
      <c r="N159" s="338"/>
      <c r="O159" s="338"/>
      <c r="P159" s="338"/>
      <c r="Q159" s="338"/>
      <c r="R159" s="338"/>
      <c r="S159" s="338"/>
      <c r="T159" s="338"/>
      <c r="U159" s="338"/>
      <c r="V159" s="338"/>
      <c r="W159" s="338"/>
      <c r="X159" s="338"/>
      <c r="Y159" s="338"/>
      <c r="Z159" s="338"/>
    </row>
    <row r="160" ht="15.75" customHeight="1">
      <c r="A160" s="338"/>
      <c r="B160" s="338"/>
      <c r="C160" s="338"/>
      <c r="D160" s="338"/>
      <c r="E160" s="338"/>
      <c r="F160" s="338"/>
      <c r="G160" s="338"/>
      <c r="H160" s="338"/>
      <c r="I160" s="338"/>
      <c r="J160" s="338"/>
      <c r="K160" s="338"/>
      <c r="L160" s="338"/>
      <c r="M160" s="338"/>
      <c r="N160" s="338"/>
      <c r="O160" s="338"/>
      <c r="P160" s="338"/>
      <c r="Q160" s="338"/>
      <c r="R160" s="338"/>
      <c r="S160" s="338"/>
      <c r="T160" s="338"/>
      <c r="U160" s="338"/>
      <c r="V160" s="338"/>
      <c r="W160" s="338"/>
      <c r="X160" s="338"/>
      <c r="Y160" s="338"/>
      <c r="Z160" s="338"/>
    </row>
    <row r="161" ht="15.75" customHeight="1">
      <c r="A161" s="338"/>
      <c r="B161" s="338"/>
      <c r="C161" s="338"/>
      <c r="D161" s="338"/>
      <c r="E161" s="338"/>
      <c r="F161" s="338"/>
      <c r="G161" s="338"/>
      <c r="H161" s="338"/>
      <c r="I161" s="338"/>
      <c r="J161" s="338"/>
      <c r="K161" s="338"/>
      <c r="L161" s="338"/>
      <c r="M161" s="338"/>
      <c r="N161" s="338"/>
      <c r="O161" s="338"/>
      <c r="P161" s="338"/>
      <c r="Q161" s="338"/>
      <c r="R161" s="338"/>
      <c r="S161" s="338"/>
      <c r="T161" s="338"/>
      <c r="U161" s="338"/>
      <c r="V161" s="338"/>
      <c r="W161" s="338"/>
      <c r="X161" s="338"/>
      <c r="Y161" s="338"/>
      <c r="Z161" s="338"/>
    </row>
    <row r="162" ht="15.75" customHeight="1">
      <c r="A162" s="338"/>
      <c r="B162" s="338"/>
      <c r="C162" s="338"/>
      <c r="D162" s="338"/>
      <c r="E162" s="338"/>
      <c r="F162" s="338"/>
      <c r="G162" s="338"/>
      <c r="H162" s="338"/>
      <c r="I162" s="338"/>
      <c r="J162" s="338"/>
      <c r="K162" s="338"/>
      <c r="L162" s="338"/>
      <c r="M162" s="338"/>
      <c r="N162" s="338"/>
      <c r="O162" s="338"/>
      <c r="P162" s="338"/>
      <c r="Q162" s="338"/>
      <c r="R162" s="338"/>
      <c r="S162" s="338"/>
      <c r="T162" s="338"/>
      <c r="U162" s="338"/>
      <c r="V162" s="338"/>
      <c r="W162" s="338"/>
      <c r="X162" s="338"/>
      <c r="Y162" s="338"/>
      <c r="Z162" s="338"/>
    </row>
    <row r="163" ht="15.75" customHeight="1">
      <c r="A163" s="338"/>
      <c r="B163" s="338"/>
      <c r="C163" s="338"/>
      <c r="D163" s="338"/>
      <c r="E163" s="338"/>
      <c r="F163" s="338"/>
      <c r="G163" s="338"/>
      <c r="H163" s="338"/>
      <c r="I163" s="338"/>
      <c r="J163" s="338"/>
      <c r="K163" s="338"/>
      <c r="L163" s="338"/>
      <c r="M163" s="338"/>
      <c r="N163" s="338"/>
      <c r="O163" s="338"/>
      <c r="P163" s="338"/>
      <c r="Q163" s="338"/>
      <c r="R163" s="338"/>
      <c r="S163" s="338"/>
      <c r="T163" s="338"/>
      <c r="U163" s="338"/>
      <c r="V163" s="338"/>
      <c r="W163" s="338"/>
      <c r="X163" s="338"/>
      <c r="Y163" s="338"/>
      <c r="Z163" s="338"/>
    </row>
    <row r="164" ht="15.75" customHeight="1">
      <c r="A164" s="338"/>
      <c r="B164" s="338"/>
      <c r="C164" s="338"/>
      <c r="D164" s="338"/>
      <c r="E164" s="338"/>
      <c r="F164" s="338"/>
      <c r="G164" s="338"/>
      <c r="H164" s="338"/>
      <c r="I164" s="338"/>
      <c r="J164" s="338"/>
      <c r="K164" s="338"/>
      <c r="L164" s="338"/>
      <c r="M164" s="338"/>
      <c r="N164" s="338"/>
      <c r="O164" s="338"/>
      <c r="P164" s="338"/>
      <c r="Q164" s="338"/>
      <c r="R164" s="338"/>
      <c r="S164" s="338"/>
      <c r="T164" s="338"/>
      <c r="U164" s="338"/>
      <c r="V164" s="338"/>
      <c r="W164" s="338"/>
      <c r="X164" s="338"/>
      <c r="Y164" s="338"/>
      <c r="Z164" s="338"/>
    </row>
    <row r="165" ht="15.75" customHeight="1">
      <c r="A165" s="338"/>
      <c r="B165" s="338"/>
      <c r="C165" s="338"/>
      <c r="D165" s="338"/>
      <c r="E165" s="338"/>
      <c r="F165" s="338"/>
      <c r="G165" s="338"/>
      <c r="H165" s="338"/>
      <c r="I165" s="338"/>
      <c r="J165" s="338"/>
      <c r="K165" s="338"/>
      <c r="L165" s="338"/>
      <c r="M165" s="338"/>
      <c r="N165" s="338"/>
      <c r="O165" s="338"/>
      <c r="P165" s="338"/>
      <c r="Q165" s="338"/>
      <c r="R165" s="338"/>
      <c r="S165" s="338"/>
      <c r="T165" s="338"/>
      <c r="U165" s="338"/>
      <c r="V165" s="338"/>
      <c r="W165" s="338"/>
      <c r="X165" s="338"/>
      <c r="Y165" s="338"/>
      <c r="Z165" s="338"/>
    </row>
    <row r="166" ht="15.75" customHeight="1">
      <c r="A166" s="338"/>
      <c r="B166" s="338"/>
      <c r="C166" s="338"/>
      <c r="D166" s="338"/>
      <c r="E166" s="338"/>
      <c r="F166" s="338"/>
      <c r="G166" s="338"/>
      <c r="H166" s="338"/>
      <c r="I166" s="338"/>
      <c r="J166" s="338"/>
      <c r="K166" s="338"/>
      <c r="L166" s="338"/>
      <c r="M166" s="338"/>
      <c r="N166" s="338"/>
      <c r="O166" s="338"/>
      <c r="P166" s="338"/>
      <c r="Q166" s="338"/>
      <c r="R166" s="338"/>
      <c r="S166" s="338"/>
      <c r="T166" s="338"/>
      <c r="U166" s="338"/>
      <c r="V166" s="338"/>
      <c r="W166" s="338"/>
      <c r="X166" s="338"/>
      <c r="Y166" s="338"/>
      <c r="Z166" s="338"/>
    </row>
    <row r="167" ht="15.75" customHeight="1">
      <c r="A167" s="338"/>
      <c r="B167" s="338"/>
      <c r="C167" s="338"/>
      <c r="D167" s="338"/>
      <c r="E167" s="338"/>
      <c r="F167" s="338"/>
      <c r="G167" s="338"/>
      <c r="H167" s="338"/>
      <c r="I167" s="338"/>
      <c r="J167" s="338"/>
      <c r="K167" s="338"/>
      <c r="L167" s="338"/>
      <c r="M167" s="338"/>
      <c r="N167" s="338"/>
      <c r="O167" s="338"/>
      <c r="P167" s="338"/>
      <c r="Q167" s="338"/>
      <c r="R167" s="338"/>
      <c r="S167" s="338"/>
      <c r="T167" s="338"/>
      <c r="U167" s="338"/>
      <c r="V167" s="338"/>
      <c r="W167" s="338"/>
      <c r="X167" s="338"/>
      <c r="Y167" s="338"/>
      <c r="Z167" s="338"/>
    </row>
    <row r="168" ht="15.75" customHeight="1">
      <c r="A168" s="338"/>
      <c r="B168" s="338"/>
      <c r="C168" s="338"/>
      <c r="D168" s="338"/>
      <c r="E168" s="338"/>
      <c r="F168" s="338"/>
      <c r="G168" s="338"/>
      <c r="H168" s="338"/>
      <c r="I168" s="338"/>
      <c r="J168" s="338"/>
      <c r="K168" s="338"/>
      <c r="L168" s="338"/>
      <c r="M168" s="338"/>
      <c r="N168" s="338"/>
      <c r="O168" s="338"/>
      <c r="P168" s="338"/>
      <c r="Q168" s="338"/>
      <c r="R168" s="338"/>
      <c r="S168" s="338"/>
      <c r="T168" s="338"/>
      <c r="U168" s="338"/>
      <c r="V168" s="338"/>
      <c r="W168" s="338"/>
      <c r="X168" s="338"/>
      <c r="Y168" s="338"/>
      <c r="Z168" s="338"/>
    </row>
    <row r="169" ht="15.75" customHeight="1">
      <c r="A169" s="338"/>
      <c r="B169" s="338"/>
      <c r="C169" s="338"/>
      <c r="D169" s="338"/>
      <c r="E169" s="338"/>
      <c r="F169" s="338"/>
      <c r="G169" s="338"/>
      <c r="H169" s="338"/>
      <c r="I169" s="338"/>
      <c r="J169" s="338"/>
      <c r="K169" s="338"/>
      <c r="L169" s="338"/>
      <c r="M169" s="338"/>
      <c r="N169" s="338"/>
      <c r="O169" s="338"/>
      <c r="P169" s="338"/>
      <c r="Q169" s="338"/>
      <c r="R169" s="338"/>
      <c r="S169" s="338"/>
      <c r="T169" s="338"/>
      <c r="U169" s="338"/>
      <c r="V169" s="338"/>
      <c r="W169" s="338"/>
      <c r="X169" s="338"/>
      <c r="Y169" s="338"/>
      <c r="Z169" s="338"/>
    </row>
    <row r="170" ht="15.75" customHeight="1">
      <c r="A170" s="338"/>
      <c r="B170" s="338"/>
      <c r="C170" s="338"/>
      <c r="D170" s="338"/>
      <c r="E170" s="338"/>
      <c r="F170" s="338"/>
      <c r="G170" s="338"/>
      <c r="H170" s="338"/>
      <c r="I170" s="338"/>
      <c r="J170" s="338"/>
      <c r="K170" s="338"/>
      <c r="L170" s="338"/>
      <c r="M170" s="338"/>
      <c r="N170" s="338"/>
      <c r="O170" s="338"/>
      <c r="P170" s="338"/>
      <c r="Q170" s="338"/>
      <c r="R170" s="338"/>
      <c r="S170" s="338"/>
      <c r="T170" s="338"/>
      <c r="U170" s="338"/>
      <c r="V170" s="338"/>
      <c r="W170" s="338"/>
      <c r="X170" s="338"/>
      <c r="Y170" s="338"/>
      <c r="Z170" s="338"/>
    </row>
    <row r="171" ht="15.75" customHeight="1">
      <c r="A171" s="338"/>
      <c r="B171" s="338"/>
      <c r="C171" s="338"/>
      <c r="D171" s="338"/>
      <c r="E171" s="338"/>
      <c r="F171" s="338"/>
      <c r="G171" s="338"/>
      <c r="H171" s="338"/>
      <c r="I171" s="338"/>
      <c r="J171" s="338"/>
      <c r="K171" s="338"/>
      <c r="L171" s="338"/>
      <c r="M171" s="338"/>
      <c r="N171" s="338"/>
      <c r="O171" s="338"/>
      <c r="P171" s="338"/>
      <c r="Q171" s="338"/>
      <c r="R171" s="338"/>
      <c r="S171" s="338"/>
      <c r="T171" s="338"/>
      <c r="U171" s="338"/>
      <c r="V171" s="338"/>
      <c r="W171" s="338"/>
      <c r="X171" s="338"/>
      <c r="Y171" s="338"/>
      <c r="Z171" s="338"/>
    </row>
    <row r="172" ht="15.75" customHeight="1">
      <c r="A172" s="338"/>
      <c r="B172" s="338"/>
      <c r="C172" s="338"/>
      <c r="D172" s="338"/>
      <c r="E172" s="338"/>
      <c r="F172" s="338"/>
      <c r="G172" s="338"/>
      <c r="H172" s="338"/>
      <c r="I172" s="338"/>
      <c r="J172" s="338"/>
      <c r="K172" s="338"/>
      <c r="L172" s="338"/>
      <c r="M172" s="338"/>
      <c r="N172" s="338"/>
      <c r="O172" s="338"/>
      <c r="P172" s="338"/>
      <c r="Q172" s="338"/>
      <c r="R172" s="338"/>
      <c r="S172" s="338"/>
      <c r="T172" s="338"/>
      <c r="U172" s="338"/>
      <c r="V172" s="338"/>
      <c r="W172" s="338"/>
      <c r="X172" s="338"/>
      <c r="Y172" s="338"/>
      <c r="Z172" s="338"/>
    </row>
    <row r="173" ht="15.75" customHeight="1">
      <c r="A173" s="338"/>
      <c r="B173" s="338"/>
      <c r="C173" s="338"/>
      <c r="D173" s="338"/>
      <c r="E173" s="338"/>
      <c r="F173" s="338"/>
      <c r="G173" s="338"/>
      <c r="H173" s="338"/>
      <c r="I173" s="338"/>
      <c r="J173" s="338"/>
      <c r="K173" s="338"/>
      <c r="L173" s="338"/>
      <c r="M173" s="338"/>
      <c r="N173" s="338"/>
      <c r="O173" s="338"/>
      <c r="P173" s="338"/>
      <c r="Q173" s="338"/>
      <c r="R173" s="338"/>
      <c r="S173" s="338"/>
      <c r="T173" s="338"/>
      <c r="U173" s="338"/>
      <c r="V173" s="338"/>
      <c r="W173" s="338"/>
      <c r="X173" s="338"/>
      <c r="Y173" s="338"/>
      <c r="Z173" s="338"/>
    </row>
    <row r="174" ht="15.75" customHeight="1">
      <c r="A174" s="338"/>
      <c r="B174" s="338"/>
      <c r="C174" s="338"/>
      <c r="D174" s="338"/>
      <c r="E174" s="338"/>
      <c r="F174" s="338"/>
      <c r="G174" s="338"/>
      <c r="H174" s="338"/>
      <c r="I174" s="338"/>
      <c r="J174" s="338"/>
      <c r="K174" s="338"/>
      <c r="L174" s="338"/>
      <c r="M174" s="338"/>
      <c r="N174" s="338"/>
      <c r="O174" s="338"/>
      <c r="P174" s="338"/>
      <c r="Q174" s="338"/>
      <c r="R174" s="338"/>
      <c r="S174" s="338"/>
      <c r="T174" s="338"/>
      <c r="U174" s="338"/>
      <c r="V174" s="338"/>
      <c r="W174" s="338"/>
      <c r="X174" s="338"/>
      <c r="Y174" s="338"/>
      <c r="Z174" s="338"/>
    </row>
    <row r="175" ht="15.75" customHeight="1">
      <c r="A175" s="338"/>
      <c r="B175" s="338"/>
      <c r="C175" s="338"/>
      <c r="D175" s="338"/>
      <c r="E175" s="338"/>
      <c r="F175" s="338"/>
      <c r="G175" s="338"/>
      <c r="H175" s="338"/>
      <c r="I175" s="338"/>
      <c r="J175" s="338"/>
      <c r="K175" s="338"/>
      <c r="L175" s="338"/>
      <c r="M175" s="338"/>
      <c r="N175" s="338"/>
      <c r="O175" s="338"/>
      <c r="P175" s="338"/>
      <c r="Q175" s="338"/>
      <c r="R175" s="338"/>
      <c r="S175" s="338"/>
      <c r="T175" s="338"/>
      <c r="U175" s="338"/>
      <c r="V175" s="338"/>
      <c r="W175" s="338"/>
      <c r="X175" s="338"/>
      <c r="Y175" s="338"/>
      <c r="Z175" s="338"/>
    </row>
    <row r="176" ht="15.75" customHeight="1">
      <c r="A176" s="338"/>
      <c r="B176" s="338"/>
      <c r="C176" s="338"/>
      <c r="D176" s="338"/>
      <c r="E176" s="338"/>
      <c r="F176" s="338"/>
      <c r="G176" s="338"/>
      <c r="H176" s="338"/>
      <c r="I176" s="338"/>
      <c r="J176" s="338"/>
      <c r="K176" s="338"/>
      <c r="L176" s="338"/>
      <c r="M176" s="338"/>
      <c r="N176" s="338"/>
      <c r="O176" s="338"/>
      <c r="P176" s="338"/>
      <c r="Q176" s="338"/>
      <c r="R176" s="338"/>
      <c r="S176" s="338"/>
      <c r="T176" s="338"/>
      <c r="U176" s="338"/>
      <c r="V176" s="338"/>
      <c r="W176" s="338"/>
      <c r="X176" s="338"/>
      <c r="Y176" s="338"/>
      <c r="Z176" s="338"/>
    </row>
    <row r="177" ht="15.75" customHeight="1">
      <c r="A177" s="338"/>
      <c r="B177" s="338"/>
      <c r="C177" s="338"/>
      <c r="D177" s="338"/>
      <c r="E177" s="338"/>
      <c r="F177" s="338"/>
      <c r="G177" s="338"/>
      <c r="H177" s="338"/>
      <c r="I177" s="338"/>
      <c r="J177" s="338"/>
      <c r="K177" s="338"/>
      <c r="L177" s="338"/>
      <c r="M177" s="338"/>
      <c r="N177" s="338"/>
      <c r="O177" s="338"/>
      <c r="P177" s="338"/>
      <c r="Q177" s="338"/>
      <c r="R177" s="338"/>
      <c r="S177" s="338"/>
      <c r="T177" s="338"/>
      <c r="U177" s="338"/>
      <c r="V177" s="338"/>
      <c r="W177" s="338"/>
      <c r="X177" s="338"/>
      <c r="Y177" s="338"/>
      <c r="Z177" s="338"/>
    </row>
    <row r="178" ht="15.75" customHeight="1">
      <c r="A178" s="338"/>
      <c r="B178" s="338"/>
      <c r="C178" s="338"/>
      <c r="D178" s="338"/>
      <c r="E178" s="338"/>
      <c r="F178" s="338"/>
      <c r="G178" s="338"/>
      <c r="H178" s="338"/>
      <c r="I178" s="338"/>
      <c r="J178" s="338"/>
      <c r="K178" s="338"/>
      <c r="L178" s="338"/>
      <c r="M178" s="338"/>
      <c r="N178" s="338"/>
      <c r="O178" s="338"/>
      <c r="P178" s="338"/>
      <c r="Q178" s="338"/>
      <c r="R178" s="338"/>
      <c r="S178" s="338"/>
      <c r="T178" s="338"/>
      <c r="U178" s="338"/>
      <c r="V178" s="338"/>
      <c r="W178" s="338"/>
      <c r="X178" s="338"/>
      <c r="Y178" s="338"/>
      <c r="Z178" s="338"/>
    </row>
    <row r="179" ht="15.75" customHeight="1">
      <c r="A179" s="338"/>
      <c r="B179" s="338"/>
      <c r="C179" s="338"/>
      <c r="D179" s="338"/>
      <c r="E179" s="338"/>
      <c r="F179" s="338"/>
      <c r="G179" s="338"/>
      <c r="H179" s="338"/>
      <c r="I179" s="338"/>
      <c r="J179" s="338"/>
      <c r="K179" s="338"/>
      <c r="L179" s="338"/>
      <c r="M179" s="338"/>
      <c r="N179" s="338"/>
      <c r="O179" s="338"/>
      <c r="P179" s="338"/>
      <c r="Q179" s="338"/>
      <c r="R179" s="338"/>
      <c r="S179" s="338"/>
      <c r="T179" s="338"/>
      <c r="U179" s="338"/>
      <c r="V179" s="338"/>
      <c r="W179" s="338"/>
      <c r="X179" s="338"/>
      <c r="Y179" s="338"/>
      <c r="Z179" s="338"/>
    </row>
    <row r="180" ht="15.75" customHeight="1">
      <c r="A180" s="338"/>
      <c r="B180" s="338"/>
      <c r="C180" s="338"/>
      <c r="D180" s="338"/>
      <c r="E180" s="338"/>
      <c r="F180" s="338"/>
      <c r="G180" s="338"/>
      <c r="H180" s="338"/>
      <c r="I180" s="338"/>
      <c r="J180" s="338"/>
      <c r="K180" s="338"/>
      <c r="L180" s="338"/>
      <c r="M180" s="338"/>
      <c r="N180" s="338"/>
      <c r="O180" s="338"/>
      <c r="P180" s="338"/>
      <c r="Q180" s="338"/>
      <c r="R180" s="338"/>
      <c r="S180" s="338"/>
      <c r="T180" s="338"/>
      <c r="U180" s="338"/>
      <c r="V180" s="338"/>
      <c r="W180" s="338"/>
      <c r="X180" s="338"/>
      <c r="Y180" s="338"/>
      <c r="Z180" s="338"/>
    </row>
    <row r="181" ht="15.75" customHeight="1">
      <c r="A181" s="338"/>
      <c r="B181" s="338"/>
      <c r="C181" s="338"/>
      <c r="D181" s="338"/>
      <c r="E181" s="338"/>
      <c r="F181" s="338"/>
      <c r="G181" s="338"/>
      <c r="H181" s="338"/>
      <c r="I181" s="338"/>
      <c r="J181" s="338"/>
      <c r="K181" s="338"/>
      <c r="L181" s="338"/>
      <c r="M181" s="338"/>
      <c r="N181" s="338"/>
      <c r="O181" s="338"/>
      <c r="P181" s="338"/>
      <c r="Q181" s="338"/>
      <c r="R181" s="338"/>
      <c r="S181" s="338"/>
      <c r="T181" s="338"/>
      <c r="U181" s="338"/>
      <c r="V181" s="338"/>
      <c r="W181" s="338"/>
      <c r="X181" s="338"/>
      <c r="Y181" s="338"/>
      <c r="Z181" s="338"/>
    </row>
    <row r="182" ht="15.75" customHeight="1">
      <c r="A182" s="338"/>
      <c r="B182" s="338"/>
      <c r="C182" s="338"/>
      <c r="D182" s="338"/>
      <c r="E182" s="338"/>
      <c r="F182" s="338"/>
      <c r="G182" s="338"/>
      <c r="H182" s="338"/>
      <c r="I182" s="338"/>
      <c r="J182" s="338"/>
      <c r="K182" s="338"/>
      <c r="L182" s="338"/>
      <c r="M182" s="338"/>
      <c r="N182" s="338"/>
      <c r="O182" s="338"/>
      <c r="P182" s="338"/>
      <c r="Q182" s="338"/>
      <c r="R182" s="338"/>
      <c r="S182" s="338"/>
      <c r="T182" s="338"/>
      <c r="U182" s="338"/>
      <c r="V182" s="338"/>
      <c r="W182" s="338"/>
      <c r="X182" s="338"/>
      <c r="Y182" s="338"/>
      <c r="Z182" s="338"/>
    </row>
    <row r="183" ht="15.75" customHeight="1">
      <c r="A183" s="338"/>
      <c r="B183" s="338"/>
      <c r="C183" s="338"/>
      <c r="D183" s="338"/>
      <c r="E183" s="338"/>
      <c r="F183" s="338"/>
      <c r="G183" s="338"/>
      <c r="H183" s="338"/>
      <c r="I183" s="338"/>
      <c r="J183" s="338"/>
      <c r="K183" s="338"/>
      <c r="L183" s="338"/>
      <c r="M183" s="338"/>
      <c r="N183" s="338"/>
      <c r="O183" s="338"/>
      <c r="P183" s="338"/>
      <c r="Q183" s="338"/>
      <c r="R183" s="338"/>
      <c r="S183" s="338"/>
      <c r="T183" s="338"/>
      <c r="U183" s="338"/>
      <c r="V183" s="338"/>
      <c r="W183" s="338"/>
      <c r="X183" s="338"/>
      <c r="Y183" s="338"/>
      <c r="Z183" s="338"/>
    </row>
    <row r="184" ht="15.75" customHeight="1">
      <c r="A184" s="338"/>
      <c r="B184" s="338"/>
      <c r="C184" s="338"/>
      <c r="D184" s="338"/>
      <c r="E184" s="338"/>
      <c r="F184" s="338"/>
      <c r="G184" s="338"/>
      <c r="H184" s="338"/>
      <c r="I184" s="338"/>
      <c r="J184" s="338"/>
      <c r="K184" s="338"/>
      <c r="L184" s="338"/>
      <c r="M184" s="338"/>
      <c r="N184" s="338"/>
      <c r="O184" s="338"/>
      <c r="P184" s="338"/>
      <c r="Q184" s="338"/>
      <c r="R184" s="338"/>
      <c r="S184" s="338"/>
      <c r="T184" s="338"/>
      <c r="U184" s="338"/>
      <c r="V184" s="338"/>
      <c r="W184" s="338"/>
      <c r="X184" s="338"/>
      <c r="Y184" s="338"/>
      <c r="Z184" s="338"/>
    </row>
    <row r="185" ht="15.75" customHeight="1">
      <c r="A185" s="338"/>
      <c r="B185" s="338"/>
      <c r="C185" s="338"/>
      <c r="D185" s="338"/>
      <c r="E185" s="338"/>
      <c r="F185" s="338"/>
      <c r="G185" s="338"/>
      <c r="H185" s="338"/>
      <c r="I185" s="338"/>
      <c r="J185" s="338"/>
      <c r="K185" s="338"/>
      <c r="L185" s="338"/>
      <c r="M185" s="338"/>
      <c r="N185" s="338"/>
      <c r="O185" s="338"/>
      <c r="P185" s="338"/>
      <c r="Q185" s="338"/>
      <c r="R185" s="338"/>
      <c r="S185" s="338"/>
      <c r="T185" s="338"/>
      <c r="U185" s="338"/>
      <c r="V185" s="338"/>
      <c r="W185" s="338"/>
      <c r="X185" s="338"/>
      <c r="Y185" s="338"/>
      <c r="Z185" s="338"/>
    </row>
    <row r="186" ht="15.75" customHeight="1">
      <c r="A186" s="338"/>
      <c r="B186" s="338"/>
      <c r="C186" s="338"/>
      <c r="D186" s="338"/>
      <c r="E186" s="338"/>
      <c r="F186" s="338"/>
      <c r="G186" s="338"/>
      <c r="H186" s="338"/>
      <c r="I186" s="338"/>
      <c r="J186" s="338"/>
      <c r="K186" s="338"/>
      <c r="L186" s="338"/>
      <c r="M186" s="338"/>
      <c r="N186" s="338"/>
      <c r="O186" s="338"/>
      <c r="P186" s="338"/>
      <c r="Q186" s="338"/>
      <c r="R186" s="338"/>
      <c r="S186" s="338"/>
      <c r="T186" s="338"/>
      <c r="U186" s="338"/>
      <c r="V186" s="338"/>
      <c r="W186" s="338"/>
      <c r="X186" s="338"/>
      <c r="Y186" s="338"/>
      <c r="Z186" s="338"/>
    </row>
    <row r="187" ht="15.75" customHeight="1">
      <c r="A187" s="338"/>
      <c r="B187" s="338"/>
      <c r="C187" s="338"/>
      <c r="D187" s="338"/>
      <c r="E187" s="338"/>
      <c r="F187" s="338"/>
      <c r="G187" s="338"/>
      <c r="H187" s="338"/>
      <c r="I187" s="338"/>
      <c r="J187" s="338"/>
      <c r="K187" s="338"/>
      <c r="L187" s="338"/>
      <c r="M187" s="338"/>
      <c r="N187" s="338"/>
      <c r="O187" s="338"/>
      <c r="P187" s="338"/>
      <c r="Q187" s="338"/>
      <c r="R187" s="338"/>
      <c r="S187" s="338"/>
      <c r="T187" s="338"/>
      <c r="U187" s="338"/>
      <c r="V187" s="338"/>
      <c r="W187" s="338"/>
      <c r="X187" s="338"/>
      <c r="Y187" s="338"/>
      <c r="Z187" s="338"/>
    </row>
    <row r="188" ht="15.75" customHeight="1">
      <c r="A188" s="338"/>
      <c r="B188" s="338"/>
      <c r="C188" s="338"/>
      <c r="D188" s="338"/>
      <c r="E188" s="338"/>
      <c r="F188" s="338"/>
      <c r="G188" s="338"/>
      <c r="H188" s="338"/>
      <c r="I188" s="338"/>
      <c r="J188" s="338"/>
      <c r="K188" s="338"/>
      <c r="L188" s="338"/>
      <c r="M188" s="338"/>
      <c r="N188" s="338"/>
      <c r="O188" s="338"/>
      <c r="P188" s="338"/>
      <c r="Q188" s="338"/>
      <c r="R188" s="338"/>
      <c r="S188" s="338"/>
      <c r="T188" s="338"/>
      <c r="U188" s="338"/>
      <c r="V188" s="338"/>
      <c r="W188" s="338"/>
      <c r="X188" s="338"/>
      <c r="Y188" s="338"/>
      <c r="Z188" s="338"/>
    </row>
    <row r="189" ht="15.75" customHeight="1">
      <c r="A189" s="338"/>
      <c r="B189" s="338"/>
      <c r="C189" s="338"/>
      <c r="D189" s="338"/>
      <c r="E189" s="338"/>
      <c r="F189" s="338"/>
      <c r="G189" s="338"/>
      <c r="H189" s="338"/>
      <c r="I189" s="338"/>
      <c r="J189" s="338"/>
      <c r="K189" s="338"/>
      <c r="L189" s="338"/>
      <c r="M189" s="338"/>
      <c r="N189" s="338"/>
      <c r="O189" s="338"/>
      <c r="P189" s="338"/>
      <c r="Q189" s="338"/>
      <c r="R189" s="338"/>
      <c r="S189" s="338"/>
      <c r="T189" s="338"/>
      <c r="U189" s="338"/>
      <c r="V189" s="338"/>
      <c r="W189" s="338"/>
      <c r="X189" s="338"/>
      <c r="Y189" s="338"/>
      <c r="Z189" s="338"/>
    </row>
    <row r="190" ht="15.75" customHeight="1">
      <c r="A190" s="338"/>
      <c r="B190" s="338"/>
      <c r="C190" s="338"/>
      <c r="D190" s="338"/>
      <c r="E190" s="338"/>
      <c r="F190" s="338"/>
      <c r="G190" s="338"/>
      <c r="H190" s="338"/>
      <c r="I190" s="338"/>
      <c r="J190" s="338"/>
      <c r="K190" s="338"/>
      <c r="L190" s="338"/>
      <c r="M190" s="338"/>
      <c r="N190" s="338"/>
      <c r="O190" s="338"/>
      <c r="P190" s="338"/>
      <c r="Q190" s="338"/>
      <c r="R190" s="338"/>
      <c r="S190" s="338"/>
      <c r="T190" s="338"/>
      <c r="U190" s="338"/>
      <c r="V190" s="338"/>
      <c r="W190" s="338"/>
      <c r="X190" s="338"/>
      <c r="Y190" s="338"/>
      <c r="Z190" s="338"/>
    </row>
    <row r="191" ht="15.75" customHeight="1">
      <c r="A191" s="338"/>
      <c r="B191" s="338"/>
      <c r="C191" s="338"/>
      <c r="D191" s="338"/>
      <c r="E191" s="338"/>
      <c r="F191" s="338"/>
      <c r="G191" s="338"/>
      <c r="H191" s="338"/>
      <c r="I191" s="338"/>
      <c r="J191" s="338"/>
      <c r="K191" s="338"/>
      <c r="L191" s="338"/>
      <c r="M191" s="338"/>
      <c r="N191" s="338"/>
      <c r="O191" s="338"/>
      <c r="P191" s="338"/>
      <c r="Q191" s="338"/>
      <c r="R191" s="338"/>
      <c r="S191" s="338"/>
      <c r="T191" s="338"/>
      <c r="U191" s="338"/>
      <c r="V191" s="338"/>
      <c r="W191" s="338"/>
      <c r="X191" s="338"/>
      <c r="Y191" s="338"/>
      <c r="Z191" s="338"/>
    </row>
    <row r="192" ht="15.75" customHeight="1">
      <c r="A192" s="338"/>
      <c r="B192" s="338"/>
      <c r="C192" s="338"/>
      <c r="D192" s="338"/>
      <c r="E192" s="338"/>
      <c r="F192" s="338"/>
      <c r="G192" s="338"/>
      <c r="H192" s="338"/>
      <c r="I192" s="338"/>
      <c r="J192" s="338"/>
      <c r="K192" s="338"/>
      <c r="L192" s="338"/>
      <c r="M192" s="338"/>
      <c r="N192" s="338"/>
      <c r="O192" s="338"/>
      <c r="P192" s="338"/>
      <c r="Q192" s="338"/>
      <c r="R192" s="338"/>
      <c r="S192" s="338"/>
      <c r="T192" s="338"/>
      <c r="U192" s="338"/>
      <c r="V192" s="338"/>
      <c r="W192" s="338"/>
      <c r="X192" s="338"/>
      <c r="Y192" s="338"/>
      <c r="Z192" s="338"/>
    </row>
    <row r="193" ht="15.75" customHeight="1">
      <c r="A193" s="338"/>
      <c r="B193" s="338"/>
      <c r="C193" s="338"/>
      <c r="D193" s="338"/>
      <c r="E193" s="338"/>
      <c r="F193" s="338"/>
      <c r="G193" s="338"/>
      <c r="H193" s="338"/>
      <c r="I193" s="338"/>
      <c r="J193" s="338"/>
      <c r="K193" s="338"/>
      <c r="L193" s="338"/>
      <c r="M193" s="338"/>
      <c r="N193" s="338"/>
      <c r="O193" s="338"/>
      <c r="P193" s="338"/>
      <c r="Q193" s="338"/>
      <c r="R193" s="338"/>
      <c r="S193" s="338"/>
      <c r="T193" s="338"/>
      <c r="U193" s="338"/>
      <c r="V193" s="338"/>
      <c r="W193" s="338"/>
      <c r="X193" s="338"/>
      <c r="Y193" s="338"/>
      <c r="Z193" s="338"/>
    </row>
    <row r="194" ht="15.75" customHeight="1">
      <c r="A194" s="338"/>
      <c r="B194" s="338"/>
      <c r="C194" s="338"/>
      <c r="D194" s="338"/>
      <c r="E194" s="338"/>
      <c r="F194" s="338"/>
      <c r="G194" s="338"/>
      <c r="H194" s="338"/>
      <c r="I194" s="338"/>
      <c r="J194" s="338"/>
      <c r="K194" s="338"/>
      <c r="L194" s="338"/>
      <c r="M194" s="338"/>
      <c r="N194" s="338"/>
      <c r="O194" s="338"/>
      <c r="P194" s="338"/>
      <c r="Q194" s="338"/>
      <c r="R194" s="338"/>
      <c r="S194" s="338"/>
      <c r="T194" s="338"/>
      <c r="U194" s="338"/>
      <c r="V194" s="338"/>
      <c r="W194" s="338"/>
      <c r="X194" s="338"/>
      <c r="Y194" s="338"/>
      <c r="Z194" s="338"/>
    </row>
    <row r="195" ht="15.75" customHeight="1">
      <c r="A195" s="338"/>
      <c r="B195" s="338"/>
      <c r="C195" s="338"/>
      <c r="D195" s="338"/>
      <c r="E195" s="338"/>
      <c r="F195" s="338"/>
      <c r="G195" s="338"/>
      <c r="H195" s="338"/>
      <c r="I195" s="338"/>
      <c r="J195" s="338"/>
      <c r="K195" s="338"/>
      <c r="L195" s="338"/>
      <c r="M195" s="338"/>
      <c r="N195" s="338"/>
      <c r="O195" s="338"/>
      <c r="P195" s="338"/>
      <c r="Q195" s="338"/>
      <c r="R195" s="338"/>
      <c r="S195" s="338"/>
      <c r="T195" s="338"/>
      <c r="U195" s="338"/>
      <c r="V195" s="338"/>
      <c r="W195" s="338"/>
      <c r="X195" s="338"/>
      <c r="Y195" s="338"/>
      <c r="Z195" s="338"/>
    </row>
    <row r="196" ht="15.75" customHeight="1">
      <c r="A196" s="338"/>
      <c r="B196" s="338"/>
      <c r="C196" s="338"/>
      <c r="D196" s="338"/>
      <c r="E196" s="338"/>
      <c r="F196" s="338"/>
      <c r="G196" s="338"/>
      <c r="H196" s="338"/>
      <c r="I196" s="338"/>
      <c r="J196" s="338"/>
      <c r="K196" s="338"/>
      <c r="L196" s="338"/>
      <c r="M196" s="338"/>
      <c r="N196" s="338"/>
      <c r="O196" s="338"/>
      <c r="P196" s="338"/>
      <c r="Q196" s="338"/>
      <c r="R196" s="338"/>
      <c r="S196" s="338"/>
      <c r="T196" s="338"/>
      <c r="U196" s="338"/>
      <c r="V196" s="338"/>
      <c r="W196" s="338"/>
      <c r="X196" s="338"/>
      <c r="Y196" s="338"/>
      <c r="Z196" s="338"/>
    </row>
    <row r="197" ht="15.75" customHeight="1">
      <c r="A197" s="338"/>
      <c r="B197" s="338"/>
      <c r="C197" s="338"/>
      <c r="D197" s="338"/>
      <c r="E197" s="338"/>
      <c r="F197" s="338"/>
      <c r="G197" s="338"/>
      <c r="H197" s="338"/>
      <c r="I197" s="338"/>
      <c r="J197" s="338"/>
      <c r="K197" s="338"/>
      <c r="L197" s="338"/>
      <c r="M197" s="338"/>
      <c r="N197" s="338"/>
      <c r="O197" s="338"/>
      <c r="P197" s="338"/>
      <c r="Q197" s="338"/>
      <c r="R197" s="338"/>
      <c r="S197" s="338"/>
      <c r="T197" s="338"/>
      <c r="U197" s="338"/>
      <c r="V197" s="338"/>
      <c r="W197" s="338"/>
      <c r="X197" s="338"/>
      <c r="Y197" s="338"/>
      <c r="Z197" s="338"/>
    </row>
    <row r="198" ht="15.75" customHeight="1">
      <c r="A198" s="338"/>
      <c r="B198" s="338"/>
      <c r="C198" s="338"/>
      <c r="D198" s="338"/>
      <c r="E198" s="338"/>
      <c r="F198" s="338"/>
      <c r="G198" s="338"/>
      <c r="H198" s="338"/>
      <c r="I198" s="338"/>
      <c r="J198" s="338"/>
      <c r="K198" s="338"/>
      <c r="L198" s="338"/>
      <c r="M198" s="338"/>
      <c r="N198" s="338"/>
      <c r="O198" s="338"/>
      <c r="P198" s="338"/>
      <c r="Q198" s="338"/>
      <c r="R198" s="338"/>
      <c r="S198" s="338"/>
      <c r="T198" s="338"/>
      <c r="U198" s="338"/>
      <c r="V198" s="338"/>
      <c r="W198" s="338"/>
      <c r="X198" s="338"/>
      <c r="Y198" s="338"/>
      <c r="Z198" s="338"/>
    </row>
    <row r="199" ht="15.75" customHeight="1">
      <c r="A199" s="338"/>
      <c r="B199" s="338"/>
      <c r="C199" s="338"/>
      <c r="D199" s="338"/>
      <c r="E199" s="338"/>
      <c r="F199" s="338"/>
      <c r="G199" s="338"/>
      <c r="H199" s="338"/>
      <c r="I199" s="338"/>
      <c r="J199" s="338"/>
      <c r="K199" s="338"/>
      <c r="L199" s="338"/>
      <c r="M199" s="338"/>
      <c r="N199" s="338"/>
      <c r="O199" s="338"/>
      <c r="P199" s="338"/>
      <c r="Q199" s="338"/>
      <c r="R199" s="338"/>
      <c r="S199" s="338"/>
      <c r="T199" s="338"/>
      <c r="U199" s="338"/>
      <c r="V199" s="338"/>
      <c r="W199" s="338"/>
      <c r="X199" s="338"/>
      <c r="Y199" s="338"/>
      <c r="Z199" s="338"/>
    </row>
    <row r="200" ht="15.75" customHeight="1">
      <c r="A200" s="338"/>
      <c r="B200" s="338"/>
      <c r="C200" s="338"/>
      <c r="D200" s="338"/>
      <c r="E200" s="338"/>
      <c r="F200" s="338"/>
      <c r="G200" s="338"/>
      <c r="H200" s="338"/>
      <c r="I200" s="338"/>
      <c r="J200" s="338"/>
      <c r="K200" s="338"/>
      <c r="L200" s="338"/>
      <c r="M200" s="338"/>
      <c r="N200" s="338"/>
      <c r="O200" s="338"/>
      <c r="P200" s="338"/>
      <c r="Q200" s="338"/>
      <c r="R200" s="338"/>
      <c r="S200" s="338"/>
      <c r="T200" s="338"/>
      <c r="U200" s="338"/>
      <c r="V200" s="338"/>
      <c r="W200" s="338"/>
      <c r="X200" s="338"/>
      <c r="Y200" s="338"/>
      <c r="Z200" s="338"/>
    </row>
    <row r="201" ht="15.75" customHeight="1">
      <c r="A201" s="338"/>
      <c r="B201" s="338"/>
      <c r="C201" s="338"/>
      <c r="D201" s="338"/>
      <c r="E201" s="338"/>
      <c r="F201" s="338"/>
      <c r="G201" s="338"/>
      <c r="H201" s="338"/>
      <c r="I201" s="338"/>
      <c r="J201" s="338"/>
      <c r="K201" s="338"/>
      <c r="L201" s="338"/>
      <c r="M201" s="338"/>
      <c r="N201" s="338"/>
      <c r="O201" s="338"/>
      <c r="P201" s="338"/>
      <c r="Q201" s="338"/>
      <c r="R201" s="338"/>
      <c r="S201" s="338"/>
      <c r="T201" s="338"/>
      <c r="U201" s="338"/>
      <c r="V201" s="338"/>
      <c r="W201" s="338"/>
      <c r="X201" s="338"/>
      <c r="Y201" s="338"/>
      <c r="Z201" s="338"/>
    </row>
    <row r="202" ht="15.75" customHeight="1">
      <c r="A202" s="338"/>
      <c r="B202" s="338"/>
      <c r="C202" s="338"/>
      <c r="D202" s="338"/>
      <c r="E202" s="338"/>
      <c r="F202" s="338"/>
      <c r="G202" s="338"/>
      <c r="H202" s="338"/>
      <c r="I202" s="338"/>
      <c r="J202" s="338"/>
      <c r="K202" s="338"/>
      <c r="L202" s="338"/>
      <c r="M202" s="338"/>
      <c r="N202" s="338"/>
      <c r="O202" s="338"/>
      <c r="P202" s="338"/>
      <c r="Q202" s="338"/>
      <c r="R202" s="338"/>
      <c r="S202" s="338"/>
      <c r="T202" s="338"/>
      <c r="U202" s="338"/>
      <c r="V202" s="338"/>
      <c r="W202" s="338"/>
      <c r="X202" s="338"/>
      <c r="Y202" s="338"/>
      <c r="Z202" s="338"/>
    </row>
    <row r="203" ht="15.75" customHeight="1">
      <c r="A203" s="338"/>
      <c r="B203" s="338"/>
      <c r="C203" s="338"/>
      <c r="D203" s="338"/>
      <c r="E203" s="338"/>
      <c r="F203" s="338"/>
      <c r="G203" s="338"/>
      <c r="H203" s="338"/>
      <c r="I203" s="338"/>
      <c r="J203" s="338"/>
      <c r="K203" s="338"/>
      <c r="L203" s="338"/>
      <c r="M203" s="338"/>
      <c r="N203" s="338"/>
      <c r="O203" s="338"/>
      <c r="P203" s="338"/>
      <c r="Q203" s="338"/>
      <c r="R203" s="338"/>
      <c r="S203" s="338"/>
      <c r="T203" s="338"/>
      <c r="U203" s="338"/>
      <c r="V203" s="338"/>
      <c r="W203" s="338"/>
      <c r="X203" s="338"/>
      <c r="Y203" s="338"/>
      <c r="Z203" s="338"/>
    </row>
    <row r="204" ht="15.75" customHeight="1">
      <c r="A204" s="338"/>
      <c r="B204" s="338"/>
      <c r="C204" s="338"/>
      <c r="D204" s="338"/>
      <c r="E204" s="338"/>
      <c r="F204" s="338"/>
      <c r="G204" s="338"/>
      <c r="H204" s="338"/>
      <c r="I204" s="338"/>
      <c r="J204" s="338"/>
      <c r="K204" s="338"/>
      <c r="L204" s="338"/>
      <c r="M204" s="338"/>
      <c r="N204" s="338"/>
      <c r="O204" s="338"/>
      <c r="P204" s="338"/>
      <c r="Q204" s="338"/>
      <c r="R204" s="338"/>
      <c r="S204" s="338"/>
      <c r="T204" s="338"/>
      <c r="U204" s="338"/>
      <c r="V204" s="338"/>
      <c r="W204" s="338"/>
      <c r="X204" s="338"/>
      <c r="Y204" s="338"/>
      <c r="Z204" s="338"/>
    </row>
    <row r="205" ht="15.75" customHeight="1">
      <c r="A205" s="338"/>
      <c r="B205" s="338"/>
      <c r="C205" s="338"/>
      <c r="D205" s="338"/>
      <c r="E205" s="338"/>
      <c r="F205" s="338"/>
      <c r="G205" s="338"/>
      <c r="H205" s="338"/>
      <c r="I205" s="338"/>
      <c r="J205" s="338"/>
      <c r="K205" s="338"/>
      <c r="L205" s="338"/>
      <c r="M205" s="338"/>
      <c r="N205" s="338"/>
      <c r="O205" s="338"/>
      <c r="P205" s="338"/>
      <c r="Q205" s="338"/>
      <c r="R205" s="338"/>
      <c r="S205" s="338"/>
      <c r="T205" s="338"/>
      <c r="U205" s="338"/>
      <c r="V205" s="338"/>
      <c r="W205" s="338"/>
      <c r="X205" s="338"/>
      <c r="Y205" s="338"/>
      <c r="Z205" s="338"/>
    </row>
    <row r="206" ht="15.75" customHeight="1">
      <c r="A206" s="338"/>
      <c r="B206" s="338"/>
      <c r="C206" s="338"/>
      <c r="D206" s="338"/>
      <c r="E206" s="338"/>
      <c r="F206" s="338"/>
      <c r="G206" s="338"/>
      <c r="H206" s="338"/>
      <c r="I206" s="338"/>
      <c r="J206" s="338"/>
      <c r="K206" s="338"/>
      <c r="L206" s="338"/>
      <c r="M206" s="338"/>
      <c r="N206" s="338"/>
      <c r="O206" s="338"/>
      <c r="P206" s="338"/>
      <c r="Q206" s="338"/>
      <c r="R206" s="338"/>
      <c r="S206" s="338"/>
      <c r="T206" s="338"/>
      <c r="U206" s="338"/>
      <c r="V206" s="338"/>
      <c r="W206" s="338"/>
      <c r="X206" s="338"/>
      <c r="Y206" s="338"/>
      <c r="Z206" s="338"/>
    </row>
    <row r="207" ht="15.75" customHeight="1">
      <c r="A207" s="338"/>
      <c r="B207" s="338"/>
      <c r="C207" s="338"/>
      <c r="D207" s="338"/>
      <c r="E207" s="338"/>
      <c r="F207" s="338"/>
      <c r="G207" s="338"/>
      <c r="H207" s="338"/>
      <c r="I207" s="338"/>
      <c r="J207" s="338"/>
      <c r="K207" s="338"/>
      <c r="L207" s="338"/>
      <c r="M207" s="338"/>
      <c r="N207" s="338"/>
      <c r="O207" s="338"/>
      <c r="P207" s="338"/>
      <c r="Q207" s="338"/>
      <c r="R207" s="338"/>
      <c r="S207" s="338"/>
      <c r="T207" s="338"/>
      <c r="U207" s="338"/>
      <c r="V207" s="338"/>
      <c r="W207" s="338"/>
      <c r="X207" s="338"/>
      <c r="Y207" s="338"/>
      <c r="Z207" s="338"/>
    </row>
    <row r="208" ht="15.75" customHeight="1">
      <c r="A208" s="338"/>
      <c r="B208" s="338"/>
      <c r="C208" s="338"/>
      <c r="D208" s="338"/>
      <c r="E208" s="338"/>
      <c r="F208" s="338"/>
      <c r="G208" s="338"/>
      <c r="H208" s="338"/>
      <c r="I208" s="338"/>
      <c r="J208" s="338"/>
      <c r="K208" s="338"/>
      <c r="L208" s="338"/>
      <c r="M208" s="338"/>
      <c r="N208" s="338"/>
      <c r="O208" s="338"/>
      <c r="P208" s="338"/>
      <c r="Q208" s="338"/>
      <c r="R208" s="338"/>
      <c r="S208" s="338"/>
      <c r="T208" s="338"/>
      <c r="U208" s="338"/>
      <c r="V208" s="338"/>
      <c r="W208" s="338"/>
      <c r="X208" s="338"/>
      <c r="Y208" s="338"/>
      <c r="Z208" s="338"/>
    </row>
    <row r="209" ht="15.75" customHeight="1">
      <c r="A209" s="338"/>
      <c r="B209" s="338"/>
      <c r="C209" s="338"/>
      <c r="D209" s="338"/>
      <c r="E209" s="338"/>
      <c r="F209" s="338"/>
      <c r="G209" s="338"/>
      <c r="H209" s="338"/>
      <c r="I209" s="338"/>
      <c r="J209" s="338"/>
      <c r="K209" s="338"/>
      <c r="L209" s="338"/>
      <c r="M209" s="338"/>
      <c r="N209" s="338"/>
      <c r="O209" s="338"/>
      <c r="P209" s="338"/>
      <c r="Q209" s="338"/>
      <c r="R209" s="338"/>
      <c r="S209" s="338"/>
      <c r="T209" s="338"/>
      <c r="U209" s="338"/>
      <c r="V209" s="338"/>
      <c r="W209" s="338"/>
      <c r="X209" s="338"/>
      <c r="Y209" s="338"/>
      <c r="Z209" s="338"/>
    </row>
    <row r="210" ht="15.75" customHeight="1">
      <c r="A210" s="338"/>
      <c r="B210" s="338"/>
      <c r="C210" s="338"/>
      <c r="D210" s="338"/>
      <c r="E210" s="338"/>
      <c r="F210" s="338"/>
      <c r="G210" s="338"/>
      <c r="H210" s="338"/>
      <c r="I210" s="338"/>
      <c r="J210" s="338"/>
      <c r="K210" s="338"/>
      <c r="L210" s="338"/>
      <c r="M210" s="338"/>
      <c r="N210" s="338"/>
      <c r="O210" s="338"/>
      <c r="P210" s="338"/>
      <c r="Q210" s="338"/>
      <c r="R210" s="338"/>
      <c r="S210" s="338"/>
      <c r="T210" s="338"/>
      <c r="U210" s="338"/>
      <c r="V210" s="338"/>
      <c r="W210" s="338"/>
      <c r="X210" s="338"/>
      <c r="Y210" s="338"/>
      <c r="Z210" s="338"/>
    </row>
    <row r="211" ht="15.75" customHeight="1">
      <c r="A211" s="338"/>
      <c r="B211" s="338"/>
      <c r="C211" s="338"/>
      <c r="D211" s="338"/>
      <c r="E211" s="338"/>
      <c r="F211" s="338"/>
      <c r="G211" s="338"/>
      <c r="H211" s="338"/>
      <c r="I211" s="338"/>
      <c r="J211" s="338"/>
      <c r="K211" s="338"/>
      <c r="L211" s="338"/>
      <c r="M211" s="338"/>
      <c r="N211" s="338"/>
      <c r="O211" s="338"/>
      <c r="P211" s="338"/>
      <c r="Q211" s="338"/>
      <c r="R211" s="338"/>
      <c r="S211" s="338"/>
      <c r="T211" s="338"/>
      <c r="U211" s="338"/>
      <c r="V211" s="338"/>
      <c r="W211" s="338"/>
      <c r="X211" s="338"/>
      <c r="Y211" s="338"/>
      <c r="Z211" s="338"/>
    </row>
    <row r="212" ht="15.75" customHeight="1">
      <c r="A212" s="338"/>
      <c r="B212" s="338"/>
      <c r="C212" s="338"/>
      <c r="D212" s="338"/>
      <c r="E212" s="338"/>
      <c r="F212" s="338"/>
      <c r="G212" s="338"/>
      <c r="H212" s="338"/>
      <c r="I212" s="338"/>
      <c r="J212" s="338"/>
      <c r="K212" s="338"/>
      <c r="L212" s="338"/>
      <c r="M212" s="338"/>
      <c r="N212" s="338"/>
      <c r="O212" s="338"/>
      <c r="P212" s="338"/>
      <c r="Q212" s="338"/>
      <c r="R212" s="338"/>
      <c r="S212" s="338"/>
      <c r="T212" s="338"/>
      <c r="U212" s="338"/>
      <c r="V212" s="338"/>
      <c r="W212" s="338"/>
      <c r="X212" s="338"/>
      <c r="Y212" s="338"/>
      <c r="Z212" s="338"/>
    </row>
    <row r="213" ht="15.75" customHeight="1">
      <c r="A213" s="338"/>
      <c r="B213" s="338"/>
      <c r="C213" s="338"/>
      <c r="D213" s="338"/>
      <c r="E213" s="338"/>
      <c r="F213" s="338"/>
      <c r="G213" s="338"/>
      <c r="H213" s="338"/>
      <c r="I213" s="338"/>
      <c r="J213" s="338"/>
      <c r="K213" s="338"/>
      <c r="L213" s="338"/>
      <c r="M213" s="338"/>
      <c r="N213" s="338"/>
      <c r="O213" s="338"/>
      <c r="P213" s="338"/>
      <c r="Q213" s="338"/>
      <c r="R213" s="338"/>
      <c r="S213" s="338"/>
      <c r="T213" s="338"/>
      <c r="U213" s="338"/>
      <c r="V213" s="338"/>
      <c r="W213" s="338"/>
      <c r="X213" s="338"/>
      <c r="Y213" s="338"/>
      <c r="Z213" s="338"/>
    </row>
    <row r="214" ht="15.75" customHeight="1">
      <c r="A214" s="338"/>
      <c r="B214" s="338"/>
      <c r="C214" s="338"/>
      <c r="D214" s="338"/>
      <c r="E214" s="338"/>
      <c r="F214" s="338"/>
      <c r="G214" s="338"/>
      <c r="H214" s="338"/>
      <c r="I214" s="338"/>
      <c r="J214" s="338"/>
      <c r="K214" s="338"/>
      <c r="L214" s="338"/>
      <c r="M214" s="338"/>
      <c r="N214" s="338"/>
      <c r="O214" s="338"/>
      <c r="P214" s="338"/>
      <c r="Q214" s="338"/>
      <c r="R214" s="338"/>
      <c r="S214" s="338"/>
      <c r="T214" s="338"/>
      <c r="U214" s="338"/>
      <c r="V214" s="338"/>
      <c r="W214" s="338"/>
      <c r="X214" s="338"/>
      <c r="Y214" s="338"/>
      <c r="Z214" s="338"/>
    </row>
    <row r="215" ht="15.75" customHeight="1">
      <c r="A215" s="338"/>
      <c r="B215" s="338"/>
      <c r="C215" s="338"/>
      <c r="D215" s="338"/>
      <c r="E215" s="338"/>
      <c r="F215" s="338"/>
      <c r="G215" s="338"/>
      <c r="H215" s="338"/>
      <c r="I215" s="338"/>
      <c r="J215" s="338"/>
      <c r="K215" s="338"/>
      <c r="L215" s="338"/>
      <c r="M215" s="338"/>
      <c r="N215" s="338"/>
      <c r="O215" s="338"/>
      <c r="P215" s="338"/>
      <c r="Q215" s="338"/>
      <c r="R215" s="338"/>
      <c r="S215" s="338"/>
      <c r="T215" s="338"/>
      <c r="U215" s="338"/>
      <c r="V215" s="338"/>
      <c r="W215" s="338"/>
      <c r="X215" s="338"/>
      <c r="Y215" s="338"/>
      <c r="Z215" s="338"/>
    </row>
    <row r="216" ht="15.75" customHeight="1">
      <c r="A216" s="338"/>
      <c r="B216" s="338"/>
      <c r="C216" s="338"/>
      <c r="D216" s="338"/>
      <c r="E216" s="338"/>
      <c r="F216" s="338"/>
      <c r="G216" s="338"/>
      <c r="H216" s="338"/>
      <c r="I216" s="338"/>
      <c r="J216" s="338"/>
      <c r="K216" s="338"/>
      <c r="L216" s="338"/>
      <c r="M216" s="338"/>
      <c r="N216" s="338"/>
      <c r="O216" s="338"/>
      <c r="P216" s="338"/>
      <c r="Q216" s="338"/>
      <c r="R216" s="338"/>
      <c r="S216" s="338"/>
      <c r="T216" s="338"/>
      <c r="U216" s="338"/>
      <c r="V216" s="338"/>
      <c r="W216" s="338"/>
      <c r="X216" s="338"/>
      <c r="Y216" s="338"/>
      <c r="Z216" s="338"/>
    </row>
    <row r="217" ht="15.75" customHeight="1">
      <c r="A217" s="338"/>
      <c r="B217" s="338"/>
      <c r="C217" s="338"/>
      <c r="D217" s="338"/>
      <c r="E217" s="338"/>
      <c r="F217" s="338"/>
      <c r="G217" s="338"/>
      <c r="H217" s="338"/>
      <c r="I217" s="338"/>
      <c r="J217" s="338"/>
      <c r="K217" s="338"/>
      <c r="L217" s="338"/>
      <c r="M217" s="338"/>
      <c r="N217" s="338"/>
      <c r="O217" s="338"/>
      <c r="P217" s="338"/>
      <c r="Q217" s="338"/>
      <c r="R217" s="338"/>
      <c r="S217" s="338"/>
      <c r="T217" s="338"/>
      <c r="U217" s="338"/>
      <c r="V217" s="338"/>
      <c r="W217" s="338"/>
      <c r="X217" s="338"/>
      <c r="Y217" s="338"/>
      <c r="Z217" s="338"/>
    </row>
    <row r="218" ht="15.75" customHeight="1">
      <c r="A218" s="338"/>
      <c r="B218" s="338"/>
      <c r="C218" s="338"/>
      <c r="D218" s="338"/>
      <c r="E218" s="338"/>
      <c r="F218" s="338"/>
      <c r="G218" s="338"/>
      <c r="H218" s="338"/>
      <c r="I218" s="338"/>
      <c r="J218" s="338"/>
      <c r="K218" s="338"/>
      <c r="L218" s="338"/>
      <c r="M218" s="338"/>
      <c r="N218" s="338"/>
      <c r="O218" s="338"/>
      <c r="P218" s="338"/>
      <c r="Q218" s="338"/>
      <c r="R218" s="338"/>
      <c r="S218" s="338"/>
      <c r="T218" s="338"/>
      <c r="U218" s="338"/>
      <c r="V218" s="338"/>
      <c r="W218" s="338"/>
      <c r="X218" s="338"/>
      <c r="Y218" s="338"/>
      <c r="Z218" s="338"/>
    </row>
    <row r="219" ht="15.75" customHeight="1">
      <c r="A219" s="338"/>
      <c r="B219" s="338"/>
      <c r="C219" s="338"/>
      <c r="D219" s="338"/>
      <c r="E219" s="338"/>
      <c r="F219" s="338"/>
      <c r="G219" s="338"/>
      <c r="H219" s="338"/>
      <c r="I219" s="338"/>
      <c r="J219" s="338"/>
      <c r="K219" s="338"/>
      <c r="L219" s="338"/>
      <c r="M219" s="338"/>
      <c r="N219" s="338"/>
      <c r="O219" s="338"/>
      <c r="P219" s="338"/>
      <c r="Q219" s="338"/>
      <c r="R219" s="338"/>
      <c r="S219" s="338"/>
      <c r="T219" s="338"/>
      <c r="U219" s="338"/>
      <c r="V219" s="338"/>
      <c r="W219" s="338"/>
      <c r="X219" s="338"/>
      <c r="Y219" s="338"/>
      <c r="Z219" s="338"/>
    </row>
    <row r="220" ht="15.75" customHeight="1">
      <c r="A220" s="338"/>
      <c r="B220" s="338"/>
      <c r="C220" s="338"/>
      <c r="D220" s="338"/>
      <c r="E220" s="338"/>
      <c r="F220" s="338"/>
      <c r="G220" s="338"/>
      <c r="H220" s="338"/>
      <c r="I220" s="338"/>
      <c r="J220" s="338"/>
      <c r="K220" s="338"/>
      <c r="L220" s="338"/>
      <c r="M220" s="338"/>
      <c r="N220" s="338"/>
      <c r="O220" s="338"/>
      <c r="P220" s="338"/>
      <c r="Q220" s="338"/>
      <c r="R220" s="338"/>
      <c r="S220" s="338"/>
      <c r="T220" s="338"/>
      <c r="U220" s="338"/>
      <c r="V220" s="338"/>
      <c r="W220" s="338"/>
      <c r="X220" s="338"/>
      <c r="Y220" s="338"/>
      <c r="Z220" s="338"/>
    </row>
    <row r="221" ht="15.75" customHeight="1">
      <c r="A221" s="338"/>
      <c r="B221" s="338"/>
      <c r="C221" s="338"/>
      <c r="D221" s="338"/>
      <c r="E221" s="338"/>
      <c r="F221" s="338"/>
      <c r="G221" s="338"/>
      <c r="H221" s="338"/>
      <c r="I221" s="338"/>
      <c r="J221" s="338"/>
      <c r="K221" s="338"/>
      <c r="L221" s="338"/>
      <c r="M221" s="338"/>
      <c r="N221" s="338"/>
      <c r="O221" s="338"/>
      <c r="P221" s="338"/>
      <c r="Q221" s="338"/>
      <c r="R221" s="338"/>
      <c r="S221" s="338"/>
      <c r="T221" s="338"/>
      <c r="U221" s="338"/>
      <c r="V221" s="338"/>
      <c r="W221" s="338"/>
      <c r="X221" s="338"/>
      <c r="Y221" s="338"/>
      <c r="Z221" s="338"/>
    </row>
    <row r="222" ht="15.75" customHeight="1">
      <c r="A222" s="338"/>
      <c r="B222" s="338"/>
      <c r="C222" s="338"/>
      <c r="D222" s="338"/>
      <c r="E222" s="338"/>
      <c r="F222" s="338"/>
      <c r="G222" s="338"/>
      <c r="H222" s="338"/>
      <c r="I222" s="338"/>
      <c r="J222" s="338"/>
      <c r="K222" s="338"/>
      <c r="L222" s="338"/>
      <c r="M222" s="338"/>
      <c r="N222" s="338"/>
      <c r="O222" s="338"/>
      <c r="P222" s="338"/>
      <c r="Q222" s="338"/>
      <c r="R222" s="338"/>
      <c r="S222" s="338"/>
      <c r="T222" s="338"/>
      <c r="U222" s="338"/>
      <c r="V222" s="338"/>
      <c r="W222" s="338"/>
      <c r="X222" s="338"/>
      <c r="Y222" s="338"/>
      <c r="Z222" s="338"/>
    </row>
    <row r="223" ht="15.75" customHeight="1">
      <c r="A223" s="338"/>
      <c r="B223" s="338"/>
      <c r="C223" s="338"/>
      <c r="D223" s="338"/>
      <c r="E223" s="338"/>
      <c r="F223" s="338"/>
      <c r="G223" s="338"/>
      <c r="H223" s="338"/>
      <c r="I223" s="338"/>
      <c r="J223" s="338"/>
      <c r="K223" s="338"/>
      <c r="L223" s="338"/>
      <c r="M223" s="338"/>
      <c r="N223" s="338"/>
      <c r="O223" s="338"/>
      <c r="P223" s="338"/>
      <c r="Q223" s="338"/>
      <c r="R223" s="338"/>
      <c r="S223" s="338"/>
      <c r="T223" s="338"/>
      <c r="U223" s="338"/>
      <c r="V223" s="338"/>
      <c r="W223" s="338"/>
      <c r="X223" s="338"/>
      <c r="Y223" s="338"/>
      <c r="Z223" s="338"/>
    </row>
    <row r="224" ht="15.75" customHeight="1">
      <c r="A224" s="338"/>
      <c r="B224" s="338"/>
      <c r="C224" s="338"/>
      <c r="D224" s="338"/>
      <c r="E224" s="338"/>
      <c r="F224" s="338"/>
      <c r="G224" s="338"/>
      <c r="H224" s="338"/>
      <c r="I224" s="338"/>
      <c r="J224" s="338"/>
      <c r="K224" s="338"/>
      <c r="L224" s="338"/>
      <c r="M224" s="338"/>
      <c r="N224" s="338"/>
      <c r="O224" s="338"/>
      <c r="P224" s="338"/>
      <c r="Q224" s="338"/>
      <c r="R224" s="338"/>
      <c r="S224" s="338"/>
      <c r="T224" s="338"/>
      <c r="U224" s="338"/>
      <c r="V224" s="338"/>
      <c r="W224" s="338"/>
      <c r="X224" s="338"/>
      <c r="Y224" s="338"/>
      <c r="Z224" s="338"/>
    </row>
    <row r="225" ht="15.75" customHeight="1">
      <c r="A225" s="338"/>
      <c r="B225" s="338"/>
      <c r="C225" s="338"/>
      <c r="D225" s="338"/>
      <c r="E225" s="338"/>
      <c r="F225" s="338"/>
      <c r="G225" s="338"/>
      <c r="H225" s="338"/>
      <c r="I225" s="338"/>
      <c r="J225" s="338"/>
      <c r="K225" s="338"/>
      <c r="L225" s="338"/>
      <c r="M225" s="338"/>
      <c r="N225" s="338"/>
      <c r="O225" s="338"/>
      <c r="P225" s="338"/>
      <c r="Q225" s="338"/>
      <c r="R225" s="338"/>
      <c r="S225" s="338"/>
      <c r="T225" s="338"/>
      <c r="U225" s="338"/>
      <c r="V225" s="338"/>
      <c r="W225" s="338"/>
      <c r="X225" s="338"/>
      <c r="Y225" s="338"/>
      <c r="Z225" s="338"/>
    </row>
    <row r="226" ht="15.75" customHeight="1">
      <c r="A226" s="338"/>
      <c r="B226" s="338"/>
      <c r="C226" s="338"/>
      <c r="D226" s="338"/>
      <c r="E226" s="338"/>
      <c r="F226" s="338"/>
      <c r="G226" s="338"/>
      <c r="H226" s="338"/>
      <c r="I226" s="338"/>
      <c r="J226" s="338"/>
      <c r="K226" s="338"/>
      <c r="L226" s="338"/>
      <c r="M226" s="338"/>
      <c r="N226" s="338"/>
      <c r="O226" s="338"/>
      <c r="P226" s="338"/>
      <c r="Q226" s="338"/>
      <c r="R226" s="338"/>
      <c r="S226" s="338"/>
      <c r="T226" s="338"/>
      <c r="U226" s="338"/>
      <c r="V226" s="338"/>
      <c r="W226" s="338"/>
      <c r="X226" s="338"/>
      <c r="Y226" s="338"/>
      <c r="Z226" s="338"/>
    </row>
    <row r="227" ht="15.75" customHeight="1">
      <c r="A227" s="338"/>
      <c r="B227" s="338"/>
      <c r="C227" s="338"/>
      <c r="D227" s="338"/>
      <c r="E227" s="338"/>
      <c r="F227" s="338"/>
      <c r="G227" s="338"/>
      <c r="H227" s="338"/>
      <c r="I227" s="338"/>
      <c r="J227" s="338"/>
      <c r="K227" s="338"/>
      <c r="L227" s="338"/>
      <c r="M227" s="338"/>
      <c r="N227" s="338"/>
      <c r="O227" s="338"/>
      <c r="P227" s="338"/>
      <c r="Q227" s="338"/>
      <c r="R227" s="338"/>
      <c r="S227" s="338"/>
      <c r="T227" s="338"/>
      <c r="U227" s="338"/>
      <c r="V227" s="338"/>
      <c r="W227" s="338"/>
      <c r="X227" s="338"/>
      <c r="Y227" s="338"/>
      <c r="Z227" s="338"/>
    </row>
    <row r="228" ht="15.75" customHeight="1">
      <c r="A228" s="338"/>
      <c r="B228" s="338"/>
      <c r="C228" s="338"/>
      <c r="D228" s="338"/>
      <c r="E228" s="338"/>
      <c r="F228" s="338"/>
      <c r="G228" s="338"/>
      <c r="H228" s="338"/>
      <c r="I228" s="338"/>
      <c r="J228" s="338"/>
      <c r="K228" s="338"/>
      <c r="L228" s="338"/>
      <c r="M228" s="338"/>
      <c r="N228" s="338"/>
      <c r="O228" s="338"/>
      <c r="P228" s="338"/>
      <c r="Q228" s="338"/>
      <c r="R228" s="338"/>
      <c r="S228" s="338"/>
      <c r="T228" s="338"/>
      <c r="U228" s="338"/>
      <c r="V228" s="338"/>
      <c r="W228" s="338"/>
      <c r="X228" s="338"/>
      <c r="Y228" s="338"/>
      <c r="Z228" s="338"/>
    </row>
    <row r="229" ht="15.75" customHeight="1">
      <c r="A229" s="338"/>
      <c r="B229" s="338"/>
      <c r="C229" s="338"/>
      <c r="D229" s="338"/>
      <c r="E229" s="338"/>
      <c r="F229" s="338"/>
      <c r="G229" s="338"/>
      <c r="H229" s="338"/>
      <c r="I229" s="338"/>
      <c r="J229" s="338"/>
      <c r="K229" s="338"/>
      <c r="L229" s="338"/>
      <c r="M229" s="338"/>
      <c r="N229" s="338"/>
      <c r="O229" s="338"/>
      <c r="P229" s="338"/>
      <c r="Q229" s="338"/>
      <c r="R229" s="338"/>
      <c r="S229" s="338"/>
      <c r="T229" s="338"/>
      <c r="U229" s="338"/>
      <c r="V229" s="338"/>
      <c r="W229" s="338"/>
      <c r="X229" s="338"/>
      <c r="Y229" s="338"/>
      <c r="Z229" s="338"/>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4.25"/>
    <col customWidth="1" min="2" max="4" width="29.5"/>
    <col customWidth="1" min="5" max="5" width="24.25"/>
    <col customWidth="1" min="6" max="26" width="11.0"/>
  </cols>
  <sheetData>
    <row r="1" ht="15.75" customHeight="1">
      <c r="A1" s="364" t="s">
        <v>2658</v>
      </c>
      <c r="B1" s="365" t="s">
        <v>2658</v>
      </c>
      <c r="C1" s="365" t="s">
        <v>2659</v>
      </c>
      <c r="D1" s="366" t="s">
        <v>2660</v>
      </c>
      <c r="E1" s="367" t="s">
        <v>2661</v>
      </c>
    </row>
    <row r="2" ht="30.75" customHeight="1">
      <c r="A2" s="364"/>
      <c r="B2" s="365" t="s">
        <v>2662</v>
      </c>
      <c r="C2" s="365" t="s">
        <v>2663</v>
      </c>
      <c r="D2" s="16"/>
      <c r="E2" s="16"/>
    </row>
    <row r="3" ht="15.75" customHeight="1">
      <c r="A3" s="368" t="s">
        <v>2664</v>
      </c>
      <c r="B3" s="369"/>
      <c r="C3" s="369"/>
      <c r="D3" s="369"/>
      <c r="E3" s="369"/>
    </row>
    <row r="4" ht="15.75" customHeight="1">
      <c r="A4" s="370" t="s">
        <v>404</v>
      </c>
      <c r="B4" s="369"/>
      <c r="C4" s="369"/>
      <c r="D4" s="365"/>
      <c r="E4" s="369"/>
    </row>
    <row r="5" ht="15.75" customHeight="1">
      <c r="A5" s="370">
        <v>12.0</v>
      </c>
      <c r="B5" s="369">
        <v>4.0</v>
      </c>
      <c r="C5" s="369">
        <f>A5-B5</f>
        <v>8</v>
      </c>
      <c r="D5" s="365"/>
      <c r="E5" s="369"/>
    </row>
    <row r="6" ht="15.75" customHeight="1">
      <c r="A6" s="371" t="s">
        <v>2665</v>
      </c>
      <c r="B6" s="369"/>
      <c r="C6" s="369"/>
      <c r="D6" s="365"/>
      <c r="E6" s="369"/>
    </row>
    <row r="7" ht="15.75" customHeight="1">
      <c r="A7" s="371">
        <v>5.0</v>
      </c>
      <c r="B7" s="369">
        <v>1.0</v>
      </c>
      <c r="C7" s="369">
        <f>A7-B7</f>
        <v>4</v>
      </c>
      <c r="D7" s="365"/>
      <c r="E7" s="365"/>
    </row>
    <row r="8" ht="15.75" customHeight="1">
      <c r="A8" s="371" t="s">
        <v>2666</v>
      </c>
      <c r="B8" s="369"/>
      <c r="C8" s="369"/>
      <c r="D8" s="365"/>
      <c r="E8" s="365"/>
    </row>
    <row r="9" ht="15.75" customHeight="1">
      <c r="A9" s="371">
        <v>17.0</v>
      </c>
      <c r="B9" s="369">
        <v>5.0</v>
      </c>
      <c r="C9" s="369">
        <f>A9-B9</f>
        <v>12</v>
      </c>
      <c r="D9" s="365">
        <v>1.0</v>
      </c>
      <c r="E9" s="365"/>
    </row>
    <row r="10" ht="15.75" customHeight="1">
      <c r="A10" s="372" t="s">
        <v>2667</v>
      </c>
      <c r="B10" s="365"/>
      <c r="C10" s="365"/>
      <c r="D10" s="365"/>
      <c r="E10" s="369"/>
    </row>
    <row r="11" ht="15.75" customHeight="1">
      <c r="A11" s="372">
        <v>11.0</v>
      </c>
      <c r="B11" s="365">
        <v>2.0</v>
      </c>
      <c r="C11" s="365">
        <f>A11-B11</f>
        <v>9</v>
      </c>
      <c r="D11" s="365">
        <v>2.0</v>
      </c>
      <c r="E11" s="369"/>
    </row>
    <row r="12" ht="15.75" customHeight="1">
      <c r="A12" s="371" t="s">
        <v>2668</v>
      </c>
      <c r="B12" s="369"/>
      <c r="C12" s="369"/>
      <c r="D12" s="365"/>
      <c r="E12" s="369"/>
    </row>
    <row r="13" ht="15.75" customHeight="1">
      <c r="A13" s="371">
        <v>12.0</v>
      </c>
      <c r="B13" s="369">
        <v>5.0</v>
      </c>
      <c r="C13" s="369">
        <f>A13-B13</f>
        <v>7</v>
      </c>
      <c r="D13" s="365"/>
      <c r="E13" s="365"/>
    </row>
    <row r="14" ht="15.75" customHeight="1">
      <c r="A14" s="371" t="s">
        <v>2669</v>
      </c>
      <c r="B14" s="369"/>
      <c r="C14" s="369"/>
      <c r="D14" s="365"/>
      <c r="E14" s="365"/>
    </row>
    <row r="15" ht="15.75" customHeight="1">
      <c r="A15" s="371">
        <v>15.0</v>
      </c>
      <c r="B15" s="369">
        <v>4.0</v>
      </c>
      <c r="C15" s="369">
        <f>A15-B15</f>
        <v>11</v>
      </c>
      <c r="D15" s="365">
        <v>1.0</v>
      </c>
      <c r="E15" s="365"/>
    </row>
    <row r="16" ht="15.75" customHeight="1">
      <c r="A16" s="371" t="s">
        <v>2670</v>
      </c>
      <c r="B16" s="369"/>
      <c r="C16" s="369"/>
      <c r="D16" s="365"/>
      <c r="E16" s="365"/>
    </row>
    <row r="17" ht="15.75" customHeight="1">
      <c r="A17" s="371">
        <v>11.0</v>
      </c>
      <c r="B17" s="369">
        <v>3.0</v>
      </c>
      <c r="C17" s="369">
        <f>A17-B17</f>
        <v>8</v>
      </c>
      <c r="D17" s="365">
        <v>1.0</v>
      </c>
      <c r="E17" s="365"/>
    </row>
    <row r="18" ht="15.75" customHeight="1">
      <c r="A18" s="371" t="s">
        <v>2671</v>
      </c>
      <c r="B18" s="369"/>
      <c r="C18" s="369"/>
      <c r="D18" s="365"/>
      <c r="E18" s="369"/>
    </row>
    <row r="19" ht="15.75" customHeight="1">
      <c r="A19" s="371">
        <v>7.0</v>
      </c>
      <c r="B19" s="369">
        <v>1.0</v>
      </c>
      <c r="C19" s="369">
        <f>A19-B19</f>
        <v>6</v>
      </c>
      <c r="D19" s="365"/>
      <c r="E19" s="373"/>
    </row>
    <row r="20" ht="15.75" customHeight="1">
      <c r="A20" s="371" t="s">
        <v>2672</v>
      </c>
      <c r="B20" s="369"/>
      <c r="C20" s="369"/>
      <c r="D20" s="365"/>
      <c r="E20" s="365"/>
    </row>
    <row r="21" ht="15.75" customHeight="1">
      <c r="A21" s="371">
        <v>14.0</v>
      </c>
      <c r="B21" s="369">
        <v>4.0</v>
      </c>
      <c r="C21" s="369">
        <f>A21-B21</f>
        <v>10</v>
      </c>
      <c r="D21" s="365">
        <v>1.0</v>
      </c>
      <c r="E21" s="365"/>
    </row>
    <row r="22" ht="15.75" customHeight="1">
      <c r="A22" s="371" t="s">
        <v>2673</v>
      </c>
      <c r="B22" s="369"/>
      <c r="C22" s="369"/>
      <c r="D22" s="365"/>
      <c r="E22" s="369"/>
    </row>
    <row r="23" ht="15.75" customHeight="1">
      <c r="A23" s="371">
        <v>10.0</v>
      </c>
      <c r="B23" s="369">
        <v>2.0</v>
      </c>
      <c r="C23" s="369">
        <f>A23-B23</f>
        <v>8</v>
      </c>
      <c r="D23" s="365">
        <v>1.0</v>
      </c>
      <c r="E23" s="369"/>
    </row>
    <row r="24" ht="15.75" customHeight="1">
      <c r="A24" s="371" t="s">
        <v>2674</v>
      </c>
      <c r="B24" s="369"/>
      <c r="C24" s="369"/>
      <c r="D24" s="369"/>
      <c r="E24" s="369"/>
    </row>
    <row r="25" ht="15.75" customHeight="1">
      <c r="A25" s="371">
        <v>2.0</v>
      </c>
      <c r="B25" s="369">
        <v>1.0</v>
      </c>
      <c r="C25" s="369">
        <f>A25-B25</f>
        <v>1</v>
      </c>
      <c r="D25" s="369"/>
      <c r="E25" s="369"/>
    </row>
    <row r="26" ht="15.75" customHeight="1">
      <c r="A26" s="372" t="s">
        <v>2675</v>
      </c>
      <c r="B26" s="365"/>
      <c r="C26" s="365"/>
      <c r="D26" s="365"/>
      <c r="E26" s="369"/>
    </row>
    <row r="27" ht="15.75" customHeight="1">
      <c r="A27" s="372">
        <v>11.0</v>
      </c>
      <c r="B27" s="365">
        <v>2.0</v>
      </c>
      <c r="C27" s="365">
        <f>A27-B27</f>
        <v>9</v>
      </c>
      <c r="D27" s="365">
        <v>2.0</v>
      </c>
      <c r="E27" s="365"/>
    </row>
    <row r="28" ht="15.75" customHeight="1">
      <c r="A28" s="371" t="s">
        <v>2676</v>
      </c>
      <c r="B28" s="369"/>
      <c r="C28" s="369"/>
      <c r="D28" s="369"/>
      <c r="E28" s="374"/>
    </row>
    <row r="29" ht="15.75" customHeight="1">
      <c r="A29" s="371">
        <v>7.0</v>
      </c>
      <c r="B29" s="369"/>
      <c r="C29" s="369">
        <f>A29-B29</f>
        <v>7</v>
      </c>
      <c r="D29" s="369">
        <v>1.0</v>
      </c>
      <c r="E29" s="374"/>
    </row>
    <row r="30" ht="15.75" customHeight="1">
      <c r="A30" s="372" t="s">
        <v>2677</v>
      </c>
      <c r="B30" s="365"/>
      <c r="C30" s="365"/>
      <c r="D30" s="365"/>
      <c r="E30" s="365"/>
    </row>
    <row r="31" ht="15.75" customHeight="1">
      <c r="A31" s="372">
        <v>14.0</v>
      </c>
      <c r="B31" s="365">
        <v>5.0</v>
      </c>
      <c r="C31" s="365">
        <f>A31-B31</f>
        <v>9</v>
      </c>
      <c r="D31" s="365">
        <v>2.0</v>
      </c>
      <c r="E31" s="365"/>
    </row>
    <row r="32" ht="15.75" customHeight="1">
      <c r="A32" s="375" t="s">
        <v>462</v>
      </c>
      <c r="B32" s="373"/>
      <c r="C32" s="373"/>
      <c r="D32" s="365"/>
      <c r="E32" s="365"/>
    </row>
    <row r="33" ht="15.75" customHeight="1">
      <c r="A33" s="375">
        <v>13.0</v>
      </c>
      <c r="B33" s="373">
        <v>2.0</v>
      </c>
      <c r="C33" s="373">
        <f>A33-B33</f>
        <v>11</v>
      </c>
      <c r="D33" s="365">
        <v>2.0</v>
      </c>
      <c r="E33" s="365" t="s">
        <v>2678</v>
      </c>
    </row>
    <row r="34" ht="15.75" customHeight="1">
      <c r="A34" s="371" t="s">
        <v>2674</v>
      </c>
      <c r="B34" s="369"/>
      <c r="C34" s="369"/>
      <c r="D34" s="369"/>
      <c r="E34" s="369"/>
    </row>
    <row r="35" ht="15.75" customHeight="1">
      <c r="A35" s="371">
        <v>4.0</v>
      </c>
      <c r="B35" s="369"/>
      <c r="C35" s="369">
        <f>A35-B35</f>
        <v>4</v>
      </c>
      <c r="D35" s="369"/>
      <c r="E35" s="369"/>
    </row>
    <row r="36" ht="15.75" customHeight="1">
      <c r="A36" s="371" t="s">
        <v>2679</v>
      </c>
      <c r="B36" s="369"/>
      <c r="C36" s="369"/>
      <c r="D36" s="369"/>
      <c r="E36" s="369"/>
    </row>
    <row r="37" ht="15.75" customHeight="1">
      <c r="A37" s="371">
        <v>1.0</v>
      </c>
      <c r="B37" s="369"/>
      <c r="C37" s="369">
        <f>A37-B37</f>
        <v>1</v>
      </c>
      <c r="D37" s="369"/>
      <c r="E37" s="369"/>
    </row>
    <row r="38" ht="15.75" customHeight="1">
      <c r="A38" s="371" t="s">
        <v>2680</v>
      </c>
      <c r="B38" s="369"/>
      <c r="C38" s="369"/>
      <c r="D38" s="369"/>
      <c r="E38" s="369"/>
    </row>
    <row r="39" ht="15.75" customHeight="1">
      <c r="A39" s="371">
        <v>2.0</v>
      </c>
      <c r="B39" s="369"/>
      <c r="C39" s="369">
        <f>A39-B39</f>
        <v>2</v>
      </c>
      <c r="D39" s="369"/>
      <c r="E39" s="369"/>
    </row>
    <row r="40" ht="15.75" customHeight="1">
      <c r="A40" s="376"/>
      <c r="B40" s="369">
        <f t="shared" ref="B40:C40" si="1">SUM(B4:B35)</f>
        <v>41</v>
      </c>
      <c r="C40" s="369">
        <f t="shared" si="1"/>
        <v>124</v>
      </c>
      <c r="D40" s="369"/>
      <c r="E40" s="369"/>
    </row>
    <row r="41" ht="15.75" customHeight="1">
      <c r="A41" s="376" t="s">
        <v>2681</v>
      </c>
      <c r="B41" s="369"/>
      <c r="C41" s="369"/>
      <c r="D41" s="369"/>
      <c r="E41" s="369"/>
    </row>
    <row r="42" ht="15.75" customHeight="1">
      <c r="A42" s="371" t="s">
        <v>2682</v>
      </c>
      <c r="B42" s="369"/>
      <c r="C42" s="369"/>
      <c r="D42" s="369"/>
      <c r="E42" s="369"/>
    </row>
    <row r="43" ht="15.75" customHeight="1">
      <c r="A43" s="371">
        <v>2.0</v>
      </c>
      <c r="B43" s="369">
        <v>1.0</v>
      </c>
      <c r="C43" s="369">
        <f>A43-B43</f>
        <v>1</v>
      </c>
      <c r="D43" s="369"/>
      <c r="E43" s="369"/>
    </row>
    <row r="44" ht="15.75" customHeight="1">
      <c r="A44" s="372" t="s">
        <v>2683</v>
      </c>
      <c r="B44" s="365"/>
      <c r="C44" s="365"/>
      <c r="D44" s="365"/>
      <c r="E44" s="365"/>
    </row>
    <row r="45" ht="15.75" customHeight="1">
      <c r="A45" s="372">
        <v>7.0</v>
      </c>
      <c r="B45" s="365">
        <v>1.0</v>
      </c>
      <c r="C45" s="365">
        <f>A45-B45</f>
        <v>6</v>
      </c>
      <c r="D45" s="365">
        <v>2.0</v>
      </c>
      <c r="E45" s="365"/>
    </row>
    <row r="46" ht="15.75" customHeight="1">
      <c r="A46" s="372" t="s">
        <v>2684</v>
      </c>
      <c r="B46" s="365"/>
      <c r="C46" s="365"/>
      <c r="D46" s="365"/>
      <c r="E46" s="369"/>
    </row>
    <row r="47" ht="15.75" customHeight="1">
      <c r="A47" s="372">
        <v>10.0</v>
      </c>
      <c r="B47" s="365">
        <v>3.0</v>
      </c>
      <c r="C47" s="365">
        <f>A47-B47</f>
        <v>7</v>
      </c>
      <c r="D47" s="365">
        <v>2.0</v>
      </c>
      <c r="E47" s="374" t="s">
        <v>2678</v>
      </c>
    </row>
    <row r="48" ht="15.75" customHeight="1">
      <c r="A48" s="371" t="s">
        <v>2685</v>
      </c>
      <c r="B48" s="369"/>
      <c r="C48" s="369"/>
      <c r="D48" s="365"/>
      <c r="E48" s="369"/>
    </row>
    <row r="49" ht="15.75" customHeight="1">
      <c r="A49" s="371">
        <v>10.0</v>
      </c>
      <c r="B49" s="369">
        <v>3.0</v>
      </c>
      <c r="C49" s="369">
        <f>A49-B49</f>
        <v>7</v>
      </c>
      <c r="D49" s="365"/>
      <c r="E49" s="365"/>
    </row>
    <row r="50" ht="15.75" customHeight="1">
      <c r="A50" s="371" t="s">
        <v>2686</v>
      </c>
      <c r="B50" s="369"/>
      <c r="C50" s="369"/>
      <c r="D50" s="365"/>
      <c r="E50" s="374"/>
    </row>
    <row r="51" ht="15.75" customHeight="1">
      <c r="A51" s="371">
        <v>6.0</v>
      </c>
      <c r="B51" s="369">
        <v>1.0</v>
      </c>
      <c r="C51" s="369">
        <f>A51-B51</f>
        <v>5</v>
      </c>
      <c r="D51" s="365"/>
      <c r="E51" s="365"/>
    </row>
    <row r="52" ht="55.5" customHeight="1">
      <c r="A52" s="376" t="s">
        <v>2687</v>
      </c>
      <c r="B52" s="369"/>
      <c r="C52" s="369"/>
      <c r="D52" s="369"/>
      <c r="E52" s="369"/>
    </row>
    <row r="53" ht="15.75" customHeight="1">
      <c r="A53" s="371" t="s">
        <v>2688</v>
      </c>
      <c r="B53" s="369"/>
      <c r="C53" s="369"/>
      <c r="D53" s="365"/>
      <c r="E53" s="365"/>
    </row>
    <row r="54" ht="15.75" customHeight="1">
      <c r="A54" s="371">
        <v>13.0</v>
      </c>
      <c r="B54" s="369">
        <v>1.0</v>
      </c>
      <c r="C54" s="369">
        <f>A54-B54</f>
        <v>12</v>
      </c>
      <c r="D54" s="365">
        <v>1.0</v>
      </c>
      <c r="E54" s="365"/>
    </row>
    <row r="55" ht="15.75" customHeight="1">
      <c r="A55" s="371" t="s">
        <v>2689</v>
      </c>
      <c r="B55" s="369"/>
      <c r="C55" s="369"/>
      <c r="D55" s="365"/>
      <c r="E55" s="365"/>
    </row>
    <row r="56" ht="16.5" customHeight="1">
      <c r="A56" s="371">
        <v>8.0</v>
      </c>
      <c r="B56" s="369"/>
      <c r="C56" s="369">
        <f>A56-B56</f>
        <v>8</v>
      </c>
      <c r="D56" s="365">
        <v>1.0</v>
      </c>
      <c r="E56" s="374"/>
    </row>
    <row r="57" ht="16.5" customHeight="1">
      <c r="A57" s="371" t="s">
        <v>2690</v>
      </c>
      <c r="B57" s="369"/>
      <c r="C57" s="369"/>
      <c r="D57" s="365"/>
      <c r="E57" s="374"/>
    </row>
    <row r="58" ht="16.5" customHeight="1">
      <c r="A58" s="371">
        <v>1.0</v>
      </c>
      <c r="B58" s="369"/>
      <c r="C58" s="369">
        <f>A58-B58</f>
        <v>1</v>
      </c>
      <c r="D58" s="374"/>
      <c r="E58" s="374"/>
    </row>
    <row r="59" ht="48.75" customHeight="1">
      <c r="A59" s="376" t="s">
        <v>2691</v>
      </c>
      <c r="B59" s="369"/>
      <c r="C59" s="369"/>
      <c r="D59" s="369"/>
      <c r="E59" s="369"/>
    </row>
    <row r="60" ht="15.75" customHeight="1">
      <c r="A60" s="371" t="s">
        <v>2692</v>
      </c>
      <c r="B60" s="369"/>
      <c r="C60" s="369"/>
      <c r="D60" s="369"/>
      <c r="E60" s="369"/>
    </row>
    <row r="61" ht="15.75" customHeight="1">
      <c r="A61" s="371">
        <v>12.0</v>
      </c>
      <c r="B61" s="369"/>
      <c r="C61" s="369">
        <f>A61-B61</f>
        <v>12</v>
      </c>
      <c r="D61" s="369">
        <v>1.0</v>
      </c>
      <c r="E61" s="369"/>
    </row>
    <row r="62" ht="15.75" customHeight="1">
      <c r="A62" s="371" t="s">
        <v>2693</v>
      </c>
      <c r="B62" s="369"/>
      <c r="C62" s="369"/>
      <c r="D62" s="365"/>
      <c r="E62" s="369"/>
    </row>
    <row r="63" ht="15.75" customHeight="1">
      <c r="A63" s="369">
        <v>10.0</v>
      </c>
      <c r="B63" s="369"/>
      <c r="C63" s="369">
        <f>A63-B63</f>
        <v>10</v>
      </c>
      <c r="D63" s="365">
        <v>1.0</v>
      </c>
      <c r="E63" s="369"/>
    </row>
    <row r="64" ht="15.75" customHeight="1">
      <c r="A64" s="369" t="s">
        <v>2694</v>
      </c>
      <c r="B64" s="369"/>
      <c r="C64" s="369"/>
      <c r="D64" s="365"/>
      <c r="E64" s="369"/>
    </row>
    <row r="65" ht="15.75" customHeight="1">
      <c r="A65" s="369">
        <v>11.0</v>
      </c>
      <c r="B65" s="369"/>
      <c r="C65" s="369">
        <f>A65-B65</f>
        <v>11</v>
      </c>
      <c r="D65" s="365">
        <v>1.0</v>
      </c>
      <c r="E65" s="369"/>
    </row>
    <row r="66" ht="15.75" customHeight="1">
      <c r="A66" s="369" t="s">
        <v>2695</v>
      </c>
      <c r="B66" s="369"/>
      <c r="C66" s="369"/>
      <c r="D66" s="365"/>
      <c r="E66" s="369"/>
    </row>
    <row r="67" ht="15.75" customHeight="1">
      <c r="A67" s="369">
        <v>16.0</v>
      </c>
      <c r="B67" s="369">
        <v>1.0</v>
      </c>
      <c r="C67" s="369">
        <f>A67-B67</f>
        <v>15</v>
      </c>
      <c r="D67" s="365"/>
      <c r="E67" s="374"/>
    </row>
    <row r="68" ht="15.75" customHeight="1">
      <c r="A68" s="369" t="s">
        <v>2696</v>
      </c>
      <c r="B68" s="369"/>
      <c r="C68" s="369"/>
      <c r="D68" s="369"/>
      <c r="E68" s="369"/>
    </row>
    <row r="69" ht="15.75" customHeight="1">
      <c r="A69" s="369">
        <v>10.0</v>
      </c>
      <c r="B69" s="369"/>
      <c r="C69" s="369">
        <f>A69-B69</f>
        <v>10</v>
      </c>
      <c r="D69" s="369"/>
      <c r="E69" s="369"/>
    </row>
    <row r="70" ht="15.75" customHeight="1">
      <c r="A70" s="369" t="s">
        <v>2679</v>
      </c>
      <c r="B70" s="369"/>
      <c r="C70" s="369"/>
      <c r="D70" s="369"/>
      <c r="E70" s="369"/>
    </row>
    <row r="71" ht="15.75" customHeight="1">
      <c r="A71" s="369">
        <v>1.0</v>
      </c>
      <c r="B71" s="369"/>
      <c r="C71" s="369">
        <f>A71-B71</f>
        <v>1</v>
      </c>
      <c r="D71" s="369"/>
      <c r="E71" s="369"/>
    </row>
    <row r="72" ht="15.75" customHeight="1">
      <c r="A72" s="369" t="s">
        <v>1676</v>
      </c>
      <c r="B72" s="369"/>
      <c r="C72" s="369"/>
      <c r="D72" s="369"/>
      <c r="E72" s="369"/>
    </row>
    <row r="73" ht="15.75" customHeight="1">
      <c r="A73" s="369">
        <v>13.0</v>
      </c>
      <c r="B73" s="369"/>
      <c r="C73" s="369">
        <f>A73-B73</f>
        <v>13</v>
      </c>
      <c r="D73" s="369">
        <v>1.0</v>
      </c>
      <c r="E73" s="369"/>
    </row>
    <row r="74" ht="15.75" customHeight="1">
      <c r="A74" s="369" t="s">
        <v>2697</v>
      </c>
      <c r="B74" s="369"/>
      <c r="C74" s="369"/>
      <c r="D74" s="369"/>
      <c r="E74" s="369"/>
    </row>
    <row r="75" ht="15.75" customHeight="1">
      <c r="A75" s="369">
        <v>6.0</v>
      </c>
      <c r="B75" s="369"/>
      <c r="C75" s="369">
        <f>A75-B75</f>
        <v>6</v>
      </c>
      <c r="D75" s="369"/>
      <c r="E75" s="369"/>
    </row>
    <row r="76" ht="15.75" customHeight="1">
      <c r="A76" s="369" t="s">
        <v>2698</v>
      </c>
      <c r="B76" s="369"/>
      <c r="C76" s="369"/>
      <c r="D76" s="369"/>
      <c r="E76" s="369"/>
    </row>
    <row r="77" ht="15.75" customHeight="1">
      <c r="A77" s="369">
        <v>6.0</v>
      </c>
      <c r="B77" s="369"/>
      <c r="C77" s="369">
        <f>A77-B77</f>
        <v>6</v>
      </c>
      <c r="D77" s="369">
        <v>2.0</v>
      </c>
      <c r="E77" s="369"/>
    </row>
    <row r="78" ht="15.75" customHeight="1">
      <c r="A78" s="369" t="s">
        <v>2699</v>
      </c>
      <c r="B78" s="369"/>
      <c r="C78" s="369"/>
      <c r="D78" s="369"/>
      <c r="E78" s="369"/>
    </row>
    <row r="79" ht="15.75" customHeight="1">
      <c r="A79" s="369">
        <v>1.0</v>
      </c>
      <c r="B79" s="369"/>
      <c r="C79" s="369">
        <f>A79-B79</f>
        <v>1</v>
      </c>
      <c r="D79" s="369"/>
      <c r="E79" s="369"/>
    </row>
    <row r="80" ht="15.75" customHeight="1">
      <c r="A80" s="369" t="s">
        <v>2700</v>
      </c>
      <c r="B80" s="369"/>
      <c r="C80" s="369"/>
      <c r="D80" s="369"/>
      <c r="E80" s="369"/>
    </row>
    <row r="81" ht="15.75" customHeight="1">
      <c r="A81" s="369">
        <v>9.0</v>
      </c>
      <c r="B81" s="369"/>
      <c r="C81" s="369">
        <f>A81-B81</f>
        <v>9</v>
      </c>
      <c r="D81" s="369"/>
      <c r="E81" s="369"/>
    </row>
    <row r="82" ht="15.75" customHeight="1">
      <c r="A82" s="365" t="s">
        <v>2701</v>
      </c>
      <c r="B82" s="365"/>
      <c r="C82" s="365"/>
      <c r="D82" s="365"/>
      <c r="E82" s="369"/>
    </row>
    <row r="83" ht="15.75" customHeight="1">
      <c r="A83" s="365">
        <v>8.0</v>
      </c>
      <c r="B83" s="365"/>
      <c r="C83" s="365">
        <f>A83-B83</f>
        <v>8</v>
      </c>
      <c r="D83" s="365">
        <v>2.0</v>
      </c>
      <c r="E83" s="369"/>
    </row>
    <row r="84" ht="15.75" customHeight="1">
      <c r="A84" s="369" t="s">
        <v>2702</v>
      </c>
      <c r="B84" s="369"/>
      <c r="C84" s="369"/>
      <c r="D84" s="369"/>
      <c r="E84" s="369"/>
    </row>
    <row r="85" ht="15.75" customHeight="1">
      <c r="A85" s="369">
        <v>5.0</v>
      </c>
      <c r="B85" s="369"/>
      <c r="C85" s="369">
        <f>A85-B85</f>
        <v>5</v>
      </c>
      <c r="D85" s="369">
        <v>1.0</v>
      </c>
      <c r="E85" s="369"/>
    </row>
    <row r="86" ht="40.5" customHeight="1">
      <c r="A86" s="368" t="s">
        <v>2703</v>
      </c>
      <c r="B86" s="369"/>
      <c r="C86" s="369"/>
      <c r="D86" s="369"/>
      <c r="E86" s="369"/>
    </row>
    <row r="87" ht="15.75" customHeight="1">
      <c r="A87" s="369" t="s">
        <v>2704</v>
      </c>
      <c r="B87" s="369"/>
      <c r="C87" s="369"/>
      <c r="D87" s="369"/>
      <c r="E87" s="369"/>
    </row>
    <row r="88" ht="15.75" customHeight="1">
      <c r="A88" s="369">
        <v>9.0</v>
      </c>
      <c r="B88" s="369">
        <v>1.0</v>
      </c>
      <c r="C88" s="369">
        <f>A88-B88</f>
        <v>8</v>
      </c>
      <c r="D88" s="369"/>
      <c r="E88" s="369"/>
    </row>
    <row r="89" ht="15.75" customHeight="1">
      <c r="A89" s="369" t="s">
        <v>2705</v>
      </c>
      <c r="B89" s="369"/>
      <c r="C89" s="369"/>
      <c r="D89" s="365"/>
      <c r="E89" s="369"/>
    </row>
    <row r="90" ht="15.75" customHeight="1">
      <c r="A90" s="369">
        <v>16.0</v>
      </c>
      <c r="B90" s="369">
        <v>1.0</v>
      </c>
      <c r="C90" s="369">
        <f>A90-B90</f>
        <v>15</v>
      </c>
      <c r="D90" s="365"/>
      <c r="E90" s="369"/>
    </row>
    <row r="91" ht="15.75" customHeight="1">
      <c r="A91" s="369" t="s">
        <v>2706</v>
      </c>
      <c r="B91" s="369"/>
      <c r="C91" s="369"/>
      <c r="D91" s="369"/>
      <c r="E91" s="369"/>
    </row>
    <row r="92" ht="15.75" customHeight="1">
      <c r="A92" s="369">
        <v>11.0</v>
      </c>
      <c r="B92" s="369">
        <v>1.0</v>
      </c>
      <c r="C92" s="369">
        <f>A92-B92</f>
        <v>10</v>
      </c>
      <c r="D92" s="369"/>
      <c r="E92" s="369"/>
    </row>
    <row r="93" ht="15.75" customHeight="1">
      <c r="A93" s="369" t="s">
        <v>2707</v>
      </c>
      <c r="B93" s="369"/>
      <c r="C93" s="369"/>
      <c r="D93" s="369"/>
      <c r="E93" s="369"/>
    </row>
    <row r="94" ht="15.75" customHeight="1">
      <c r="A94" s="369">
        <v>15.0</v>
      </c>
      <c r="B94" s="369">
        <v>1.0</v>
      </c>
      <c r="C94" s="369">
        <f>A94-B94</f>
        <v>14</v>
      </c>
      <c r="D94" s="369">
        <v>2.0</v>
      </c>
      <c r="E94" s="365"/>
    </row>
    <row r="95" ht="15.75" customHeight="1">
      <c r="A95" s="369" t="s">
        <v>2708</v>
      </c>
      <c r="B95" s="369"/>
      <c r="C95" s="369"/>
      <c r="D95" s="369"/>
      <c r="E95" s="369"/>
    </row>
    <row r="96" ht="15.75" customHeight="1">
      <c r="A96" s="369">
        <v>20.0</v>
      </c>
      <c r="B96" s="369">
        <v>2.0</v>
      </c>
      <c r="C96" s="369">
        <f>A96-B96</f>
        <v>18</v>
      </c>
      <c r="D96" s="369">
        <v>1.0</v>
      </c>
      <c r="E96" s="369"/>
    </row>
    <row r="97" ht="15.75" customHeight="1">
      <c r="A97" s="369" t="s">
        <v>1670</v>
      </c>
      <c r="B97" s="369"/>
      <c r="C97" s="369"/>
      <c r="D97" s="369"/>
      <c r="E97" s="369"/>
    </row>
    <row r="98" ht="15.75" customHeight="1">
      <c r="A98" s="369">
        <v>12.0</v>
      </c>
      <c r="B98" s="369">
        <v>1.0</v>
      </c>
      <c r="C98" s="369">
        <f>A98-B98</f>
        <v>11</v>
      </c>
      <c r="D98" s="369">
        <v>1.0</v>
      </c>
      <c r="E98" s="369"/>
    </row>
    <row r="99" ht="15.75" customHeight="1">
      <c r="A99" s="369" t="s">
        <v>2709</v>
      </c>
      <c r="B99" s="369"/>
      <c r="C99" s="369"/>
      <c r="D99" s="369"/>
      <c r="E99" s="369"/>
    </row>
    <row r="100" ht="15.75" customHeight="1">
      <c r="A100" s="369">
        <v>5.0</v>
      </c>
      <c r="B100" s="369"/>
      <c r="C100" s="369">
        <f>A100-B100</f>
        <v>5</v>
      </c>
      <c r="D100" s="369">
        <v>1.0</v>
      </c>
      <c r="E100" s="369"/>
    </row>
    <row r="101" ht="15.75" customHeight="1">
      <c r="A101" s="369" t="s">
        <v>2710</v>
      </c>
      <c r="B101" s="369"/>
      <c r="C101" s="369"/>
      <c r="D101" s="369"/>
      <c r="E101" s="369"/>
    </row>
    <row r="102" ht="15.75" customHeight="1">
      <c r="A102" s="369">
        <v>4.0</v>
      </c>
      <c r="B102" s="369"/>
      <c r="C102" s="369">
        <f>A102-B102</f>
        <v>4</v>
      </c>
      <c r="D102" s="369"/>
      <c r="E102" s="369"/>
    </row>
    <row r="103" ht="15.75" customHeight="1">
      <c r="A103" s="369" t="s">
        <v>2711</v>
      </c>
      <c r="B103" s="377"/>
      <c r="C103" s="369"/>
      <c r="D103" s="369"/>
      <c r="E103" s="369"/>
    </row>
    <row r="104" ht="15.75" customHeight="1">
      <c r="A104" s="369">
        <v>10.0</v>
      </c>
      <c r="B104" s="377"/>
      <c r="C104" s="369">
        <f>A104-B104</f>
        <v>10</v>
      </c>
      <c r="D104" s="369">
        <v>1.0</v>
      </c>
      <c r="E104" s="369"/>
    </row>
    <row r="105" ht="15.75" customHeight="1">
      <c r="A105" s="365" t="s">
        <v>2712</v>
      </c>
      <c r="B105" s="378"/>
      <c r="C105" s="365"/>
      <c r="D105" s="365"/>
      <c r="E105" s="369"/>
    </row>
    <row r="106" ht="15.75" customHeight="1">
      <c r="A106" s="365">
        <v>8.0</v>
      </c>
      <c r="B106" s="378"/>
      <c r="C106" s="365">
        <f>A106-B106</f>
        <v>8</v>
      </c>
      <c r="D106" s="365">
        <v>4.0</v>
      </c>
      <c r="E106" s="369"/>
    </row>
    <row r="107" ht="15.75" customHeight="1">
      <c r="A107" s="369" t="s">
        <v>2713</v>
      </c>
      <c r="B107" s="377"/>
      <c r="C107" s="369"/>
      <c r="D107" s="369"/>
      <c r="E107" s="369"/>
    </row>
    <row r="108" ht="15.75" customHeight="1">
      <c r="A108" s="369">
        <v>9.0</v>
      </c>
      <c r="B108" s="377">
        <v>1.0</v>
      </c>
      <c r="C108" s="369">
        <f>A108-B108</f>
        <v>8</v>
      </c>
      <c r="D108" s="369">
        <v>2.0</v>
      </c>
      <c r="E108" s="369"/>
    </row>
    <row r="109" ht="15.75" customHeight="1">
      <c r="A109" s="369" t="s">
        <v>2714</v>
      </c>
      <c r="B109" s="377"/>
      <c r="C109" s="369"/>
      <c r="D109" s="369"/>
      <c r="E109" s="369"/>
    </row>
    <row r="110" ht="15.75" customHeight="1">
      <c r="A110" s="369">
        <v>2.0</v>
      </c>
      <c r="B110" s="377"/>
      <c r="C110" s="369">
        <f>A110-B110</f>
        <v>2</v>
      </c>
      <c r="D110" s="369"/>
      <c r="E110" s="369"/>
    </row>
    <row r="111" ht="15.75" customHeight="1">
      <c r="A111" s="369" t="s">
        <v>2076</v>
      </c>
      <c r="B111" s="377"/>
      <c r="C111" s="369"/>
      <c r="D111" s="369"/>
      <c r="E111" s="369"/>
    </row>
    <row r="112" ht="15.75" customHeight="1">
      <c r="A112" s="369">
        <v>6.0</v>
      </c>
      <c r="B112" s="377">
        <v>1.0</v>
      </c>
      <c r="C112" s="369">
        <f>A112-B112</f>
        <v>5</v>
      </c>
      <c r="D112" s="369">
        <v>1.0</v>
      </c>
      <c r="E112" s="369"/>
    </row>
    <row r="113" ht="15.75" customHeight="1">
      <c r="A113" s="369" t="s">
        <v>2715</v>
      </c>
      <c r="B113" s="377"/>
      <c r="C113" s="369"/>
      <c r="D113" s="369"/>
      <c r="E113" s="369"/>
    </row>
    <row r="114" ht="15.75" customHeight="1">
      <c r="A114" s="369">
        <v>6.0</v>
      </c>
      <c r="B114" s="377"/>
      <c r="C114" s="369">
        <f>A114-B114</f>
        <v>6</v>
      </c>
      <c r="D114" s="369"/>
      <c r="E114" s="373"/>
    </row>
    <row r="115" ht="15.75" customHeight="1">
      <c r="A115" s="369" t="s">
        <v>526</v>
      </c>
      <c r="B115" s="377"/>
      <c r="C115" s="369"/>
      <c r="D115" s="369"/>
      <c r="E115" s="369"/>
    </row>
    <row r="116" ht="15.75" customHeight="1">
      <c r="A116" s="369">
        <v>2.0</v>
      </c>
      <c r="B116" s="377"/>
      <c r="C116" s="369">
        <f>A116-B116</f>
        <v>2</v>
      </c>
      <c r="D116" s="369">
        <v>1.0</v>
      </c>
      <c r="E116" s="369"/>
    </row>
    <row r="117" ht="15.75" customHeight="1">
      <c r="A117" s="365" t="s">
        <v>2716</v>
      </c>
      <c r="B117" s="378"/>
      <c r="C117" s="365"/>
      <c r="D117" s="365"/>
      <c r="E117" s="369"/>
    </row>
    <row r="118" ht="15.75" customHeight="1">
      <c r="A118" s="365">
        <v>3.0</v>
      </c>
      <c r="B118" s="378"/>
      <c r="C118" s="365">
        <f>A118-B118</f>
        <v>3</v>
      </c>
      <c r="D118" s="365">
        <v>3.0</v>
      </c>
      <c r="E118" s="369"/>
    </row>
    <row r="119" ht="50.25" customHeight="1">
      <c r="A119" s="379" t="s">
        <v>2717</v>
      </c>
      <c r="C119" s="380"/>
      <c r="D119" s="381"/>
      <c r="E119" s="381"/>
    </row>
    <row r="120" ht="42.75" customHeight="1">
      <c r="A120" s="379" t="s">
        <v>2718</v>
      </c>
      <c r="C120" s="380"/>
      <c r="D120" s="381"/>
      <c r="E120" s="381"/>
    </row>
    <row r="121" ht="60.75" customHeight="1">
      <c r="A121" s="379" t="s">
        <v>2719</v>
      </c>
      <c r="C121" s="380"/>
      <c r="D121" s="381"/>
      <c r="E121" s="381"/>
    </row>
    <row r="122" ht="15.75" customHeight="1">
      <c r="A122" s="380"/>
      <c r="B122" s="380"/>
      <c r="C122" s="380"/>
      <c r="D122" s="381"/>
      <c r="E122" s="381"/>
    </row>
    <row r="123" ht="15.75" customHeight="1">
      <c r="A123" s="380"/>
      <c r="B123" s="380"/>
      <c r="C123" s="380"/>
      <c r="D123" s="381"/>
      <c r="E123" s="381"/>
    </row>
    <row r="124" ht="15.75" customHeight="1">
      <c r="A124" s="380"/>
      <c r="B124" s="380"/>
      <c r="C124" s="380"/>
      <c r="D124" s="381"/>
      <c r="E124" s="381"/>
    </row>
    <row r="125" ht="15.75" customHeight="1">
      <c r="A125" s="380"/>
      <c r="B125" s="380"/>
      <c r="C125" s="380"/>
      <c r="D125" s="381"/>
      <c r="E125" s="381"/>
    </row>
    <row r="126" ht="15.75" customHeight="1">
      <c r="A126" s="380"/>
      <c r="B126" s="380"/>
      <c r="C126" s="380"/>
      <c r="D126" s="381"/>
      <c r="E126" s="381"/>
    </row>
    <row r="127" ht="15.75" customHeight="1">
      <c r="A127" s="380"/>
      <c r="B127" s="380"/>
      <c r="C127" s="380"/>
      <c r="D127" s="381"/>
      <c r="E127" s="381"/>
    </row>
    <row r="128" ht="15.75" customHeight="1">
      <c r="A128" s="380"/>
      <c r="B128" s="380"/>
      <c r="C128" s="380"/>
      <c r="D128" s="381"/>
      <c r="E128" s="381"/>
    </row>
    <row r="129" ht="15.75" customHeight="1">
      <c r="A129" s="380"/>
      <c r="B129" s="380"/>
      <c r="C129" s="380"/>
      <c r="D129" s="381"/>
      <c r="E129" s="381"/>
    </row>
    <row r="130" ht="15.75" customHeight="1">
      <c r="A130" s="380"/>
      <c r="B130" s="380"/>
      <c r="C130" s="380"/>
      <c r="D130" s="381"/>
      <c r="E130" s="381"/>
    </row>
    <row r="131" ht="15.75" customHeight="1">
      <c r="A131" s="380"/>
      <c r="B131" s="380"/>
      <c r="C131" s="380"/>
      <c r="D131" s="381"/>
      <c r="E131" s="381"/>
    </row>
    <row r="132" ht="15.75" customHeight="1">
      <c r="A132" s="381"/>
      <c r="B132" s="381"/>
      <c r="C132" s="381"/>
      <c r="D132" s="381"/>
      <c r="E132" s="381"/>
    </row>
    <row r="133" ht="15.75" customHeight="1">
      <c r="A133" s="381"/>
      <c r="B133" s="381"/>
      <c r="C133" s="381"/>
      <c r="D133" s="381"/>
      <c r="E133" s="381"/>
    </row>
    <row r="134" ht="15.75" customHeight="1">
      <c r="A134" s="381"/>
      <c r="B134" s="381"/>
      <c r="C134" s="381"/>
      <c r="D134" s="381"/>
      <c r="E134" s="381"/>
    </row>
    <row r="135" ht="15.75" customHeight="1">
      <c r="A135" s="381"/>
      <c r="B135" s="381"/>
      <c r="C135" s="381"/>
      <c r="D135" s="381"/>
      <c r="E135" s="381"/>
    </row>
    <row r="136" ht="15.75" customHeight="1">
      <c r="A136" s="381"/>
      <c r="B136" s="381"/>
      <c r="C136" s="381"/>
      <c r="D136" s="381"/>
      <c r="E136" s="381"/>
    </row>
    <row r="137" ht="15.75" customHeight="1">
      <c r="A137" s="381"/>
      <c r="B137" s="381"/>
      <c r="C137" s="381"/>
      <c r="D137" s="381"/>
      <c r="E137" s="381"/>
    </row>
    <row r="138" ht="15.75" customHeight="1">
      <c r="A138" s="381"/>
      <c r="B138" s="381"/>
      <c r="C138" s="381"/>
      <c r="D138" s="381"/>
      <c r="E138" s="381"/>
    </row>
    <row r="139" ht="15.75" customHeight="1">
      <c r="A139" s="381"/>
      <c r="B139" s="381"/>
      <c r="C139" s="381"/>
      <c r="D139" s="381"/>
      <c r="E139" s="381"/>
    </row>
    <row r="140" ht="15.75" customHeight="1">
      <c r="A140" s="381"/>
      <c r="B140" s="381"/>
      <c r="C140" s="381"/>
      <c r="D140" s="381"/>
      <c r="E140" s="381"/>
    </row>
    <row r="141" ht="15.75" customHeight="1">
      <c r="A141" s="381"/>
      <c r="B141" s="381"/>
      <c r="C141" s="381"/>
      <c r="D141" s="381"/>
      <c r="E141" s="381"/>
    </row>
    <row r="142" ht="15.75" customHeight="1">
      <c r="A142" s="381"/>
      <c r="B142" s="381"/>
      <c r="C142" s="381"/>
      <c r="D142" s="381"/>
      <c r="E142" s="381"/>
    </row>
    <row r="143" ht="15.75" customHeight="1">
      <c r="A143" s="381"/>
      <c r="B143" s="381"/>
      <c r="C143" s="381"/>
      <c r="D143" s="381"/>
      <c r="E143" s="381"/>
    </row>
    <row r="144" ht="15.75" customHeight="1">
      <c r="A144" s="381"/>
      <c r="B144" s="381"/>
      <c r="C144" s="381"/>
      <c r="D144" s="381"/>
      <c r="E144" s="381"/>
    </row>
    <row r="145" ht="15.75" customHeight="1">
      <c r="A145" s="381"/>
      <c r="B145" s="381"/>
      <c r="C145" s="381"/>
      <c r="D145" s="381"/>
      <c r="E145" s="381"/>
    </row>
    <row r="146" ht="15.75" customHeight="1">
      <c r="A146" s="381"/>
      <c r="B146" s="381"/>
      <c r="C146" s="381"/>
      <c r="D146" s="381"/>
      <c r="E146" s="381"/>
    </row>
    <row r="147" ht="15.75" customHeight="1">
      <c r="A147" s="381"/>
      <c r="B147" s="381"/>
      <c r="C147" s="381"/>
      <c r="D147" s="381"/>
      <c r="E147" s="381"/>
    </row>
    <row r="148" ht="15.75" customHeight="1">
      <c r="A148" s="381"/>
      <c r="B148" s="381"/>
      <c r="C148" s="381"/>
      <c r="D148" s="381"/>
      <c r="E148" s="381"/>
    </row>
    <row r="149" ht="15.75" customHeight="1">
      <c r="A149" s="381"/>
      <c r="B149" s="381"/>
      <c r="C149" s="381"/>
      <c r="D149" s="381"/>
      <c r="E149" s="381"/>
    </row>
    <row r="150" ht="15.75" customHeight="1">
      <c r="A150" s="381"/>
      <c r="B150" s="381"/>
      <c r="C150" s="381"/>
      <c r="D150" s="381"/>
      <c r="E150" s="381"/>
    </row>
    <row r="151" ht="15.75" customHeight="1">
      <c r="A151" s="381"/>
      <c r="B151" s="381"/>
      <c r="C151" s="381"/>
      <c r="D151" s="381"/>
      <c r="E151" s="381"/>
    </row>
    <row r="152" ht="15.75" customHeight="1">
      <c r="A152" s="381"/>
      <c r="B152" s="381"/>
      <c r="C152" s="381"/>
      <c r="D152" s="381"/>
      <c r="E152" s="381"/>
    </row>
    <row r="153" ht="15.75" customHeight="1">
      <c r="A153" s="381"/>
      <c r="B153" s="381"/>
      <c r="C153" s="381"/>
      <c r="D153" s="381"/>
      <c r="E153" s="381"/>
    </row>
    <row r="154" ht="15.75" customHeight="1">
      <c r="A154" s="381"/>
      <c r="B154" s="381"/>
      <c r="C154" s="381"/>
      <c r="D154" s="381"/>
      <c r="E154" s="381"/>
    </row>
    <row r="155" ht="15.75" customHeight="1">
      <c r="A155" s="381"/>
      <c r="B155" s="381"/>
      <c r="C155" s="381"/>
      <c r="D155" s="381"/>
      <c r="E155" s="381"/>
    </row>
    <row r="156" ht="15.75" customHeight="1">
      <c r="A156" s="381"/>
      <c r="B156" s="381"/>
      <c r="C156" s="381"/>
      <c r="D156" s="381"/>
      <c r="E156" s="381"/>
    </row>
    <row r="157" ht="15.75" customHeight="1">
      <c r="A157" s="381"/>
      <c r="B157" s="381"/>
      <c r="C157" s="381"/>
      <c r="D157" s="381"/>
      <c r="E157" s="381"/>
    </row>
    <row r="158" ht="15.75" customHeight="1">
      <c r="A158" s="381"/>
      <c r="B158" s="381"/>
      <c r="C158" s="381"/>
      <c r="D158" s="381"/>
      <c r="E158" s="381"/>
    </row>
    <row r="159" ht="15.75" customHeight="1">
      <c r="A159" s="381"/>
      <c r="B159" s="381"/>
      <c r="C159" s="381"/>
      <c r="D159" s="381"/>
      <c r="E159" s="381"/>
    </row>
    <row r="160" ht="15.75" customHeight="1">
      <c r="A160" s="381"/>
      <c r="B160" s="381"/>
      <c r="C160" s="381"/>
      <c r="D160" s="381"/>
      <c r="E160" s="381"/>
    </row>
    <row r="161" ht="15.75" customHeight="1">
      <c r="A161" s="381"/>
      <c r="B161" s="381"/>
      <c r="C161" s="381"/>
      <c r="D161" s="381"/>
      <c r="E161" s="381"/>
    </row>
    <row r="162" ht="15.75" customHeight="1">
      <c r="A162" s="381"/>
      <c r="B162" s="381"/>
      <c r="C162" s="381"/>
      <c r="D162" s="381"/>
      <c r="E162" s="381"/>
    </row>
    <row r="163" ht="15.75" customHeight="1">
      <c r="A163" s="381"/>
      <c r="B163" s="381"/>
      <c r="C163" s="381"/>
      <c r="D163" s="381"/>
      <c r="E163" s="381"/>
    </row>
    <row r="164" ht="15.75" customHeight="1">
      <c r="A164" s="381"/>
      <c r="B164" s="381"/>
      <c r="C164" s="381"/>
      <c r="D164" s="381"/>
      <c r="E164" s="381"/>
    </row>
    <row r="165" ht="15.75" customHeight="1">
      <c r="A165" s="381"/>
      <c r="B165" s="381"/>
      <c r="C165" s="381"/>
      <c r="D165" s="381"/>
      <c r="E165" s="381"/>
    </row>
    <row r="166" ht="15.75" customHeight="1">
      <c r="A166" s="381"/>
      <c r="B166" s="381"/>
      <c r="C166" s="381"/>
      <c r="D166" s="381"/>
      <c r="E166" s="381"/>
    </row>
    <row r="167" ht="15.75" customHeight="1">
      <c r="A167" s="381"/>
      <c r="B167" s="381"/>
      <c r="C167" s="381"/>
      <c r="D167" s="381"/>
      <c r="E167" s="381"/>
    </row>
    <row r="168" ht="15.75" customHeight="1">
      <c r="A168" s="381"/>
      <c r="B168" s="381"/>
      <c r="C168" s="381"/>
      <c r="D168" s="381"/>
      <c r="E168" s="381"/>
    </row>
    <row r="169" ht="15.75" customHeight="1">
      <c r="A169" s="381"/>
      <c r="B169" s="381"/>
      <c r="C169" s="381"/>
      <c r="D169" s="381"/>
      <c r="E169" s="381"/>
    </row>
    <row r="170" ht="15.75" customHeight="1">
      <c r="A170" s="381"/>
      <c r="B170" s="381"/>
      <c r="C170" s="381"/>
      <c r="D170" s="381"/>
      <c r="E170" s="381"/>
    </row>
    <row r="171" ht="15.75" customHeight="1">
      <c r="A171" s="381"/>
      <c r="B171" s="381"/>
      <c r="C171" s="381"/>
      <c r="D171" s="381"/>
      <c r="E171" s="381"/>
    </row>
    <row r="172" ht="15.75" customHeight="1">
      <c r="A172" s="381"/>
      <c r="B172" s="381"/>
      <c r="C172" s="381"/>
      <c r="D172" s="381"/>
      <c r="E172" s="381"/>
    </row>
    <row r="173" ht="15.75" customHeight="1">
      <c r="A173" s="381"/>
      <c r="B173" s="381"/>
      <c r="C173" s="381"/>
      <c r="D173" s="381"/>
      <c r="E173" s="381"/>
    </row>
    <row r="174" ht="15.75" customHeight="1">
      <c r="A174" s="381"/>
      <c r="B174" s="381"/>
      <c r="C174" s="381"/>
      <c r="D174" s="381"/>
      <c r="E174" s="381"/>
    </row>
    <row r="175" ht="15.75" customHeight="1">
      <c r="A175" s="381"/>
      <c r="B175" s="381"/>
      <c r="C175" s="381"/>
      <c r="D175" s="381"/>
      <c r="E175" s="381"/>
    </row>
    <row r="176" ht="15.75" customHeight="1">
      <c r="A176" s="381"/>
      <c r="B176" s="381"/>
      <c r="C176" s="381"/>
      <c r="D176" s="381"/>
      <c r="E176" s="381"/>
    </row>
    <row r="177" ht="15.75" customHeight="1">
      <c r="A177" s="381"/>
      <c r="B177" s="381"/>
      <c r="C177" s="381"/>
      <c r="D177" s="381"/>
      <c r="E177" s="381"/>
    </row>
    <row r="178" ht="15.75" customHeight="1">
      <c r="A178" s="381"/>
      <c r="B178" s="381"/>
      <c r="C178" s="381"/>
      <c r="D178" s="381"/>
      <c r="E178" s="381"/>
    </row>
    <row r="179" ht="15.75" customHeight="1">
      <c r="A179" s="381"/>
      <c r="B179" s="381"/>
      <c r="C179" s="381"/>
      <c r="D179" s="381"/>
      <c r="E179" s="381"/>
    </row>
    <row r="180" ht="15.75" customHeight="1">
      <c r="A180" s="381"/>
      <c r="B180" s="381"/>
      <c r="C180" s="381"/>
      <c r="D180" s="381"/>
      <c r="E180" s="381"/>
    </row>
    <row r="181" ht="15.75" customHeight="1">
      <c r="A181" s="381"/>
      <c r="B181" s="381"/>
      <c r="C181" s="381"/>
      <c r="D181" s="381"/>
      <c r="E181" s="381"/>
    </row>
    <row r="182" ht="15.75" customHeight="1">
      <c r="A182" s="381"/>
      <c r="B182" s="381"/>
      <c r="C182" s="381"/>
      <c r="D182" s="381"/>
      <c r="E182" s="381"/>
    </row>
    <row r="183" ht="15.75" customHeight="1">
      <c r="A183" s="381"/>
      <c r="B183" s="381"/>
      <c r="C183" s="381"/>
      <c r="D183" s="381"/>
      <c r="E183" s="381"/>
    </row>
    <row r="184" ht="15.75" customHeight="1">
      <c r="A184" s="381"/>
      <c r="B184" s="381"/>
      <c r="C184" s="381"/>
      <c r="D184" s="381"/>
      <c r="E184" s="381"/>
    </row>
    <row r="185" ht="15.75" customHeight="1">
      <c r="A185" s="381"/>
      <c r="B185" s="381"/>
      <c r="C185" s="381"/>
      <c r="D185" s="381"/>
      <c r="E185" s="381"/>
    </row>
    <row r="186" ht="15.75" customHeight="1">
      <c r="A186" s="381"/>
      <c r="B186" s="381"/>
      <c r="C186" s="381"/>
      <c r="D186" s="381"/>
      <c r="E186" s="381"/>
    </row>
    <row r="187" ht="15.75" customHeight="1">
      <c r="A187" s="381"/>
      <c r="B187" s="381"/>
      <c r="C187" s="381"/>
      <c r="D187" s="381"/>
      <c r="E187" s="381"/>
    </row>
    <row r="188" ht="15.75" customHeight="1">
      <c r="A188" s="381"/>
      <c r="B188" s="381"/>
      <c r="C188" s="381"/>
      <c r="D188" s="381"/>
      <c r="E188" s="381"/>
    </row>
    <row r="189" ht="15.75" customHeight="1">
      <c r="A189" s="381"/>
      <c r="B189" s="381"/>
      <c r="C189" s="381"/>
      <c r="D189" s="381"/>
      <c r="E189" s="381"/>
    </row>
    <row r="190" ht="15.75" customHeight="1">
      <c r="A190" s="381"/>
      <c r="B190" s="381"/>
      <c r="C190" s="381"/>
      <c r="D190" s="381"/>
      <c r="E190" s="381"/>
    </row>
    <row r="191" ht="15.75" customHeight="1">
      <c r="A191" s="381"/>
      <c r="B191" s="381"/>
      <c r="C191" s="381"/>
      <c r="D191" s="381"/>
      <c r="E191" s="381"/>
    </row>
    <row r="192" ht="15.75" customHeight="1">
      <c r="A192" s="381"/>
      <c r="B192" s="381"/>
      <c r="C192" s="381"/>
      <c r="D192" s="381"/>
      <c r="E192" s="381"/>
    </row>
    <row r="193" ht="15.75" customHeight="1">
      <c r="A193" s="381"/>
      <c r="B193" s="381"/>
      <c r="C193" s="381"/>
      <c r="D193" s="381"/>
      <c r="E193" s="381"/>
    </row>
    <row r="194" ht="15.75" customHeight="1">
      <c r="A194" s="381"/>
      <c r="B194" s="381"/>
      <c r="C194" s="381"/>
      <c r="D194" s="381"/>
      <c r="E194" s="381"/>
    </row>
    <row r="195" ht="15.75" customHeight="1">
      <c r="A195" s="381"/>
      <c r="B195" s="381"/>
      <c r="C195" s="381"/>
      <c r="D195" s="381"/>
      <c r="E195" s="381"/>
    </row>
    <row r="196" ht="15.75" customHeight="1">
      <c r="A196" s="381"/>
      <c r="B196" s="381"/>
      <c r="C196" s="381"/>
      <c r="D196" s="381"/>
      <c r="E196" s="381"/>
    </row>
    <row r="197" ht="15.75" customHeight="1">
      <c r="A197" s="381"/>
      <c r="B197" s="381"/>
      <c r="C197" s="381"/>
      <c r="D197" s="381"/>
      <c r="E197" s="381"/>
    </row>
    <row r="198" ht="15.75" customHeight="1">
      <c r="A198" s="381"/>
      <c r="B198" s="381"/>
      <c r="C198" s="381"/>
      <c r="D198" s="381"/>
      <c r="E198" s="381"/>
    </row>
    <row r="199" ht="15.75" customHeight="1">
      <c r="A199" s="381"/>
      <c r="B199" s="381"/>
      <c r="C199" s="381"/>
      <c r="D199" s="381"/>
      <c r="E199" s="381"/>
    </row>
    <row r="200" ht="15.75" customHeight="1">
      <c r="A200" s="381"/>
      <c r="B200" s="381"/>
      <c r="C200" s="381"/>
      <c r="D200" s="381"/>
      <c r="E200" s="381"/>
    </row>
    <row r="201" ht="15.75" customHeight="1">
      <c r="A201" s="381"/>
      <c r="B201" s="381"/>
      <c r="C201" s="381"/>
      <c r="D201" s="381"/>
      <c r="E201" s="381"/>
    </row>
    <row r="202" ht="15.75" customHeight="1">
      <c r="A202" s="381"/>
      <c r="B202" s="381"/>
      <c r="C202" s="381"/>
      <c r="D202" s="381"/>
      <c r="E202" s="381"/>
    </row>
    <row r="203" ht="15.75" customHeight="1">
      <c r="A203" s="381"/>
      <c r="B203" s="381"/>
      <c r="C203" s="381"/>
      <c r="D203" s="381"/>
      <c r="E203" s="381"/>
    </row>
    <row r="204" ht="15.75" customHeight="1">
      <c r="A204" s="381"/>
      <c r="B204" s="381"/>
      <c r="C204" s="381"/>
      <c r="D204" s="381"/>
      <c r="E204" s="381"/>
    </row>
    <row r="205" ht="15.75" customHeight="1">
      <c r="A205" s="381"/>
      <c r="B205" s="381"/>
      <c r="C205" s="381"/>
      <c r="D205" s="381"/>
      <c r="E205" s="381"/>
    </row>
    <row r="206" ht="15.75" customHeight="1">
      <c r="A206" s="381"/>
      <c r="B206" s="381"/>
      <c r="C206" s="381"/>
      <c r="D206" s="381"/>
      <c r="E206" s="381"/>
    </row>
    <row r="207" ht="15.75" customHeight="1">
      <c r="A207" s="381"/>
      <c r="B207" s="381"/>
      <c r="C207" s="381"/>
      <c r="D207" s="381"/>
      <c r="E207" s="381"/>
    </row>
    <row r="208" ht="15.75" customHeight="1">
      <c r="A208" s="381"/>
      <c r="B208" s="381"/>
      <c r="C208" s="381"/>
      <c r="D208" s="381"/>
      <c r="E208" s="381"/>
    </row>
    <row r="209" ht="15.75" customHeight="1">
      <c r="A209" s="381"/>
      <c r="B209" s="381"/>
      <c r="C209" s="381"/>
      <c r="D209" s="381"/>
      <c r="E209" s="381"/>
    </row>
    <row r="210" ht="15.75" customHeight="1">
      <c r="A210" s="381"/>
      <c r="B210" s="381"/>
      <c r="C210" s="381"/>
      <c r="D210" s="381"/>
      <c r="E210" s="381"/>
    </row>
    <row r="211" ht="15.75" customHeight="1">
      <c r="A211" s="381"/>
      <c r="B211" s="381"/>
      <c r="C211" s="381"/>
      <c r="D211" s="381"/>
      <c r="E211" s="381"/>
    </row>
    <row r="212" ht="15.75" customHeight="1">
      <c r="A212" s="381"/>
      <c r="B212" s="381"/>
      <c r="C212" s="381"/>
      <c r="D212" s="381"/>
      <c r="E212" s="381"/>
    </row>
    <row r="213" ht="15.75" customHeight="1">
      <c r="A213" s="381"/>
      <c r="B213" s="381"/>
      <c r="C213" s="381"/>
      <c r="D213" s="381"/>
      <c r="E213" s="381"/>
    </row>
    <row r="214" ht="15.75" customHeight="1">
      <c r="A214" s="381"/>
      <c r="B214" s="381"/>
      <c r="C214" s="381"/>
      <c r="D214" s="381"/>
      <c r="E214" s="381"/>
    </row>
    <row r="215" ht="15.75" customHeight="1">
      <c r="A215" s="381"/>
      <c r="B215" s="381"/>
      <c r="C215" s="381"/>
      <c r="D215" s="381"/>
      <c r="E215" s="381"/>
    </row>
    <row r="216" ht="15.75" customHeight="1">
      <c r="A216" s="381"/>
      <c r="B216" s="381"/>
      <c r="C216" s="381"/>
      <c r="D216" s="381"/>
      <c r="E216" s="381"/>
    </row>
    <row r="217" ht="15.75" customHeight="1">
      <c r="A217" s="381"/>
      <c r="B217" s="381"/>
      <c r="C217" s="381"/>
      <c r="D217" s="381"/>
      <c r="E217" s="381"/>
    </row>
    <row r="218" ht="15.75" customHeight="1">
      <c r="A218" s="381"/>
      <c r="B218" s="381"/>
      <c r="C218" s="381"/>
      <c r="D218" s="381"/>
      <c r="E218" s="381"/>
    </row>
    <row r="219" ht="15.75" customHeight="1">
      <c r="A219" s="381"/>
      <c r="B219" s="381"/>
      <c r="C219" s="381"/>
      <c r="D219" s="381"/>
      <c r="E219" s="381"/>
    </row>
    <row r="220" ht="15.75" customHeight="1">
      <c r="A220" s="381"/>
      <c r="B220" s="381"/>
      <c r="C220" s="381"/>
      <c r="D220" s="381"/>
      <c r="E220" s="381"/>
    </row>
    <row r="221" ht="15.75" customHeight="1">
      <c r="A221" s="381"/>
      <c r="B221" s="381"/>
      <c r="C221" s="381"/>
      <c r="D221" s="381"/>
      <c r="E221" s="381"/>
    </row>
    <row r="222" ht="15.75" customHeight="1">
      <c r="A222" s="381"/>
      <c r="B222" s="381"/>
      <c r="C222" s="381"/>
      <c r="D222" s="381"/>
      <c r="E222" s="381"/>
    </row>
    <row r="223" ht="15.75" customHeight="1">
      <c r="A223" s="381"/>
      <c r="B223" s="381"/>
      <c r="C223" s="381"/>
      <c r="D223" s="381"/>
      <c r="E223" s="381"/>
    </row>
    <row r="224" ht="15.75" customHeight="1">
      <c r="A224" s="381"/>
      <c r="B224" s="381"/>
      <c r="C224" s="381"/>
      <c r="D224" s="381"/>
      <c r="E224" s="381"/>
    </row>
    <row r="225" ht="15.75" customHeight="1">
      <c r="A225" s="381"/>
      <c r="B225" s="381"/>
      <c r="C225" s="381"/>
      <c r="D225" s="381"/>
      <c r="E225" s="381"/>
    </row>
    <row r="226" ht="15.75" customHeight="1">
      <c r="A226" s="381"/>
      <c r="B226" s="381"/>
      <c r="C226" s="381"/>
      <c r="D226" s="381"/>
      <c r="E226" s="381"/>
    </row>
    <row r="227" ht="15.75" customHeight="1">
      <c r="A227" s="381"/>
      <c r="B227" s="381"/>
      <c r="C227" s="381"/>
      <c r="D227" s="381"/>
      <c r="E227" s="381"/>
    </row>
    <row r="228" ht="15.75" customHeight="1">
      <c r="A228" s="381"/>
      <c r="B228" s="381"/>
      <c r="C228" s="381"/>
      <c r="D228" s="381"/>
      <c r="E228" s="381"/>
    </row>
    <row r="229" ht="15.75" customHeight="1">
      <c r="A229" s="381"/>
      <c r="B229" s="381"/>
      <c r="C229" s="381"/>
      <c r="D229" s="381"/>
      <c r="E229" s="381"/>
    </row>
    <row r="230" ht="15.75" customHeight="1">
      <c r="A230" s="381"/>
      <c r="B230" s="381"/>
      <c r="C230" s="381"/>
      <c r="D230" s="381"/>
      <c r="E230" s="381"/>
    </row>
    <row r="231" ht="15.75" customHeight="1">
      <c r="A231" s="381"/>
      <c r="B231" s="381"/>
      <c r="C231" s="381"/>
      <c r="D231" s="381"/>
      <c r="E231" s="381"/>
    </row>
    <row r="232" ht="15.75" customHeight="1">
      <c r="A232" s="381"/>
      <c r="B232" s="381"/>
      <c r="C232" s="381"/>
      <c r="D232" s="381"/>
      <c r="E232" s="381"/>
    </row>
    <row r="233" ht="15.75" customHeight="1">
      <c r="A233" s="381"/>
      <c r="B233" s="381"/>
      <c r="C233" s="381"/>
      <c r="D233" s="381"/>
      <c r="E233" s="381"/>
    </row>
    <row r="234" ht="15.75" customHeight="1">
      <c r="A234" s="381"/>
      <c r="B234" s="381"/>
      <c r="C234" s="381"/>
      <c r="D234" s="381"/>
      <c r="E234" s="381"/>
    </row>
    <row r="235" ht="15.75" customHeight="1">
      <c r="A235" s="381"/>
      <c r="B235" s="381"/>
      <c r="C235" s="381"/>
      <c r="D235" s="381"/>
      <c r="E235" s="381"/>
    </row>
    <row r="236" ht="15.75" customHeight="1">
      <c r="A236" s="381"/>
      <c r="B236" s="381"/>
      <c r="C236" s="381"/>
      <c r="D236" s="381"/>
      <c r="E236" s="381"/>
    </row>
    <row r="237" ht="15.75" customHeight="1">
      <c r="A237" s="381"/>
      <c r="B237" s="381"/>
      <c r="C237" s="381"/>
      <c r="D237" s="381"/>
      <c r="E237" s="381"/>
    </row>
    <row r="238" ht="15.75" customHeight="1">
      <c r="A238" s="381"/>
      <c r="B238" s="381"/>
      <c r="C238" s="381"/>
      <c r="D238" s="381"/>
      <c r="E238" s="381"/>
    </row>
    <row r="239" ht="15.75" customHeight="1">
      <c r="A239" s="381"/>
      <c r="B239" s="381"/>
      <c r="C239" s="381"/>
      <c r="D239" s="381"/>
      <c r="E239" s="381"/>
    </row>
    <row r="240" ht="15.75" customHeight="1">
      <c r="A240" s="381"/>
      <c r="B240" s="381"/>
      <c r="C240" s="381"/>
      <c r="D240" s="381"/>
      <c r="E240" s="381"/>
    </row>
    <row r="241" ht="15.75" customHeight="1">
      <c r="A241" s="381"/>
      <c r="B241" s="381"/>
      <c r="C241" s="381"/>
      <c r="D241" s="381"/>
      <c r="E241" s="381"/>
    </row>
    <row r="242" ht="15.75" customHeight="1">
      <c r="A242" s="381"/>
      <c r="B242" s="381"/>
      <c r="C242" s="381"/>
      <c r="D242" s="381"/>
      <c r="E242" s="381"/>
    </row>
    <row r="243" ht="15.75" customHeight="1">
      <c r="A243" s="381"/>
      <c r="B243" s="381"/>
      <c r="C243" s="381"/>
      <c r="D243" s="381"/>
      <c r="E243" s="381"/>
    </row>
    <row r="244" ht="15.75" customHeight="1">
      <c r="A244" s="381"/>
      <c r="B244" s="381"/>
      <c r="C244" s="381"/>
      <c r="D244" s="381"/>
      <c r="E244" s="381"/>
    </row>
    <row r="245" ht="15.75" customHeight="1">
      <c r="A245" s="381"/>
      <c r="B245" s="381"/>
      <c r="C245" s="381"/>
      <c r="D245" s="381"/>
      <c r="E245" s="381"/>
    </row>
    <row r="246" ht="15.75" customHeight="1">
      <c r="A246" s="381"/>
      <c r="B246" s="381"/>
      <c r="C246" s="381"/>
      <c r="D246" s="381"/>
      <c r="E246" s="381"/>
    </row>
    <row r="247" ht="15.75" customHeight="1">
      <c r="A247" s="381"/>
      <c r="B247" s="381"/>
      <c r="C247" s="381"/>
      <c r="D247" s="381"/>
      <c r="E247" s="381"/>
    </row>
    <row r="248" ht="15.75" customHeight="1">
      <c r="A248" s="381"/>
      <c r="B248" s="381"/>
      <c r="C248" s="381"/>
      <c r="D248" s="381"/>
      <c r="E248" s="381"/>
    </row>
    <row r="249" ht="15.75" customHeight="1">
      <c r="A249" s="381"/>
      <c r="B249" s="381"/>
      <c r="C249" s="381"/>
      <c r="D249" s="381"/>
      <c r="E249" s="381"/>
    </row>
    <row r="250" ht="15.75" customHeight="1">
      <c r="A250" s="381"/>
      <c r="B250" s="381"/>
      <c r="C250" s="381"/>
      <c r="D250" s="381"/>
      <c r="E250" s="381"/>
    </row>
    <row r="251" ht="15.75" customHeight="1">
      <c r="A251" s="381"/>
      <c r="B251" s="381"/>
      <c r="C251" s="381"/>
      <c r="D251" s="381"/>
      <c r="E251" s="381"/>
    </row>
    <row r="252" ht="15.75" customHeight="1">
      <c r="A252" s="381"/>
      <c r="B252" s="381"/>
      <c r="C252" s="381"/>
      <c r="D252" s="381"/>
      <c r="E252" s="381"/>
    </row>
    <row r="253" ht="15.75" customHeight="1">
      <c r="A253" s="381"/>
      <c r="B253" s="381"/>
      <c r="C253" s="381"/>
      <c r="D253" s="381"/>
      <c r="E253" s="381"/>
    </row>
    <row r="254" ht="15.75" customHeight="1">
      <c r="A254" s="381"/>
      <c r="B254" s="381"/>
      <c r="C254" s="381"/>
      <c r="D254" s="381"/>
      <c r="E254" s="381"/>
    </row>
    <row r="255" ht="15.75" customHeight="1">
      <c r="A255" s="381"/>
      <c r="B255" s="381"/>
      <c r="C255" s="381"/>
      <c r="D255" s="381"/>
      <c r="E255" s="381"/>
    </row>
    <row r="256" ht="15.75" customHeight="1">
      <c r="A256" s="381"/>
      <c r="B256" s="381"/>
      <c r="C256" s="381"/>
      <c r="D256" s="381"/>
      <c r="E256" s="381"/>
    </row>
    <row r="257" ht="15.75" customHeight="1">
      <c r="A257" s="381"/>
      <c r="B257" s="381"/>
      <c r="C257" s="381"/>
      <c r="D257" s="381"/>
      <c r="E257" s="381"/>
    </row>
    <row r="258" ht="15.75" customHeight="1">
      <c r="A258" s="381"/>
      <c r="B258" s="381"/>
      <c r="C258" s="381"/>
      <c r="D258" s="381"/>
      <c r="E258" s="381"/>
    </row>
    <row r="259" ht="15.75" customHeight="1">
      <c r="A259" s="381"/>
      <c r="B259" s="381"/>
      <c r="C259" s="381"/>
      <c r="D259" s="381"/>
      <c r="E259" s="381"/>
    </row>
    <row r="260" ht="15.75" customHeight="1">
      <c r="A260" s="381"/>
      <c r="B260" s="381"/>
      <c r="C260" s="381"/>
      <c r="D260" s="381"/>
      <c r="E260" s="381"/>
    </row>
    <row r="261" ht="15.75" customHeight="1">
      <c r="A261" s="381"/>
      <c r="B261" s="381"/>
      <c r="C261" s="381"/>
      <c r="D261" s="381"/>
      <c r="E261" s="381"/>
    </row>
    <row r="262" ht="15.75" customHeight="1">
      <c r="A262" s="381"/>
      <c r="B262" s="381"/>
      <c r="C262" s="381"/>
      <c r="D262" s="381"/>
      <c r="E262" s="381"/>
    </row>
    <row r="263" ht="15.75" customHeight="1">
      <c r="A263" s="381"/>
      <c r="B263" s="381"/>
      <c r="C263" s="381"/>
      <c r="D263" s="381"/>
      <c r="E263" s="381"/>
    </row>
    <row r="264" ht="15.75" customHeight="1">
      <c r="A264" s="381"/>
      <c r="B264" s="381"/>
      <c r="C264" s="381"/>
      <c r="D264" s="381"/>
      <c r="E264" s="381"/>
    </row>
    <row r="265" ht="15.75" customHeight="1">
      <c r="A265" s="381"/>
      <c r="B265" s="381"/>
      <c r="C265" s="381"/>
      <c r="D265" s="381"/>
      <c r="E265" s="381"/>
    </row>
    <row r="266" ht="15.75" customHeight="1">
      <c r="A266" s="381"/>
      <c r="B266" s="381"/>
      <c r="C266" s="381"/>
      <c r="D266" s="381"/>
      <c r="E266" s="381"/>
    </row>
    <row r="267" ht="15.75" customHeight="1">
      <c r="A267" s="381"/>
      <c r="B267" s="381"/>
      <c r="C267" s="381"/>
      <c r="D267" s="381"/>
      <c r="E267" s="381"/>
    </row>
    <row r="268" ht="15.75" customHeight="1">
      <c r="A268" s="381"/>
      <c r="B268" s="381"/>
      <c r="C268" s="381"/>
      <c r="D268" s="381"/>
      <c r="E268" s="381"/>
    </row>
    <row r="269" ht="15.75" customHeight="1">
      <c r="A269" s="381"/>
      <c r="B269" s="381"/>
      <c r="C269" s="381"/>
      <c r="D269" s="381"/>
      <c r="E269" s="381"/>
    </row>
    <row r="270" ht="15.75" customHeight="1">
      <c r="A270" s="381"/>
      <c r="B270" s="381"/>
      <c r="C270" s="381"/>
      <c r="D270" s="381"/>
      <c r="E270" s="381"/>
    </row>
    <row r="271" ht="15.75" customHeight="1">
      <c r="A271" s="381"/>
      <c r="B271" s="381"/>
      <c r="C271" s="381"/>
      <c r="D271" s="381"/>
      <c r="E271" s="381"/>
    </row>
    <row r="272" ht="15.75" customHeight="1">
      <c r="A272" s="381"/>
      <c r="B272" s="381"/>
      <c r="C272" s="381"/>
      <c r="D272" s="381"/>
      <c r="E272" s="381"/>
    </row>
    <row r="273" ht="15.75" customHeight="1">
      <c r="A273" s="381"/>
      <c r="B273" s="381"/>
      <c r="C273" s="381"/>
      <c r="D273" s="381"/>
      <c r="E273" s="381"/>
    </row>
    <row r="274" ht="15.75" customHeight="1">
      <c r="A274" s="381"/>
      <c r="B274" s="381"/>
      <c r="C274" s="381"/>
      <c r="D274" s="381"/>
      <c r="E274" s="381"/>
    </row>
    <row r="275" ht="15.75" customHeight="1">
      <c r="A275" s="381"/>
      <c r="B275" s="381"/>
      <c r="C275" s="381"/>
      <c r="D275" s="381"/>
      <c r="E275" s="381"/>
    </row>
    <row r="276" ht="15.75" customHeight="1">
      <c r="A276" s="381"/>
      <c r="B276" s="381"/>
      <c r="C276" s="381"/>
      <c r="D276" s="381"/>
      <c r="E276" s="381"/>
    </row>
    <row r="277" ht="15.75" customHeight="1">
      <c r="A277" s="381"/>
      <c r="B277" s="381"/>
      <c r="C277" s="381"/>
      <c r="D277" s="381"/>
      <c r="E277" s="381"/>
    </row>
    <row r="278" ht="15.75" customHeight="1">
      <c r="A278" s="381"/>
      <c r="B278" s="381"/>
      <c r="C278" s="381"/>
      <c r="D278" s="381"/>
      <c r="E278" s="381"/>
    </row>
    <row r="279" ht="15.75" customHeight="1">
      <c r="A279" s="381"/>
      <c r="B279" s="381"/>
      <c r="C279" s="381"/>
      <c r="D279" s="381"/>
      <c r="E279" s="381"/>
    </row>
    <row r="280" ht="15.75" customHeight="1">
      <c r="A280" s="381"/>
      <c r="B280" s="381"/>
      <c r="C280" s="381"/>
      <c r="D280" s="381"/>
      <c r="E280" s="381"/>
    </row>
    <row r="281" ht="15.75" customHeight="1">
      <c r="A281" s="381"/>
      <c r="B281" s="381"/>
      <c r="C281" s="381"/>
      <c r="D281" s="381"/>
      <c r="E281" s="381"/>
    </row>
    <row r="282" ht="15.75" customHeight="1">
      <c r="A282" s="381"/>
      <c r="B282" s="381"/>
      <c r="C282" s="381"/>
      <c r="D282" s="381"/>
      <c r="E282" s="381"/>
    </row>
    <row r="283" ht="15.75" customHeight="1">
      <c r="A283" s="381"/>
      <c r="B283" s="381"/>
      <c r="C283" s="381"/>
      <c r="D283" s="381"/>
      <c r="E283" s="381"/>
    </row>
    <row r="284" ht="15.75" customHeight="1">
      <c r="A284" s="381"/>
      <c r="B284" s="381"/>
      <c r="C284" s="381"/>
      <c r="D284" s="381"/>
      <c r="E284" s="381"/>
    </row>
    <row r="285" ht="15.75" customHeight="1">
      <c r="A285" s="381"/>
      <c r="B285" s="381"/>
      <c r="C285" s="381"/>
      <c r="D285" s="381"/>
      <c r="E285" s="381"/>
    </row>
    <row r="286" ht="15.75" customHeight="1">
      <c r="A286" s="381"/>
      <c r="B286" s="381"/>
      <c r="C286" s="381"/>
      <c r="D286" s="381"/>
      <c r="E286" s="381"/>
    </row>
    <row r="287" ht="15.75" customHeight="1">
      <c r="A287" s="381"/>
      <c r="B287" s="381"/>
      <c r="C287" s="381"/>
      <c r="D287" s="381"/>
      <c r="E287" s="381"/>
    </row>
    <row r="288" ht="15.75" customHeight="1">
      <c r="A288" s="381"/>
      <c r="B288" s="381"/>
      <c r="C288" s="381"/>
      <c r="D288" s="381"/>
      <c r="E288" s="381"/>
    </row>
    <row r="289" ht="15.75" customHeight="1">
      <c r="A289" s="381"/>
      <c r="B289" s="381"/>
      <c r="C289" s="381"/>
      <c r="D289" s="381"/>
      <c r="E289" s="381"/>
    </row>
    <row r="290" ht="15.75" customHeight="1">
      <c r="A290" s="381"/>
      <c r="B290" s="381"/>
      <c r="C290" s="381"/>
      <c r="D290" s="381"/>
      <c r="E290" s="381"/>
    </row>
    <row r="291" ht="15.75" customHeight="1">
      <c r="A291" s="381"/>
      <c r="B291" s="381"/>
      <c r="C291" s="381"/>
      <c r="D291" s="381"/>
      <c r="E291" s="381"/>
    </row>
    <row r="292" ht="15.75" customHeight="1">
      <c r="A292" s="381"/>
      <c r="B292" s="381"/>
      <c r="C292" s="381"/>
      <c r="D292" s="381"/>
      <c r="E292" s="381"/>
    </row>
    <row r="293" ht="15.75" customHeight="1">
      <c r="A293" s="381"/>
      <c r="B293" s="381"/>
      <c r="C293" s="381"/>
      <c r="D293" s="381"/>
      <c r="E293" s="381"/>
    </row>
    <row r="294" ht="15.75" customHeight="1">
      <c r="A294" s="381"/>
      <c r="B294" s="381"/>
      <c r="C294" s="381"/>
      <c r="D294" s="381"/>
      <c r="E294" s="381"/>
    </row>
    <row r="295" ht="15.75" customHeight="1">
      <c r="A295" s="381"/>
      <c r="B295" s="381"/>
      <c r="C295" s="381"/>
      <c r="D295" s="381"/>
      <c r="E295" s="381"/>
    </row>
    <row r="296" ht="15.75" customHeight="1">
      <c r="A296" s="381"/>
      <c r="B296" s="381"/>
      <c r="C296" s="381"/>
      <c r="D296" s="381"/>
      <c r="E296" s="381"/>
    </row>
    <row r="297" ht="15.75" customHeight="1">
      <c r="A297" s="381"/>
      <c r="B297" s="381"/>
      <c r="C297" s="381"/>
      <c r="D297" s="381"/>
      <c r="E297" s="381"/>
    </row>
    <row r="298" ht="15.75" customHeight="1">
      <c r="A298" s="381"/>
      <c r="B298" s="381"/>
      <c r="C298" s="381"/>
      <c r="D298" s="381"/>
      <c r="E298" s="381"/>
    </row>
    <row r="299" ht="15.75" customHeight="1">
      <c r="A299" s="381"/>
      <c r="B299" s="381"/>
      <c r="C299" s="381"/>
      <c r="D299" s="381"/>
      <c r="E299" s="381"/>
    </row>
    <row r="300" ht="15.75" customHeight="1">
      <c r="A300" s="381"/>
      <c r="B300" s="381"/>
      <c r="C300" s="381"/>
      <c r="D300" s="381"/>
      <c r="E300" s="381"/>
    </row>
    <row r="301" ht="15.75" customHeight="1">
      <c r="A301" s="381"/>
      <c r="B301" s="381"/>
      <c r="C301" s="381"/>
      <c r="D301" s="381"/>
      <c r="E301" s="381"/>
    </row>
    <row r="302" ht="15.75" customHeight="1">
      <c r="A302" s="381"/>
      <c r="B302" s="381"/>
      <c r="C302" s="381"/>
      <c r="D302" s="381"/>
      <c r="E302" s="381"/>
    </row>
    <row r="303" ht="15.75" customHeight="1">
      <c r="A303" s="381"/>
      <c r="B303" s="381"/>
      <c r="C303" s="381"/>
      <c r="D303" s="381"/>
      <c r="E303" s="381"/>
    </row>
    <row r="304" ht="15.75" customHeight="1">
      <c r="A304" s="381"/>
      <c r="B304" s="381"/>
      <c r="C304" s="381"/>
      <c r="D304" s="381"/>
      <c r="E304" s="381"/>
    </row>
    <row r="305" ht="15.75" customHeight="1">
      <c r="A305" s="381"/>
      <c r="B305" s="381"/>
      <c r="C305" s="381"/>
      <c r="D305" s="381"/>
      <c r="E305" s="381"/>
    </row>
    <row r="306" ht="15.75" customHeight="1">
      <c r="A306" s="381"/>
      <c r="B306" s="381"/>
      <c r="C306" s="381"/>
      <c r="D306" s="381"/>
      <c r="E306" s="381"/>
    </row>
    <row r="307" ht="15.75" customHeight="1">
      <c r="A307" s="381"/>
      <c r="B307" s="381"/>
      <c r="C307" s="381"/>
      <c r="D307" s="381"/>
      <c r="E307" s="381"/>
    </row>
    <row r="308" ht="15.75" customHeight="1">
      <c r="A308" s="381"/>
      <c r="B308" s="381"/>
      <c r="C308" s="381"/>
      <c r="D308" s="381"/>
      <c r="E308" s="381"/>
    </row>
    <row r="309" ht="15.75" customHeight="1">
      <c r="A309" s="381"/>
      <c r="B309" s="381"/>
      <c r="C309" s="381"/>
      <c r="D309" s="381"/>
      <c r="E309" s="381"/>
    </row>
    <row r="310" ht="15.75" customHeight="1">
      <c r="A310" s="381"/>
      <c r="B310" s="381"/>
      <c r="C310" s="381"/>
      <c r="D310" s="381"/>
      <c r="E310" s="381"/>
    </row>
    <row r="311" ht="15.75" customHeight="1">
      <c r="A311" s="381"/>
      <c r="B311" s="381"/>
      <c r="C311" s="381"/>
      <c r="D311" s="381"/>
      <c r="E311" s="381"/>
    </row>
    <row r="312" ht="15.75" customHeight="1">
      <c r="A312" s="381"/>
      <c r="B312" s="381"/>
      <c r="C312" s="381"/>
      <c r="D312" s="381"/>
      <c r="E312" s="381"/>
    </row>
    <row r="313" ht="15.75" customHeight="1">
      <c r="A313" s="381"/>
      <c r="B313" s="381"/>
      <c r="C313" s="381"/>
      <c r="D313" s="381"/>
      <c r="E313" s="381"/>
    </row>
    <row r="314" ht="15.75" customHeight="1">
      <c r="A314" s="381"/>
      <c r="B314" s="381"/>
      <c r="C314" s="381"/>
      <c r="D314" s="381"/>
      <c r="E314" s="381"/>
    </row>
    <row r="315" ht="15.75" customHeight="1">
      <c r="A315" s="381"/>
      <c r="B315" s="381"/>
      <c r="C315" s="381"/>
      <c r="D315" s="381"/>
      <c r="E315" s="381"/>
    </row>
    <row r="316" ht="15.75" customHeight="1">
      <c r="A316" s="381"/>
      <c r="B316" s="381"/>
      <c r="C316" s="381"/>
      <c r="D316" s="381"/>
      <c r="E316" s="381"/>
    </row>
    <row r="317" ht="15.75" customHeight="1">
      <c r="A317" s="381"/>
      <c r="B317" s="381"/>
      <c r="C317" s="381"/>
      <c r="D317" s="381"/>
      <c r="E317" s="381"/>
    </row>
    <row r="318" ht="15.75" customHeight="1">
      <c r="A318" s="381"/>
      <c r="B318" s="381"/>
      <c r="C318" s="381"/>
      <c r="D318" s="381"/>
      <c r="E318" s="381"/>
    </row>
    <row r="319" ht="15.75" customHeight="1">
      <c r="A319" s="381"/>
      <c r="B319" s="381"/>
      <c r="C319" s="381"/>
      <c r="D319" s="381"/>
      <c r="E319" s="381"/>
    </row>
    <row r="320" ht="15.75" customHeight="1">
      <c r="A320" s="381"/>
      <c r="B320" s="381"/>
      <c r="C320" s="381"/>
      <c r="D320" s="381"/>
      <c r="E320" s="381"/>
    </row>
    <row r="321" ht="15.75" customHeight="1">
      <c r="A321" s="381"/>
      <c r="B321" s="381"/>
      <c r="C321" s="381"/>
      <c r="D321" s="381"/>
      <c r="E321" s="381"/>
    </row>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D1:D2"/>
    <mergeCell ref="E1:E2"/>
    <mergeCell ref="A119:B119"/>
    <mergeCell ref="A120:B120"/>
    <mergeCell ref="A121:B121"/>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2.25"/>
    <col customWidth="1" min="2" max="2" width="6.88"/>
    <col customWidth="1" min="3" max="3" width="23.63"/>
    <col customWidth="1" min="4" max="6" width="11.0"/>
    <col customWidth="1" min="7" max="7" width="18.63"/>
    <col customWidth="1" min="8" max="8" width="14.0"/>
    <col customWidth="1" min="9" max="10" width="19.75"/>
    <col customWidth="1" min="11" max="28" width="11.0"/>
  </cols>
  <sheetData>
    <row r="1" ht="15.75" customHeight="1">
      <c r="A1" s="382" t="s">
        <v>2720</v>
      </c>
      <c r="B1" s="382" t="s">
        <v>0</v>
      </c>
      <c r="C1" s="382" t="s">
        <v>2721</v>
      </c>
      <c r="D1" s="382" t="s">
        <v>500</v>
      </c>
      <c r="E1" s="383" t="s">
        <v>611</v>
      </c>
      <c r="F1" s="382" t="s">
        <v>926</v>
      </c>
      <c r="G1" s="382" t="s">
        <v>2722</v>
      </c>
      <c r="H1" s="382" t="s">
        <v>2723</v>
      </c>
      <c r="I1" s="382" t="s">
        <v>2724</v>
      </c>
      <c r="J1" s="383" t="s">
        <v>2725</v>
      </c>
    </row>
    <row r="2" ht="15.75" customHeight="1">
      <c r="A2" s="384"/>
      <c r="B2" s="384">
        <v>1.0</v>
      </c>
      <c r="C2" s="385" t="s">
        <v>2726</v>
      </c>
      <c r="D2" s="386" t="s">
        <v>2727</v>
      </c>
      <c r="E2" s="387" t="s">
        <v>2728</v>
      </c>
      <c r="F2" s="384" t="s">
        <v>2664</v>
      </c>
      <c r="G2" s="384" t="s">
        <v>2729</v>
      </c>
      <c r="H2" s="384" t="s">
        <v>2730</v>
      </c>
      <c r="I2" s="385"/>
      <c r="J2" s="387" t="s">
        <v>2676</v>
      </c>
    </row>
    <row r="3" ht="15.75" customHeight="1">
      <c r="A3" s="388">
        <v>45630.0</v>
      </c>
      <c r="B3" s="384">
        <v>2.0</v>
      </c>
      <c r="C3" s="385" t="s">
        <v>2731</v>
      </c>
      <c r="D3" s="386" t="s">
        <v>2732</v>
      </c>
      <c r="E3" s="387" t="s">
        <v>2733</v>
      </c>
      <c r="F3" s="384" t="s">
        <v>2734</v>
      </c>
      <c r="G3" s="384" t="s">
        <v>2735</v>
      </c>
      <c r="H3" s="384" t="s">
        <v>2736</v>
      </c>
      <c r="I3" s="385" t="s">
        <v>2737</v>
      </c>
      <c r="J3" s="387" t="s">
        <v>2677</v>
      </c>
    </row>
    <row r="4" ht="15.75" customHeight="1">
      <c r="A4" s="388">
        <v>45630.0</v>
      </c>
      <c r="B4" s="384">
        <v>3.0</v>
      </c>
      <c r="C4" s="385" t="s">
        <v>2738</v>
      </c>
      <c r="D4" s="384">
        <v>8.5891291E8</v>
      </c>
      <c r="E4" s="387" t="s">
        <v>2739</v>
      </c>
      <c r="F4" s="384" t="s">
        <v>2740</v>
      </c>
      <c r="G4" s="384" t="s">
        <v>2729</v>
      </c>
      <c r="H4" s="384" t="s">
        <v>2741</v>
      </c>
      <c r="I4" s="385" t="s">
        <v>2737</v>
      </c>
      <c r="J4" s="387" t="s">
        <v>2742</v>
      </c>
    </row>
    <row r="5" ht="15.75" customHeight="1">
      <c r="A5" s="388">
        <v>45630.0</v>
      </c>
      <c r="B5" s="384">
        <v>4.0</v>
      </c>
      <c r="C5" s="385" t="s">
        <v>2743</v>
      </c>
      <c r="D5" s="384">
        <v>3.29888818E8</v>
      </c>
      <c r="E5" s="387" t="s">
        <v>2744</v>
      </c>
      <c r="F5" s="384" t="s">
        <v>2745</v>
      </c>
      <c r="G5" s="384" t="s">
        <v>2729</v>
      </c>
      <c r="H5" s="384" t="s">
        <v>2741</v>
      </c>
      <c r="I5" s="385" t="s">
        <v>2737</v>
      </c>
      <c r="J5" s="387" t="s">
        <v>2746</v>
      </c>
    </row>
    <row r="6" ht="15.75" customHeight="1">
      <c r="A6" s="388">
        <v>45631.0</v>
      </c>
      <c r="B6" s="384">
        <v>5.0</v>
      </c>
      <c r="C6" s="385" t="s">
        <v>2747</v>
      </c>
      <c r="D6" s="384">
        <v>9.48178186E8</v>
      </c>
      <c r="E6" s="387" t="s">
        <v>2748</v>
      </c>
      <c r="F6" s="384" t="s">
        <v>2740</v>
      </c>
      <c r="G6" s="384" t="s">
        <v>2735</v>
      </c>
      <c r="H6" s="384" t="s">
        <v>2736</v>
      </c>
      <c r="I6" s="385" t="s">
        <v>2737</v>
      </c>
      <c r="J6" s="387" t="s">
        <v>2665</v>
      </c>
    </row>
    <row r="7" ht="15.75" customHeight="1">
      <c r="A7" s="388">
        <v>45631.0</v>
      </c>
      <c r="B7" s="384">
        <v>6.0</v>
      </c>
      <c r="C7" s="385" t="s">
        <v>2749</v>
      </c>
      <c r="D7" s="384">
        <v>9.04441881E8</v>
      </c>
      <c r="E7" s="387" t="s">
        <v>2750</v>
      </c>
      <c r="F7" s="384" t="s">
        <v>2740</v>
      </c>
      <c r="G7" s="384" t="s">
        <v>2735</v>
      </c>
      <c r="H7" s="384" t="s">
        <v>2736</v>
      </c>
      <c r="I7" s="385" t="s">
        <v>2737</v>
      </c>
      <c r="J7" s="387" t="s">
        <v>2665</v>
      </c>
    </row>
    <row r="8" ht="15.75" customHeight="1">
      <c r="A8" s="388">
        <v>45631.0</v>
      </c>
      <c r="B8" s="384">
        <v>7.0</v>
      </c>
      <c r="C8" s="385" t="s">
        <v>2751</v>
      </c>
      <c r="D8" s="384">
        <v>9.18258828E8</v>
      </c>
      <c r="E8" s="387"/>
      <c r="F8" s="384"/>
      <c r="G8" s="384" t="s">
        <v>2735</v>
      </c>
      <c r="H8" s="384" t="s">
        <v>2736</v>
      </c>
      <c r="I8" s="385" t="s">
        <v>2752</v>
      </c>
      <c r="J8" s="389" t="s">
        <v>2668</v>
      </c>
    </row>
    <row r="9" ht="15.75" customHeight="1">
      <c r="A9" s="388">
        <v>45631.0</v>
      </c>
      <c r="B9" s="384">
        <v>8.0</v>
      </c>
      <c r="C9" s="385" t="s">
        <v>2753</v>
      </c>
      <c r="D9" s="384">
        <v>8.69316373E8</v>
      </c>
      <c r="E9" s="387" t="s">
        <v>2754</v>
      </c>
      <c r="F9" s="384" t="s">
        <v>2740</v>
      </c>
      <c r="G9" s="384" t="s">
        <v>2735</v>
      </c>
      <c r="H9" s="384" t="s">
        <v>2736</v>
      </c>
      <c r="I9" s="385" t="s">
        <v>2752</v>
      </c>
      <c r="J9" s="387" t="s">
        <v>2673</v>
      </c>
    </row>
    <row r="10" ht="15.75" customHeight="1">
      <c r="A10" s="388">
        <v>45632.0</v>
      </c>
      <c r="B10" s="384">
        <v>9.0</v>
      </c>
      <c r="C10" s="385" t="s">
        <v>2755</v>
      </c>
      <c r="D10" s="384">
        <v>9.74256493E8</v>
      </c>
      <c r="E10" s="390" t="s">
        <v>2756</v>
      </c>
      <c r="F10" s="384" t="s">
        <v>2757</v>
      </c>
      <c r="G10" s="384" t="s">
        <v>2729</v>
      </c>
      <c r="H10" s="384" t="s">
        <v>2758</v>
      </c>
      <c r="I10" s="385" t="s">
        <v>2737</v>
      </c>
      <c r="J10" s="389" t="s">
        <v>2668</v>
      </c>
    </row>
    <row r="11" ht="15.75" customHeight="1">
      <c r="A11" s="388">
        <v>45632.0</v>
      </c>
      <c r="B11" s="384">
        <v>10.0</v>
      </c>
      <c r="C11" s="385" t="s">
        <v>2759</v>
      </c>
      <c r="D11" s="381">
        <v>8.69565666E8</v>
      </c>
      <c r="E11" s="390" t="s">
        <v>2760</v>
      </c>
      <c r="F11" s="384" t="s">
        <v>2740</v>
      </c>
      <c r="G11" s="384" t="s">
        <v>2729</v>
      </c>
      <c r="H11" s="384" t="s">
        <v>2761</v>
      </c>
      <c r="I11" s="385" t="s">
        <v>2737</v>
      </c>
      <c r="J11" s="387" t="s">
        <v>2665</v>
      </c>
    </row>
    <row r="12" ht="15.75" customHeight="1">
      <c r="A12" s="388">
        <v>45632.0</v>
      </c>
      <c r="B12" s="384">
        <v>11.0</v>
      </c>
      <c r="C12" s="385" t="s">
        <v>2762</v>
      </c>
      <c r="D12" s="384">
        <v>9.71142347E8</v>
      </c>
      <c r="E12" s="387" t="s">
        <v>2763</v>
      </c>
      <c r="F12" s="384" t="s">
        <v>2681</v>
      </c>
      <c r="G12" s="384" t="s">
        <v>2764</v>
      </c>
      <c r="H12" s="384" t="s">
        <v>2758</v>
      </c>
      <c r="I12" s="385" t="s">
        <v>2737</v>
      </c>
      <c r="J12" s="387" t="s">
        <v>2682</v>
      </c>
    </row>
    <row r="13" ht="15.75" customHeight="1">
      <c r="A13" s="388">
        <v>45633.0</v>
      </c>
      <c r="B13" s="384">
        <v>12.0</v>
      </c>
      <c r="C13" s="385" t="s">
        <v>2765</v>
      </c>
      <c r="D13" s="384">
        <v>9.77978996E8</v>
      </c>
      <c r="E13" s="387" t="s">
        <v>2766</v>
      </c>
      <c r="F13" s="384" t="s">
        <v>2767</v>
      </c>
      <c r="G13" s="384" t="s">
        <v>2729</v>
      </c>
      <c r="H13" s="384" t="s">
        <v>2758</v>
      </c>
      <c r="I13" s="385" t="s">
        <v>2752</v>
      </c>
      <c r="J13" s="387" t="s">
        <v>2666</v>
      </c>
    </row>
    <row r="14" ht="15.75" customHeight="1">
      <c r="A14" s="388">
        <v>45633.0</v>
      </c>
      <c r="B14" s="384">
        <v>13.0</v>
      </c>
      <c r="C14" s="385" t="s">
        <v>2768</v>
      </c>
      <c r="D14" s="384">
        <v>9.84394066E8</v>
      </c>
      <c r="E14" s="387" t="s">
        <v>2769</v>
      </c>
      <c r="F14" s="384" t="s">
        <v>2681</v>
      </c>
      <c r="G14" s="384" t="s">
        <v>2764</v>
      </c>
      <c r="H14" s="384" t="s">
        <v>2758</v>
      </c>
      <c r="I14" s="385" t="s">
        <v>2737</v>
      </c>
      <c r="J14" s="387" t="s">
        <v>2683</v>
      </c>
    </row>
    <row r="15" ht="15.75" customHeight="1">
      <c r="A15" s="388">
        <v>45635.0</v>
      </c>
      <c r="B15" s="384">
        <v>14.0</v>
      </c>
      <c r="C15" s="385" t="s">
        <v>2770</v>
      </c>
      <c r="D15" s="384">
        <v>9.85292993E8</v>
      </c>
      <c r="E15" s="387" t="s">
        <v>2771</v>
      </c>
      <c r="F15" s="384" t="s">
        <v>2703</v>
      </c>
      <c r="G15" s="384" t="s">
        <v>2729</v>
      </c>
      <c r="H15" s="384" t="s">
        <v>2758</v>
      </c>
      <c r="I15" s="385" t="s">
        <v>2752</v>
      </c>
      <c r="J15" s="387" t="s">
        <v>2704</v>
      </c>
    </row>
    <row r="16" ht="15.75" customHeight="1">
      <c r="A16" s="388">
        <v>45636.0</v>
      </c>
      <c r="B16" s="384">
        <v>15.0</v>
      </c>
      <c r="C16" s="385" t="s">
        <v>2772</v>
      </c>
      <c r="D16" s="384">
        <v>3.26515019E8</v>
      </c>
      <c r="E16" s="387" t="s">
        <v>2773</v>
      </c>
      <c r="F16" s="384" t="s">
        <v>2664</v>
      </c>
      <c r="G16" s="384" t="s">
        <v>2729</v>
      </c>
      <c r="H16" s="384" t="s">
        <v>2741</v>
      </c>
      <c r="I16" s="385" t="s">
        <v>2737</v>
      </c>
      <c r="J16" s="387" t="s">
        <v>2666</v>
      </c>
    </row>
    <row r="17" ht="15.75" customHeight="1">
      <c r="A17" s="388">
        <v>45637.0</v>
      </c>
      <c r="B17" s="384">
        <v>16.0</v>
      </c>
      <c r="C17" s="385" t="s">
        <v>2774</v>
      </c>
      <c r="D17" s="384">
        <v>8.69941426E8</v>
      </c>
      <c r="E17" s="387" t="s">
        <v>2775</v>
      </c>
      <c r="F17" s="384" t="s">
        <v>2664</v>
      </c>
      <c r="G17" s="384" t="s">
        <v>2729</v>
      </c>
      <c r="H17" s="384" t="s">
        <v>2741</v>
      </c>
      <c r="I17" s="385" t="s">
        <v>2737</v>
      </c>
      <c r="J17" s="389" t="s">
        <v>2668</v>
      </c>
    </row>
    <row r="18" ht="15.75" customHeight="1">
      <c r="A18" s="391">
        <v>45637.0</v>
      </c>
      <c r="B18" s="384">
        <v>17.0</v>
      </c>
      <c r="C18" s="385" t="s">
        <v>2776</v>
      </c>
      <c r="D18" s="384">
        <v>9.63873883E8</v>
      </c>
      <c r="E18" s="387" t="s">
        <v>2777</v>
      </c>
      <c r="F18" s="384" t="s">
        <v>2664</v>
      </c>
      <c r="G18" s="384" t="s">
        <v>2729</v>
      </c>
      <c r="H18" s="384" t="s">
        <v>2778</v>
      </c>
      <c r="I18" s="385" t="s">
        <v>2737</v>
      </c>
      <c r="J18" s="387" t="s">
        <v>2670</v>
      </c>
    </row>
    <row r="19" ht="15.75" customHeight="1">
      <c r="A19" s="388">
        <v>45637.0</v>
      </c>
      <c r="B19" s="384">
        <v>18.0</v>
      </c>
      <c r="C19" s="385" t="s">
        <v>2481</v>
      </c>
      <c r="D19" s="381">
        <v>3.72995375E8</v>
      </c>
      <c r="E19" s="390" t="s">
        <v>2779</v>
      </c>
      <c r="F19" s="384" t="s">
        <v>2664</v>
      </c>
      <c r="G19" s="384" t="s">
        <v>2729</v>
      </c>
      <c r="H19" s="384" t="s">
        <v>2778</v>
      </c>
      <c r="I19" s="385" t="s">
        <v>2737</v>
      </c>
      <c r="J19" s="387" t="s">
        <v>2780</v>
      </c>
    </row>
    <row r="20" ht="15.75" customHeight="1">
      <c r="A20" s="391">
        <v>45637.0</v>
      </c>
      <c r="B20" s="384">
        <v>19.0</v>
      </c>
      <c r="C20" s="385" t="s">
        <v>2781</v>
      </c>
      <c r="D20" s="381">
        <v>9.64977017E8</v>
      </c>
      <c r="E20" s="392" t="s">
        <v>2782</v>
      </c>
      <c r="F20" s="384" t="s">
        <v>2664</v>
      </c>
      <c r="G20" s="384" t="s">
        <v>2729</v>
      </c>
      <c r="H20" s="384" t="s">
        <v>2778</v>
      </c>
      <c r="I20" s="385" t="s">
        <v>2737</v>
      </c>
      <c r="J20" s="387" t="s">
        <v>2677</v>
      </c>
    </row>
    <row r="21" ht="15.75" customHeight="1">
      <c r="A21" s="388">
        <v>45637.0</v>
      </c>
      <c r="B21" s="384">
        <v>20.0</v>
      </c>
      <c r="C21" s="385" t="s">
        <v>2783</v>
      </c>
      <c r="D21" s="384">
        <v>9.85123415E8</v>
      </c>
      <c r="E21" s="387" t="s">
        <v>2784</v>
      </c>
      <c r="F21" s="384" t="s">
        <v>2664</v>
      </c>
      <c r="G21" s="384" t="s">
        <v>2729</v>
      </c>
      <c r="H21" s="384" t="s">
        <v>2778</v>
      </c>
      <c r="I21" s="385" t="s">
        <v>2737</v>
      </c>
      <c r="J21" s="387" t="s">
        <v>2666</v>
      </c>
    </row>
    <row r="22" ht="15.75" customHeight="1">
      <c r="A22" s="391">
        <v>45637.0</v>
      </c>
      <c r="B22" s="384">
        <v>21.0</v>
      </c>
      <c r="C22" s="385" t="s">
        <v>2785</v>
      </c>
      <c r="D22" s="381">
        <v>9.89046096E8</v>
      </c>
      <c r="E22" s="387" t="s">
        <v>2786</v>
      </c>
      <c r="F22" s="384" t="s">
        <v>2664</v>
      </c>
      <c r="G22" s="384" t="s">
        <v>2787</v>
      </c>
      <c r="H22" s="384" t="s">
        <v>2788</v>
      </c>
      <c r="I22" s="385" t="s">
        <v>2737</v>
      </c>
      <c r="J22" s="387" t="s">
        <v>2672</v>
      </c>
    </row>
    <row r="23" ht="15.75" customHeight="1">
      <c r="A23" s="391">
        <v>45637.0</v>
      </c>
      <c r="B23" s="384">
        <v>22.0</v>
      </c>
      <c r="C23" s="385" t="s">
        <v>2642</v>
      </c>
      <c r="D23" s="384">
        <v>3.42629639E8</v>
      </c>
      <c r="E23" s="387" t="s">
        <v>2789</v>
      </c>
      <c r="F23" s="384" t="s">
        <v>2703</v>
      </c>
      <c r="G23" s="384" t="s">
        <v>2729</v>
      </c>
      <c r="H23" s="381"/>
      <c r="I23" s="385" t="s">
        <v>2790</v>
      </c>
      <c r="J23" s="387" t="s">
        <v>2705</v>
      </c>
    </row>
    <row r="24" ht="15.75" customHeight="1">
      <c r="A24" s="391">
        <v>45637.0</v>
      </c>
      <c r="B24" s="384">
        <v>23.0</v>
      </c>
      <c r="C24" s="385" t="s">
        <v>2791</v>
      </c>
      <c r="D24" s="384">
        <v>9.6598054E8</v>
      </c>
      <c r="E24" s="387"/>
      <c r="F24" s="384" t="s">
        <v>2664</v>
      </c>
      <c r="G24" s="384" t="s">
        <v>2729</v>
      </c>
      <c r="H24" s="384" t="s">
        <v>2741</v>
      </c>
      <c r="I24" s="385" t="s">
        <v>2737</v>
      </c>
      <c r="J24" s="389" t="s">
        <v>2668</v>
      </c>
    </row>
    <row r="25" ht="15.75" customHeight="1">
      <c r="A25" s="391">
        <v>45637.0</v>
      </c>
      <c r="B25" s="384">
        <v>24.0</v>
      </c>
      <c r="C25" s="393" t="s">
        <v>2792</v>
      </c>
      <c r="D25" s="394">
        <v>9.44517482E8</v>
      </c>
      <c r="E25" s="395" t="s">
        <v>2793</v>
      </c>
      <c r="F25" s="384" t="s">
        <v>2664</v>
      </c>
      <c r="G25" s="384" t="s">
        <v>2729</v>
      </c>
      <c r="H25" s="384" t="s">
        <v>2741</v>
      </c>
      <c r="I25" s="385" t="s">
        <v>2737</v>
      </c>
      <c r="J25" s="387" t="s">
        <v>2677</v>
      </c>
    </row>
    <row r="26" ht="15.75" customHeight="1">
      <c r="A26" s="391">
        <v>45638.0</v>
      </c>
      <c r="B26" s="384">
        <v>25.0</v>
      </c>
      <c r="C26" s="385" t="s">
        <v>2794</v>
      </c>
      <c r="D26" s="384">
        <v>3.3974747E8</v>
      </c>
      <c r="E26" s="387" t="s">
        <v>2795</v>
      </c>
      <c r="F26" s="384" t="s">
        <v>2664</v>
      </c>
      <c r="G26" s="384" t="s">
        <v>2729</v>
      </c>
      <c r="H26" s="384" t="s">
        <v>2741</v>
      </c>
      <c r="I26" s="385" t="s">
        <v>2737</v>
      </c>
      <c r="J26" s="387" t="s">
        <v>2796</v>
      </c>
    </row>
    <row r="27" ht="15.75" customHeight="1">
      <c r="A27" s="391">
        <v>45638.0</v>
      </c>
      <c r="B27" s="384">
        <v>26.0</v>
      </c>
      <c r="C27" s="385" t="s">
        <v>2797</v>
      </c>
      <c r="D27" s="384">
        <v>8.67610999E8</v>
      </c>
      <c r="E27" s="387" t="s">
        <v>2798</v>
      </c>
      <c r="F27" s="384" t="s">
        <v>2664</v>
      </c>
      <c r="G27" s="384" t="s">
        <v>2735</v>
      </c>
      <c r="H27" s="384" t="s">
        <v>2799</v>
      </c>
      <c r="I27" s="385" t="s">
        <v>2737</v>
      </c>
      <c r="J27" s="387" t="s">
        <v>2673</v>
      </c>
    </row>
    <row r="28" ht="15.75" customHeight="1">
      <c r="A28" s="396">
        <v>45638.0</v>
      </c>
      <c r="B28" s="397">
        <v>27.0</v>
      </c>
      <c r="C28" s="398" t="s">
        <v>2800</v>
      </c>
      <c r="D28" s="399" t="s">
        <v>2801</v>
      </c>
      <c r="E28" s="398" t="s">
        <v>2802</v>
      </c>
      <c r="F28" s="397" t="s">
        <v>2664</v>
      </c>
      <c r="G28" s="397" t="s">
        <v>2729</v>
      </c>
      <c r="H28" s="397" t="s">
        <v>2803</v>
      </c>
      <c r="I28" s="398" t="s">
        <v>2737</v>
      </c>
      <c r="J28" s="398" t="s">
        <v>2666</v>
      </c>
    </row>
    <row r="29" ht="15.75" customHeight="1">
      <c r="A29" s="396">
        <v>45639.0</v>
      </c>
      <c r="B29" s="397">
        <v>28.0</v>
      </c>
      <c r="C29" s="398" t="s">
        <v>2804</v>
      </c>
      <c r="D29" s="397">
        <v>9.71972528E8</v>
      </c>
      <c r="E29" s="398" t="s">
        <v>2805</v>
      </c>
      <c r="F29" s="397" t="s">
        <v>2703</v>
      </c>
      <c r="G29" s="397" t="s">
        <v>2729</v>
      </c>
      <c r="H29" s="397" t="s">
        <v>2761</v>
      </c>
      <c r="I29" s="398" t="s">
        <v>2806</v>
      </c>
      <c r="J29" s="398" t="s">
        <v>2807</v>
      </c>
    </row>
    <row r="30" ht="15.75" customHeight="1">
      <c r="A30" s="396">
        <v>45639.0</v>
      </c>
      <c r="B30" s="397">
        <v>29.0</v>
      </c>
      <c r="C30" s="398" t="s">
        <v>2808</v>
      </c>
      <c r="D30" s="397">
        <v>7.93396208E8</v>
      </c>
      <c r="E30" s="398" t="s">
        <v>2809</v>
      </c>
      <c r="F30" s="397" t="s">
        <v>2664</v>
      </c>
      <c r="G30" s="397" t="s">
        <v>2729</v>
      </c>
      <c r="H30" s="397" t="s">
        <v>2810</v>
      </c>
      <c r="I30" s="398" t="s">
        <v>2811</v>
      </c>
      <c r="J30" s="398" t="s">
        <v>2675</v>
      </c>
    </row>
    <row r="31" ht="15.75" customHeight="1">
      <c r="A31" s="396">
        <v>45639.0</v>
      </c>
      <c r="B31" s="397">
        <v>30.0</v>
      </c>
      <c r="C31" s="398" t="s">
        <v>2812</v>
      </c>
      <c r="D31" s="397">
        <v>3.76576201E8</v>
      </c>
      <c r="E31" s="398" t="s">
        <v>2813</v>
      </c>
      <c r="F31" s="397" t="s">
        <v>2664</v>
      </c>
      <c r="H31" s="397" t="s">
        <v>2814</v>
      </c>
      <c r="I31" s="398" t="s">
        <v>2815</v>
      </c>
      <c r="J31" s="398" t="s">
        <v>2677</v>
      </c>
    </row>
    <row r="32" ht="15.75" customHeight="1">
      <c r="A32" s="396">
        <v>45642.0</v>
      </c>
      <c r="B32" s="397">
        <v>31.0</v>
      </c>
      <c r="C32" s="398" t="s">
        <v>2816</v>
      </c>
      <c r="D32" s="397">
        <v>3.26569166E8</v>
      </c>
      <c r="E32" s="398" t="s">
        <v>2817</v>
      </c>
      <c r="F32" s="397" t="s">
        <v>2664</v>
      </c>
      <c r="G32" s="397" t="s">
        <v>2729</v>
      </c>
      <c r="H32" s="397" t="s">
        <v>2778</v>
      </c>
      <c r="I32" s="398" t="s">
        <v>2737</v>
      </c>
      <c r="J32" s="398" t="s">
        <v>2672</v>
      </c>
    </row>
    <row r="33" ht="15.75" customHeight="1">
      <c r="A33" s="396"/>
      <c r="B33" s="397">
        <v>32.0</v>
      </c>
      <c r="C33" s="398" t="s">
        <v>2818</v>
      </c>
      <c r="D33" s="397">
        <v>8.28423666E8</v>
      </c>
      <c r="E33" s="398" t="s">
        <v>2819</v>
      </c>
      <c r="F33" s="397" t="s">
        <v>2664</v>
      </c>
      <c r="G33" s="397" t="s">
        <v>2735</v>
      </c>
      <c r="H33" s="397" t="s">
        <v>2799</v>
      </c>
      <c r="I33" s="398" t="s">
        <v>2820</v>
      </c>
      <c r="J33" s="398" t="s">
        <v>404</v>
      </c>
    </row>
    <row r="34" ht="15.75" customHeight="1">
      <c r="A34" s="396">
        <v>45642.0</v>
      </c>
      <c r="B34" s="397">
        <v>33.0</v>
      </c>
      <c r="C34" s="398" t="s">
        <v>2821</v>
      </c>
      <c r="D34" s="397">
        <v>9.32308677E8</v>
      </c>
      <c r="E34" s="398" t="s">
        <v>2822</v>
      </c>
      <c r="F34" s="397" t="s">
        <v>2691</v>
      </c>
      <c r="G34" s="397" t="s">
        <v>2729</v>
      </c>
      <c r="H34" s="397" t="s">
        <v>2741</v>
      </c>
      <c r="I34" s="398" t="s">
        <v>2823</v>
      </c>
      <c r="J34" s="398" t="s">
        <v>2695</v>
      </c>
    </row>
    <row r="35" ht="15.75" customHeight="1">
      <c r="A35" s="396">
        <v>45642.0</v>
      </c>
      <c r="B35" s="397">
        <v>34.0</v>
      </c>
      <c r="C35" s="398" t="s">
        <v>2824</v>
      </c>
      <c r="D35" s="397">
        <v>9.66263269E8</v>
      </c>
      <c r="E35" s="398" t="s">
        <v>2825</v>
      </c>
      <c r="F35" s="397" t="s">
        <v>2664</v>
      </c>
      <c r="G35" s="397" t="s">
        <v>2729</v>
      </c>
      <c r="H35" s="397" t="s">
        <v>2778</v>
      </c>
      <c r="I35" s="398" t="s">
        <v>2737</v>
      </c>
      <c r="J35" s="398" t="s">
        <v>404</v>
      </c>
    </row>
    <row r="36" ht="15.75" customHeight="1">
      <c r="A36" s="396">
        <v>45642.0</v>
      </c>
      <c r="B36" s="397">
        <v>35.0</v>
      </c>
      <c r="C36" s="398" t="s">
        <v>2826</v>
      </c>
      <c r="D36" s="397">
        <v>9.46688386E8</v>
      </c>
      <c r="E36" s="398" t="s">
        <v>2827</v>
      </c>
      <c r="F36" s="397" t="s">
        <v>2664</v>
      </c>
      <c r="G36" s="397" t="s">
        <v>2729</v>
      </c>
      <c r="H36" s="397" t="s">
        <v>2778</v>
      </c>
      <c r="I36" s="398" t="s">
        <v>2737</v>
      </c>
      <c r="J36" s="398" t="s">
        <v>2828</v>
      </c>
    </row>
    <row r="37" ht="15.75" customHeight="1">
      <c r="A37" s="396">
        <v>45643.0</v>
      </c>
      <c r="B37" s="397">
        <v>36.0</v>
      </c>
      <c r="C37" s="398" t="s">
        <v>2829</v>
      </c>
      <c r="D37" s="397">
        <v>8.37261768E8</v>
      </c>
      <c r="E37" s="398" t="s">
        <v>2830</v>
      </c>
      <c r="F37" s="397" t="s">
        <v>2664</v>
      </c>
      <c r="G37" s="397" t="s">
        <v>2729</v>
      </c>
      <c r="H37" s="397" t="s">
        <v>2810</v>
      </c>
      <c r="I37" s="398" t="s">
        <v>2831</v>
      </c>
      <c r="J37" s="398" t="s">
        <v>2780</v>
      </c>
    </row>
    <row r="38" ht="15.75" customHeight="1">
      <c r="A38" s="396">
        <v>45643.0</v>
      </c>
      <c r="B38" s="397">
        <v>37.0</v>
      </c>
      <c r="C38" s="398" t="s">
        <v>2832</v>
      </c>
      <c r="D38" s="397">
        <v>9.73215583E8</v>
      </c>
      <c r="E38" s="398" t="s">
        <v>2833</v>
      </c>
      <c r="F38" s="397" t="s">
        <v>2664</v>
      </c>
      <c r="G38" s="397" t="s">
        <v>2735</v>
      </c>
      <c r="H38" s="397" t="s">
        <v>2799</v>
      </c>
      <c r="I38" s="398" t="s">
        <v>2737</v>
      </c>
      <c r="J38" s="398" t="s">
        <v>2667</v>
      </c>
    </row>
    <row r="39" ht="15.75" customHeight="1">
      <c r="A39" s="396">
        <v>45644.0</v>
      </c>
      <c r="B39" s="397">
        <v>38.0</v>
      </c>
      <c r="C39" s="398" t="s">
        <v>2834</v>
      </c>
      <c r="D39" s="397">
        <v>3.86299827E8</v>
      </c>
      <c r="E39" s="398" t="s">
        <v>2835</v>
      </c>
      <c r="F39" s="397" t="s">
        <v>2664</v>
      </c>
      <c r="G39" s="397" t="s">
        <v>2729</v>
      </c>
      <c r="H39" s="397" t="s">
        <v>2741</v>
      </c>
      <c r="I39" s="398" t="s">
        <v>2836</v>
      </c>
      <c r="J39" s="398" t="s">
        <v>2668</v>
      </c>
    </row>
    <row r="40" ht="15.75" customHeight="1">
      <c r="A40" s="396">
        <v>45645.0</v>
      </c>
      <c r="B40" s="397">
        <v>39.0</v>
      </c>
      <c r="C40" s="398" t="s">
        <v>2837</v>
      </c>
      <c r="D40" s="397">
        <v>9.48929669E8</v>
      </c>
      <c r="E40" s="398" t="s">
        <v>2838</v>
      </c>
      <c r="F40" s="397" t="s">
        <v>2681</v>
      </c>
      <c r="G40" s="397" t="s">
        <v>2764</v>
      </c>
      <c r="H40" s="397" t="s">
        <v>2758</v>
      </c>
      <c r="I40" s="398" t="s">
        <v>2820</v>
      </c>
      <c r="J40" s="398" t="s">
        <v>2686</v>
      </c>
    </row>
    <row r="41" ht="15.75" customHeight="1">
      <c r="A41" s="396">
        <v>45645.0</v>
      </c>
      <c r="B41" s="397">
        <v>40.0</v>
      </c>
      <c r="C41" s="398" t="s">
        <v>2839</v>
      </c>
      <c r="D41" s="397">
        <v>9.81883658E8</v>
      </c>
      <c r="E41" s="398" t="s">
        <v>2840</v>
      </c>
      <c r="F41" s="397" t="s">
        <v>2681</v>
      </c>
      <c r="G41" s="397" t="s">
        <v>2764</v>
      </c>
      <c r="H41" s="397" t="s">
        <v>2758</v>
      </c>
      <c r="I41" s="398" t="s">
        <v>2841</v>
      </c>
      <c r="J41" s="398" t="s">
        <v>2684</v>
      </c>
    </row>
    <row r="42" ht="15.75" customHeight="1">
      <c r="A42" s="396">
        <v>45645.0</v>
      </c>
      <c r="B42" s="397">
        <v>41.0</v>
      </c>
      <c r="C42" s="398" t="s">
        <v>2842</v>
      </c>
      <c r="D42" s="397">
        <v>9.75822128E8</v>
      </c>
      <c r="E42" s="398" t="s">
        <v>2843</v>
      </c>
      <c r="F42" s="397" t="s">
        <v>2681</v>
      </c>
      <c r="G42" s="397" t="s">
        <v>2764</v>
      </c>
      <c r="H42" s="397" t="s">
        <v>2758</v>
      </c>
      <c r="I42" s="398" t="s">
        <v>2841</v>
      </c>
      <c r="J42" s="398" t="s">
        <v>2844</v>
      </c>
    </row>
    <row r="43" ht="15.75" customHeight="1">
      <c r="A43" s="396">
        <v>45645.0</v>
      </c>
      <c r="B43" s="397">
        <v>42.0</v>
      </c>
      <c r="C43" s="398" t="s">
        <v>2845</v>
      </c>
      <c r="D43" s="397">
        <v>3.73906486E8</v>
      </c>
      <c r="E43" s="398" t="s">
        <v>2846</v>
      </c>
      <c r="F43" s="397" t="s">
        <v>2664</v>
      </c>
      <c r="G43" s="397" t="s">
        <v>2729</v>
      </c>
      <c r="H43" s="397" t="s">
        <v>2778</v>
      </c>
      <c r="I43" s="398" t="s">
        <v>2847</v>
      </c>
      <c r="J43" s="398" t="s">
        <v>404</v>
      </c>
    </row>
    <row r="44" ht="15.75" customHeight="1">
      <c r="A44" s="396">
        <v>45645.0</v>
      </c>
      <c r="B44" s="397">
        <v>43.0</v>
      </c>
      <c r="C44" s="398" t="s">
        <v>2848</v>
      </c>
      <c r="D44" s="397">
        <v>9.32378998E8</v>
      </c>
      <c r="E44" s="398" t="s">
        <v>2849</v>
      </c>
      <c r="F44" s="397" t="s">
        <v>2664</v>
      </c>
      <c r="G44" s="397" t="s">
        <v>2735</v>
      </c>
      <c r="H44" s="397" t="s">
        <v>2799</v>
      </c>
      <c r="I44" s="398" t="s">
        <v>2737</v>
      </c>
      <c r="J44" s="398" t="s">
        <v>404</v>
      </c>
    </row>
    <row r="45" ht="15.75" customHeight="1">
      <c r="A45" s="396">
        <v>45646.0</v>
      </c>
      <c r="B45" s="397">
        <v>44.0</v>
      </c>
      <c r="C45" s="398" t="s">
        <v>2850</v>
      </c>
      <c r="D45" s="397">
        <v>9.73313524E8</v>
      </c>
      <c r="E45" s="398" t="s">
        <v>2851</v>
      </c>
      <c r="F45" s="397" t="s">
        <v>2664</v>
      </c>
      <c r="G45" s="397" t="s">
        <v>2735</v>
      </c>
      <c r="H45" s="397" t="s">
        <v>2799</v>
      </c>
      <c r="I45" s="398" t="s">
        <v>2737</v>
      </c>
      <c r="J45" s="398" t="s">
        <v>2677</v>
      </c>
    </row>
    <row r="46" ht="15.75" customHeight="1">
      <c r="A46" s="396">
        <v>45646.0</v>
      </c>
      <c r="B46" s="397">
        <v>45.0</v>
      </c>
      <c r="C46" s="398" t="s">
        <v>2852</v>
      </c>
      <c r="D46" s="397">
        <v>3.94821158E8</v>
      </c>
      <c r="E46" s="398" t="s">
        <v>2853</v>
      </c>
      <c r="F46" s="397" t="s">
        <v>2664</v>
      </c>
      <c r="G46" s="397" t="s">
        <v>2735</v>
      </c>
      <c r="H46" s="397" t="s">
        <v>2799</v>
      </c>
      <c r="I46" s="398" t="s">
        <v>2737</v>
      </c>
      <c r="J46" s="398" t="s">
        <v>2666</v>
      </c>
    </row>
    <row r="47" ht="15.75" customHeight="1">
      <c r="A47" s="396">
        <v>45649.0</v>
      </c>
      <c r="B47" s="397">
        <v>46.0</v>
      </c>
      <c r="C47" s="398" t="s">
        <v>2854</v>
      </c>
      <c r="D47" s="397">
        <v>9.0739242E8</v>
      </c>
      <c r="E47" s="398" t="s">
        <v>2855</v>
      </c>
      <c r="F47" s="397" t="s">
        <v>2703</v>
      </c>
      <c r="G47" s="397" t="s">
        <v>2729</v>
      </c>
      <c r="H47" s="397" t="s">
        <v>2814</v>
      </c>
      <c r="I47" s="398" t="s">
        <v>2806</v>
      </c>
      <c r="J47" s="398" t="s">
        <v>2708</v>
      </c>
    </row>
    <row r="48" ht="15.75" customHeight="1">
      <c r="A48" s="396">
        <v>45649.0</v>
      </c>
      <c r="B48" s="397">
        <v>47.0</v>
      </c>
      <c r="C48" s="398" t="s">
        <v>2856</v>
      </c>
      <c r="D48" s="397">
        <v>8.55641655E8</v>
      </c>
      <c r="E48" s="398" t="s">
        <v>2857</v>
      </c>
      <c r="F48" s="397" t="s">
        <v>2664</v>
      </c>
      <c r="G48" s="397" t="s">
        <v>2729</v>
      </c>
      <c r="H48" s="397" t="s">
        <v>2814</v>
      </c>
      <c r="I48" s="398" t="s">
        <v>2806</v>
      </c>
      <c r="J48" s="398" t="s">
        <v>2780</v>
      </c>
    </row>
    <row r="49" ht="15.75" customHeight="1">
      <c r="A49" s="396">
        <v>45649.0</v>
      </c>
      <c r="B49" s="397">
        <v>48.0</v>
      </c>
      <c r="C49" s="398" t="s">
        <v>2858</v>
      </c>
      <c r="D49" s="397">
        <v>3.73732289E8</v>
      </c>
      <c r="E49" s="398" t="s">
        <v>2859</v>
      </c>
      <c r="F49" s="397" t="s">
        <v>2664</v>
      </c>
      <c r="G49" s="397" t="s">
        <v>2729</v>
      </c>
      <c r="H49" s="397" t="s">
        <v>2814</v>
      </c>
      <c r="I49" s="398" t="s">
        <v>2806</v>
      </c>
      <c r="J49" s="398" t="s">
        <v>2860</v>
      </c>
    </row>
    <row r="50" ht="15.75" customHeight="1">
      <c r="A50" s="396">
        <v>45649.0</v>
      </c>
      <c r="B50" s="397">
        <v>49.0</v>
      </c>
      <c r="C50" s="398" t="s">
        <v>2861</v>
      </c>
      <c r="D50" s="397">
        <v>9.32725369E8</v>
      </c>
      <c r="E50" s="398" t="s">
        <v>2862</v>
      </c>
      <c r="F50" s="397" t="s">
        <v>2703</v>
      </c>
      <c r="G50" s="397" t="s">
        <v>2729</v>
      </c>
      <c r="H50" s="397" t="s">
        <v>2814</v>
      </c>
      <c r="I50" s="398" t="s">
        <v>2806</v>
      </c>
      <c r="J50" s="398" t="s">
        <v>2706</v>
      </c>
    </row>
    <row r="51" ht="15.75" customHeight="1">
      <c r="A51" s="396">
        <v>45649.0</v>
      </c>
      <c r="B51" s="397">
        <v>50.0</v>
      </c>
      <c r="C51" s="398" t="s">
        <v>2863</v>
      </c>
      <c r="D51" s="397">
        <v>9.87335649E8</v>
      </c>
      <c r="E51" s="398" t="s">
        <v>2864</v>
      </c>
      <c r="F51" s="397" t="s">
        <v>2664</v>
      </c>
      <c r="G51" s="397" t="s">
        <v>2729</v>
      </c>
      <c r="H51" s="397" t="s">
        <v>2814</v>
      </c>
      <c r="I51" s="398" t="s">
        <v>2806</v>
      </c>
      <c r="J51" s="398" t="s">
        <v>2673</v>
      </c>
    </row>
    <row r="52" ht="15.75" customHeight="1">
      <c r="A52" s="396">
        <v>45649.0</v>
      </c>
      <c r="B52" s="397">
        <v>51.0</v>
      </c>
      <c r="C52" s="398" t="s">
        <v>2865</v>
      </c>
      <c r="D52" s="397">
        <v>8.69996329E8</v>
      </c>
      <c r="E52" s="398" t="s">
        <v>2866</v>
      </c>
      <c r="F52" s="397" t="s">
        <v>2703</v>
      </c>
      <c r="G52" s="397" t="s">
        <v>2729</v>
      </c>
      <c r="H52" s="397" t="s">
        <v>2814</v>
      </c>
      <c r="I52" s="398" t="s">
        <v>2806</v>
      </c>
      <c r="J52" s="398" t="s">
        <v>2076</v>
      </c>
    </row>
    <row r="53" ht="15.75" customHeight="1">
      <c r="A53" s="396">
        <v>45649.0</v>
      </c>
      <c r="B53" s="397">
        <v>52.0</v>
      </c>
      <c r="C53" s="398" t="s">
        <v>2867</v>
      </c>
      <c r="D53" s="397">
        <v>8.67022094E8</v>
      </c>
      <c r="E53" s="398" t="s">
        <v>2868</v>
      </c>
      <c r="F53" s="397" t="s">
        <v>2703</v>
      </c>
      <c r="G53" s="397" t="s">
        <v>2729</v>
      </c>
      <c r="H53" s="397" t="s">
        <v>2814</v>
      </c>
      <c r="I53" s="398" t="s">
        <v>2806</v>
      </c>
      <c r="J53" s="398" t="s">
        <v>1670</v>
      </c>
    </row>
    <row r="54" ht="15.75" customHeight="1">
      <c r="A54" s="391">
        <v>45650.0</v>
      </c>
      <c r="B54" s="397">
        <v>53.0</v>
      </c>
      <c r="C54" s="385" t="s">
        <v>2869</v>
      </c>
      <c r="D54" s="384">
        <v>7.86010011E8</v>
      </c>
      <c r="E54" s="387" t="s">
        <v>2870</v>
      </c>
      <c r="F54" s="384" t="s">
        <v>2681</v>
      </c>
      <c r="G54" s="384" t="s">
        <v>2764</v>
      </c>
      <c r="H54" s="384" t="s">
        <v>2758</v>
      </c>
      <c r="I54" s="385" t="s">
        <v>2841</v>
      </c>
      <c r="J54" s="387" t="s">
        <v>2871</v>
      </c>
    </row>
    <row r="55" ht="15.75" customHeight="1">
      <c r="A55" s="391">
        <v>45650.0</v>
      </c>
      <c r="B55" s="397">
        <v>54.0</v>
      </c>
      <c r="C55" s="385" t="s">
        <v>2872</v>
      </c>
      <c r="D55" s="384">
        <v>9.43611636E8</v>
      </c>
      <c r="E55" s="363" t="s">
        <v>2873</v>
      </c>
      <c r="F55" s="384" t="s">
        <v>2681</v>
      </c>
      <c r="G55" s="384" t="s">
        <v>2764</v>
      </c>
      <c r="H55" s="384" t="s">
        <v>2758</v>
      </c>
      <c r="I55" s="385" t="s">
        <v>2841</v>
      </c>
      <c r="J55" s="387" t="s">
        <v>2844</v>
      </c>
    </row>
    <row r="56" ht="15.75" customHeight="1">
      <c r="A56" s="391">
        <v>45650.0</v>
      </c>
      <c r="B56" s="397">
        <v>55.0</v>
      </c>
      <c r="C56" s="385" t="s">
        <v>2874</v>
      </c>
      <c r="D56" s="384">
        <v>9.33271417E8</v>
      </c>
      <c r="E56" s="387" t="s">
        <v>2875</v>
      </c>
      <c r="F56" s="384" t="s">
        <v>2703</v>
      </c>
      <c r="G56" s="384" t="s">
        <v>2729</v>
      </c>
      <c r="H56" s="384" t="s">
        <v>2758</v>
      </c>
      <c r="I56" s="385" t="s">
        <v>2841</v>
      </c>
      <c r="J56" s="387" t="s">
        <v>2707</v>
      </c>
    </row>
    <row r="57" ht="15.75" customHeight="1">
      <c r="A57" s="391">
        <v>45651.0</v>
      </c>
      <c r="B57" s="397">
        <v>56.0</v>
      </c>
      <c r="C57" s="385" t="s">
        <v>2876</v>
      </c>
      <c r="D57" s="381">
        <v>9.73190956E8</v>
      </c>
      <c r="E57" s="363" t="s">
        <v>2877</v>
      </c>
      <c r="F57" s="384" t="s">
        <v>2703</v>
      </c>
      <c r="G57" s="384" t="s">
        <v>2878</v>
      </c>
      <c r="H57" s="384" t="s">
        <v>2803</v>
      </c>
      <c r="I57" s="385" t="s">
        <v>2841</v>
      </c>
      <c r="J57" s="387" t="s">
        <v>2713</v>
      </c>
    </row>
    <row r="58" ht="15.75" customHeight="1">
      <c r="A58" s="391">
        <v>45651.0</v>
      </c>
      <c r="B58" s="397">
        <v>57.0</v>
      </c>
      <c r="C58" s="385" t="s">
        <v>2879</v>
      </c>
      <c r="D58" s="384">
        <v>9.84879229E8</v>
      </c>
      <c r="E58" s="387" t="s">
        <v>2880</v>
      </c>
      <c r="F58" s="397" t="s">
        <v>2664</v>
      </c>
      <c r="G58" s="397" t="s">
        <v>2735</v>
      </c>
      <c r="H58" s="397" t="s">
        <v>2799</v>
      </c>
      <c r="I58" s="398" t="s">
        <v>2737</v>
      </c>
      <c r="J58" s="387" t="s">
        <v>2666</v>
      </c>
    </row>
    <row r="59" ht="15.75" customHeight="1">
      <c r="A59" s="391">
        <v>45652.0</v>
      </c>
      <c r="B59" s="397">
        <v>58.0</v>
      </c>
      <c r="C59" s="385" t="s">
        <v>2881</v>
      </c>
      <c r="D59" s="385">
        <v>9.74045375E8</v>
      </c>
      <c r="E59" s="387" t="s">
        <v>2882</v>
      </c>
      <c r="F59" s="384" t="s">
        <v>2883</v>
      </c>
      <c r="G59" s="384" t="s">
        <v>2787</v>
      </c>
      <c r="H59" s="384" t="s">
        <v>2884</v>
      </c>
      <c r="I59" s="385" t="s">
        <v>2737</v>
      </c>
      <c r="J59" s="387" t="s">
        <v>2708</v>
      </c>
    </row>
    <row r="60" ht="15.75" customHeight="1">
      <c r="A60" s="391">
        <v>45652.0</v>
      </c>
      <c r="B60" s="397">
        <v>59.0</v>
      </c>
      <c r="C60" s="385" t="s">
        <v>2885</v>
      </c>
      <c r="D60" s="385">
        <v>9.76648695E8</v>
      </c>
      <c r="E60" s="387" t="s">
        <v>2886</v>
      </c>
      <c r="F60" s="384" t="s">
        <v>2664</v>
      </c>
      <c r="G60" s="397" t="s">
        <v>2735</v>
      </c>
      <c r="H60" s="397" t="s">
        <v>2799</v>
      </c>
      <c r="I60" s="385" t="s">
        <v>2737</v>
      </c>
      <c r="J60" s="387" t="s">
        <v>2665</v>
      </c>
    </row>
    <row r="61" ht="15.75" customHeight="1">
      <c r="A61" s="391">
        <v>45652.0</v>
      </c>
      <c r="B61" s="397">
        <v>60.0</v>
      </c>
      <c r="C61" s="385" t="s">
        <v>2887</v>
      </c>
      <c r="D61" s="385">
        <v>9.09804038E8</v>
      </c>
      <c r="E61" s="387" t="s">
        <v>2888</v>
      </c>
      <c r="F61" s="385" t="s">
        <v>2664</v>
      </c>
      <c r="G61" s="385" t="s">
        <v>2889</v>
      </c>
      <c r="H61" s="384" t="s">
        <v>2810</v>
      </c>
      <c r="I61" s="385" t="s">
        <v>2890</v>
      </c>
      <c r="J61" s="387" t="s">
        <v>2668</v>
      </c>
    </row>
    <row r="62" ht="15.75" customHeight="1">
      <c r="A62" s="391">
        <v>45652.0</v>
      </c>
      <c r="B62" s="397">
        <v>61.0</v>
      </c>
      <c r="C62" s="385" t="s">
        <v>2891</v>
      </c>
      <c r="D62" s="385">
        <v>3.89250416E8</v>
      </c>
      <c r="E62" s="387" t="s">
        <v>2892</v>
      </c>
      <c r="F62" s="385" t="s">
        <v>2664</v>
      </c>
      <c r="G62" s="385" t="s">
        <v>2889</v>
      </c>
      <c r="H62" s="384" t="s">
        <v>2810</v>
      </c>
      <c r="I62" s="385" t="s">
        <v>2893</v>
      </c>
      <c r="J62" s="387" t="s">
        <v>2675</v>
      </c>
    </row>
    <row r="63" ht="15.75" customHeight="1">
      <c r="A63" s="400">
        <v>45653.0</v>
      </c>
      <c r="B63" s="397">
        <v>62.0</v>
      </c>
      <c r="C63" s="385" t="s">
        <v>2894</v>
      </c>
      <c r="D63" s="385">
        <v>9.68523839E8</v>
      </c>
      <c r="E63" s="387" t="s">
        <v>2895</v>
      </c>
      <c r="F63" s="385" t="s">
        <v>2681</v>
      </c>
      <c r="G63" s="385" t="s">
        <v>2764</v>
      </c>
      <c r="H63" s="384" t="s">
        <v>2758</v>
      </c>
      <c r="I63" s="385" t="s">
        <v>2896</v>
      </c>
      <c r="J63" s="387" t="s">
        <v>2897</v>
      </c>
    </row>
    <row r="64" ht="15.75" customHeight="1">
      <c r="A64" s="400">
        <v>45654.0</v>
      </c>
      <c r="B64" s="397">
        <v>63.0</v>
      </c>
      <c r="C64" s="401" t="s">
        <v>2898</v>
      </c>
      <c r="D64" s="401">
        <v>3.267803E8</v>
      </c>
      <c r="E64" s="387" t="s">
        <v>2899</v>
      </c>
      <c r="F64" s="385" t="s">
        <v>2664</v>
      </c>
      <c r="G64" s="385" t="s">
        <v>2900</v>
      </c>
      <c r="H64" s="384" t="s">
        <v>2901</v>
      </c>
      <c r="I64" s="385" t="s">
        <v>2737</v>
      </c>
      <c r="J64" s="387" t="s">
        <v>2670</v>
      </c>
    </row>
    <row r="65" ht="15.75" customHeight="1">
      <c r="A65" s="400">
        <v>45656.0</v>
      </c>
      <c r="B65" s="397">
        <v>64.0</v>
      </c>
      <c r="C65" s="385" t="s">
        <v>2902</v>
      </c>
      <c r="D65" s="385">
        <v>9.7938582E8</v>
      </c>
      <c r="E65" s="387" t="s">
        <v>2903</v>
      </c>
      <c r="F65" s="385" t="s">
        <v>2681</v>
      </c>
      <c r="G65" s="385" t="s">
        <v>2764</v>
      </c>
      <c r="H65" s="384" t="s">
        <v>2758</v>
      </c>
      <c r="I65" s="385" t="s">
        <v>2737</v>
      </c>
      <c r="J65" s="387" t="s">
        <v>2871</v>
      </c>
    </row>
    <row r="66" ht="15.75" customHeight="1">
      <c r="A66" s="400">
        <v>45657.0</v>
      </c>
      <c r="B66" s="397">
        <v>65.0</v>
      </c>
      <c r="C66" s="385" t="s">
        <v>2904</v>
      </c>
      <c r="D66" s="401">
        <v>9.12526526E8</v>
      </c>
      <c r="E66" s="387" t="s">
        <v>2905</v>
      </c>
      <c r="F66" s="385" t="s">
        <v>2664</v>
      </c>
      <c r="G66" s="385" t="s">
        <v>2729</v>
      </c>
      <c r="H66" s="384" t="s">
        <v>2810</v>
      </c>
      <c r="I66" s="385" t="s">
        <v>2906</v>
      </c>
      <c r="J66" s="387" t="s">
        <v>2828</v>
      </c>
    </row>
    <row r="67" ht="15.75" customHeight="1">
      <c r="A67" s="400">
        <v>45657.0</v>
      </c>
      <c r="B67" s="397">
        <v>66.0</v>
      </c>
      <c r="C67" s="385" t="s">
        <v>2907</v>
      </c>
      <c r="D67" s="385">
        <v>9.8238505E8</v>
      </c>
      <c r="E67" s="387" t="s">
        <v>2908</v>
      </c>
      <c r="F67" s="385" t="s">
        <v>2664</v>
      </c>
      <c r="G67" s="385" t="s">
        <v>2729</v>
      </c>
      <c r="H67" s="384" t="s">
        <v>2810</v>
      </c>
      <c r="I67" s="385" t="s">
        <v>2906</v>
      </c>
      <c r="J67" s="387" t="s">
        <v>2671</v>
      </c>
    </row>
    <row r="68" ht="15.75" customHeight="1">
      <c r="A68" s="400">
        <v>45657.0</v>
      </c>
      <c r="B68" s="397">
        <v>67.0</v>
      </c>
      <c r="C68" s="385" t="s">
        <v>2909</v>
      </c>
      <c r="D68" s="402">
        <v>9.7260496E8</v>
      </c>
      <c r="E68" s="263" t="s">
        <v>2910</v>
      </c>
      <c r="F68" s="385" t="s">
        <v>2687</v>
      </c>
      <c r="G68" s="385" t="s">
        <v>2729</v>
      </c>
      <c r="H68" s="384" t="s">
        <v>2803</v>
      </c>
      <c r="I68" s="385" t="s">
        <v>2911</v>
      </c>
      <c r="J68" s="387" t="s">
        <v>2688</v>
      </c>
    </row>
    <row r="69" ht="15.75" customHeight="1">
      <c r="A69" s="385"/>
      <c r="B69" s="397">
        <v>68.0</v>
      </c>
      <c r="C69" s="385"/>
      <c r="D69" s="385"/>
      <c r="E69" s="387"/>
      <c r="F69" s="385"/>
      <c r="G69" s="385"/>
      <c r="H69" s="384"/>
      <c r="I69" s="385"/>
      <c r="J69" s="387"/>
    </row>
    <row r="70" ht="15.75" customHeight="1">
      <c r="A70" s="385"/>
      <c r="B70" s="397">
        <v>69.0</v>
      </c>
      <c r="C70" s="385"/>
      <c r="D70" s="385"/>
      <c r="E70" s="387"/>
      <c r="F70" s="385"/>
      <c r="G70" s="385"/>
      <c r="H70" s="384"/>
      <c r="I70" s="385"/>
      <c r="J70" s="387"/>
    </row>
    <row r="71" ht="15.75" customHeight="1">
      <c r="E71" s="403"/>
      <c r="H71" s="381"/>
      <c r="J71" s="403"/>
    </row>
    <row r="72" ht="15.75" customHeight="1">
      <c r="E72" s="403"/>
      <c r="H72" s="381"/>
      <c r="J72" s="403"/>
    </row>
    <row r="73" ht="15.75" customHeight="1">
      <c r="E73" s="403"/>
      <c r="H73" s="381"/>
      <c r="J73" s="403"/>
    </row>
    <row r="74" ht="15.75" customHeight="1">
      <c r="E74" s="403"/>
      <c r="H74" s="381"/>
      <c r="J74" s="403"/>
    </row>
    <row r="75" ht="15.75" customHeight="1">
      <c r="E75" s="403"/>
      <c r="H75" s="381"/>
      <c r="J75" s="403"/>
    </row>
    <row r="76" ht="15.75" customHeight="1">
      <c r="E76" s="403"/>
      <c r="H76" s="381"/>
      <c r="J76" s="403"/>
    </row>
    <row r="77" ht="15.75" customHeight="1">
      <c r="E77" s="403"/>
      <c r="H77" s="381"/>
      <c r="J77" s="403"/>
    </row>
    <row r="78" ht="15.75" customHeight="1">
      <c r="E78" s="403"/>
      <c r="H78" s="381"/>
      <c r="J78" s="403"/>
    </row>
    <row r="79" ht="15.75" customHeight="1">
      <c r="E79" s="403"/>
      <c r="H79" s="381"/>
      <c r="J79" s="403"/>
    </row>
    <row r="80" ht="15.75" customHeight="1">
      <c r="E80" s="403"/>
      <c r="H80" s="381"/>
      <c r="J80" s="403"/>
    </row>
    <row r="81" ht="15.75" customHeight="1">
      <c r="E81" s="403"/>
      <c r="H81" s="381"/>
      <c r="J81" s="403"/>
    </row>
    <row r="82" ht="15.75" customHeight="1">
      <c r="E82" s="403"/>
      <c r="H82" s="381"/>
      <c r="J82" s="403"/>
    </row>
    <row r="83" ht="15.75" customHeight="1">
      <c r="E83" s="403"/>
      <c r="H83" s="381"/>
      <c r="J83" s="403"/>
    </row>
    <row r="84" ht="15.75" customHeight="1">
      <c r="E84" s="403"/>
      <c r="H84" s="381"/>
      <c r="J84" s="403"/>
    </row>
    <row r="85" ht="15.75" customHeight="1">
      <c r="E85" s="403"/>
      <c r="H85" s="381"/>
      <c r="J85" s="403"/>
    </row>
    <row r="86" ht="15.75" customHeight="1">
      <c r="E86" s="403"/>
      <c r="H86" s="381"/>
      <c r="J86" s="403"/>
    </row>
    <row r="87" ht="15.75" customHeight="1">
      <c r="E87" s="403"/>
      <c r="H87" s="381"/>
      <c r="J87" s="403"/>
    </row>
    <row r="88" ht="15.75" customHeight="1">
      <c r="E88" s="403"/>
      <c r="H88" s="381"/>
      <c r="J88" s="403"/>
    </row>
    <row r="89" ht="15.75" customHeight="1">
      <c r="E89" s="403"/>
      <c r="H89" s="381"/>
      <c r="J89" s="403"/>
    </row>
    <row r="90" ht="15.75" customHeight="1">
      <c r="E90" s="403"/>
      <c r="H90" s="381"/>
      <c r="J90" s="403"/>
    </row>
    <row r="91" ht="15.75" customHeight="1">
      <c r="E91" s="403"/>
      <c r="H91" s="381"/>
      <c r="J91" s="403"/>
    </row>
    <row r="92" ht="15.75" customHeight="1">
      <c r="E92" s="403"/>
      <c r="H92" s="381"/>
      <c r="J92" s="403"/>
    </row>
    <row r="93" ht="15.75" customHeight="1">
      <c r="E93" s="403"/>
      <c r="H93" s="381"/>
      <c r="J93" s="403"/>
    </row>
    <row r="94" ht="15.75" customHeight="1">
      <c r="E94" s="403"/>
      <c r="H94" s="381"/>
      <c r="J94" s="403"/>
    </row>
    <row r="95" ht="15.75" customHeight="1">
      <c r="E95" s="403"/>
      <c r="H95" s="381"/>
      <c r="J95" s="403"/>
    </row>
    <row r="96" ht="15.75" customHeight="1">
      <c r="E96" s="403"/>
      <c r="H96" s="381"/>
      <c r="J96" s="403"/>
    </row>
    <row r="97" ht="15.75" customHeight="1">
      <c r="E97" s="403"/>
      <c r="H97" s="381"/>
      <c r="J97" s="403"/>
    </row>
    <row r="98" ht="15.75" customHeight="1">
      <c r="E98" s="403"/>
      <c r="H98" s="381"/>
      <c r="J98" s="403"/>
    </row>
    <row r="99" ht="15.75" customHeight="1">
      <c r="E99" s="403"/>
      <c r="H99" s="381"/>
      <c r="J99" s="403"/>
    </row>
    <row r="100" ht="15.75" customHeight="1">
      <c r="E100" s="403"/>
      <c r="H100" s="381"/>
      <c r="J100" s="403"/>
    </row>
    <row r="101" ht="15.75" customHeight="1">
      <c r="E101" s="403"/>
      <c r="H101" s="381"/>
      <c r="J101" s="403"/>
    </row>
    <row r="102" ht="15.75" customHeight="1">
      <c r="E102" s="403"/>
      <c r="H102" s="381"/>
      <c r="J102" s="403"/>
    </row>
    <row r="103" ht="15.75" customHeight="1">
      <c r="E103" s="403"/>
      <c r="H103" s="381"/>
      <c r="J103" s="403"/>
    </row>
    <row r="104" ht="15.75" customHeight="1">
      <c r="E104" s="403"/>
      <c r="H104" s="381"/>
      <c r="J104" s="403"/>
    </row>
    <row r="105" ht="15.75" customHeight="1">
      <c r="E105" s="403"/>
      <c r="H105" s="381"/>
      <c r="J105" s="403"/>
    </row>
    <row r="106" ht="15.75" customHeight="1">
      <c r="E106" s="403"/>
      <c r="H106" s="381"/>
      <c r="J106" s="403"/>
    </row>
    <row r="107" ht="15.75" customHeight="1">
      <c r="E107" s="403"/>
      <c r="H107" s="381"/>
      <c r="J107" s="403"/>
    </row>
    <row r="108" ht="15.75" customHeight="1">
      <c r="E108" s="403"/>
      <c r="H108" s="381"/>
      <c r="J108" s="403"/>
    </row>
    <row r="109" ht="15.75" customHeight="1">
      <c r="E109" s="403"/>
      <c r="H109" s="381"/>
      <c r="J109" s="403"/>
    </row>
    <row r="110" ht="15.75" customHeight="1">
      <c r="E110" s="403"/>
      <c r="H110" s="381"/>
      <c r="J110" s="403"/>
    </row>
    <row r="111" ht="15.75" customHeight="1">
      <c r="E111" s="403"/>
      <c r="H111" s="381"/>
      <c r="J111" s="403"/>
    </row>
    <row r="112" ht="15.75" customHeight="1">
      <c r="E112" s="403"/>
      <c r="H112" s="381"/>
      <c r="J112" s="403"/>
    </row>
    <row r="113" ht="15.75" customHeight="1">
      <c r="E113" s="403"/>
      <c r="H113" s="381"/>
      <c r="J113" s="403"/>
    </row>
    <row r="114" ht="15.75" customHeight="1">
      <c r="E114" s="403"/>
      <c r="H114" s="381"/>
      <c r="J114" s="403"/>
    </row>
    <row r="115" ht="15.75" customHeight="1">
      <c r="E115" s="403"/>
      <c r="H115" s="381"/>
      <c r="J115" s="403"/>
    </row>
    <row r="116" ht="15.75" customHeight="1">
      <c r="E116" s="403"/>
      <c r="H116" s="381"/>
      <c r="J116" s="403"/>
    </row>
    <row r="117" ht="15.75" customHeight="1">
      <c r="E117" s="403"/>
      <c r="H117" s="381"/>
      <c r="J117" s="403"/>
    </row>
    <row r="118" ht="15.75" customHeight="1">
      <c r="E118" s="403"/>
      <c r="H118" s="381"/>
      <c r="J118" s="403"/>
    </row>
    <row r="119" ht="15.75" customHeight="1">
      <c r="E119" s="403"/>
      <c r="H119" s="381"/>
      <c r="J119" s="403"/>
    </row>
    <row r="120" ht="15.75" customHeight="1">
      <c r="E120" s="403"/>
      <c r="H120" s="381"/>
      <c r="J120" s="403"/>
    </row>
    <row r="121" ht="15.75" customHeight="1">
      <c r="E121" s="403"/>
      <c r="H121" s="381"/>
      <c r="J121" s="403"/>
    </row>
    <row r="122" ht="15.75" customHeight="1">
      <c r="E122" s="403"/>
      <c r="H122" s="381"/>
      <c r="J122" s="403"/>
    </row>
    <row r="123" ht="15.75" customHeight="1">
      <c r="E123" s="403"/>
      <c r="H123" s="381"/>
      <c r="J123" s="403"/>
    </row>
    <row r="124" ht="15.75" customHeight="1">
      <c r="E124" s="403"/>
      <c r="H124" s="381"/>
      <c r="J124" s="403"/>
    </row>
    <row r="125" ht="15.75" customHeight="1">
      <c r="E125" s="403"/>
      <c r="H125" s="381"/>
      <c r="J125" s="403"/>
    </row>
    <row r="126" ht="15.75" customHeight="1">
      <c r="E126" s="403"/>
      <c r="H126" s="381"/>
      <c r="J126" s="403"/>
    </row>
    <row r="127" ht="15.75" customHeight="1">
      <c r="E127" s="403"/>
      <c r="H127" s="381"/>
      <c r="J127" s="403"/>
    </row>
    <row r="128" ht="15.75" customHeight="1">
      <c r="E128" s="403"/>
      <c r="H128" s="381"/>
      <c r="J128" s="403"/>
    </row>
    <row r="129" ht="15.75" customHeight="1">
      <c r="E129" s="403"/>
      <c r="H129" s="381"/>
      <c r="J129" s="403"/>
    </row>
    <row r="130" ht="15.75" customHeight="1">
      <c r="E130" s="403"/>
      <c r="H130" s="381"/>
      <c r="J130" s="403"/>
    </row>
    <row r="131" ht="15.75" customHeight="1">
      <c r="E131" s="403"/>
      <c r="H131" s="381"/>
      <c r="J131" s="403"/>
    </row>
    <row r="132" ht="15.75" customHeight="1">
      <c r="E132" s="403"/>
      <c r="H132" s="381"/>
      <c r="J132" s="403"/>
    </row>
    <row r="133" ht="15.75" customHeight="1">
      <c r="E133" s="403"/>
      <c r="H133" s="381"/>
      <c r="J133" s="403"/>
    </row>
    <row r="134" ht="15.75" customHeight="1">
      <c r="E134" s="403"/>
      <c r="H134" s="381"/>
      <c r="J134" s="403"/>
    </row>
    <row r="135" ht="15.75" customHeight="1">
      <c r="E135" s="403"/>
      <c r="H135" s="381"/>
      <c r="J135" s="403"/>
    </row>
    <row r="136" ht="15.75" customHeight="1">
      <c r="E136" s="403"/>
      <c r="H136" s="381"/>
      <c r="J136" s="403"/>
    </row>
    <row r="137" ht="15.75" customHeight="1">
      <c r="E137" s="403"/>
      <c r="H137" s="381"/>
      <c r="J137" s="403"/>
    </row>
    <row r="138" ht="15.75" customHeight="1">
      <c r="E138" s="403"/>
      <c r="H138" s="381"/>
      <c r="J138" s="403"/>
    </row>
    <row r="139" ht="15.75" customHeight="1">
      <c r="E139" s="403"/>
      <c r="H139" s="381"/>
      <c r="J139" s="403"/>
    </row>
    <row r="140" ht="15.75" customHeight="1">
      <c r="E140" s="403"/>
      <c r="H140" s="381"/>
      <c r="J140" s="403"/>
    </row>
    <row r="141" ht="15.75" customHeight="1">
      <c r="E141" s="403"/>
      <c r="H141" s="381"/>
      <c r="J141" s="403"/>
    </row>
    <row r="142" ht="15.75" customHeight="1">
      <c r="E142" s="403"/>
      <c r="H142" s="381"/>
      <c r="J142" s="403"/>
    </row>
    <row r="143" ht="15.75" customHeight="1">
      <c r="E143" s="403"/>
      <c r="H143" s="381"/>
      <c r="J143" s="403"/>
    </row>
    <row r="144" ht="15.75" customHeight="1">
      <c r="E144" s="403"/>
      <c r="H144" s="381"/>
      <c r="J144" s="403"/>
    </row>
    <row r="145" ht="15.75" customHeight="1">
      <c r="E145" s="403"/>
      <c r="H145" s="381"/>
      <c r="J145" s="403"/>
    </row>
    <row r="146" ht="15.75" customHeight="1">
      <c r="E146" s="403"/>
      <c r="H146" s="381"/>
      <c r="J146" s="403"/>
    </row>
    <row r="147" ht="15.75" customHeight="1">
      <c r="E147" s="403"/>
      <c r="H147" s="381"/>
      <c r="J147" s="403"/>
    </row>
    <row r="148" ht="15.75" customHeight="1">
      <c r="E148" s="403"/>
      <c r="H148" s="381"/>
      <c r="J148" s="403"/>
    </row>
    <row r="149" ht="15.75" customHeight="1">
      <c r="E149" s="403"/>
      <c r="H149" s="381"/>
      <c r="J149" s="403"/>
    </row>
    <row r="150" ht="15.75" customHeight="1">
      <c r="E150" s="403"/>
      <c r="H150" s="381"/>
      <c r="J150" s="403"/>
    </row>
    <row r="151" ht="15.75" customHeight="1">
      <c r="E151" s="403"/>
      <c r="H151" s="381"/>
      <c r="J151" s="403"/>
    </row>
    <row r="152" ht="15.75" customHeight="1">
      <c r="E152" s="403"/>
      <c r="H152" s="381"/>
      <c r="J152" s="403"/>
    </row>
    <row r="153" ht="15.75" customHeight="1">
      <c r="E153" s="403"/>
      <c r="H153" s="381"/>
      <c r="J153" s="403"/>
    </row>
    <row r="154" ht="15.75" customHeight="1">
      <c r="E154" s="403"/>
      <c r="H154" s="381"/>
      <c r="J154" s="403"/>
    </row>
    <row r="155" ht="15.75" customHeight="1">
      <c r="E155" s="403"/>
      <c r="H155" s="381"/>
      <c r="J155" s="403"/>
    </row>
    <row r="156" ht="15.75" customHeight="1">
      <c r="E156" s="403"/>
      <c r="H156" s="381"/>
      <c r="J156" s="403"/>
    </row>
    <row r="157" ht="15.75" customHeight="1">
      <c r="E157" s="403"/>
      <c r="H157" s="381"/>
      <c r="J157" s="403"/>
    </row>
    <row r="158" ht="15.75" customHeight="1">
      <c r="E158" s="403"/>
      <c r="H158" s="381"/>
      <c r="J158" s="403"/>
    </row>
    <row r="159" ht="15.75" customHeight="1">
      <c r="E159" s="403"/>
      <c r="H159" s="381"/>
      <c r="J159" s="403"/>
    </row>
    <row r="160" ht="15.75" customHeight="1">
      <c r="E160" s="403"/>
      <c r="H160" s="381"/>
      <c r="J160" s="403"/>
    </row>
    <row r="161" ht="15.75" customHeight="1">
      <c r="E161" s="403"/>
      <c r="H161" s="381"/>
      <c r="J161" s="403"/>
    </row>
    <row r="162" ht="15.75" customHeight="1">
      <c r="E162" s="403"/>
      <c r="H162" s="381"/>
      <c r="J162" s="403"/>
    </row>
    <row r="163" ht="15.75" customHeight="1">
      <c r="E163" s="403"/>
      <c r="H163" s="381"/>
      <c r="J163" s="403"/>
    </row>
    <row r="164" ht="15.75" customHeight="1">
      <c r="E164" s="403"/>
      <c r="H164" s="381"/>
      <c r="J164" s="403"/>
    </row>
    <row r="165" ht="15.75" customHeight="1">
      <c r="E165" s="403"/>
      <c r="H165" s="381"/>
      <c r="J165" s="403"/>
    </row>
    <row r="166" ht="15.75" customHeight="1">
      <c r="E166" s="403"/>
      <c r="H166" s="381"/>
      <c r="J166" s="403"/>
    </row>
    <row r="167" ht="15.75" customHeight="1">
      <c r="E167" s="403"/>
      <c r="H167" s="381"/>
      <c r="J167" s="403"/>
    </row>
    <row r="168" ht="15.75" customHeight="1">
      <c r="E168" s="403"/>
      <c r="H168" s="381"/>
      <c r="J168" s="403"/>
    </row>
    <row r="169" ht="15.75" customHeight="1">
      <c r="E169" s="403"/>
      <c r="H169" s="381"/>
      <c r="J169" s="403"/>
    </row>
    <row r="170" ht="15.75" customHeight="1">
      <c r="E170" s="403"/>
      <c r="H170" s="381"/>
      <c r="J170" s="403"/>
    </row>
    <row r="171" ht="15.75" customHeight="1">
      <c r="E171" s="403"/>
      <c r="H171" s="381"/>
      <c r="J171" s="403"/>
    </row>
    <row r="172" ht="15.75" customHeight="1">
      <c r="E172" s="403"/>
      <c r="H172" s="381"/>
      <c r="J172" s="403"/>
    </row>
    <row r="173" ht="15.75" customHeight="1">
      <c r="E173" s="403"/>
      <c r="H173" s="381"/>
      <c r="J173" s="403"/>
    </row>
    <row r="174" ht="15.75" customHeight="1">
      <c r="E174" s="403"/>
      <c r="H174" s="381"/>
      <c r="J174" s="403"/>
    </row>
    <row r="175" ht="15.75" customHeight="1">
      <c r="E175" s="403"/>
      <c r="H175" s="381"/>
      <c r="J175" s="403"/>
    </row>
    <row r="176" ht="15.75" customHeight="1">
      <c r="E176" s="403"/>
      <c r="H176" s="381"/>
      <c r="J176" s="403"/>
    </row>
    <row r="177" ht="15.75" customHeight="1">
      <c r="E177" s="403"/>
      <c r="H177" s="381"/>
      <c r="J177" s="403"/>
    </row>
    <row r="178" ht="15.75" customHeight="1">
      <c r="E178" s="403"/>
      <c r="H178" s="381"/>
      <c r="J178" s="403"/>
    </row>
    <row r="179" ht="15.75" customHeight="1">
      <c r="E179" s="403"/>
      <c r="H179" s="381"/>
      <c r="J179" s="403"/>
    </row>
    <row r="180" ht="15.75" customHeight="1">
      <c r="E180" s="403"/>
      <c r="H180" s="381"/>
      <c r="J180" s="403"/>
    </row>
    <row r="181" ht="15.75" customHeight="1">
      <c r="E181" s="403"/>
      <c r="H181" s="381"/>
      <c r="J181" s="403"/>
    </row>
    <row r="182" ht="15.75" customHeight="1">
      <c r="E182" s="403"/>
      <c r="H182" s="381"/>
      <c r="J182" s="403"/>
    </row>
    <row r="183" ht="15.75" customHeight="1">
      <c r="E183" s="403"/>
      <c r="H183" s="381"/>
      <c r="J183" s="403"/>
    </row>
    <row r="184" ht="15.75" customHeight="1">
      <c r="E184" s="403"/>
      <c r="H184" s="381"/>
      <c r="J184" s="403"/>
    </row>
    <row r="185" ht="15.75" customHeight="1">
      <c r="E185" s="403"/>
      <c r="H185" s="381"/>
      <c r="J185" s="403"/>
    </row>
    <row r="186" ht="15.75" customHeight="1">
      <c r="E186" s="403"/>
      <c r="H186" s="381"/>
      <c r="J186" s="403"/>
    </row>
    <row r="187" ht="15.75" customHeight="1">
      <c r="E187" s="403"/>
      <c r="H187" s="381"/>
      <c r="J187" s="403"/>
    </row>
    <row r="188" ht="15.75" customHeight="1">
      <c r="E188" s="403"/>
      <c r="H188" s="381"/>
      <c r="J188" s="403"/>
    </row>
    <row r="189" ht="15.75" customHeight="1">
      <c r="E189" s="403"/>
      <c r="H189" s="381"/>
      <c r="J189" s="403"/>
    </row>
    <row r="190" ht="15.75" customHeight="1">
      <c r="E190" s="403"/>
      <c r="H190" s="381"/>
      <c r="J190" s="403"/>
    </row>
    <row r="191" ht="15.75" customHeight="1">
      <c r="E191" s="403"/>
      <c r="H191" s="381"/>
      <c r="J191" s="403"/>
    </row>
    <row r="192" ht="15.75" customHeight="1">
      <c r="E192" s="403"/>
      <c r="H192" s="381"/>
      <c r="J192" s="403"/>
    </row>
    <row r="193" ht="15.75" customHeight="1">
      <c r="E193" s="403"/>
      <c r="H193" s="381"/>
      <c r="J193" s="403"/>
    </row>
    <row r="194" ht="15.75" customHeight="1">
      <c r="E194" s="403"/>
      <c r="H194" s="381"/>
      <c r="J194" s="403"/>
    </row>
    <row r="195" ht="15.75" customHeight="1">
      <c r="E195" s="403"/>
      <c r="H195" s="381"/>
      <c r="J195" s="403"/>
    </row>
    <row r="196" ht="15.75" customHeight="1">
      <c r="E196" s="403"/>
      <c r="H196" s="381"/>
      <c r="J196" s="403"/>
    </row>
    <row r="197" ht="15.75" customHeight="1">
      <c r="E197" s="403"/>
      <c r="H197" s="381"/>
      <c r="J197" s="403"/>
    </row>
    <row r="198" ht="15.75" customHeight="1">
      <c r="E198" s="403"/>
      <c r="H198" s="381"/>
      <c r="J198" s="403"/>
    </row>
    <row r="199" ht="15.75" customHeight="1">
      <c r="E199" s="403"/>
      <c r="H199" s="381"/>
      <c r="J199" s="403"/>
    </row>
    <row r="200" ht="15.75" customHeight="1">
      <c r="E200" s="403"/>
      <c r="H200" s="381"/>
      <c r="J200" s="403"/>
    </row>
    <row r="201" ht="15.75" customHeight="1">
      <c r="E201" s="403"/>
      <c r="H201" s="381"/>
      <c r="J201" s="403"/>
    </row>
    <row r="202" ht="15.75" customHeight="1">
      <c r="E202" s="403"/>
      <c r="H202" s="381"/>
      <c r="J202" s="403"/>
    </row>
    <row r="203" ht="15.75" customHeight="1">
      <c r="E203" s="403"/>
      <c r="H203" s="381"/>
      <c r="J203" s="403"/>
    </row>
    <row r="204" ht="15.75" customHeight="1">
      <c r="E204" s="403"/>
      <c r="H204" s="381"/>
      <c r="J204" s="403"/>
    </row>
    <row r="205" ht="15.75" customHeight="1">
      <c r="E205" s="403"/>
      <c r="H205" s="381"/>
      <c r="J205" s="403"/>
    </row>
    <row r="206" ht="15.75" customHeight="1">
      <c r="E206" s="403"/>
      <c r="H206" s="381"/>
      <c r="J206" s="403"/>
    </row>
    <row r="207" ht="15.75" customHeight="1">
      <c r="E207" s="403"/>
      <c r="H207" s="381"/>
      <c r="J207" s="403"/>
    </row>
    <row r="208" ht="15.75" customHeight="1">
      <c r="E208" s="403"/>
      <c r="H208" s="381"/>
      <c r="J208" s="403"/>
    </row>
    <row r="209" ht="15.75" customHeight="1">
      <c r="E209" s="403"/>
      <c r="H209" s="381"/>
      <c r="J209" s="403"/>
    </row>
    <row r="210" ht="15.75" customHeight="1">
      <c r="E210" s="403"/>
      <c r="H210" s="381"/>
      <c r="J210" s="403"/>
    </row>
    <row r="211" ht="15.75" customHeight="1">
      <c r="E211" s="403"/>
      <c r="H211" s="381"/>
      <c r="J211" s="403"/>
    </row>
    <row r="212" ht="15.75" customHeight="1">
      <c r="E212" s="403"/>
      <c r="H212" s="381"/>
      <c r="J212" s="403"/>
    </row>
    <row r="213" ht="15.75" customHeight="1">
      <c r="E213" s="403"/>
      <c r="H213" s="381"/>
      <c r="J213" s="403"/>
    </row>
    <row r="214" ht="15.75" customHeight="1">
      <c r="E214" s="403"/>
      <c r="H214" s="381"/>
      <c r="J214" s="403"/>
    </row>
    <row r="215" ht="15.75" customHeight="1">
      <c r="E215" s="403"/>
      <c r="H215" s="381"/>
      <c r="J215" s="403"/>
    </row>
    <row r="216" ht="15.75" customHeight="1">
      <c r="E216" s="403"/>
      <c r="H216" s="381"/>
      <c r="J216" s="403"/>
    </row>
    <row r="217" ht="15.75" customHeight="1">
      <c r="E217" s="403"/>
      <c r="H217" s="381"/>
      <c r="J217" s="403"/>
    </row>
    <row r="218" ht="15.75" customHeight="1">
      <c r="E218" s="403"/>
      <c r="H218" s="381"/>
      <c r="J218" s="403"/>
    </row>
    <row r="219" ht="15.75" customHeight="1">
      <c r="E219" s="403"/>
      <c r="H219" s="381"/>
      <c r="J219" s="403"/>
    </row>
    <row r="220" ht="15.75" customHeight="1">
      <c r="E220" s="403"/>
      <c r="H220" s="381"/>
      <c r="J220" s="403"/>
    </row>
    <row r="221" ht="15.75" customHeight="1">
      <c r="E221" s="403"/>
      <c r="H221" s="381"/>
      <c r="J221" s="403"/>
    </row>
    <row r="222" ht="15.75" customHeight="1">
      <c r="E222" s="403"/>
      <c r="H222" s="381"/>
      <c r="J222" s="403"/>
    </row>
    <row r="223" ht="15.75" customHeight="1">
      <c r="E223" s="403"/>
      <c r="H223" s="381"/>
      <c r="J223" s="403"/>
    </row>
    <row r="224" ht="15.75" customHeight="1">
      <c r="E224" s="403"/>
      <c r="H224" s="381"/>
      <c r="J224" s="403"/>
    </row>
    <row r="225" ht="15.75" customHeight="1">
      <c r="E225" s="403"/>
      <c r="H225" s="381"/>
      <c r="J225" s="403"/>
    </row>
    <row r="226" ht="15.75" customHeight="1">
      <c r="E226" s="403"/>
      <c r="H226" s="381"/>
      <c r="J226" s="403"/>
    </row>
    <row r="227" ht="15.75" customHeight="1">
      <c r="E227" s="403"/>
      <c r="H227" s="381"/>
      <c r="J227" s="403"/>
    </row>
    <row r="228" ht="15.75" customHeight="1">
      <c r="E228" s="403"/>
      <c r="H228" s="381"/>
      <c r="J228" s="403"/>
    </row>
    <row r="229" ht="15.75" customHeight="1">
      <c r="E229" s="403"/>
      <c r="H229" s="381"/>
      <c r="J229" s="403"/>
    </row>
    <row r="230" ht="15.75" customHeight="1">
      <c r="E230" s="403"/>
      <c r="H230" s="381"/>
      <c r="J230" s="403"/>
    </row>
    <row r="231" ht="15.75" customHeight="1">
      <c r="E231" s="403"/>
      <c r="H231" s="381"/>
      <c r="J231" s="403"/>
    </row>
    <row r="232" ht="15.75" customHeight="1">
      <c r="E232" s="403"/>
      <c r="H232" s="381"/>
      <c r="J232" s="403"/>
    </row>
    <row r="233" ht="15.75" customHeight="1">
      <c r="E233" s="403"/>
      <c r="H233" s="381"/>
      <c r="J233" s="403"/>
    </row>
    <row r="234" ht="15.75" customHeight="1">
      <c r="E234" s="403"/>
      <c r="H234" s="381"/>
      <c r="J234" s="403"/>
    </row>
    <row r="235" ht="15.75" customHeight="1">
      <c r="E235" s="403"/>
      <c r="H235" s="381"/>
      <c r="J235" s="403"/>
    </row>
    <row r="236" ht="15.75" customHeight="1">
      <c r="E236" s="403"/>
      <c r="H236" s="381"/>
      <c r="J236" s="403"/>
    </row>
    <row r="237" ht="15.75" customHeight="1">
      <c r="E237" s="403"/>
      <c r="H237" s="381"/>
      <c r="J237" s="403"/>
    </row>
    <row r="238" ht="15.75" customHeight="1">
      <c r="E238" s="403"/>
      <c r="H238" s="381"/>
      <c r="J238" s="403"/>
    </row>
    <row r="239" ht="15.75" customHeight="1">
      <c r="E239" s="403"/>
      <c r="H239" s="381"/>
      <c r="J239" s="403"/>
    </row>
    <row r="240" ht="15.75" customHeight="1">
      <c r="E240" s="403"/>
      <c r="H240" s="381"/>
      <c r="J240" s="403"/>
    </row>
    <row r="241" ht="15.75" customHeight="1">
      <c r="E241" s="403"/>
      <c r="H241" s="381"/>
      <c r="J241" s="403"/>
    </row>
    <row r="242" ht="15.75" customHeight="1">
      <c r="E242" s="403"/>
      <c r="H242" s="381"/>
      <c r="J242" s="403"/>
    </row>
    <row r="243" ht="15.75" customHeight="1">
      <c r="E243" s="403"/>
      <c r="H243" s="381"/>
      <c r="J243" s="403"/>
    </row>
    <row r="244" ht="15.75" customHeight="1">
      <c r="E244" s="403"/>
      <c r="H244" s="381"/>
      <c r="J244" s="403"/>
    </row>
    <row r="245" ht="15.75" customHeight="1">
      <c r="E245" s="403"/>
      <c r="H245" s="381"/>
      <c r="J245" s="403"/>
    </row>
    <row r="246" ht="15.75" customHeight="1">
      <c r="E246" s="403"/>
      <c r="H246" s="381"/>
      <c r="J246" s="403"/>
    </row>
    <row r="247" ht="15.75" customHeight="1">
      <c r="E247" s="403"/>
      <c r="H247" s="381"/>
      <c r="J247" s="403"/>
    </row>
    <row r="248" ht="15.75" customHeight="1">
      <c r="E248" s="403"/>
      <c r="H248" s="381"/>
      <c r="J248" s="403"/>
    </row>
    <row r="249" ht="15.75" customHeight="1">
      <c r="E249" s="403"/>
      <c r="H249" s="381"/>
      <c r="J249" s="403"/>
    </row>
    <row r="250" ht="15.75" customHeight="1">
      <c r="E250" s="403"/>
      <c r="H250" s="381"/>
      <c r="J250" s="403"/>
    </row>
    <row r="251" ht="15.75" customHeight="1">
      <c r="E251" s="403"/>
      <c r="H251" s="381"/>
      <c r="J251" s="403"/>
    </row>
    <row r="252" ht="15.75" customHeight="1">
      <c r="E252" s="403"/>
      <c r="H252" s="381"/>
      <c r="J252" s="403"/>
    </row>
    <row r="253" ht="15.75" customHeight="1">
      <c r="E253" s="403"/>
      <c r="H253" s="381"/>
      <c r="J253" s="403"/>
    </row>
    <row r="254" ht="15.75" customHeight="1">
      <c r="E254" s="403"/>
      <c r="H254" s="381"/>
      <c r="J254" s="403"/>
    </row>
    <row r="255" ht="15.75" customHeight="1">
      <c r="E255" s="403"/>
      <c r="H255" s="381"/>
      <c r="J255" s="403"/>
    </row>
    <row r="256" ht="15.75" customHeight="1">
      <c r="E256" s="403"/>
      <c r="H256" s="381"/>
      <c r="J256" s="403"/>
    </row>
    <row r="257" ht="15.75" customHeight="1">
      <c r="E257" s="403"/>
      <c r="H257" s="381"/>
      <c r="J257" s="403"/>
    </row>
    <row r="258" ht="15.75" customHeight="1">
      <c r="E258" s="403"/>
      <c r="H258" s="381"/>
      <c r="J258" s="403"/>
    </row>
    <row r="259" ht="15.75" customHeight="1">
      <c r="E259" s="403"/>
      <c r="H259" s="381"/>
      <c r="J259" s="403"/>
    </row>
    <row r="260" ht="15.75" customHeight="1">
      <c r="E260" s="403"/>
      <c r="H260" s="381"/>
      <c r="J260" s="403"/>
    </row>
    <row r="261" ht="15.75" customHeight="1">
      <c r="E261" s="403"/>
      <c r="H261" s="381"/>
      <c r="J261" s="403"/>
    </row>
    <row r="262" ht="15.75" customHeight="1">
      <c r="E262" s="403"/>
      <c r="H262" s="381"/>
      <c r="J262" s="403"/>
    </row>
    <row r="263" ht="15.75" customHeight="1">
      <c r="E263" s="403"/>
      <c r="H263" s="381"/>
      <c r="J263" s="403"/>
    </row>
    <row r="264" ht="15.75" customHeight="1">
      <c r="E264" s="403"/>
      <c r="H264" s="381"/>
      <c r="J264" s="403"/>
    </row>
    <row r="265" ht="15.75" customHeight="1">
      <c r="E265" s="403"/>
      <c r="H265" s="381"/>
      <c r="J265" s="403"/>
    </row>
    <row r="266" ht="15.75" customHeight="1">
      <c r="E266" s="403"/>
      <c r="H266" s="381"/>
      <c r="J266" s="403"/>
    </row>
    <row r="267" ht="15.75" customHeight="1">
      <c r="E267" s="403"/>
      <c r="H267" s="381"/>
      <c r="J267" s="403"/>
    </row>
    <row r="268" ht="15.75" customHeight="1">
      <c r="E268" s="403"/>
      <c r="H268" s="381"/>
      <c r="J268" s="403"/>
    </row>
    <row r="269" ht="15.75" customHeight="1">
      <c r="E269" s="403"/>
      <c r="H269" s="381"/>
      <c r="J269" s="403"/>
    </row>
    <row r="270" ht="15.75" customHeight="1">
      <c r="E270" s="403"/>
      <c r="H270" s="381"/>
      <c r="J270" s="403"/>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B$70"/>
  <customSheetViews>
    <customSheetView guid="{27F409FC-4BC4-4DF0-A229-D1785A50C76E}" filter="1" showAutoFilter="1">
      <autoFilter ref="$A$1:$AB$49"/>
      <extLst>
        <ext uri="GoogleSheetsCustomDataVersion1">
          <go:sheetsCustomData xmlns:go="http://customooxmlschemas.google.com/" filterViewId="1528227946"/>
        </ext>
      </extLst>
    </customSheetView>
  </customSheetView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2" width="11.0"/>
    <col customWidth="1" min="13" max="13" width="12.13"/>
    <col customWidth="1" min="14" max="14" width="15.75"/>
    <col customWidth="1" min="15" max="15" width="16.0"/>
    <col customWidth="1" min="16" max="78" width="11.0"/>
  </cols>
  <sheetData>
    <row r="1" ht="15.75" customHeight="1">
      <c r="I1" s="381"/>
      <c r="J1" s="381"/>
      <c r="K1" s="381"/>
      <c r="L1" s="381"/>
      <c r="M1" s="381"/>
      <c r="N1" s="381"/>
      <c r="O1" s="381"/>
    </row>
    <row r="2" ht="15.75" customHeight="1">
      <c r="A2" s="401"/>
      <c r="B2" s="401"/>
      <c r="C2" s="401"/>
      <c r="D2" s="401"/>
      <c r="E2" s="401"/>
      <c r="F2" s="401"/>
      <c r="G2" s="401"/>
      <c r="H2" s="401"/>
      <c r="I2" s="381"/>
      <c r="J2" s="381"/>
      <c r="K2" s="381"/>
      <c r="L2" s="381"/>
      <c r="M2" s="381"/>
      <c r="N2" s="381"/>
      <c r="O2" s="381"/>
      <c r="P2" s="401"/>
      <c r="Q2" s="401"/>
      <c r="R2" s="401"/>
      <c r="S2" s="401"/>
      <c r="T2" s="401"/>
      <c r="U2" s="401"/>
      <c r="V2" s="401"/>
      <c r="W2" s="401"/>
      <c r="X2" s="401"/>
      <c r="Y2" s="401"/>
      <c r="Z2" s="401"/>
      <c r="AA2" s="401"/>
      <c r="AB2" s="401"/>
      <c r="AC2" s="401"/>
      <c r="AD2" s="401"/>
      <c r="AE2" s="401"/>
      <c r="AF2" s="401"/>
      <c r="AG2" s="401"/>
      <c r="AH2" s="401"/>
      <c r="AI2" s="401"/>
      <c r="AJ2" s="401"/>
      <c r="AK2" s="401"/>
      <c r="AL2" s="401"/>
      <c r="AM2" s="401"/>
      <c r="AN2" s="401"/>
      <c r="AO2" s="401"/>
      <c r="AP2" s="401"/>
      <c r="AQ2" s="401"/>
      <c r="AR2" s="401"/>
      <c r="AS2" s="401"/>
      <c r="AT2" s="401"/>
      <c r="AU2" s="401"/>
      <c r="AV2" s="401"/>
      <c r="AW2" s="401"/>
      <c r="AX2" s="401"/>
      <c r="AY2" s="401"/>
      <c r="AZ2" s="401"/>
      <c r="BA2" s="401"/>
      <c r="BB2" s="401"/>
      <c r="BC2" s="401"/>
      <c r="BD2" s="401"/>
      <c r="BE2" s="401"/>
      <c r="BF2" s="401"/>
      <c r="BG2" s="401"/>
      <c r="BH2" s="401"/>
      <c r="BI2" s="401"/>
      <c r="BJ2" s="401"/>
      <c r="BK2" s="401"/>
      <c r="BL2" s="401"/>
      <c r="BM2" s="401"/>
      <c r="BN2" s="401"/>
      <c r="BO2" s="401"/>
      <c r="BP2" s="401"/>
      <c r="BQ2" s="401"/>
      <c r="BR2" s="401"/>
      <c r="BS2" s="401"/>
      <c r="BT2" s="401"/>
      <c r="BU2" s="401"/>
      <c r="BV2" s="401"/>
      <c r="BW2" s="401"/>
      <c r="BX2" s="401"/>
      <c r="BY2" s="401"/>
      <c r="BZ2" s="401"/>
    </row>
    <row r="3" ht="15.75" customHeight="1">
      <c r="A3" s="401"/>
      <c r="B3" s="404" t="s">
        <v>2912</v>
      </c>
      <c r="C3" s="5"/>
      <c r="D3" s="5"/>
      <c r="E3" s="5"/>
      <c r="F3" s="5"/>
      <c r="G3" s="6"/>
      <c r="H3" s="401"/>
      <c r="I3" s="381"/>
      <c r="J3" s="404" t="s">
        <v>2913</v>
      </c>
      <c r="K3" s="5"/>
      <c r="L3" s="5"/>
      <c r="M3" s="5"/>
      <c r="N3" s="5"/>
      <c r="O3" s="5"/>
      <c r="P3" s="5"/>
      <c r="Q3" s="6"/>
      <c r="R3" s="401"/>
      <c r="S3" s="401"/>
      <c r="T3" s="401"/>
      <c r="U3" s="401"/>
      <c r="V3" s="401"/>
      <c r="W3" s="401"/>
      <c r="X3" s="401"/>
      <c r="Y3" s="401"/>
      <c r="Z3" s="401"/>
      <c r="AA3" s="401"/>
      <c r="AB3" s="401"/>
      <c r="AC3" s="401"/>
      <c r="AD3" s="401"/>
      <c r="AE3" s="401"/>
      <c r="AF3" s="401"/>
      <c r="AG3" s="401"/>
      <c r="AH3" s="401"/>
      <c r="AI3" s="401"/>
      <c r="AJ3" s="401"/>
      <c r="AK3" s="401"/>
      <c r="AL3" s="401"/>
      <c r="AM3" s="401"/>
      <c r="AN3" s="401"/>
      <c r="AO3" s="401"/>
      <c r="AP3" s="401"/>
      <c r="AQ3" s="401"/>
      <c r="AR3" s="401"/>
      <c r="AS3" s="401"/>
      <c r="AT3" s="401"/>
      <c r="AU3" s="401"/>
      <c r="AV3" s="401"/>
      <c r="AW3" s="401"/>
      <c r="AX3" s="401"/>
      <c r="AY3" s="401"/>
      <c r="AZ3" s="401"/>
      <c r="BA3" s="401"/>
      <c r="BB3" s="401"/>
      <c r="BC3" s="401"/>
      <c r="BD3" s="401"/>
      <c r="BE3" s="401"/>
      <c r="BF3" s="401"/>
      <c r="BG3" s="401"/>
      <c r="BH3" s="401"/>
      <c r="BI3" s="401"/>
      <c r="BJ3" s="401"/>
      <c r="BK3" s="401"/>
      <c r="BL3" s="401"/>
      <c r="BM3" s="401"/>
      <c r="BN3" s="401"/>
      <c r="BO3" s="401"/>
      <c r="BP3" s="401"/>
      <c r="BQ3" s="401"/>
      <c r="BR3" s="401"/>
      <c r="BS3" s="401"/>
      <c r="BT3" s="401"/>
      <c r="BU3" s="401"/>
      <c r="BV3" s="401"/>
      <c r="BW3" s="401"/>
      <c r="BX3" s="401"/>
      <c r="BY3" s="401"/>
      <c r="BZ3" s="401"/>
    </row>
    <row r="4" ht="15.75" customHeight="1">
      <c r="A4" s="401"/>
      <c r="B4" s="405" t="s">
        <v>2914</v>
      </c>
      <c r="C4" s="406" t="s">
        <v>2915</v>
      </c>
      <c r="D4" s="406" t="s">
        <v>2916</v>
      </c>
      <c r="E4" s="406" t="s">
        <v>2917</v>
      </c>
      <c r="F4" s="406" t="s">
        <v>2918</v>
      </c>
      <c r="G4" s="406" t="s">
        <v>2919</v>
      </c>
      <c r="H4" s="401"/>
      <c r="I4" s="381"/>
      <c r="J4" s="407" t="s">
        <v>2920</v>
      </c>
      <c r="K4" s="408" t="s">
        <v>2921</v>
      </c>
      <c r="L4" s="5"/>
      <c r="M4" s="6"/>
      <c r="N4" s="409" t="s">
        <v>2922</v>
      </c>
      <c r="O4" s="5"/>
      <c r="P4" s="5"/>
      <c r="Q4" s="6"/>
      <c r="R4" s="401"/>
      <c r="S4" s="401"/>
      <c r="T4" s="401"/>
      <c r="U4" s="401"/>
      <c r="V4" s="401"/>
      <c r="W4" s="401"/>
      <c r="X4" s="401"/>
      <c r="Y4" s="401"/>
      <c r="Z4" s="401"/>
      <c r="AA4" s="401"/>
      <c r="AB4" s="401"/>
      <c r="AC4" s="401"/>
      <c r="AD4" s="401"/>
      <c r="AE4" s="401"/>
      <c r="AF4" s="401"/>
      <c r="AG4" s="401"/>
      <c r="AH4" s="401"/>
      <c r="AI4" s="401"/>
      <c r="AJ4" s="401"/>
      <c r="AK4" s="401"/>
      <c r="AL4" s="401"/>
      <c r="AM4" s="401"/>
      <c r="AN4" s="401"/>
      <c r="AO4" s="401"/>
      <c r="AP4" s="401"/>
      <c r="AQ4" s="401"/>
      <c r="AR4" s="401"/>
      <c r="AS4" s="401"/>
      <c r="AT4" s="401"/>
      <c r="AU4" s="401"/>
      <c r="AV4" s="401"/>
      <c r="AW4" s="401"/>
      <c r="AX4" s="401"/>
      <c r="AY4" s="401"/>
      <c r="AZ4" s="401"/>
      <c r="BA4" s="401"/>
      <c r="BB4" s="401"/>
      <c r="BC4" s="401"/>
      <c r="BD4" s="401"/>
      <c r="BE4" s="401"/>
      <c r="BF4" s="401"/>
      <c r="BG4" s="401"/>
      <c r="BH4" s="401"/>
      <c r="BI4" s="401"/>
      <c r="BJ4" s="401"/>
      <c r="BK4" s="401"/>
      <c r="BL4" s="401"/>
      <c r="BM4" s="401"/>
      <c r="BN4" s="401"/>
      <c r="BO4" s="401"/>
      <c r="BP4" s="401"/>
      <c r="BQ4" s="401"/>
      <c r="BR4" s="401"/>
      <c r="BS4" s="401"/>
      <c r="BT4" s="401"/>
      <c r="BU4" s="401"/>
      <c r="BV4" s="401"/>
      <c r="BW4" s="401"/>
      <c r="BX4" s="401"/>
      <c r="BY4" s="401"/>
      <c r="BZ4" s="401"/>
    </row>
    <row r="5" ht="15.75" customHeight="1">
      <c r="A5" s="401"/>
      <c r="B5" s="16"/>
      <c r="C5" s="16"/>
      <c r="D5" s="16"/>
      <c r="E5" s="16"/>
      <c r="F5" s="16"/>
      <c r="G5" s="16"/>
      <c r="H5" s="401"/>
      <c r="I5" s="381"/>
      <c r="J5" s="16"/>
      <c r="K5" s="410" t="s">
        <v>2923</v>
      </c>
      <c r="L5" s="410" t="s">
        <v>2924</v>
      </c>
      <c r="M5" s="411" t="s">
        <v>2925</v>
      </c>
      <c r="N5" s="412" t="s">
        <v>2926</v>
      </c>
      <c r="O5" s="412" t="s">
        <v>2927</v>
      </c>
      <c r="P5" s="384"/>
      <c r="R5" s="401"/>
      <c r="S5" s="401"/>
      <c r="T5" s="401"/>
      <c r="U5" s="401"/>
      <c r="V5" s="401"/>
      <c r="W5" s="401"/>
      <c r="X5" s="401"/>
      <c r="Y5" s="401"/>
      <c r="Z5" s="401"/>
      <c r="AA5" s="401"/>
      <c r="AB5" s="401"/>
      <c r="AC5" s="401"/>
      <c r="AD5" s="401"/>
      <c r="AE5" s="401"/>
      <c r="AF5" s="401"/>
      <c r="AG5" s="401"/>
      <c r="AH5" s="401"/>
      <c r="AI5" s="401"/>
      <c r="AJ5" s="401"/>
      <c r="AK5" s="401"/>
      <c r="AL5" s="401"/>
      <c r="AM5" s="401"/>
      <c r="AN5" s="401"/>
      <c r="AO5" s="401"/>
      <c r="AP5" s="401"/>
      <c r="AQ5" s="401"/>
      <c r="AR5" s="401"/>
      <c r="AS5" s="401"/>
      <c r="AT5" s="401"/>
      <c r="AU5" s="401"/>
      <c r="AV5" s="401"/>
      <c r="AW5" s="401"/>
      <c r="AX5" s="401"/>
      <c r="AY5" s="401"/>
      <c r="AZ5" s="401"/>
      <c r="BA5" s="401"/>
      <c r="BB5" s="401"/>
      <c r="BC5" s="401"/>
      <c r="BD5" s="401"/>
      <c r="BE5" s="401"/>
      <c r="BF5" s="401"/>
      <c r="BG5" s="401"/>
      <c r="BH5" s="401"/>
      <c r="BI5" s="401"/>
      <c r="BJ5" s="401"/>
      <c r="BK5" s="401"/>
      <c r="BL5" s="401"/>
      <c r="BM5" s="401"/>
      <c r="BN5" s="401"/>
      <c r="BO5" s="401"/>
      <c r="BP5" s="401"/>
      <c r="BQ5" s="401"/>
      <c r="BR5" s="401"/>
      <c r="BS5" s="401"/>
      <c r="BT5" s="401"/>
      <c r="BU5" s="401"/>
      <c r="BV5" s="401"/>
      <c r="BW5" s="401"/>
      <c r="BX5" s="401"/>
      <c r="BY5" s="401"/>
      <c r="BZ5" s="401"/>
    </row>
    <row r="6" ht="15.75" customHeight="1">
      <c r="A6" s="401"/>
      <c r="B6" s="413" t="s">
        <v>2928</v>
      </c>
      <c r="C6" s="414">
        <v>200.0</v>
      </c>
      <c r="D6" s="414">
        <f t="shared" ref="D6:D9" si="1">SUM(E6:G6)</f>
        <v>3800</v>
      </c>
      <c r="E6" s="414">
        <v>1300.0</v>
      </c>
      <c r="F6" s="414">
        <v>1500.0</v>
      </c>
      <c r="G6" s="414">
        <v>1000.0</v>
      </c>
      <c r="H6" s="401"/>
      <c r="I6" s="381"/>
      <c r="J6" s="415" t="s">
        <v>2929</v>
      </c>
      <c r="K6" s="416">
        <v>300.0</v>
      </c>
      <c r="L6" s="416">
        <v>28.0</v>
      </c>
      <c r="M6" s="417">
        <v>0.39</v>
      </c>
      <c r="N6" s="384"/>
      <c r="O6" s="384"/>
      <c r="P6" s="384"/>
      <c r="R6" s="401"/>
      <c r="S6" s="401"/>
      <c r="T6" s="401"/>
      <c r="U6" s="401"/>
      <c r="V6" s="401"/>
      <c r="W6" s="401"/>
      <c r="X6" s="401"/>
      <c r="Y6" s="401"/>
      <c r="Z6" s="401"/>
      <c r="AA6" s="401"/>
      <c r="AB6" s="401"/>
      <c r="AC6" s="401"/>
      <c r="AD6" s="401"/>
      <c r="AE6" s="401"/>
      <c r="AF6" s="401"/>
      <c r="AG6" s="401"/>
      <c r="AH6" s="401"/>
      <c r="AI6" s="401"/>
      <c r="AJ6" s="401"/>
      <c r="AK6" s="401"/>
      <c r="AL6" s="401"/>
      <c r="AM6" s="401"/>
      <c r="AN6" s="401"/>
      <c r="AO6" s="401"/>
      <c r="AP6" s="401"/>
      <c r="AQ6" s="401"/>
      <c r="AR6" s="401"/>
      <c r="AS6" s="401"/>
      <c r="AT6" s="401"/>
      <c r="AU6" s="401"/>
      <c r="AV6" s="401"/>
      <c r="AW6" s="401"/>
      <c r="AX6" s="401"/>
      <c r="AY6" s="401"/>
      <c r="AZ6" s="401"/>
      <c r="BA6" s="401"/>
      <c r="BB6" s="401"/>
      <c r="BC6" s="401"/>
      <c r="BD6" s="401"/>
      <c r="BE6" s="401"/>
      <c r="BF6" s="401"/>
      <c r="BG6" s="401"/>
      <c r="BH6" s="401"/>
      <c r="BI6" s="401"/>
      <c r="BJ6" s="401"/>
      <c r="BK6" s="401"/>
      <c r="BL6" s="401"/>
      <c r="BM6" s="401"/>
      <c r="BN6" s="401"/>
      <c r="BO6" s="401"/>
      <c r="BP6" s="401"/>
      <c r="BQ6" s="401"/>
      <c r="BR6" s="401"/>
      <c r="BS6" s="401"/>
      <c r="BT6" s="401"/>
      <c r="BU6" s="401"/>
      <c r="BV6" s="401"/>
      <c r="BW6" s="401"/>
      <c r="BX6" s="401"/>
      <c r="BY6" s="401"/>
      <c r="BZ6" s="401"/>
    </row>
    <row r="7" ht="15.75" customHeight="1">
      <c r="A7" s="401"/>
      <c r="B7" s="418" t="s">
        <v>2920</v>
      </c>
      <c r="C7" s="419">
        <v>100.0</v>
      </c>
      <c r="D7" s="419">
        <f t="shared" si="1"/>
        <v>1150</v>
      </c>
      <c r="E7" s="420">
        <v>300.0</v>
      </c>
      <c r="F7" s="420">
        <v>350.0</v>
      </c>
      <c r="G7" s="420">
        <v>500.0</v>
      </c>
      <c r="H7" s="401"/>
      <c r="I7" s="381"/>
      <c r="J7" s="415" t="s">
        <v>2930</v>
      </c>
      <c r="K7" s="416">
        <v>350.0</v>
      </c>
      <c r="L7" s="416">
        <v>32.0</v>
      </c>
      <c r="M7" s="417">
        <v>0.4</v>
      </c>
      <c r="N7" s="384"/>
      <c r="O7" s="384"/>
      <c r="P7" s="384"/>
      <c r="R7" s="401"/>
      <c r="S7" s="401"/>
      <c r="T7" s="401"/>
      <c r="U7" s="401"/>
      <c r="V7" s="401"/>
      <c r="W7" s="401"/>
      <c r="X7" s="401"/>
      <c r="Y7" s="401"/>
      <c r="Z7" s="401"/>
      <c r="AA7" s="401"/>
      <c r="AB7" s="401"/>
      <c r="AC7" s="401"/>
      <c r="AD7" s="401"/>
      <c r="AE7" s="401"/>
      <c r="AF7" s="401"/>
      <c r="AG7" s="401"/>
      <c r="AH7" s="401"/>
      <c r="AI7" s="401"/>
      <c r="AJ7" s="401"/>
      <c r="AK7" s="401"/>
      <c r="AL7" s="401"/>
      <c r="AM7" s="401"/>
      <c r="AN7" s="401"/>
      <c r="AO7" s="401"/>
      <c r="AP7" s="401"/>
      <c r="AQ7" s="401"/>
      <c r="AR7" s="401"/>
      <c r="AS7" s="401"/>
      <c r="AT7" s="401"/>
      <c r="AU7" s="401"/>
      <c r="AV7" s="401"/>
      <c r="AW7" s="401"/>
      <c r="AX7" s="401"/>
      <c r="AY7" s="401"/>
      <c r="AZ7" s="401"/>
      <c r="BA7" s="401"/>
      <c r="BB7" s="401"/>
      <c r="BC7" s="401"/>
      <c r="BD7" s="401"/>
      <c r="BE7" s="401"/>
      <c r="BF7" s="401"/>
      <c r="BG7" s="401"/>
      <c r="BH7" s="401"/>
      <c r="BI7" s="401"/>
      <c r="BJ7" s="401"/>
      <c r="BK7" s="401"/>
      <c r="BL7" s="401"/>
      <c r="BM7" s="401"/>
      <c r="BN7" s="401"/>
      <c r="BO7" s="401"/>
      <c r="BP7" s="401"/>
      <c r="BQ7" s="401"/>
      <c r="BR7" s="401"/>
      <c r="BS7" s="401"/>
      <c r="BT7" s="401"/>
      <c r="BU7" s="401"/>
      <c r="BV7" s="401"/>
      <c r="BW7" s="401"/>
      <c r="BX7" s="401"/>
      <c r="BY7" s="401"/>
      <c r="BZ7" s="401"/>
    </row>
    <row r="8" ht="15.75" customHeight="1">
      <c r="A8" s="401"/>
      <c r="B8" s="413" t="s">
        <v>2931</v>
      </c>
      <c r="C8" s="414">
        <v>5.0</v>
      </c>
      <c r="D8" s="414">
        <f t="shared" si="1"/>
        <v>300</v>
      </c>
      <c r="E8" s="414">
        <v>100.0</v>
      </c>
      <c r="F8" s="414">
        <v>100.0</v>
      </c>
      <c r="G8" s="414">
        <v>100.0</v>
      </c>
      <c r="H8" s="401"/>
      <c r="I8" s="381"/>
      <c r="J8" s="415" t="s">
        <v>2932</v>
      </c>
      <c r="K8" s="416">
        <v>500.0</v>
      </c>
      <c r="L8" s="416">
        <v>40.0</v>
      </c>
      <c r="M8" s="417">
        <v>0.4</v>
      </c>
      <c r="N8" s="384"/>
      <c r="O8" s="384"/>
      <c r="P8" s="384"/>
      <c r="R8" s="401"/>
      <c r="S8" s="401"/>
      <c r="T8" s="401"/>
      <c r="U8" s="401"/>
      <c r="V8" s="401"/>
      <c r="W8" s="401"/>
      <c r="X8" s="401"/>
      <c r="Y8" s="401"/>
      <c r="Z8" s="401"/>
      <c r="AA8" s="401"/>
      <c r="AB8" s="401"/>
      <c r="AC8" s="401"/>
      <c r="AD8" s="401"/>
      <c r="AE8" s="401"/>
      <c r="AF8" s="401"/>
      <c r="AG8" s="401"/>
      <c r="AH8" s="401"/>
      <c r="AI8" s="401"/>
      <c r="AJ8" s="401"/>
      <c r="AK8" s="401"/>
      <c r="AL8" s="401"/>
      <c r="AM8" s="401"/>
      <c r="AN8" s="401"/>
      <c r="AO8" s="401"/>
      <c r="AP8" s="401"/>
      <c r="AQ8" s="401"/>
      <c r="AR8" s="401"/>
      <c r="AS8" s="401"/>
      <c r="AT8" s="401"/>
      <c r="AU8" s="401"/>
      <c r="AV8" s="401"/>
      <c r="AW8" s="401"/>
      <c r="AX8" s="401"/>
      <c r="AY8" s="401"/>
      <c r="AZ8" s="401"/>
      <c r="BA8" s="401"/>
      <c r="BB8" s="401"/>
      <c r="BC8" s="401"/>
      <c r="BD8" s="401"/>
      <c r="BE8" s="401"/>
      <c r="BF8" s="401"/>
      <c r="BG8" s="401"/>
      <c r="BH8" s="401"/>
      <c r="BI8" s="401"/>
      <c r="BJ8" s="401"/>
      <c r="BK8" s="401"/>
      <c r="BL8" s="401"/>
      <c r="BM8" s="401"/>
      <c r="BN8" s="401"/>
      <c r="BO8" s="401"/>
      <c r="BP8" s="401"/>
      <c r="BQ8" s="401"/>
      <c r="BR8" s="401"/>
      <c r="BS8" s="401"/>
      <c r="BT8" s="401"/>
      <c r="BU8" s="401"/>
      <c r="BV8" s="401"/>
      <c r="BW8" s="401"/>
      <c r="BX8" s="401"/>
      <c r="BY8" s="401"/>
      <c r="BZ8" s="401"/>
    </row>
    <row r="9" ht="15.75" customHeight="1">
      <c r="A9" s="401"/>
      <c r="B9" s="413" t="s">
        <v>2933</v>
      </c>
      <c r="C9" s="414">
        <v>30.0</v>
      </c>
      <c r="D9" s="414">
        <f t="shared" si="1"/>
        <v>40</v>
      </c>
      <c r="E9" s="414">
        <v>10.0</v>
      </c>
      <c r="F9" s="414">
        <v>15.0</v>
      </c>
      <c r="G9" s="414">
        <v>15.0</v>
      </c>
      <c r="H9" s="401"/>
      <c r="I9" s="381"/>
      <c r="J9" s="421" t="s">
        <v>2934</v>
      </c>
      <c r="K9" s="421">
        <f t="shared" ref="K9:L9" si="2">SUM(K6:K8)</f>
        <v>1150</v>
      </c>
      <c r="L9" s="421">
        <f t="shared" si="2"/>
        <v>100</v>
      </c>
      <c r="M9" s="422">
        <v>0.4</v>
      </c>
      <c r="N9" s="384">
        <f t="shared" ref="N9:O9" si="3">SUM(N6:N8)</f>
        <v>0</v>
      </c>
      <c r="O9" s="384">
        <f t="shared" si="3"/>
        <v>0</v>
      </c>
      <c r="P9" s="384"/>
      <c r="R9" s="401"/>
      <c r="S9" s="401"/>
      <c r="T9" s="401"/>
      <c r="U9" s="401"/>
      <c r="V9" s="401"/>
      <c r="W9" s="401"/>
      <c r="X9" s="401"/>
      <c r="Y9" s="401"/>
      <c r="Z9" s="401"/>
      <c r="AA9" s="401"/>
      <c r="AB9" s="401"/>
      <c r="AC9" s="401"/>
      <c r="AD9" s="401"/>
      <c r="AE9" s="401"/>
      <c r="AF9" s="401"/>
      <c r="AG9" s="401"/>
      <c r="AH9" s="401"/>
      <c r="AI9" s="401"/>
      <c r="AJ9" s="401"/>
      <c r="AK9" s="401"/>
      <c r="AL9" s="401"/>
      <c r="AM9" s="401"/>
      <c r="AN9" s="401"/>
      <c r="AO9" s="401"/>
      <c r="AP9" s="401"/>
      <c r="AQ9" s="401"/>
      <c r="AR9" s="401"/>
      <c r="AS9" s="401"/>
      <c r="AT9" s="401"/>
      <c r="AU9" s="401"/>
      <c r="AV9" s="401"/>
      <c r="AW9" s="401"/>
      <c r="AX9" s="401"/>
      <c r="AY9" s="401"/>
      <c r="AZ9" s="401"/>
      <c r="BA9" s="401"/>
      <c r="BB9" s="401"/>
      <c r="BC9" s="401"/>
      <c r="BD9" s="401"/>
      <c r="BE9" s="401"/>
      <c r="BF9" s="401"/>
      <c r="BG9" s="401"/>
      <c r="BH9" s="401"/>
      <c r="BI9" s="401"/>
      <c r="BJ9" s="401"/>
      <c r="BK9" s="401"/>
      <c r="BL9" s="401"/>
      <c r="BM9" s="401"/>
      <c r="BN9" s="401"/>
      <c r="BO9" s="401"/>
      <c r="BP9" s="401"/>
      <c r="BQ9" s="401"/>
      <c r="BR9" s="401"/>
      <c r="BS9" s="401"/>
      <c r="BT9" s="401"/>
      <c r="BU9" s="401"/>
      <c r="BV9" s="401"/>
      <c r="BW9" s="401"/>
      <c r="BX9" s="401"/>
      <c r="BY9" s="401"/>
      <c r="BZ9" s="401"/>
    </row>
    <row r="10" ht="15.75" customHeight="1">
      <c r="A10" s="401"/>
      <c r="B10" s="413" t="s">
        <v>2935</v>
      </c>
      <c r="C10" s="414">
        <v>30.0</v>
      </c>
      <c r="D10" s="423"/>
      <c r="E10" s="423"/>
      <c r="F10" s="423"/>
      <c r="G10" s="423"/>
      <c r="H10" s="401"/>
      <c r="I10" s="381"/>
      <c r="J10" s="381"/>
      <c r="K10" s="381"/>
      <c r="L10" s="381"/>
      <c r="M10" s="381"/>
      <c r="N10" s="381"/>
      <c r="O10" s="381"/>
      <c r="P10" s="401"/>
      <c r="Q10" s="401"/>
      <c r="R10" s="401"/>
      <c r="S10" s="401"/>
      <c r="T10" s="401"/>
      <c r="U10" s="401"/>
      <c r="V10" s="401"/>
      <c r="W10" s="401"/>
      <c r="X10" s="401"/>
      <c r="Y10" s="401"/>
      <c r="Z10" s="401"/>
      <c r="AA10" s="401"/>
      <c r="AB10" s="401"/>
      <c r="AC10" s="401"/>
      <c r="AD10" s="401"/>
      <c r="AE10" s="401"/>
      <c r="AF10" s="401"/>
      <c r="AG10" s="401"/>
      <c r="AH10" s="401"/>
      <c r="AI10" s="401"/>
      <c r="AJ10" s="401"/>
      <c r="AK10" s="401"/>
      <c r="AL10" s="401"/>
      <c r="AM10" s="401"/>
      <c r="AN10" s="401"/>
      <c r="AO10" s="401"/>
      <c r="AP10" s="401"/>
      <c r="AQ10" s="401"/>
      <c r="AR10" s="401"/>
      <c r="AS10" s="401"/>
      <c r="AT10" s="401"/>
      <c r="AU10" s="401"/>
      <c r="AV10" s="401"/>
      <c r="AW10" s="401"/>
      <c r="AX10" s="401"/>
      <c r="AY10" s="401"/>
      <c r="AZ10" s="401"/>
      <c r="BA10" s="401"/>
      <c r="BB10" s="401"/>
      <c r="BC10" s="401"/>
      <c r="BD10" s="401"/>
      <c r="BE10" s="401"/>
      <c r="BF10" s="401"/>
      <c r="BG10" s="401"/>
      <c r="BH10" s="401"/>
      <c r="BI10" s="401"/>
      <c r="BJ10" s="401"/>
      <c r="BK10" s="401"/>
      <c r="BL10" s="401"/>
      <c r="BM10" s="401"/>
      <c r="BN10" s="401"/>
      <c r="BO10" s="401"/>
      <c r="BP10" s="401"/>
      <c r="BQ10" s="401"/>
      <c r="BR10" s="401"/>
      <c r="BS10" s="401"/>
      <c r="BT10" s="401"/>
      <c r="BU10" s="401"/>
      <c r="BV10" s="401"/>
      <c r="BW10" s="401"/>
      <c r="BX10" s="401"/>
      <c r="BY10" s="401"/>
      <c r="BZ10" s="401"/>
    </row>
    <row r="11" ht="15.75" customHeight="1">
      <c r="A11" s="401"/>
      <c r="B11" s="413" t="s">
        <v>2936</v>
      </c>
      <c r="C11" s="414">
        <v>15.0</v>
      </c>
      <c r="D11" s="414">
        <f>SUM(E11:G11)</f>
        <v>24</v>
      </c>
      <c r="E11" s="414">
        <v>8.0</v>
      </c>
      <c r="F11" s="414">
        <v>8.0</v>
      </c>
      <c r="G11" s="414">
        <v>8.0</v>
      </c>
      <c r="H11" s="401"/>
      <c r="I11" s="381"/>
      <c r="J11" s="381"/>
      <c r="K11" s="381"/>
      <c r="L11" s="381"/>
      <c r="M11" s="381"/>
      <c r="N11" s="381"/>
      <c r="O11" s="381"/>
      <c r="P11" s="401"/>
      <c r="Q11" s="401"/>
      <c r="R11" s="401"/>
      <c r="S11" s="401"/>
      <c r="T11" s="401"/>
      <c r="U11" s="401"/>
      <c r="V11" s="401"/>
      <c r="W11" s="401"/>
      <c r="X11" s="401"/>
      <c r="Y11" s="401"/>
      <c r="Z11" s="401"/>
      <c r="AA11" s="401"/>
      <c r="AB11" s="401"/>
      <c r="AC11" s="401"/>
      <c r="AD11" s="401"/>
      <c r="AE11" s="401"/>
      <c r="AF11" s="401"/>
      <c r="AG11" s="401"/>
      <c r="AH11" s="401"/>
      <c r="AI11" s="401"/>
      <c r="AJ11" s="401"/>
      <c r="AK11" s="401"/>
      <c r="AL11" s="401"/>
      <c r="AM11" s="401"/>
      <c r="AN11" s="401"/>
      <c r="AO11" s="401"/>
      <c r="AP11" s="401"/>
      <c r="AQ11" s="401"/>
      <c r="AR11" s="401"/>
      <c r="AS11" s="401"/>
      <c r="AT11" s="401"/>
      <c r="AU11" s="401"/>
      <c r="AV11" s="401"/>
      <c r="AW11" s="401"/>
      <c r="AX11" s="401"/>
      <c r="AY11" s="401"/>
      <c r="AZ11" s="401"/>
      <c r="BA11" s="401"/>
      <c r="BB11" s="401"/>
      <c r="BC11" s="401"/>
      <c r="BD11" s="401"/>
      <c r="BE11" s="401"/>
      <c r="BF11" s="401"/>
      <c r="BG11" s="401"/>
      <c r="BH11" s="401"/>
      <c r="BI11" s="401"/>
      <c r="BJ11" s="401"/>
      <c r="BK11" s="401"/>
      <c r="BL11" s="401"/>
      <c r="BM11" s="401"/>
      <c r="BN11" s="401"/>
      <c r="BO11" s="401"/>
      <c r="BP11" s="401"/>
      <c r="BQ11" s="401"/>
      <c r="BR11" s="401"/>
      <c r="BS11" s="401"/>
      <c r="BT11" s="401"/>
      <c r="BU11" s="401"/>
      <c r="BV11" s="401"/>
      <c r="BW11" s="401"/>
      <c r="BX11" s="401"/>
      <c r="BY11" s="401"/>
      <c r="BZ11" s="401"/>
    </row>
    <row r="12" ht="15.75" customHeight="1">
      <c r="A12" s="401"/>
      <c r="B12" s="413" t="s">
        <v>892</v>
      </c>
      <c r="C12" s="424">
        <f t="shared" ref="C12:G12" si="4">SUM(C6:C11)</f>
        <v>380</v>
      </c>
      <c r="D12" s="425">
        <f t="shared" si="4"/>
        <v>5314</v>
      </c>
      <c r="E12" s="425">
        <f t="shared" si="4"/>
        <v>1718</v>
      </c>
      <c r="F12" s="425">
        <f t="shared" si="4"/>
        <v>1973</v>
      </c>
      <c r="G12" s="425">
        <f t="shared" si="4"/>
        <v>1623</v>
      </c>
      <c r="H12" s="401"/>
      <c r="I12" s="381"/>
      <c r="J12" s="381"/>
      <c r="K12" s="381"/>
      <c r="L12" s="381"/>
      <c r="M12" s="381"/>
      <c r="N12" s="381"/>
      <c r="O12" s="381"/>
      <c r="P12" s="401"/>
      <c r="Q12" s="401"/>
      <c r="R12" s="401"/>
      <c r="S12" s="401"/>
      <c r="T12" s="401"/>
      <c r="U12" s="401"/>
      <c r="V12" s="401"/>
      <c r="W12" s="401"/>
      <c r="X12" s="401"/>
      <c r="Y12" s="401"/>
      <c r="Z12" s="401"/>
      <c r="AA12" s="401"/>
      <c r="AB12" s="401"/>
      <c r="AC12" s="401"/>
      <c r="AD12" s="401"/>
      <c r="AE12" s="401"/>
      <c r="AF12" s="401"/>
      <c r="AG12" s="401"/>
      <c r="AH12" s="401"/>
      <c r="AI12" s="401"/>
      <c r="AJ12" s="401"/>
      <c r="AK12" s="401"/>
      <c r="AL12" s="401"/>
      <c r="AM12" s="401"/>
      <c r="AN12" s="401"/>
      <c r="AO12" s="401"/>
      <c r="AP12" s="401"/>
      <c r="AQ12" s="401"/>
      <c r="AR12" s="401"/>
      <c r="AS12" s="401"/>
      <c r="AT12" s="401"/>
      <c r="AU12" s="401"/>
      <c r="AV12" s="401"/>
      <c r="AW12" s="401"/>
      <c r="AX12" s="401"/>
      <c r="AY12" s="401"/>
      <c r="AZ12" s="401"/>
      <c r="BA12" s="401"/>
      <c r="BB12" s="401"/>
      <c r="BC12" s="401"/>
      <c r="BD12" s="401"/>
      <c r="BE12" s="401"/>
      <c r="BF12" s="401"/>
      <c r="BG12" s="401"/>
      <c r="BH12" s="401"/>
      <c r="BI12" s="401"/>
      <c r="BJ12" s="401"/>
      <c r="BK12" s="401"/>
      <c r="BL12" s="401"/>
      <c r="BM12" s="401"/>
      <c r="BN12" s="401"/>
      <c r="BO12" s="401"/>
      <c r="BP12" s="401"/>
      <c r="BQ12" s="401"/>
      <c r="BR12" s="401"/>
      <c r="BS12" s="401"/>
      <c r="BT12" s="401"/>
      <c r="BU12" s="401"/>
      <c r="BV12" s="401"/>
      <c r="BW12" s="401"/>
      <c r="BX12" s="401"/>
      <c r="BY12" s="401"/>
      <c r="BZ12" s="401"/>
    </row>
    <row r="13" ht="15.75" customHeight="1">
      <c r="A13" s="401"/>
      <c r="B13" s="401"/>
      <c r="C13" s="401"/>
      <c r="D13" s="401"/>
      <c r="E13" s="401"/>
      <c r="F13" s="401"/>
      <c r="G13" s="401"/>
      <c r="H13" s="401"/>
      <c r="I13" s="426"/>
      <c r="J13" s="426"/>
      <c r="K13" s="426"/>
      <c r="L13" s="426"/>
      <c r="M13" s="426"/>
      <c r="N13" s="426"/>
      <c r="O13" s="426"/>
      <c r="P13" s="401"/>
      <c r="Q13" s="401"/>
      <c r="R13" s="401"/>
      <c r="S13" s="401"/>
      <c r="T13" s="401"/>
      <c r="U13" s="401"/>
      <c r="V13" s="401"/>
      <c r="W13" s="401"/>
      <c r="X13" s="401"/>
      <c r="Y13" s="401"/>
      <c r="Z13" s="401"/>
      <c r="AA13" s="401"/>
      <c r="AB13" s="401"/>
      <c r="AC13" s="401"/>
      <c r="AD13" s="401"/>
      <c r="AE13" s="401"/>
      <c r="AF13" s="401"/>
      <c r="AG13" s="401"/>
      <c r="AH13" s="401"/>
      <c r="AI13" s="401"/>
      <c r="AJ13" s="401"/>
      <c r="AK13" s="401"/>
      <c r="AL13" s="401"/>
      <c r="AM13" s="401"/>
      <c r="AN13" s="401"/>
      <c r="AO13" s="401"/>
      <c r="AP13" s="401"/>
      <c r="AQ13" s="401"/>
      <c r="AR13" s="401"/>
      <c r="AS13" s="401"/>
      <c r="AT13" s="401"/>
      <c r="AU13" s="401"/>
      <c r="AV13" s="401"/>
      <c r="AW13" s="401"/>
      <c r="AX13" s="401"/>
      <c r="AY13" s="401"/>
      <c r="AZ13" s="401"/>
      <c r="BA13" s="401"/>
      <c r="BB13" s="401"/>
      <c r="BC13" s="401"/>
      <c r="BD13" s="401"/>
      <c r="BE13" s="401"/>
      <c r="BF13" s="401"/>
      <c r="BG13" s="401"/>
      <c r="BH13" s="401"/>
      <c r="BI13" s="401"/>
      <c r="BJ13" s="401"/>
      <c r="BK13" s="401"/>
      <c r="BL13" s="401"/>
      <c r="BM13" s="401"/>
      <c r="BN13" s="401"/>
      <c r="BO13" s="401"/>
      <c r="BP13" s="401"/>
      <c r="BQ13" s="401"/>
      <c r="BR13" s="401"/>
      <c r="BS13" s="401"/>
      <c r="BT13" s="401"/>
      <c r="BU13" s="401"/>
      <c r="BV13" s="401"/>
      <c r="BW13" s="401"/>
      <c r="BX13" s="401"/>
      <c r="BY13" s="401"/>
      <c r="BZ13" s="401"/>
    </row>
    <row r="14" ht="15.75" customHeight="1">
      <c r="A14" s="401"/>
      <c r="B14" s="401"/>
      <c r="C14" s="401"/>
      <c r="D14" s="401"/>
      <c r="E14" s="401"/>
      <c r="F14" s="401"/>
      <c r="G14" s="401"/>
      <c r="H14" s="401"/>
      <c r="I14" s="426"/>
      <c r="J14" s="426"/>
      <c r="K14" s="426"/>
      <c r="L14" s="426"/>
      <c r="M14" s="426"/>
      <c r="N14" s="426"/>
      <c r="O14" s="426"/>
      <c r="P14" s="401"/>
      <c r="Q14" s="401"/>
      <c r="R14" s="401"/>
      <c r="S14" s="401"/>
      <c r="T14" s="401"/>
      <c r="U14" s="401"/>
      <c r="V14" s="401"/>
      <c r="W14" s="401"/>
      <c r="X14" s="401"/>
      <c r="Y14" s="401"/>
      <c r="Z14" s="401"/>
      <c r="AA14" s="401"/>
      <c r="AB14" s="401"/>
      <c r="AC14" s="401"/>
      <c r="AD14" s="401"/>
      <c r="AE14" s="401"/>
      <c r="AF14" s="401"/>
      <c r="AG14" s="401"/>
      <c r="AH14" s="401"/>
      <c r="AI14" s="401"/>
      <c r="AJ14" s="401"/>
      <c r="AK14" s="401"/>
      <c r="AL14" s="401"/>
      <c r="AM14" s="401"/>
      <c r="AN14" s="401"/>
      <c r="AO14" s="401"/>
      <c r="AP14" s="401"/>
      <c r="AQ14" s="401"/>
      <c r="AR14" s="401"/>
      <c r="AS14" s="401"/>
      <c r="AT14" s="401"/>
      <c r="AU14" s="401"/>
      <c r="AV14" s="401"/>
      <c r="AW14" s="401"/>
      <c r="AX14" s="401"/>
      <c r="AY14" s="401"/>
      <c r="AZ14" s="401"/>
      <c r="BA14" s="401"/>
      <c r="BB14" s="401"/>
      <c r="BC14" s="401"/>
      <c r="BD14" s="401"/>
      <c r="BE14" s="401"/>
      <c r="BF14" s="401"/>
      <c r="BG14" s="401"/>
      <c r="BH14" s="401"/>
      <c r="BI14" s="401"/>
      <c r="BJ14" s="401"/>
      <c r="BK14" s="401"/>
      <c r="BL14" s="401"/>
      <c r="BM14" s="401"/>
      <c r="BN14" s="401"/>
      <c r="BO14" s="401"/>
      <c r="BP14" s="401"/>
      <c r="BQ14" s="401"/>
      <c r="BR14" s="401"/>
      <c r="BS14" s="401"/>
      <c r="BT14" s="401"/>
      <c r="BU14" s="401"/>
      <c r="BV14" s="401"/>
      <c r="BW14" s="401"/>
      <c r="BX14" s="401"/>
      <c r="BY14" s="401"/>
      <c r="BZ14" s="401"/>
    </row>
    <row r="15" ht="15.75" customHeight="1">
      <c r="A15" s="427" t="s">
        <v>2937</v>
      </c>
      <c r="B15" s="5"/>
      <c r="C15" s="5"/>
      <c r="D15" s="5"/>
      <c r="E15" s="6"/>
      <c r="F15" s="428" t="s">
        <v>2938</v>
      </c>
      <c r="G15" s="5"/>
      <c r="H15" s="6"/>
      <c r="I15" s="426"/>
      <c r="J15" s="426"/>
      <c r="K15" s="426"/>
      <c r="L15" s="426"/>
      <c r="M15" s="426"/>
      <c r="N15" s="426"/>
      <c r="O15" s="426"/>
      <c r="P15" s="401"/>
      <c r="Q15" s="401"/>
      <c r="R15" s="401"/>
      <c r="S15" s="401"/>
      <c r="T15" s="401"/>
      <c r="U15" s="401"/>
      <c r="V15" s="401"/>
      <c r="W15" s="401"/>
      <c r="X15" s="401"/>
      <c r="Y15" s="401"/>
      <c r="Z15" s="401"/>
      <c r="AA15" s="401"/>
      <c r="AB15" s="401"/>
      <c r="AC15" s="401"/>
      <c r="AD15" s="401"/>
      <c r="AE15" s="401"/>
      <c r="AF15" s="401"/>
      <c r="AG15" s="401"/>
      <c r="AH15" s="401"/>
      <c r="AI15" s="401"/>
      <c r="AJ15" s="401"/>
      <c r="AK15" s="401"/>
      <c r="AL15" s="401"/>
      <c r="AM15" s="401"/>
      <c r="AN15" s="401"/>
      <c r="AO15" s="401"/>
      <c r="AP15" s="401"/>
      <c r="AQ15" s="401"/>
      <c r="AR15" s="401"/>
      <c r="AS15" s="401"/>
      <c r="AT15" s="401"/>
      <c r="AU15" s="401"/>
      <c r="AV15" s="401"/>
      <c r="AW15" s="401"/>
      <c r="AX15" s="401"/>
      <c r="AY15" s="401"/>
      <c r="AZ15" s="401"/>
      <c r="BA15" s="401"/>
      <c r="BB15" s="401"/>
      <c r="BC15" s="401"/>
      <c r="BD15" s="401"/>
      <c r="BE15" s="401"/>
      <c r="BF15" s="401"/>
      <c r="BG15" s="401"/>
      <c r="BH15" s="401"/>
      <c r="BI15" s="401"/>
      <c r="BJ15" s="401"/>
      <c r="BK15" s="401"/>
      <c r="BL15" s="401"/>
      <c r="BM15" s="401"/>
      <c r="BN15" s="401"/>
      <c r="BO15" s="401"/>
      <c r="BP15" s="401"/>
      <c r="BQ15" s="401"/>
      <c r="BR15" s="401"/>
      <c r="BS15" s="401"/>
      <c r="BT15" s="401"/>
      <c r="BU15" s="401"/>
      <c r="BV15" s="401"/>
      <c r="BW15" s="401"/>
      <c r="BX15" s="401"/>
      <c r="BY15" s="401"/>
      <c r="BZ15" s="401"/>
    </row>
    <row r="16" ht="15.75" customHeight="1">
      <c r="A16" s="429" t="s">
        <v>2939</v>
      </c>
      <c r="B16" s="430" t="s">
        <v>2940</v>
      </c>
      <c r="C16" s="430" t="s">
        <v>2926</v>
      </c>
      <c r="D16" s="430" t="s">
        <v>2941</v>
      </c>
      <c r="E16" s="430" t="s">
        <v>2942</v>
      </c>
      <c r="F16" s="382" t="s">
        <v>2916</v>
      </c>
      <c r="G16" s="382" t="s">
        <v>2941</v>
      </c>
      <c r="H16" s="382" t="s">
        <v>2943</v>
      </c>
      <c r="I16" s="431" t="s">
        <v>2944</v>
      </c>
      <c r="J16" s="431" t="s">
        <v>2945</v>
      </c>
      <c r="K16" s="426"/>
      <c r="L16" s="426"/>
      <c r="M16" s="426"/>
      <c r="N16" s="426"/>
      <c r="O16" s="426"/>
      <c r="P16" s="401"/>
      <c r="Q16" s="401"/>
      <c r="R16" s="401"/>
      <c r="S16" s="401"/>
      <c r="T16" s="401"/>
      <c r="U16" s="401"/>
      <c r="V16" s="401"/>
      <c r="W16" s="401"/>
      <c r="X16" s="401"/>
      <c r="Y16" s="401"/>
      <c r="Z16" s="401"/>
      <c r="AA16" s="401"/>
      <c r="AB16" s="401"/>
      <c r="AC16" s="401"/>
      <c r="AD16" s="401"/>
      <c r="AE16" s="401"/>
      <c r="AF16" s="401"/>
      <c r="AG16" s="401"/>
      <c r="AH16" s="401"/>
      <c r="AI16" s="401"/>
      <c r="AJ16" s="401"/>
      <c r="AK16" s="401"/>
      <c r="AL16" s="401"/>
      <c r="AM16" s="401"/>
      <c r="AN16" s="401"/>
      <c r="AO16" s="401"/>
      <c r="AP16" s="401"/>
      <c r="AQ16" s="401"/>
      <c r="AR16" s="401"/>
      <c r="AS16" s="401"/>
      <c r="AT16" s="401"/>
      <c r="AU16" s="401"/>
      <c r="AV16" s="401"/>
      <c r="AW16" s="401"/>
      <c r="AX16" s="401"/>
      <c r="AY16" s="401"/>
      <c r="AZ16" s="401"/>
      <c r="BA16" s="401"/>
      <c r="BB16" s="401"/>
      <c r="BC16" s="401"/>
      <c r="BD16" s="401"/>
      <c r="BE16" s="401"/>
      <c r="BF16" s="401"/>
      <c r="BG16" s="401"/>
      <c r="BH16" s="401"/>
      <c r="BI16" s="401"/>
      <c r="BJ16" s="401"/>
      <c r="BK16" s="401"/>
      <c r="BL16" s="401"/>
      <c r="BM16" s="401"/>
      <c r="BN16" s="401"/>
      <c r="BO16" s="401"/>
      <c r="BP16" s="401"/>
      <c r="BQ16" s="401"/>
      <c r="BR16" s="401"/>
      <c r="BS16" s="401"/>
      <c r="BT16" s="401"/>
      <c r="BU16" s="401"/>
      <c r="BV16" s="401"/>
      <c r="BW16" s="401"/>
      <c r="BX16" s="401"/>
      <c r="BY16" s="401"/>
      <c r="BZ16" s="401"/>
    </row>
    <row r="17" ht="15.75" customHeight="1">
      <c r="A17" s="311"/>
      <c r="B17" s="432" t="s">
        <v>2946</v>
      </c>
      <c r="C17" s="433"/>
      <c r="D17" s="433"/>
      <c r="E17" s="434" t="e">
        <v>#DIV/0!</v>
      </c>
      <c r="F17" s="435"/>
      <c r="G17" s="435"/>
      <c r="H17" s="435"/>
      <c r="I17" s="436">
        <v>72.0</v>
      </c>
      <c r="J17" s="437">
        <v>0.34</v>
      </c>
      <c r="K17" s="426"/>
      <c r="L17" s="426"/>
      <c r="M17" s="426"/>
      <c r="N17" s="426"/>
      <c r="O17" s="426"/>
      <c r="P17" s="401"/>
      <c r="Q17" s="401"/>
      <c r="R17" s="401"/>
      <c r="S17" s="401"/>
      <c r="T17" s="401"/>
      <c r="U17" s="401"/>
      <c r="V17" s="401"/>
      <c r="W17" s="401"/>
      <c r="X17" s="401"/>
      <c r="Y17" s="401"/>
      <c r="Z17" s="401"/>
      <c r="AA17" s="401"/>
      <c r="AB17" s="401"/>
      <c r="AC17" s="401"/>
      <c r="AD17" s="401"/>
      <c r="AE17" s="401"/>
      <c r="AF17" s="401"/>
      <c r="AG17" s="401"/>
      <c r="AH17" s="401"/>
      <c r="AI17" s="401"/>
      <c r="AJ17" s="401"/>
      <c r="AK17" s="401"/>
      <c r="AL17" s="401"/>
      <c r="AM17" s="401"/>
      <c r="AN17" s="401"/>
      <c r="AO17" s="401"/>
      <c r="AP17" s="401"/>
      <c r="AQ17" s="401"/>
      <c r="AR17" s="401"/>
      <c r="AS17" s="401"/>
      <c r="AT17" s="401"/>
      <c r="AU17" s="401"/>
      <c r="AV17" s="401"/>
      <c r="AW17" s="401"/>
      <c r="AX17" s="401"/>
      <c r="AY17" s="401"/>
      <c r="AZ17" s="401"/>
      <c r="BA17" s="401"/>
      <c r="BB17" s="401"/>
      <c r="BC17" s="401"/>
      <c r="BD17" s="401"/>
      <c r="BE17" s="401"/>
      <c r="BF17" s="401"/>
      <c r="BG17" s="401"/>
      <c r="BH17" s="401"/>
      <c r="BI17" s="401"/>
      <c r="BJ17" s="401"/>
      <c r="BK17" s="401"/>
      <c r="BL17" s="401"/>
      <c r="BM17" s="401"/>
      <c r="BN17" s="401"/>
      <c r="BO17" s="401"/>
      <c r="BP17" s="401"/>
      <c r="BQ17" s="401"/>
      <c r="BR17" s="401"/>
      <c r="BS17" s="401"/>
      <c r="BT17" s="401"/>
      <c r="BU17" s="401"/>
      <c r="BV17" s="401"/>
      <c r="BW17" s="401"/>
      <c r="BX17" s="401"/>
      <c r="BY17" s="401"/>
      <c r="BZ17" s="401"/>
    </row>
    <row r="18" ht="15.75" customHeight="1">
      <c r="A18" s="438"/>
      <c r="B18" s="432" t="s">
        <v>2624</v>
      </c>
      <c r="C18" s="433"/>
      <c r="D18" s="433"/>
      <c r="E18" s="434" t="e">
        <v>#DIV/0!</v>
      </c>
      <c r="F18" s="435"/>
      <c r="G18" s="435"/>
      <c r="H18" s="435"/>
      <c r="I18" s="436">
        <v>175.38</v>
      </c>
      <c r="J18" s="437">
        <v>0.37</v>
      </c>
      <c r="K18" s="426"/>
      <c r="L18" s="426"/>
      <c r="M18" s="426"/>
      <c r="N18" s="426"/>
      <c r="O18" s="426"/>
      <c r="P18" s="401"/>
      <c r="Q18" s="401"/>
      <c r="R18" s="401"/>
      <c r="S18" s="401"/>
      <c r="T18" s="401"/>
      <c r="U18" s="401"/>
      <c r="V18" s="401"/>
      <c r="W18" s="401"/>
      <c r="X18" s="401"/>
      <c r="Y18" s="401"/>
      <c r="Z18" s="401"/>
      <c r="AA18" s="401"/>
      <c r="AB18" s="401"/>
      <c r="AC18" s="401"/>
      <c r="AD18" s="401"/>
      <c r="AE18" s="401"/>
      <c r="AF18" s="401"/>
      <c r="AG18" s="401"/>
      <c r="AH18" s="401"/>
      <c r="AI18" s="401"/>
      <c r="AJ18" s="401"/>
      <c r="AK18" s="401"/>
      <c r="AL18" s="401"/>
      <c r="AM18" s="401"/>
      <c r="AN18" s="401"/>
      <c r="AO18" s="401"/>
      <c r="AP18" s="401"/>
      <c r="AQ18" s="401"/>
      <c r="AR18" s="401"/>
      <c r="AS18" s="401"/>
      <c r="AT18" s="401"/>
      <c r="AU18" s="401"/>
      <c r="AV18" s="401"/>
      <c r="AW18" s="401"/>
      <c r="AX18" s="401"/>
      <c r="AY18" s="401"/>
      <c r="AZ18" s="401"/>
      <c r="BA18" s="401"/>
      <c r="BB18" s="401"/>
      <c r="BC18" s="401"/>
      <c r="BD18" s="401"/>
      <c r="BE18" s="401"/>
      <c r="BF18" s="401"/>
      <c r="BG18" s="401"/>
      <c r="BH18" s="401"/>
      <c r="BI18" s="401"/>
      <c r="BJ18" s="401"/>
      <c r="BK18" s="401"/>
      <c r="BL18" s="401"/>
      <c r="BM18" s="401"/>
      <c r="BN18" s="401"/>
      <c r="BO18" s="401"/>
      <c r="BP18" s="401"/>
      <c r="BQ18" s="401"/>
      <c r="BR18" s="401"/>
      <c r="BS18" s="401"/>
      <c r="BT18" s="401"/>
      <c r="BU18" s="401"/>
      <c r="BV18" s="401"/>
      <c r="BW18" s="401"/>
      <c r="BX18" s="401"/>
      <c r="BY18" s="401"/>
      <c r="BZ18" s="401"/>
    </row>
    <row r="19" ht="15.75" customHeight="1">
      <c r="A19" s="311"/>
      <c r="B19" s="432" t="s">
        <v>2947</v>
      </c>
      <c r="C19" s="433"/>
      <c r="D19" s="433"/>
      <c r="E19" s="434" t="e">
        <v>#DIV/0!</v>
      </c>
      <c r="F19" s="435"/>
      <c r="G19" s="435"/>
      <c r="H19" s="435"/>
      <c r="I19" s="436" t="e">
        <v>#REF!</v>
      </c>
      <c r="J19" s="437" t="e">
        <v>#REF!</v>
      </c>
      <c r="K19" s="426"/>
      <c r="L19" s="426"/>
      <c r="M19" s="426"/>
      <c r="N19" s="426"/>
      <c r="O19" s="426"/>
      <c r="P19" s="401"/>
      <c r="Q19" s="401"/>
      <c r="R19" s="401"/>
      <c r="S19" s="401"/>
      <c r="T19" s="401"/>
      <c r="U19" s="401"/>
      <c r="V19" s="401"/>
      <c r="W19" s="401"/>
      <c r="X19" s="401"/>
      <c r="Y19" s="401"/>
      <c r="Z19" s="401"/>
      <c r="AA19" s="401"/>
      <c r="AB19" s="401"/>
      <c r="AC19" s="401"/>
      <c r="AD19" s="401"/>
      <c r="AE19" s="401"/>
      <c r="AF19" s="401"/>
      <c r="AG19" s="401"/>
      <c r="AH19" s="401"/>
      <c r="AI19" s="401"/>
      <c r="AJ19" s="401"/>
      <c r="AK19" s="401"/>
      <c r="AL19" s="401"/>
      <c r="AM19" s="401"/>
      <c r="AN19" s="401"/>
      <c r="AO19" s="401"/>
      <c r="AP19" s="401"/>
      <c r="AQ19" s="401"/>
      <c r="AR19" s="401"/>
      <c r="AS19" s="401"/>
      <c r="AT19" s="401"/>
      <c r="AU19" s="401"/>
      <c r="AV19" s="401"/>
      <c r="AW19" s="401"/>
      <c r="AX19" s="401"/>
      <c r="AY19" s="401"/>
      <c r="AZ19" s="401"/>
      <c r="BA19" s="401"/>
      <c r="BB19" s="401"/>
      <c r="BC19" s="401"/>
      <c r="BD19" s="401"/>
      <c r="BE19" s="401"/>
      <c r="BF19" s="401"/>
      <c r="BG19" s="401"/>
      <c r="BH19" s="401"/>
      <c r="BI19" s="401"/>
      <c r="BJ19" s="401"/>
      <c r="BK19" s="401"/>
      <c r="BL19" s="401"/>
      <c r="BM19" s="401"/>
      <c r="BN19" s="401"/>
      <c r="BO19" s="401"/>
      <c r="BP19" s="401"/>
      <c r="BQ19" s="401"/>
      <c r="BR19" s="401"/>
      <c r="BS19" s="401"/>
      <c r="BT19" s="401"/>
      <c r="BU19" s="401"/>
      <c r="BV19" s="401"/>
      <c r="BW19" s="401"/>
      <c r="BX19" s="401"/>
      <c r="BY19" s="401"/>
      <c r="BZ19" s="401"/>
    </row>
    <row r="20" ht="15.75" customHeight="1">
      <c r="A20" s="311"/>
      <c r="B20" s="432" t="s">
        <v>2627</v>
      </c>
      <c r="C20" s="433"/>
      <c r="D20" s="433"/>
      <c r="E20" s="434" t="e">
        <v>#DIV/0!</v>
      </c>
      <c r="F20" s="435"/>
      <c r="G20" s="435"/>
      <c r="H20" s="435"/>
      <c r="I20" s="436">
        <v>82.0</v>
      </c>
      <c r="J20" s="437">
        <v>0.34</v>
      </c>
      <c r="K20" s="426"/>
      <c r="L20" s="426"/>
      <c r="M20" s="426"/>
      <c r="N20" s="426"/>
      <c r="O20" s="426"/>
      <c r="P20" s="401"/>
      <c r="Q20" s="401"/>
      <c r="R20" s="401"/>
      <c r="S20" s="401"/>
      <c r="T20" s="401"/>
      <c r="U20" s="401"/>
      <c r="V20" s="401"/>
      <c r="W20" s="401"/>
      <c r="X20" s="401"/>
      <c r="Y20" s="401"/>
      <c r="Z20" s="401"/>
      <c r="AA20" s="401"/>
      <c r="AB20" s="401"/>
      <c r="AC20" s="401"/>
      <c r="AD20" s="401"/>
      <c r="AE20" s="401"/>
      <c r="AF20" s="401"/>
      <c r="AG20" s="401"/>
      <c r="AH20" s="401"/>
      <c r="AI20" s="401"/>
      <c r="AJ20" s="401"/>
      <c r="AK20" s="401"/>
      <c r="AL20" s="401"/>
      <c r="AM20" s="401"/>
      <c r="AN20" s="401"/>
      <c r="AO20" s="401"/>
      <c r="AP20" s="401"/>
      <c r="AQ20" s="401"/>
      <c r="AR20" s="401"/>
      <c r="AS20" s="401"/>
      <c r="AT20" s="401"/>
      <c r="AU20" s="401"/>
      <c r="AV20" s="401"/>
      <c r="AW20" s="401"/>
      <c r="AX20" s="401"/>
      <c r="AY20" s="401"/>
      <c r="AZ20" s="401"/>
      <c r="BA20" s="401"/>
      <c r="BB20" s="401"/>
      <c r="BC20" s="401"/>
      <c r="BD20" s="401"/>
      <c r="BE20" s="401"/>
      <c r="BF20" s="401"/>
      <c r="BG20" s="401"/>
      <c r="BH20" s="401"/>
      <c r="BI20" s="401"/>
      <c r="BJ20" s="401"/>
      <c r="BK20" s="401"/>
      <c r="BL20" s="401"/>
      <c r="BM20" s="401"/>
      <c r="BN20" s="401"/>
      <c r="BO20" s="401"/>
      <c r="BP20" s="401"/>
      <c r="BQ20" s="401"/>
      <c r="BR20" s="401"/>
      <c r="BS20" s="401"/>
      <c r="BT20" s="401"/>
      <c r="BU20" s="401"/>
      <c r="BV20" s="401"/>
      <c r="BW20" s="401"/>
      <c r="BX20" s="401"/>
      <c r="BY20" s="401"/>
      <c r="BZ20" s="401"/>
    </row>
    <row r="21" ht="15.75" customHeight="1">
      <c r="A21" s="311"/>
      <c r="B21" s="432" t="s">
        <v>2622</v>
      </c>
      <c r="C21" s="433"/>
      <c r="D21" s="433"/>
      <c r="E21" s="434" t="e">
        <v>#DIV/0!</v>
      </c>
      <c r="F21" s="435"/>
      <c r="G21" s="435"/>
      <c r="H21" s="435"/>
      <c r="I21" s="436">
        <v>125.0</v>
      </c>
      <c r="J21" s="437">
        <v>0.25</v>
      </c>
      <c r="K21" s="426"/>
      <c r="L21" s="426"/>
      <c r="M21" s="426"/>
      <c r="N21" s="426"/>
      <c r="O21" s="426"/>
      <c r="P21" s="401"/>
      <c r="Q21" s="401"/>
      <c r="R21" s="401"/>
      <c r="S21" s="401"/>
      <c r="T21" s="401"/>
      <c r="U21" s="401"/>
      <c r="V21" s="401"/>
      <c r="W21" s="401"/>
      <c r="X21" s="401"/>
      <c r="Y21" s="401"/>
      <c r="Z21" s="401"/>
      <c r="AA21" s="401"/>
      <c r="AB21" s="401"/>
      <c r="AC21" s="401"/>
      <c r="AD21" s="401"/>
      <c r="AE21" s="401"/>
      <c r="AF21" s="401"/>
      <c r="AG21" s="401"/>
      <c r="AH21" s="401"/>
      <c r="AI21" s="401"/>
      <c r="AJ21" s="401"/>
      <c r="AK21" s="401"/>
      <c r="AL21" s="401"/>
      <c r="AM21" s="401"/>
      <c r="AN21" s="401"/>
      <c r="AO21" s="401"/>
      <c r="AP21" s="401"/>
      <c r="AQ21" s="401"/>
      <c r="AR21" s="401"/>
      <c r="AS21" s="401"/>
      <c r="AT21" s="401"/>
      <c r="AU21" s="401"/>
      <c r="AV21" s="401"/>
      <c r="AW21" s="401"/>
      <c r="AX21" s="401"/>
      <c r="AY21" s="401"/>
      <c r="AZ21" s="401"/>
      <c r="BA21" s="401"/>
      <c r="BB21" s="401"/>
      <c r="BC21" s="401"/>
      <c r="BD21" s="401"/>
      <c r="BE21" s="401"/>
      <c r="BF21" s="401"/>
      <c r="BG21" s="401"/>
      <c r="BH21" s="401"/>
      <c r="BI21" s="401"/>
      <c r="BJ21" s="401"/>
      <c r="BK21" s="401"/>
      <c r="BL21" s="401"/>
      <c r="BM21" s="401"/>
      <c r="BN21" s="401"/>
      <c r="BO21" s="401"/>
      <c r="BP21" s="401"/>
      <c r="BQ21" s="401"/>
      <c r="BR21" s="401"/>
      <c r="BS21" s="401"/>
      <c r="BT21" s="401"/>
      <c r="BU21" s="401"/>
      <c r="BV21" s="401"/>
      <c r="BW21" s="401"/>
      <c r="BX21" s="401"/>
      <c r="BY21" s="401"/>
      <c r="BZ21" s="401"/>
    </row>
    <row r="22" ht="15.75" customHeight="1">
      <c r="A22" s="311"/>
      <c r="B22" s="432" t="s">
        <v>2948</v>
      </c>
      <c r="C22" s="433"/>
      <c r="D22" s="433"/>
      <c r="E22" s="434" t="e">
        <v>#DIV/0!</v>
      </c>
      <c r="F22" s="435"/>
      <c r="G22" s="435"/>
      <c r="H22" s="435"/>
      <c r="I22" s="436">
        <v>92.0</v>
      </c>
      <c r="J22" s="437">
        <v>0.4</v>
      </c>
      <c r="K22" s="426"/>
      <c r="L22" s="426"/>
      <c r="M22" s="426"/>
      <c r="N22" s="426"/>
      <c r="O22" s="426"/>
      <c r="P22" s="401"/>
      <c r="Q22" s="401"/>
      <c r="R22" s="401"/>
      <c r="S22" s="401"/>
      <c r="T22" s="401"/>
      <c r="U22" s="401"/>
      <c r="V22" s="401"/>
      <c r="W22" s="401"/>
      <c r="X22" s="401"/>
      <c r="Y22" s="401"/>
      <c r="Z22" s="401"/>
      <c r="AA22" s="401"/>
      <c r="AB22" s="401"/>
      <c r="AC22" s="401"/>
      <c r="AD22" s="401"/>
      <c r="AE22" s="401"/>
      <c r="AF22" s="401"/>
      <c r="AG22" s="401"/>
      <c r="AH22" s="401"/>
      <c r="AI22" s="401"/>
      <c r="AJ22" s="401"/>
      <c r="AK22" s="401"/>
      <c r="AL22" s="401"/>
      <c r="AM22" s="401"/>
      <c r="AN22" s="401"/>
      <c r="AO22" s="401"/>
      <c r="AP22" s="401"/>
      <c r="AQ22" s="401"/>
      <c r="AR22" s="401"/>
      <c r="AS22" s="401"/>
      <c r="AT22" s="401"/>
      <c r="AU22" s="401"/>
      <c r="AV22" s="401"/>
      <c r="AW22" s="401"/>
      <c r="AX22" s="401"/>
      <c r="AY22" s="401"/>
      <c r="AZ22" s="401"/>
      <c r="BA22" s="401"/>
      <c r="BB22" s="401"/>
      <c r="BC22" s="401"/>
      <c r="BD22" s="401"/>
      <c r="BE22" s="401"/>
      <c r="BF22" s="401"/>
      <c r="BG22" s="401"/>
      <c r="BH22" s="401"/>
      <c r="BI22" s="401"/>
      <c r="BJ22" s="401"/>
      <c r="BK22" s="401"/>
      <c r="BL22" s="401"/>
      <c r="BM22" s="401"/>
      <c r="BN22" s="401"/>
      <c r="BO22" s="401"/>
      <c r="BP22" s="401"/>
      <c r="BQ22" s="401"/>
      <c r="BR22" s="401"/>
      <c r="BS22" s="401"/>
      <c r="BT22" s="401"/>
      <c r="BU22" s="401"/>
      <c r="BV22" s="401"/>
      <c r="BW22" s="401"/>
      <c r="BX22" s="401"/>
      <c r="BY22" s="401"/>
      <c r="BZ22" s="401"/>
    </row>
    <row r="23" ht="15.75" customHeight="1">
      <c r="A23" s="311"/>
      <c r="B23" s="432" t="s">
        <v>2949</v>
      </c>
      <c r="C23" s="433"/>
      <c r="D23" s="433"/>
      <c r="E23" s="434" t="e">
        <v>#DIV/0!</v>
      </c>
      <c r="F23" s="435"/>
      <c r="G23" s="435"/>
      <c r="H23" s="435"/>
      <c r="I23" s="436">
        <v>15.659999999999998</v>
      </c>
      <c r="J23" s="437">
        <v>0.58</v>
      </c>
      <c r="K23" s="426"/>
      <c r="L23" s="426"/>
      <c r="M23" s="426"/>
      <c r="N23" s="426"/>
      <c r="O23" s="426"/>
      <c r="P23" s="401"/>
      <c r="Q23" s="401"/>
      <c r="R23" s="401"/>
      <c r="S23" s="401"/>
      <c r="T23" s="401"/>
      <c r="U23" s="401"/>
      <c r="V23" s="401"/>
      <c r="W23" s="401"/>
      <c r="X23" s="401"/>
      <c r="Y23" s="401"/>
      <c r="Z23" s="401"/>
      <c r="AA23" s="401"/>
      <c r="AB23" s="401"/>
      <c r="AC23" s="401"/>
      <c r="AD23" s="401"/>
      <c r="AE23" s="401"/>
      <c r="AF23" s="401"/>
      <c r="AG23" s="401"/>
      <c r="AH23" s="401"/>
      <c r="AI23" s="401"/>
      <c r="AJ23" s="401"/>
      <c r="AK23" s="401"/>
      <c r="AL23" s="401"/>
      <c r="AM23" s="401"/>
      <c r="AN23" s="401"/>
      <c r="AO23" s="401"/>
      <c r="AP23" s="401"/>
      <c r="AQ23" s="401"/>
      <c r="AR23" s="401"/>
      <c r="AS23" s="401"/>
      <c r="AT23" s="401"/>
      <c r="AU23" s="401"/>
      <c r="AV23" s="401"/>
      <c r="AW23" s="401"/>
      <c r="AX23" s="401"/>
      <c r="AY23" s="401"/>
      <c r="AZ23" s="401"/>
      <c r="BA23" s="401"/>
      <c r="BB23" s="401"/>
      <c r="BC23" s="401"/>
      <c r="BD23" s="401"/>
      <c r="BE23" s="401"/>
      <c r="BF23" s="401"/>
      <c r="BG23" s="401"/>
      <c r="BH23" s="401"/>
      <c r="BI23" s="401"/>
      <c r="BJ23" s="401"/>
      <c r="BK23" s="401"/>
      <c r="BL23" s="401"/>
      <c r="BM23" s="401"/>
      <c r="BN23" s="401"/>
      <c r="BO23" s="401"/>
      <c r="BP23" s="401"/>
      <c r="BQ23" s="401"/>
      <c r="BR23" s="401"/>
      <c r="BS23" s="401"/>
      <c r="BT23" s="401"/>
      <c r="BU23" s="401"/>
      <c r="BV23" s="401"/>
      <c r="BW23" s="401"/>
      <c r="BX23" s="401"/>
      <c r="BY23" s="401"/>
      <c r="BZ23" s="401"/>
    </row>
    <row r="24" ht="15.75" customHeight="1">
      <c r="A24" s="311"/>
      <c r="B24" s="432" t="s">
        <v>2950</v>
      </c>
      <c r="C24" s="433"/>
      <c r="D24" s="433"/>
      <c r="E24" s="434" t="e">
        <v>#DIV/0!</v>
      </c>
      <c r="F24" s="435"/>
      <c r="G24" s="435"/>
      <c r="H24" s="435"/>
      <c r="I24" s="436">
        <v>56.7</v>
      </c>
      <c r="J24" s="437">
        <v>0.54</v>
      </c>
      <c r="K24" s="426"/>
      <c r="L24" s="426"/>
      <c r="M24" s="426"/>
      <c r="N24" s="426"/>
      <c r="O24" s="426"/>
      <c r="P24" s="401"/>
      <c r="Q24" s="401"/>
      <c r="R24" s="401"/>
      <c r="S24" s="401"/>
      <c r="T24" s="401"/>
      <c r="U24" s="401"/>
      <c r="V24" s="401"/>
      <c r="W24" s="401"/>
      <c r="X24" s="401"/>
      <c r="Y24" s="401"/>
      <c r="Z24" s="401"/>
      <c r="AA24" s="401"/>
      <c r="AB24" s="401"/>
      <c r="AC24" s="401"/>
      <c r="AD24" s="401"/>
      <c r="AE24" s="401"/>
      <c r="AF24" s="401"/>
      <c r="AG24" s="401"/>
      <c r="AH24" s="401"/>
      <c r="AI24" s="401"/>
      <c r="AJ24" s="401"/>
      <c r="AK24" s="401"/>
      <c r="AL24" s="401"/>
      <c r="AM24" s="401"/>
      <c r="AN24" s="401"/>
      <c r="AO24" s="401"/>
      <c r="AP24" s="401"/>
      <c r="AQ24" s="401"/>
      <c r="AR24" s="401"/>
      <c r="AS24" s="401"/>
      <c r="AT24" s="401"/>
      <c r="AU24" s="401"/>
      <c r="AV24" s="401"/>
      <c r="AW24" s="401"/>
      <c r="AX24" s="401"/>
      <c r="AY24" s="401"/>
      <c r="AZ24" s="401"/>
      <c r="BA24" s="401"/>
      <c r="BB24" s="401"/>
      <c r="BC24" s="401"/>
      <c r="BD24" s="401"/>
      <c r="BE24" s="401"/>
      <c r="BF24" s="401"/>
      <c r="BG24" s="401"/>
      <c r="BH24" s="401"/>
      <c r="BI24" s="401"/>
      <c r="BJ24" s="401"/>
      <c r="BK24" s="401"/>
      <c r="BL24" s="401"/>
      <c r="BM24" s="401"/>
      <c r="BN24" s="401"/>
      <c r="BO24" s="401"/>
      <c r="BP24" s="401"/>
      <c r="BQ24" s="401"/>
      <c r="BR24" s="401"/>
      <c r="BS24" s="401"/>
      <c r="BT24" s="401"/>
      <c r="BU24" s="401"/>
      <c r="BV24" s="401"/>
      <c r="BW24" s="401"/>
      <c r="BX24" s="401"/>
      <c r="BY24" s="401"/>
      <c r="BZ24" s="401"/>
    </row>
    <row r="25" ht="15.75" customHeight="1">
      <c r="A25" s="311"/>
      <c r="B25" s="439" t="s">
        <v>892</v>
      </c>
      <c r="C25" s="440">
        <f t="shared" ref="C25:D25" si="5">SUM(C17:C24)</f>
        <v>0</v>
      </c>
      <c r="D25" s="440">
        <f t="shared" si="5"/>
        <v>0</v>
      </c>
      <c r="E25" s="434">
        <v>0.3333333333333333</v>
      </c>
      <c r="F25" s="441">
        <v>88.0</v>
      </c>
      <c r="G25" s="441">
        <v>3.0</v>
      </c>
      <c r="H25" s="441">
        <v>0.0</v>
      </c>
      <c r="I25" s="431">
        <v>619.2</v>
      </c>
      <c r="J25" s="437">
        <v>0.4</v>
      </c>
      <c r="K25" s="426"/>
      <c r="L25" s="426"/>
      <c r="M25" s="426"/>
      <c r="N25" s="426"/>
      <c r="O25" s="426"/>
      <c r="P25" s="401"/>
      <c r="Q25" s="401"/>
      <c r="R25" s="401"/>
      <c r="S25" s="401"/>
      <c r="T25" s="401"/>
      <c r="U25" s="401"/>
      <c r="V25" s="401"/>
      <c r="W25" s="401"/>
      <c r="X25" s="401"/>
      <c r="Y25" s="401"/>
      <c r="Z25" s="401"/>
      <c r="AA25" s="401"/>
      <c r="AB25" s="401"/>
      <c r="AC25" s="401"/>
      <c r="AD25" s="401"/>
      <c r="AE25" s="401"/>
      <c r="AF25" s="401"/>
      <c r="AG25" s="401"/>
      <c r="AH25" s="401"/>
      <c r="AI25" s="401"/>
      <c r="AJ25" s="401"/>
      <c r="AK25" s="401"/>
      <c r="AL25" s="401"/>
      <c r="AM25" s="401"/>
      <c r="AN25" s="401"/>
      <c r="AO25" s="401"/>
      <c r="AP25" s="401"/>
      <c r="AQ25" s="401"/>
      <c r="AR25" s="401"/>
      <c r="AS25" s="401"/>
      <c r="AT25" s="401"/>
      <c r="AU25" s="401"/>
      <c r="AV25" s="401"/>
      <c r="AW25" s="401"/>
      <c r="AX25" s="401"/>
      <c r="AY25" s="401"/>
      <c r="AZ25" s="401"/>
      <c r="BA25" s="401"/>
      <c r="BB25" s="401"/>
      <c r="BC25" s="401"/>
      <c r="BD25" s="401"/>
      <c r="BE25" s="401"/>
      <c r="BF25" s="401"/>
      <c r="BG25" s="401"/>
      <c r="BH25" s="401"/>
      <c r="BI25" s="401"/>
      <c r="BJ25" s="401"/>
      <c r="BK25" s="401"/>
      <c r="BL25" s="401"/>
      <c r="BM25" s="401"/>
      <c r="BN25" s="401"/>
      <c r="BO25" s="401"/>
      <c r="BP25" s="401"/>
      <c r="BQ25" s="401"/>
      <c r="BR25" s="401"/>
      <c r="BS25" s="401"/>
      <c r="BT25" s="401"/>
      <c r="BU25" s="401"/>
      <c r="BV25" s="401"/>
      <c r="BW25" s="401"/>
      <c r="BX25" s="401"/>
      <c r="BY25" s="401"/>
      <c r="BZ25" s="401"/>
    </row>
    <row r="26" ht="15.75" customHeight="1">
      <c r="A26" s="401"/>
      <c r="B26" s="401"/>
      <c r="C26" s="442">
        <v>1500.0</v>
      </c>
      <c r="D26" s="442">
        <v>100.0</v>
      </c>
      <c r="E26" s="401"/>
      <c r="F26" s="401"/>
      <c r="G26" s="401"/>
      <c r="H26" s="401"/>
      <c r="I26" s="426"/>
      <c r="J26" s="426"/>
      <c r="K26" s="426"/>
      <c r="L26" s="426"/>
      <c r="M26" s="426"/>
      <c r="N26" s="426"/>
      <c r="O26" s="426"/>
      <c r="P26" s="401"/>
      <c r="Q26" s="401"/>
      <c r="R26" s="401"/>
      <c r="S26" s="401"/>
      <c r="T26" s="401"/>
      <c r="U26" s="401"/>
      <c r="V26" s="401"/>
      <c r="W26" s="401"/>
      <c r="X26" s="401"/>
      <c r="Y26" s="401"/>
      <c r="Z26" s="401"/>
      <c r="AA26" s="401"/>
      <c r="AB26" s="401"/>
      <c r="AC26" s="401"/>
      <c r="AD26" s="401"/>
      <c r="AE26" s="401"/>
      <c r="AF26" s="401"/>
      <c r="AG26" s="401"/>
      <c r="AH26" s="401"/>
      <c r="AI26" s="401"/>
      <c r="AJ26" s="401"/>
      <c r="AK26" s="401"/>
      <c r="AL26" s="401"/>
      <c r="AM26" s="401"/>
      <c r="AN26" s="401"/>
      <c r="AO26" s="401"/>
      <c r="AP26" s="401"/>
      <c r="AQ26" s="401"/>
      <c r="AR26" s="401"/>
      <c r="AS26" s="401"/>
      <c r="AT26" s="401"/>
      <c r="AU26" s="401"/>
      <c r="AV26" s="401"/>
      <c r="AW26" s="401"/>
      <c r="AX26" s="401"/>
      <c r="AY26" s="401"/>
      <c r="AZ26" s="401"/>
      <c r="BA26" s="401"/>
      <c r="BB26" s="401"/>
      <c r="BC26" s="401"/>
      <c r="BD26" s="401"/>
      <c r="BE26" s="401"/>
      <c r="BF26" s="401"/>
      <c r="BG26" s="401"/>
      <c r="BH26" s="401"/>
      <c r="BI26" s="401"/>
      <c r="BJ26" s="401"/>
      <c r="BK26" s="401"/>
      <c r="BL26" s="401"/>
      <c r="BM26" s="401"/>
      <c r="BN26" s="401"/>
      <c r="BO26" s="401"/>
      <c r="BP26" s="401"/>
      <c r="BQ26" s="401"/>
      <c r="BR26" s="401"/>
      <c r="BS26" s="401"/>
      <c r="BT26" s="401"/>
      <c r="BU26" s="401"/>
      <c r="BV26" s="401"/>
      <c r="BW26" s="401"/>
      <c r="BX26" s="401"/>
      <c r="BY26" s="401"/>
      <c r="BZ26" s="401"/>
    </row>
    <row r="27" ht="15.75" customHeight="1">
      <c r="A27" s="401"/>
      <c r="B27" s="401"/>
      <c r="C27" s="401"/>
      <c r="D27" s="401"/>
      <c r="E27" s="401"/>
      <c r="F27" s="401"/>
      <c r="G27" s="401"/>
      <c r="H27" s="401"/>
      <c r="I27" s="426"/>
      <c r="J27" s="426"/>
      <c r="K27" s="426"/>
      <c r="L27" s="426"/>
      <c r="M27" s="426"/>
      <c r="N27" s="426"/>
      <c r="O27" s="426"/>
      <c r="P27" s="401"/>
      <c r="Q27" s="401"/>
      <c r="R27" s="401"/>
      <c r="S27" s="401"/>
      <c r="T27" s="401"/>
      <c r="U27" s="401"/>
      <c r="V27" s="401"/>
      <c r="W27" s="401"/>
      <c r="X27" s="401"/>
      <c r="Y27" s="401"/>
      <c r="Z27" s="401"/>
      <c r="AA27" s="401"/>
      <c r="AB27" s="401"/>
      <c r="AC27" s="401"/>
      <c r="AD27" s="401"/>
      <c r="AE27" s="401"/>
      <c r="AF27" s="401"/>
      <c r="AG27" s="401"/>
      <c r="AH27" s="401"/>
      <c r="AI27" s="401"/>
      <c r="AJ27" s="401"/>
      <c r="AK27" s="401"/>
      <c r="AL27" s="401"/>
      <c r="AM27" s="401"/>
      <c r="AN27" s="401"/>
      <c r="AO27" s="401"/>
      <c r="AP27" s="401"/>
      <c r="AQ27" s="401"/>
      <c r="AR27" s="401"/>
      <c r="AS27" s="401"/>
      <c r="AT27" s="401"/>
      <c r="AU27" s="401"/>
      <c r="AV27" s="401"/>
      <c r="AW27" s="401"/>
      <c r="AX27" s="401"/>
      <c r="AY27" s="401"/>
      <c r="AZ27" s="401"/>
      <c r="BA27" s="401"/>
      <c r="BB27" s="401"/>
      <c r="BC27" s="401"/>
      <c r="BD27" s="401"/>
      <c r="BE27" s="401"/>
      <c r="BF27" s="401"/>
      <c r="BG27" s="401"/>
      <c r="BH27" s="401"/>
      <c r="BI27" s="401"/>
      <c r="BJ27" s="401"/>
      <c r="BK27" s="401"/>
      <c r="BL27" s="401"/>
      <c r="BM27" s="401"/>
      <c r="BN27" s="401"/>
      <c r="BO27" s="401"/>
      <c r="BP27" s="401"/>
      <c r="BQ27" s="401"/>
      <c r="BR27" s="401"/>
      <c r="BS27" s="401"/>
      <c r="BT27" s="401"/>
      <c r="BU27" s="401"/>
      <c r="BV27" s="401"/>
      <c r="BW27" s="401"/>
      <c r="BX27" s="401"/>
      <c r="BY27" s="401"/>
      <c r="BZ27" s="401"/>
    </row>
    <row r="28" ht="15.75" customHeight="1">
      <c r="A28" s="443" t="s">
        <v>2951</v>
      </c>
      <c r="B28" s="401"/>
      <c r="C28" s="401"/>
      <c r="D28" s="401"/>
      <c r="E28" s="401"/>
      <c r="F28" s="401"/>
      <c r="G28" s="401"/>
      <c r="H28" s="401"/>
      <c r="I28" s="444" t="s">
        <v>2952</v>
      </c>
      <c r="J28" s="445"/>
      <c r="K28" s="445"/>
      <c r="L28" s="445"/>
      <c r="M28" s="445"/>
      <c r="N28" s="445"/>
      <c r="O28" s="446"/>
      <c r="P28" s="401"/>
      <c r="Q28" s="401"/>
      <c r="R28" s="401"/>
      <c r="S28" s="401"/>
      <c r="T28" s="401"/>
      <c r="U28" s="401"/>
      <c r="V28" s="401"/>
      <c r="W28" s="401"/>
      <c r="X28" s="401"/>
      <c r="Y28" s="401"/>
      <c r="Z28" s="401"/>
      <c r="AA28" s="401"/>
      <c r="AB28" s="401"/>
      <c r="AC28" s="401"/>
      <c r="AD28" s="401"/>
      <c r="AE28" s="401"/>
      <c r="AF28" s="401"/>
      <c r="AG28" s="401"/>
      <c r="AH28" s="401"/>
      <c r="AI28" s="401"/>
      <c r="AJ28" s="401"/>
      <c r="AK28" s="401"/>
      <c r="AL28" s="401"/>
      <c r="AM28" s="401"/>
      <c r="AN28" s="401"/>
      <c r="AO28" s="401"/>
      <c r="AP28" s="401"/>
      <c r="AQ28" s="401"/>
      <c r="AR28" s="401"/>
      <c r="AS28" s="401"/>
      <c r="AT28" s="401"/>
      <c r="AU28" s="401"/>
      <c r="AV28" s="401"/>
      <c r="AW28" s="401"/>
      <c r="AX28" s="401"/>
      <c r="AY28" s="401"/>
      <c r="AZ28" s="401"/>
      <c r="BA28" s="401"/>
      <c r="BB28" s="401"/>
      <c r="BC28" s="401"/>
      <c r="BD28" s="401"/>
      <c r="BE28" s="401"/>
      <c r="BF28" s="401"/>
      <c r="BG28" s="401"/>
      <c r="BH28" s="401"/>
      <c r="BI28" s="401"/>
      <c r="BJ28" s="401"/>
      <c r="BK28" s="401"/>
      <c r="BL28" s="401"/>
      <c r="BM28" s="401"/>
      <c r="BN28" s="401"/>
      <c r="BO28" s="401"/>
      <c r="BP28" s="401"/>
      <c r="BQ28" s="401"/>
      <c r="BR28" s="401"/>
      <c r="BS28" s="401"/>
      <c r="BT28" s="401"/>
      <c r="BU28" s="401"/>
      <c r="BV28" s="401"/>
      <c r="BW28" s="401"/>
      <c r="BX28" s="401"/>
      <c r="BY28" s="401"/>
      <c r="BZ28" s="401"/>
    </row>
    <row r="29" ht="15.75" customHeight="1">
      <c r="A29" s="447"/>
      <c r="B29" s="445"/>
      <c r="C29" s="445"/>
      <c r="D29" s="445"/>
      <c r="E29" s="446"/>
      <c r="F29" s="448" t="s">
        <v>2938</v>
      </c>
      <c r="G29" s="5"/>
      <c r="H29" s="6"/>
      <c r="I29" s="449" t="s">
        <v>2953</v>
      </c>
      <c r="J29" s="449" t="s">
        <v>2954</v>
      </c>
      <c r="K29" s="449" t="s">
        <v>2955</v>
      </c>
      <c r="L29" s="449" t="s">
        <v>2956</v>
      </c>
      <c r="M29" s="449" t="s">
        <v>2957</v>
      </c>
      <c r="N29" s="449" t="s">
        <v>2958</v>
      </c>
      <c r="O29" s="449" t="s">
        <v>2959</v>
      </c>
      <c r="P29" s="450"/>
      <c r="Q29" s="450"/>
      <c r="R29" s="450"/>
      <c r="S29" s="450"/>
      <c r="T29" s="450"/>
      <c r="U29" s="450"/>
      <c r="V29" s="450"/>
      <c r="W29" s="450"/>
      <c r="X29" s="450"/>
      <c r="Y29" s="450"/>
      <c r="Z29" s="450"/>
      <c r="AA29" s="450"/>
      <c r="AB29" s="450"/>
      <c r="AC29" s="450"/>
      <c r="AD29" s="450"/>
      <c r="AE29" s="450"/>
      <c r="AF29" s="450"/>
      <c r="AG29" s="450"/>
      <c r="AH29" s="450"/>
      <c r="AI29" s="450"/>
      <c r="AJ29" s="450"/>
      <c r="AK29" s="450"/>
      <c r="AL29" s="450"/>
      <c r="AM29" s="450"/>
      <c r="AN29" s="450"/>
      <c r="AO29" s="450"/>
      <c r="AP29" s="450"/>
      <c r="AQ29" s="450"/>
      <c r="AR29" s="450"/>
      <c r="AS29" s="450"/>
      <c r="AT29" s="450"/>
      <c r="AU29" s="450"/>
      <c r="AV29" s="450"/>
      <c r="AW29" s="450"/>
      <c r="AX29" s="450"/>
      <c r="AY29" s="450"/>
      <c r="AZ29" s="450"/>
      <c r="BA29" s="450"/>
      <c r="BB29" s="450"/>
      <c r="BC29" s="450"/>
      <c r="BD29" s="450"/>
      <c r="BE29" s="450"/>
      <c r="BF29" s="450"/>
      <c r="BG29" s="450"/>
      <c r="BH29" s="450"/>
      <c r="BI29" s="450"/>
      <c r="BJ29" s="450"/>
      <c r="BK29" s="450"/>
      <c r="BL29" s="450"/>
      <c r="BM29" s="450"/>
      <c r="BN29" s="450"/>
      <c r="BO29" s="450"/>
      <c r="BP29" s="450"/>
      <c r="BQ29" s="450"/>
      <c r="BR29" s="450"/>
      <c r="BS29" s="450"/>
      <c r="BT29" s="450"/>
      <c r="BU29" s="450"/>
      <c r="BV29" s="450"/>
      <c r="BW29" s="450"/>
      <c r="BX29" s="450"/>
      <c r="BY29" s="450"/>
      <c r="BZ29" s="450"/>
    </row>
    <row r="30" ht="15.75" customHeight="1">
      <c r="A30" s="451" t="s">
        <v>2960</v>
      </c>
      <c r="B30" s="452" t="s">
        <v>2940</v>
      </c>
      <c r="C30" s="452" t="s">
        <v>2926</v>
      </c>
      <c r="D30" s="452" t="s">
        <v>2941</v>
      </c>
      <c r="E30" s="452" t="s">
        <v>2942</v>
      </c>
      <c r="F30" s="453" t="s">
        <v>2916</v>
      </c>
      <c r="G30" s="453" t="s">
        <v>2961</v>
      </c>
      <c r="H30" s="453" t="s">
        <v>2943</v>
      </c>
      <c r="I30" s="16"/>
      <c r="J30" s="16"/>
      <c r="K30" s="16"/>
      <c r="L30" s="16"/>
      <c r="M30" s="16"/>
      <c r="N30" s="16"/>
      <c r="O30" s="16"/>
      <c r="P30" s="450"/>
      <c r="Q30" s="450"/>
      <c r="R30" s="450"/>
      <c r="S30" s="450"/>
      <c r="T30" s="450"/>
      <c r="U30" s="450"/>
      <c r="V30" s="450"/>
      <c r="W30" s="450"/>
      <c r="X30" s="450"/>
      <c r="Y30" s="450"/>
      <c r="Z30" s="450"/>
      <c r="AA30" s="450"/>
      <c r="AB30" s="450"/>
      <c r="AC30" s="450"/>
      <c r="AD30" s="450"/>
      <c r="AE30" s="450"/>
      <c r="AF30" s="450"/>
      <c r="AG30" s="450"/>
      <c r="AH30" s="450"/>
      <c r="AI30" s="450"/>
      <c r="AJ30" s="450"/>
      <c r="AK30" s="450"/>
      <c r="AL30" s="450"/>
      <c r="AM30" s="450"/>
      <c r="AN30" s="450"/>
      <c r="AO30" s="450"/>
      <c r="AP30" s="450"/>
      <c r="AQ30" s="450"/>
      <c r="AR30" s="450"/>
      <c r="AS30" s="450"/>
      <c r="AT30" s="450"/>
      <c r="AU30" s="450"/>
      <c r="AV30" s="450"/>
      <c r="AW30" s="450"/>
      <c r="AX30" s="450"/>
      <c r="AY30" s="450"/>
      <c r="AZ30" s="450"/>
      <c r="BA30" s="450"/>
      <c r="BB30" s="450"/>
      <c r="BC30" s="450"/>
      <c r="BD30" s="450"/>
      <c r="BE30" s="450"/>
      <c r="BF30" s="450"/>
      <c r="BG30" s="450"/>
      <c r="BH30" s="450"/>
      <c r="BI30" s="450"/>
      <c r="BJ30" s="450"/>
      <c r="BK30" s="450"/>
      <c r="BL30" s="450"/>
      <c r="BM30" s="450"/>
      <c r="BN30" s="450"/>
      <c r="BO30" s="450"/>
      <c r="BP30" s="450"/>
      <c r="BQ30" s="450"/>
      <c r="BR30" s="450"/>
      <c r="BS30" s="450"/>
      <c r="BT30" s="450"/>
      <c r="BU30" s="450"/>
      <c r="BV30" s="450"/>
      <c r="BW30" s="450"/>
      <c r="BX30" s="450"/>
      <c r="BY30" s="450"/>
      <c r="BZ30" s="450"/>
    </row>
    <row r="31" ht="15.75" customHeight="1">
      <c r="A31" s="454"/>
      <c r="B31" s="455" t="s">
        <v>2946</v>
      </c>
      <c r="C31" s="433"/>
      <c r="D31" s="433"/>
      <c r="E31" s="434" t="str">
        <f t="shared" ref="E31:E39" si="6">D31/C31</f>
        <v>#DIV/0!</v>
      </c>
      <c r="F31" s="435">
        <f t="shared" ref="F31:F38" si="7">SUM(I31:O31)</f>
        <v>10</v>
      </c>
      <c r="G31" s="435">
        <v>1.0</v>
      </c>
      <c r="H31" s="435"/>
      <c r="I31" s="435">
        <v>7.0</v>
      </c>
      <c r="J31" s="435">
        <v>3.0</v>
      </c>
      <c r="K31" s="435"/>
      <c r="L31" s="435"/>
      <c r="M31" s="435"/>
      <c r="N31" s="435"/>
      <c r="O31" s="435"/>
      <c r="P31" s="401"/>
      <c r="Q31" s="401"/>
      <c r="R31" s="401"/>
      <c r="S31" s="401"/>
      <c r="T31" s="401"/>
      <c r="U31" s="401"/>
      <c r="V31" s="401"/>
      <c r="W31" s="401"/>
      <c r="X31" s="401"/>
      <c r="Y31" s="401"/>
      <c r="Z31" s="401"/>
      <c r="AA31" s="401"/>
      <c r="AB31" s="401"/>
      <c r="AC31" s="401"/>
      <c r="AD31" s="401"/>
      <c r="AE31" s="401"/>
      <c r="AF31" s="401"/>
      <c r="AG31" s="401"/>
      <c r="AH31" s="401"/>
      <c r="AI31" s="401"/>
      <c r="AJ31" s="401"/>
      <c r="AK31" s="401"/>
      <c r="AL31" s="401"/>
      <c r="AM31" s="401"/>
      <c r="AN31" s="401"/>
      <c r="AO31" s="401"/>
      <c r="AP31" s="401"/>
      <c r="AQ31" s="401"/>
      <c r="AR31" s="401"/>
      <c r="AS31" s="401"/>
      <c r="AT31" s="401"/>
      <c r="AU31" s="401"/>
      <c r="AV31" s="401"/>
      <c r="AW31" s="401"/>
      <c r="AX31" s="401"/>
      <c r="AY31" s="401"/>
      <c r="AZ31" s="401"/>
      <c r="BA31" s="401"/>
      <c r="BB31" s="401"/>
      <c r="BC31" s="401"/>
      <c r="BD31" s="401"/>
      <c r="BE31" s="401"/>
      <c r="BF31" s="401"/>
      <c r="BG31" s="401"/>
      <c r="BH31" s="401"/>
      <c r="BI31" s="401"/>
      <c r="BJ31" s="401"/>
      <c r="BK31" s="401"/>
      <c r="BL31" s="401"/>
      <c r="BM31" s="401"/>
      <c r="BN31" s="401"/>
      <c r="BO31" s="401"/>
      <c r="BP31" s="401"/>
      <c r="BQ31" s="401"/>
      <c r="BR31" s="401"/>
      <c r="BS31" s="401"/>
      <c r="BT31" s="401"/>
      <c r="BU31" s="401"/>
      <c r="BV31" s="401"/>
      <c r="BW31" s="401"/>
      <c r="BX31" s="401"/>
      <c r="BY31" s="401"/>
      <c r="BZ31" s="401"/>
    </row>
    <row r="32" ht="15.75" customHeight="1">
      <c r="A32" s="454"/>
      <c r="B32" s="455" t="s">
        <v>2624</v>
      </c>
      <c r="C32" s="433"/>
      <c r="D32" s="433"/>
      <c r="E32" s="434" t="str">
        <f t="shared" si="6"/>
        <v>#DIV/0!</v>
      </c>
      <c r="F32" s="435">
        <f t="shared" si="7"/>
        <v>15</v>
      </c>
      <c r="G32" s="435"/>
      <c r="H32" s="435"/>
      <c r="I32" s="435">
        <v>6.0</v>
      </c>
      <c r="J32" s="435">
        <v>9.0</v>
      </c>
      <c r="K32" s="435"/>
      <c r="L32" s="435"/>
      <c r="M32" s="435"/>
      <c r="N32" s="435"/>
      <c r="O32" s="435"/>
      <c r="P32" s="401"/>
      <c r="Q32" s="401"/>
      <c r="R32" s="401"/>
      <c r="S32" s="401"/>
      <c r="T32" s="401"/>
      <c r="U32" s="401"/>
      <c r="V32" s="401"/>
      <c r="W32" s="401"/>
      <c r="X32" s="401"/>
      <c r="Y32" s="401"/>
      <c r="Z32" s="401"/>
      <c r="AA32" s="401"/>
      <c r="AB32" s="401"/>
      <c r="AC32" s="401"/>
      <c r="AD32" s="401"/>
      <c r="AE32" s="401"/>
      <c r="AF32" s="401"/>
      <c r="AG32" s="401"/>
      <c r="AH32" s="401"/>
      <c r="AI32" s="401"/>
      <c r="AJ32" s="401"/>
      <c r="AK32" s="401"/>
      <c r="AL32" s="401"/>
      <c r="AM32" s="401"/>
      <c r="AN32" s="401"/>
      <c r="AO32" s="401"/>
      <c r="AP32" s="401"/>
      <c r="AQ32" s="401"/>
      <c r="AR32" s="401"/>
      <c r="AS32" s="401"/>
      <c r="AT32" s="401"/>
      <c r="AU32" s="401"/>
      <c r="AV32" s="401"/>
      <c r="AW32" s="401"/>
      <c r="AX32" s="401"/>
      <c r="AY32" s="401"/>
      <c r="AZ32" s="401"/>
      <c r="BA32" s="401"/>
      <c r="BB32" s="401"/>
      <c r="BC32" s="401"/>
      <c r="BD32" s="401"/>
      <c r="BE32" s="401"/>
      <c r="BF32" s="401"/>
      <c r="BG32" s="401"/>
      <c r="BH32" s="401"/>
      <c r="BI32" s="401"/>
      <c r="BJ32" s="401"/>
      <c r="BK32" s="401"/>
      <c r="BL32" s="401"/>
      <c r="BM32" s="401"/>
      <c r="BN32" s="401"/>
      <c r="BO32" s="401"/>
      <c r="BP32" s="401"/>
      <c r="BQ32" s="401"/>
      <c r="BR32" s="401"/>
      <c r="BS32" s="401"/>
      <c r="BT32" s="401"/>
      <c r="BU32" s="401"/>
      <c r="BV32" s="401"/>
      <c r="BW32" s="401"/>
      <c r="BX32" s="401"/>
      <c r="BY32" s="401"/>
      <c r="BZ32" s="401"/>
    </row>
    <row r="33" ht="15.75" customHeight="1">
      <c r="A33" s="454"/>
      <c r="B33" s="455" t="s">
        <v>2947</v>
      </c>
      <c r="C33" s="433"/>
      <c r="D33" s="433"/>
      <c r="E33" s="434" t="str">
        <f t="shared" si="6"/>
        <v>#DIV/0!</v>
      </c>
      <c r="F33" s="435">
        <f t="shared" si="7"/>
        <v>4</v>
      </c>
      <c r="G33" s="435"/>
      <c r="H33" s="435"/>
      <c r="I33" s="435">
        <v>1.0</v>
      </c>
      <c r="J33" s="435">
        <v>3.0</v>
      </c>
      <c r="K33" s="435"/>
      <c r="L33" s="435"/>
      <c r="M33" s="435"/>
      <c r="N33" s="435"/>
      <c r="O33" s="435"/>
      <c r="P33" s="401"/>
      <c r="Q33" s="401"/>
      <c r="R33" s="401"/>
      <c r="S33" s="401"/>
      <c r="T33" s="401"/>
      <c r="U33" s="401"/>
      <c r="V33" s="401"/>
      <c r="W33" s="401"/>
      <c r="X33" s="401"/>
      <c r="Y33" s="401"/>
      <c r="Z33" s="401"/>
      <c r="AA33" s="401"/>
      <c r="AB33" s="401"/>
      <c r="AC33" s="401"/>
      <c r="AD33" s="401"/>
      <c r="AE33" s="401"/>
      <c r="AF33" s="401"/>
      <c r="AG33" s="401"/>
      <c r="AH33" s="401"/>
      <c r="AI33" s="401"/>
      <c r="AJ33" s="401"/>
      <c r="AK33" s="401"/>
      <c r="AL33" s="401"/>
      <c r="AM33" s="401"/>
      <c r="AN33" s="401"/>
      <c r="AO33" s="401"/>
      <c r="AP33" s="401"/>
      <c r="AQ33" s="401"/>
      <c r="AR33" s="401"/>
      <c r="AS33" s="401"/>
      <c r="AT33" s="401"/>
      <c r="AU33" s="401"/>
      <c r="AV33" s="401"/>
      <c r="AW33" s="401"/>
      <c r="AX33" s="401"/>
      <c r="AY33" s="401"/>
      <c r="AZ33" s="401"/>
      <c r="BA33" s="401"/>
      <c r="BB33" s="401"/>
      <c r="BC33" s="401"/>
      <c r="BD33" s="401"/>
      <c r="BE33" s="401"/>
      <c r="BF33" s="401"/>
      <c r="BG33" s="401"/>
      <c r="BH33" s="401"/>
      <c r="BI33" s="401"/>
      <c r="BJ33" s="401"/>
      <c r="BK33" s="401"/>
      <c r="BL33" s="401"/>
      <c r="BM33" s="401"/>
      <c r="BN33" s="401"/>
      <c r="BO33" s="401"/>
      <c r="BP33" s="401"/>
      <c r="BQ33" s="401"/>
      <c r="BR33" s="401"/>
      <c r="BS33" s="401"/>
      <c r="BT33" s="401"/>
      <c r="BU33" s="401"/>
      <c r="BV33" s="401"/>
      <c r="BW33" s="401"/>
      <c r="BX33" s="401"/>
      <c r="BY33" s="401"/>
      <c r="BZ33" s="401"/>
    </row>
    <row r="34" ht="15.75" customHeight="1">
      <c r="A34" s="454"/>
      <c r="B34" s="455" t="s">
        <v>2627</v>
      </c>
      <c r="C34" s="433"/>
      <c r="D34" s="433"/>
      <c r="E34" s="434" t="str">
        <f t="shared" si="6"/>
        <v>#DIV/0!</v>
      </c>
      <c r="F34" s="435">
        <f t="shared" si="7"/>
        <v>17</v>
      </c>
      <c r="G34" s="435"/>
      <c r="H34" s="435"/>
      <c r="I34" s="435">
        <v>10.0</v>
      </c>
      <c r="J34" s="435">
        <v>7.0</v>
      </c>
      <c r="K34" s="435"/>
      <c r="L34" s="435"/>
      <c r="M34" s="435"/>
      <c r="N34" s="435"/>
      <c r="O34" s="435"/>
      <c r="P34" s="401"/>
      <c r="Q34" s="401"/>
      <c r="R34" s="401"/>
      <c r="S34" s="401"/>
      <c r="T34" s="401"/>
      <c r="U34" s="401"/>
      <c r="V34" s="401"/>
      <c r="W34" s="401"/>
      <c r="X34" s="401"/>
      <c r="Y34" s="401"/>
      <c r="Z34" s="401"/>
      <c r="AA34" s="401"/>
      <c r="AB34" s="401"/>
      <c r="AC34" s="401"/>
      <c r="AD34" s="401"/>
      <c r="AE34" s="401"/>
      <c r="AF34" s="401"/>
      <c r="AG34" s="401"/>
      <c r="AH34" s="401"/>
      <c r="AI34" s="401"/>
      <c r="AJ34" s="401"/>
      <c r="AK34" s="401"/>
      <c r="AL34" s="401"/>
      <c r="AM34" s="401"/>
      <c r="AN34" s="401"/>
      <c r="AO34" s="401"/>
      <c r="AP34" s="401"/>
      <c r="AQ34" s="401"/>
      <c r="AR34" s="401"/>
      <c r="AS34" s="401"/>
      <c r="AT34" s="401"/>
      <c r="AU34" s="401"/>
      <c r="AV34" s="401"/>
      <c r="AW34" s="401"/>
      <c r="AX34" s="401"/>
      <c r="AY34" s="401"/>
      <c r="AZ34" s="401"/>
      <c r="BA34" s="401"/>
      <c r="BB34" s="401"/>
      <c r="BC34" s="401"/>
      <c r="BD34" s="401"/>
      <c r="BE34" s="401"/>
      <c r="BF34" s="401"/>
      <c r="BG34" s="401"/>
      <c r="BH34" s="401"/>
      <c r="BI34" s="401"/>
      <c r="BJ34" s="401"/>
      <c r="BK34" s="401"/>
      <c r="BL34" s="401"/>
      <c r="BM34" s="401"/>
      <c r="BN34" s="401"/>
      <c r="BO34" s="401"/>
      <c r="BP34" s="401"/>
      <c r="BQ34" s="401"/>
      <c r="BR34" s="401"/>
      <c r="BS34" s="401"/>
      <c r="BT34" s="401"/>
      <c r="BU34" s="401"/>
      <c r="BV34" s="401"/>
      <c r="BW34" s="401"/>
      <c r="BX34" s="401"/>
      <c r="BY34" s="401"/>
      <c r="BZ34" s="401"/>
    </row>
    <row r="35" ht="15.75" customHeight="1">
      <c r="A35" s="454"/>
      <c r="B35" s="455" t="s">
        <v>2622</v>
      </c>
      <c r="C35" s="433"/>
      <c r="D35" s="433"/>
      <c r="E35" s="434" t="str">
        <f t="shared" si="6"/>
        <v>#DIV/0!</v>
      </c>
      <c r="F35" s="435">
        <f t="shared" si="7"/>
        <v>32</v>
      </c>
      <c r="G35" s="435"/>
      <c r="H35" s="435"/>
      <c r="I35" s="435">
        <v>17.0</v>
      </c>
      <c r="J35" s="435">
        <v>15.0</v>
      </c>
      <c r="K35" s="435"/>
      <c r="L35" s="435"/>
      <c r="M35" s="435"/>
      <c r="N35" s="435"/>
      <c r="O35" s="435"/>
      <c r="P35" s="401"/>
      <c r="Q35" s="401"/>
      <c r="R35" s="401"/>
      <c r="S35" s="401"/>
      <c r="T35" s="401"/>
      <c r="U35" s="401"/>
      <c r="V35" s="401"/>
      <c r="W35" s="401"/>
      <c r="X35" s="401"/>
      <c r="Y35" s="401"/>
      <c r="Z35" s="401"/>
      <c r="AA35" s="401"/>
      <c r="AB35" s="401"/>
      <c r="AC35" s="401"/>
      <c r="AD35" s="401"/>
      <c r="AE35" s="401"/>
      <c r="AF35" s="401"/>
      <c r="AG35" s="401"/>
      <c r="AH35" s="401"/>
      <c r="AI35" s="401"/>
      <c r="AJ35" s="401"/>
      <c r="AK35" s="401"/>
      <c r="AL35" s="401"/>
      <c r="AM35" s="401"/>
      <c r="AN35" s="401"/>
      <c r="AO35" s="401"/>
      <c r="AP35" s="401"/>
      <c r="AQ35" s="401"/>
      <c r="AR35" s="401"/>
      <c r="AS35" s="401"/>
      <c r="AT35" s="401"/>
      <c r="AU35" s="401"/>
      <c r="AV35" s="401"/>
      <c r="AW35" s="401"/>
      <c r="AX35" s="401"/>
      <c r="AY35" s="401"/>
      <c r="AZ35" s="401"/>
      <c r="BA35" s="401"/>
      <c r="BB35" s="401"/>
      <c r="BC35" s="401"/>
      <c r="BD35" s="401"/>
      <c r="BE35" s="401"/>
      <c r="BF35" s="401"/>
      <c r="BG35" s="401"/>
      <c r="BH35" s="401"/>
      <c r="BI35" s="401"/>
      <c r="BJ35" s="401"/>
      <c r="BK35" s="401"/>
      <c r="BL35" s="401"/>
      <c r="BM35" s="401"/>
      <c r="BN35" s="401"/>
      <c r="BO35" s="401"/>
      <c r="BP35" s="401"/>
      <c r="BQ35" s="401"/>
      <c r="BR35" s="401"/>
      <c r="BS35" s="401"/>
      <c r="BT35" s="401"/>
      <c r="BU35" s="401"/>
      <c r="BV35" s="401"/>
      <c r="BW35" s="401"/>
      <c r="BX35" s="401"/>
      <c r="BY35" s="401"/>
      <c r="BZ35" s="401"/>
    </row>
    <row r="36" ht="15.75" customHeight="1">
      <c r="A36" s="454"/>
      <c r="B36" s="455" t="s">
        <v>2948</v>
      </c>
      <c r="C36" s="433"/>
      <c r="D36" s="433"/>
      <c r="E36" s="434" t="str">
        <f t="shared" si="6"/>
        <v>#DIV/0!</v>
      </c>
      <c r="F36" s="435">
        <f t="shared" si="7"/>
        <v>6</v>
      </c>
      <c r="G36" s="435">
        <v>1.0</v>
      </c>
      <c r="H36" s="435"/>
      <c r="I36" s="435">
        <v>3.0</v>
      </c>
      <c r="J36" s="435">
        <v>3.0</v>
      </c>
      <c r="K36" s="435"/>
      <c r="L36" s="435"/>
      <c r="M36" s="435"/>
      <c r="N36" s="435"/>
      <c r="O36" s="435"/>
      <c r="P36" s="401"/>
      <c r="Q36" s="401"/>
      <c r="R36" s="401"/>
      <c r="S36" s="401"/>
      <c r="T36" s="401"/>
      <c r="U36" s="401"/>
      <c r="V36" s="401"/>
      <c r="W36" s="401"/>
      <c r="X36" s="401"/>
      <c r="Y36" s="401"/>
      <c r="Z36" s="401"/>
      <c r="AA36" s="401"/>
      <c r="AB36" s="401"/>
      <c r="AC36" s="401"/>
      <c r="AD36" s="401"/>
      <c r="AE36" s="401"/>
      <c r="AF36" s="401"/>
      <c r="AG36" s="401"/>
      <c r="AH36" s="401"/>
      <c r="AI36" s="401"/>
      <c r="AJ36" s="401"/>
      <c r="AK36" s="401"/>
      <c r="AL36" s="401"/>
      <c r="AM36" s="401"/>
      <c r="AN36" s="401"/>
      <c r="AO36" s="401"/>
      <c r="AP36" s="401"/>
      <c r="AQ36" s="401"/>
      <c r="AR36" s="401"/>
      <c r="AS36" s="401"/>
      <c r="AT36" s="401"/>
      <c r="AU36" s="401"/>
      <c r="AV36" s="401"/>
      <c r="AW36" s="401"/>
      <c r="AX36" s="401"/>
      <c r="AY36" s="401"/>
      <c r="AZ36" s="401"/>
      <c r="BA36" s="401"/>
      <c r="BB36" s="401"/>
      <c r="BC36" s="401"/>
      <c r="BD36" s="401"/>
      <c r="BE36" s="401"/>
      <c r="BF36" s="401"/>
      <c r="BG36" s="401"/>
      <c r="BH36" s="401"/>
      <c r="BI36" s="401"/>
      <c r="BJ36" s="401"/>
      <c r="BK36" s="401"/>
      <c r="BL36" s="401"/>
      <c r="BM36" s="401"/>
      <c r="BN36" s="401"/>
      <c r="BO36" s="401"/>
      <c r="BP36" s="401"/>
      <c r="BQ36" s="401"/>
      <c r="BR36" s="401"/>
      <c r="BS36" s="401"/>
      <c r="BT36" s="401"/>
      <c r="BU36" s="401"/>
      <c r="BV36" s="401"/>
      <c r="BW36" s="401"/>
      <c r="BX36" s="401"/>
      <c r="BY36" s="401"/>
      <c r="BZ36" s="401"/>
    </row>
    <row r="37" ht="15.75" customHeight="1">
      <c r="A37" s="454"/>
      <c r="B37" s="455" t="s">
        <v>2949</v>
      </c>
      <c r="C37" s="433"/>
      <c r="D37" s="433"/>
      <c r="E37" s="434" t="str">
        <f t="shared" si="6"/>
        <v>#DIV/0!</v>
      </c>
      <c r="F37" s="435">
        <f t="shared" si="7"/>
        <v>1</v>
      </c>
      <c r="G37" s="435">
        <v>1.0</v>
      </c>
      <c r="H37" s="435"/>
      <c r="I37" s="435">
        <v>1.0</v>
      </c>
      <c r="J37" s="435">
        <v>0.0</v>
      </c>
      <c r="K37" s="435"/>
      <c r="L37" s="435"/>
      <c r="M37" s="435"/>
      <c r="N37" s="435"/>
      <c r="O37" s="435"/>
      <c r="P37" s="401"/>
      <c r="Q37" s="401"/>
      <c r="R37" s="401"/>
      <c r="S37" s="401"/>
      <c r="T37" s="401"/>
      <c r="U37" s="401"/>
      <c r="V37" s="401"/>
      <c r="W37" s="401"/>
      <c r="X37" s="401"/>
      <c r="Y37" s="401"/>
      <c r="Z37" s="401"/>
      <c r="AA37" s="401"/>
      <c r="AB37" s="401"/>
      <c r="AC37" s="401"/>
      <c r="AD37" s="401"/>
      <c r="AE37" s="401"/>
      <c r="AF37" s="401"/>
      <c r="AG37" s="401"/>
      <c r="AH37" s="401"/>
      <c r="AI37" s="401"/>
      <c r="AJ37" s="401"/>
      <c r="AK37" s="401"/>
      <c r="AL37" s="401"/>
      <c r="AM37" s="401"/>
      <c r="AN37" s="401"/>
      <c r="AO37" s="401"/>
      <c r="AP37" s="401"/>
      <c r="AQ37" s="401"/>
      <c r="AR37" s="401"/>
      <c r="AS37" s="401"/>
      <c r="AT37" s="401"/>
      <c r="AU37" s="401"/>
      <c r="AV37" s="401"/>
      <c r="AW37" s="401"/>
      <c r="AX37" s="401"/>
      <c r="AY37" s="401"/>
      <c r="AZ37" s="401"/>
      <c r="BA37" s="401"/>
      <c r="BB37" s="401"/>
      <c r="BC37" s="401"/>
      <c r="BD37" s="401"/>
      <c r="BE37" s="401"/>
      <c r="BF37" s="401"/>
      <c r="BG37" s="401"/>
      <c r="BH37" s="401"/>
      <c r="BI37" s="401"/>
      <c r="BJ37" s="401"/>
      <c r="BK37" s="401"/>
      <c r="BL37" s="401"/>
      <c r="BM37" s="401"/>
      <c r="BN37" s="401"/>
      <c r="BO37" s="401"/>
      <c r="BP37" s="401"/>
      <c r="BQ37" s="401"/>
      <c r="BR37" s="401"/>
      <c r="BS37" s="401"/>
      <c r="BT37" s="401"/>
      <c r="BU37" s="401"/>
      <c r="BV37" s="401"/>
      <c r="BW37" s="401"/>
      <c r="BX37" s="401"/>
      <c r="BY37" s="401"/>
      <c r="BZ37" s="401"/>
    </row>
    <row r="38" ht="15.75" customHeight="1">
      <c r="A38" s="454"/>
      <c r="B38" s="455" t="s">
        <v>2950</v>
      </c>
      <c r="C38" s="433"/>
      <c r="D38" s="433"/>
      <c r="E38" s="434" t="str">
        <f t="shared" si="6"/>
        <v>#DIV/0!</v>
      </c>
      <c r="F38" s="435">
        <f t="shared" si="7"/>
        <v>3</v>
      </c>
      <c r="G38" s="435"/>
      <c r="H38" s="435"/>
      <c r="I38" s="435">
        <v>0.0</v>
      </c>
      <c r="J38" s="435">
        <v>3.0</v>
      </c>
      <c r="K38" s="435"/>
      <c r="L38" s="435"/>
      <c r="M38" s="435"/>
      <c r="N38" s="435"/>
      <c r="O38" s="435"/>
      <c r="P38" s="401"/>
      <c r="Q38" s="401"/>
      <c r="R38" s="401"/>
      <c r="S38" s="401"/>
      <c r="T38" s="401"/>
      <c r="U38" s="401"/>
      <c r="V38" s="401"/>
      <c r="W38" s="401"/>
      <c r="X38" s="401"/>
      <c r="Y38" s="401"/>
      <c r="Z38" s="401"/>
      <c r="AA38" s="401"/>
      <c r="AB38" s="401"/>
      <c r="AC38" s="401"/>
      <c r="AD38" s="401"/>
      <c r="AE38" s="401"/>
      <c r="AF38" s="401"/>
      <c r="AG38" s="401"/>
      <c r="AH38" s="401"/>
      <c r="AI38" s="401"/>
      <c r="AJ38" s="401"/>
      <c r="AK38" s="401"/>
      <c r="AL38" s="401"/>
      <c r="AM38" s="401"/>
      <c r="AN38" s="401"/>
      <c r="AO38" s="401"/>
      <c r="AP38" s="401"/>
      <c r="AQ38" s="401"/>
      <c r="AR38" s="401"/>
      <c r="AS38" s="401"/>
      <c r="AT38" s="401"/>
      <c r="AU38" s="401"/>
      <c r="AV38" s="401"/>
      <c r="AW38" s="401"/>
      <c r="AX38" s="401"/>
      <c r="AY38" s="401"/>
      <c r="AZ38" s="401"/>
      <c r="BA38" s="401"/>
      <c r="BB38" s="401"/>
      <c r="BC38" s="401"/>
      <c r="BD38" s="401"/>
      <c r="BE38" s="401"/>
      <c r="BF38" s="401"/>
      <c r="BG38" s="401"/>
      <c r="BH38" s="401"/>
      <c r="BI38" s="401"/>
      <c r="BJ38" s="401"/>
      <c r="BK38" s="401"/>
      <c r="BL38" s="401"/>
      <c r="BM38" s="401"/>
      <c r="BN38" s="401"/>
      <c r="BO38" s="401"/>
      <c r="BP38" s="401"/>
      <c r="BQ38" s="401"/>
      <c r="BR38" s="401"/>
      <c r="BS38" s="401"/>
      <c r="BT38" s="401"/>
      <c r="BU38" s="401"/>
      <c r="BV38" s="401"/>
      <c r="BW38" s="401"/>
      <c r="BX38" s="401"/>
      <c r="BY38" s="401"/>
      <c r="BZ38" s="401"/>
    </row>
    <row r="39" ht="15.75" customHeight="1">
      <c r="A39" s="456"/>
      <c r="B39" s="457" t="s">
        <v>892</v>
      </c>
      <c r="C39" s="440">
        <v>300.0</v>
      </c>
      <c r="D39" s="440">
        <v>28.0</v>
      </c>
      <c r="E39" s="434">
        <f t="shared" si="6"/>
        <v>0.09333333333</v>
      </c>
      <c r="F39" s="441">
        <f t="shared" ref="F39:O39" si="8">SUM(F31:F38)</f>
        <v>88</v>
      </c>
      <c r="G39" s="441">
        <f t="shared" si="8"/>
        <v>3</v>
      </c>
      <c r="H39" s="441">
        <f t="shared" si="8"/>
        <v>0</v>
      </c>
      <c r="I39" s="441">
        <f t="shared" si="8"/>
        <v>45</v>
      </c>
      <c r="J39" s="441">
        <f t="shared" si="8"/>
        <v>43</v>
      </c>
      <c r="K39" s="441">
        <f t="shared" si="8"/>
        <v>0</v>
      </c>
      <c r="L39" s="441">
        <f t="shared" si="8"/>
        <v>0</v>
      </c>
      <c r="M39" s="441">
        <f t="shared" si="8"/>
        <v>0</v>
      </c>
      <c r="N39" s="441">
        <f t="shared" si="8"/>
        <v>0</v>
      </c>
      <c r="O39" s="441">
        <f t="shared" si="8"/>
        <v>0</v>
      </c>
      <c r="P39" s="401"/>
      <c r="Q39" s="401"/>
      <c r="R39" s="401"/>
      <c r="S39" s="401"/>
      <c r="T39" s="401"/>
      <c r="U39" s="401"/>
      <c r="V39" s="401"/>
      <c r="W39" s="401"/>
      <c r="X39" s="401"/>
      <c r="Y39" s="401"/>
      <c r="Z39" s="401"/>
      <c r="AA39" s="401"/>
      <c r="AB39" s="401"/>
      <c r="AC39" s="401"/>
      <c r="AD39" s="401"/>
      <c r="AE39" s="401"/>
      <c r="AF39" s="401"/>
      <c r="AG39" s="401"/>
      <c r="AH39" s="401"/>
      <c r="AI39" s="401"/>
      <c r="AJ39" s="401"/>
      <c r="AK39" s="401"/>
      <c r="AL39" s="401"/>
      <c r="AM39" s="401"/>
      <c r="AN39" s="401"/>
      <c r="AO39" s="401"/>
      <c r="AP39" s="401"/>
      <c r="AQ39" s="401"/>
      <c r="AR39" s="401"/>
      <c r="AS39" s="401"/>
      <c r="AT39" s="401"/>
      <c r="AU39" s="401"/>
      <c r="AV39" s="401"/>
      <c r="AW39" s="401"/>
      <c r="AX39" s="401"/>
      <c r="AY39" s="401"/>
      <c r="AZ39" s="401"/>
      <c r="BA39" s="401"/>
      <c r="BB39" s="401"/>
      <c r="BC39" s="401"/>
      <c r="BD39" s="401"/>
      <c r="BE39" s="401"/>
      <c r="BF39" s="401"/>
      <c r="BG39" s="401"/>
      <c r="BH39" s="401"/>
      <c r="BI39" s="401"/>
      <c r="BJ39" s="401"/>
      <c r="BK39" s="401"/>
      <c r="BL39" s="401"/>
      <c r="BM39" s="401"/>
      <c r="BN39" s="401"/>
      <c r="BO39" s="401"/>
      <c r="BP39" s="401"/>
      <c r="BQ39" s="401"/>
      <c r="BR39" s="401"/>
      <c r="BS39" s="401"/>
      <c r="BT39" s="401"/>
      <c r="BU39" s="401"/>
      <c r="BV39" s="401"/>
      <c r="BW39" s="401"/>
      <c r="BX39" s="401"/>
      <c r="BY39" s="401"/>
      <c r="BZ39" s="401"/>
    </row>
    <row r="40" ht="15.75" customHeight="1">
      <c r="A40" s="401"/>
      <c r="B40" s="401"/>
      <c r="C40" s="458"/>
      <c r="D40" s="458"/>
      <c r="E40" s="401"/>
      <c r="F40" s="401"/>
      <c r="G40" s="401"/>
      <c r="H40" s="401"/>
      <c r="I40" s="444" t="s">
        <v>2962</v>
      </c>
      <c r="J40" s="445"/>
      <c r="K40" s="445"/>
      <c r="L40" s="445"/>
      <c r="M40" s="445"/>
      <c r="N40" s="445"/>
      <c r="O40" s="446"/>
      <c r="P40" s="401"/>
      <c r="Q40" s="401"/>
      <c r="R40" s="401"/>
      <c r="S40" s="401"/>
      <c r="T40" s="401"/>
      <c r="U40" s="401"/>
      <c r="V40" s="401"/>
      <c r="W40" s="401"/>
      <c r="X40" s="401"/>
      <c r="Y40" s="401"/>
      <c r="Z40" s="401"/>
      <c r="AA40" s="401"/>
      <c r="AB40" s="401"/>
      <c r="AC40" s="401"/>
      <c r="AD40" s="401"/>
      <c r="AE40" s="401"/>
      <c r="AF40" s="401"/>
      <c r="AG40" s="401"/>
      <c r="AH40" s="401"/>
      <c r="AI40" s="401"/>
      <c r="AJ40" s="401"/>
      <c r="AK40" s="401"/>
      <c r="AL40" s="401"/>
      <c r="AM40" s="401"/>
      <c r="AN40" s="401"/>
      <c r="AO40" s="401"/>
      <c r="AP40" s="401"/>
      <c r="AQ40" s="401"/>
      <c r="AR40" s="401"/>
      <c r="AS40" s="401"/>
      <c r="AT40" s="401"/>
      <c r="AU40" s="401"/>
      <c r="AV40" s="401"/>
      <c r="AW40" s="401"/>
      <c r="AX40" s="401"/>
      <c r="AY40" s="401"/>
      <c r="AZ40" s="401"/>
      <c r="BA40" s="401"/>
      <c r="BB40" s="401"/>
      <c r="BC40" s="401"/>
      <c r="BD40" s="401"/>
      <c r="BE40" s="401"/>
      <c r="BF40" s="401"/>
      <c r="BG40" s="401"/>
      <c r="BH40" s="401"/>
      <c r="BI40" s="401"/>
      <c r="BJ40" s="401"/>
      <c r="BK40" s="401"/>
      <c r="BL40" s="401"/>
      <c r="BM40" s="401"/>
      <c r="BN40" s="401"/>
      <c r="BO40" s="401"/>
      <c r="BP40" s="401"/>
      <c r="BQ40" s="401"/>
      <c r="BR40" s="401"/>
      <c r="BS40" s="401"/>
      <c r="BT40" s="401"/>
      <c r="BU40" s="401"/>
      <c r="BV40" s="401"/>
      <c r="BW40" s="401"/>
      <c r="BX40" s="401"/>
      <c r="BY40" s="401"/>
      <c r="BZ40" s="401"/>
    </row>
    <row r="41" ht="15.75" customHeight="1">
      <c r="A41" s="447"/>
      <c r="B41" s="445"/>
      <c r="C41" s="445"/>
      <c r="D41" s="445"/>
      <c r="E41" s="446"/>
      <c r="F41" s="448" t="s">
        <v>2938</v>
      </c>
      <c r="G41" s="5"/>
      <c r="H41" s="6"/>
      <c r="I41" s="449" t="s">
        <v>2963</v>
      </c>
      <c r="J41" s="449" t="s">
        <v>2964</v>
      </c>
      <c r="K41" s="449" t="s">
        <v>2965</v>
      </c>
      <c r="L41" s="449" t="s">
        <v>2966</v>
      </c>
      <c r="M41" s="449" t="s">
        <v>2967</v>
      </c>
      <c r="N41" s="449" t="s">
        <v>2968</v>
      </c>
      <c r="O41" s="449" t="s">
        <v>2969</v>
      </c>
      <c r="P41" s="450"/>
      <c r="Q41" s="450"/>
      <c r="R41" s="450"/>
      <c r="S41" s="450"/>
      <c r="T41" s="450"/>
      <c r="U41" s="450"/>
      <c r="V41" s="450"/>
      <c r="W41" s="450"/>
      <c r="X41" s="450"/>
      <c r="Y41" s="450"/>
      <c r="Z41" s="450"/>
      <c r="AA41" s="450"/>
      <c r="AB41" s="450"/>
      <c r="AC41" s="450"/>
      <c r="AD41" s="450"/>
      <c r="AE41" s="450"/>
      <c r="AF41" s="450"/>
      <c r="AG41" s="450"/>
      <c r="AH41" s="450"/>
      <c r="AI41" s="450"/>
      <c r="AJ41" s="450"/>
      <c r="AK41" s="450"/>
      <c r="AL41" s="450"/>
      <c r="AM41" s="450"/>
      <c r="AN41" s="450"/>
      <c r="AO41" s="450"/>
      <c r="AP41" s="450"/>
      <c r="AQ41" s="450"/>
      <c r="AR41" s="450"/>
      <c r="AS41" s="450"/>
      <c r="AT41" s="450"/>
      <c r="AU41" s="450"/>
      <c r="AV41" s="450"/>
      <c r="AW41" s="450"/>
      <c r="AX41" s="450"/>
      <c r="AY41" s="450"/>
      <c r="AZ41" s="450"/>
      <c r="BA41" s="450"/>
      <c r="BB41" s="450"/>
      <c r="BC41" s="450"/>
      <c r="BD41" s="450"/>
      <c r="BE41" s="450"/>
      <c r="BF41" s="450"/>
      <c r="BG41" s="450"/>
      <c r="BH41" s="450"/>
      <c r="BI41" s="450"/>
      <c r="BJ41" s="450"/>
      <c r="BK41" s="450"/>
      <c r="BL41" s="450"/>
      <c r="BM41" s="450"/>
      <c r="BN41" s="450"/>
      <c r="BO41" s="450"/>
      <c r="BP41" s="450"/>
      <c r="BQ41" s="450"/>
      <c r="BR41" s="450"/>
      <c r="BS41" s="450"/>
      <c r="BT41" s="450"/>
      <c r="BU41" s="450"/>
      <c r="BV41" s="450"/>
      <c r="BW41" s="450"/>
      <c r="BX41" s="450"/>
      <c r="BY41" s="450"/>
      <c r="BZ41" s="450"/>
    </row>
    <row r="42" ht="15.75" customHeight="1">
      <c r="A42" s="451" t="s">
        <v>2960</v>
      </c>
      <c r="B42" s="452" t="s">
        <v>2940</v>
      </c>
      <c r="C42" s="452" t="s">
        <v>2926</v>
      </c>
      <c r="D42" s="452" t="s">
        <v>2941</v>
      </c>
      <c r="E42" s="452" t="s">
        <v>2942</v>
      </c>
      <c r="F42" s="453" t="s">
        <v>2916</v>
      </c>
      <c r="G42" s="453" t="s">
        <v>2970</v>
      </c>
      <c r="H42" s="453" t="s">
        <v>2943</v>
      </c>
      <c r="I42" s="16"/>
      <c r="J42" s="16"/>
      <c r="K42" s="16"/>
      <c r="L42" s="16"/>
      <c r="M42" s="16"/>
      <c r="N42" s="16"/>
      <c r="O42" s="16"/>
      <c r="P42" s="450"/>
      <c r="Q42" s="450"/>
      <c r="R42" s="450"/>
      <c r="S42" s="450"/>
      <c r="T42" s="450"/>
      <c r="U42" s="450"/>
      <c r="V42" s="450"/>
      <c r="W42" s="450"/>
      <c r="X42" s="450"/>
      <c r="Y42" s="450"/>
      <c r="Z42" s="450"/>
      <c r="AA42" s="450"/>
      <c r="AB42" s="450"/>
      <c r="AC42" s="450"/>
      <c r="AD42" s="450"/>
      <c r="AE42" s="450"/>
      <c r="AF42" s="450"/>
      <c r="AG42" s="450"/>
      <c r="AH42" s="450"/>
      <c r="AI42" s="450"/>
      <c r="AJ42" s="450"/>
      <c r="AK42" s="450"/>
      <c r="AL42" s="450"/>
      <c r="AM42" s="450"/>
      <c r="AN42" s="450"/>
      <c r="AO42" s="450"/>
      <c r="AP42" s="450"/>
      <c r="AQ42" s="450"/>
      <c r="AR42" s="450"/>
      <c r="AS42" s="450"/>
      <c r="AT42" s="450"/>
      <c r="AU42" s="450"/>
      <c r="AV42" s="450"/>
      <c r="AW42" s="450"/>
      <c r="AX42" s="450"/>
      <c r="AY42" s="450"/>
      <c r="AZ42" s="450"/>
      <c r="BA42" s="450"/>
      <c r="BB42" s="450"/>
      <c r="BC42" s="450"/>
      <c r="BD42" s="450"/>
      <c r="BE42" s="450"/>
      <c r="BF42" s="450"/>
      <c r="BG42" s="450"/>
      <c r="BH42" s="450"/>
      <c r="BI42" s="450"/>
      <c r="BJ42" s="450"/>
      <c r="BK42" s="450"/>
      <c r="BL42" s="450"/>
      <c r="BM42" s="450"/>
      <c r="BN42" s="450"/>
      <c r="BO42" s="450"/>
      <c r="BP42" s="450"/>
      <c r="BQ42" s="450"/>
      <c r="BR42" s="450"/>
      <c r="BS42" s="450"/>
      <c r="BT42" s="450"/>
      <c r="BU42" s="450"/>
      <c r="BV42" s="450"/>
      <c r="BW42" s="450"/>
      <c r="BX42" s="450"/>
      <c r="BY42" s="450"/>
      <c r="BZ42" s="450"/>
    </row>
    <row r="43" ht="15.75" customHeight="1">
      <c r="A43" s="454"/>
      <c r="B43" s="455" t="s">
        <v>2946</v>
      </c>
      <c r="C43" s="433"/>
      <c r="D43" s="433"/>
      <c r="E43" s="434" t="str">
        <f t="shared" ref="E43:E51" si="9">D43/C43</f>
        <v>#DIV/0!</v>
      </c>
      <c r="F43" s="435"/>
      <c r="G43" s="435"/>
      <c r="H43" s="435"/>
      <c r="I43" s="435"/>
      <c r="J43" s="435"/>
      <c r="K43" s="435"/>
      <c r="L43" s="435"/>
      <c r="M43" s="435"/>
      <c r="N43" s="435"/>
      <c r="O43" s="435"/>
      <c r="P43" s="401"/>
      <c r="Q43" s="401"/>
      <c r="R43" s="401"/>
      <c r="S43" s="401"/>
      <c r="T43" s="401"/>
      <c r="U43" s="401"/>
      <c r="V43" s="401"/>
      <c r="W43" s="401"/>
      <c r="X43" s="401"/>
      <c r="Y43" s="401"/>
      <c r="Z43" s="401"/>
      <c r="AA43" s="401"/>
      <c r="AB43" s="401"/>
      <c r="AC43" s="401"/>
      <c r="AD43" s="401"/>
      <c r="AE43" s="401"/>
      <c r="AF43" s="401"/>
      <c r="AG43" s="401"/>
      <c r="AH43" s="401"/>
      <c r="AI43" s="401"/>
      <c r="AJ43" s="401"/>
      <c r="AK43" s="401"/>
      <c r="AL43" s="401"/>
      <c r="AM43" s="401"/>
      <c r="AN43" s="401"/>
      <c r="AO43" s="401"/>
      <c r="AP43" s="401"/>
      <c r="AQ43" s="401"/>
      <c r="AR43" s="401"/>
      <c r="AS43" s="401"/>
      <c r="AT43" s="401"/>
      <c r="AU43" s="401"/>
      <c r="AV43" s="401"/>
      <c r="AW43" s="401"/>
      <c r="AX43" s="401"/>
      <c r="AY43" s="401"/>
      <c r="AZ43" s="401"/>
      <c r="BA43" s="401"/>
      <c r="BB43" s="401"/>
      <c r="BC43" s="401"/>
      <c r="BD43" s="401"/>
      <c r="BE43" s="401"/>
      <c r="BF43" s="401"/>
      <c r="BG43" s="401"/>
      <c r="BH43" s="401"/>
      <c r="BI43" s="401"/>
      <c r="BJ43" s="401"/>
      <c r="BK43" s="401"/>
      <c r="BL43" s="401"/>
      <c r="BM43" s="401"/>
      <c r="BN43" s="401"/>
      <c r="BO43" s="401"/>
      <c r="BP43" s="401"/>
      <c r="BQ43" s="401"/>
      <c r="BR43" s="401"/>
      <c r="BS43" s="401"/>
      <c r="BT43" s="401"/>
      <c r="BU43" s="401"/>
      <c r="BV43" s="401"/>
      <c r="BW43" s="401"/>
      <c r="BX43" s="401"/>
      <c r="BY43" s="401"/>
      <c r="BZ43" s="401"/>
    </row>
    <row r="44" ht="15.75" customHeight="1">
      <c r="A44" s="454"/>
      <c r="B44" s="455" t="s">
        <v>2624</v>
      </c>
      <c r="C44" s="433"/>
      <c r="D44" s="433"/>
      <c r="E44" s="434" t="str">
        <f t="shared" si="9"/>
        <v>#DIV/0!</v>
      </c>
      <c r="F44" s="435"/>
      <c r="G44" s="435"/>
      <c r="H44" s="435"/>
      <c r="I44" s="435"/>
      <c r="J44" s="435"/>
      <c r="K44" s="435"/>
      <c r="L44" s="435"/>
      <c r="M44" s="435"/>
      <c r="N44" s="435"/>
      <c r="O44" s="435"/>
      <c r="P44" s="401"/>
      <c r="Q44" s="401"/>
      <c r="R44" s="401"/>
      <c r="S44" s="401"/>
      <c r="T44" s="401"/>
      <c r="U44" s="401"/>
      <c r="V44" s="401"/>
      <c r="W44" s="401"/>
      <c r="X44" s="401"/>
      <c r="Y44" s="401"/>
      <c r="Z44" s="401"/>
      <c r="AA44" s="401"/>
      <c r="AB44" s="401"/>
      <c r="AC44" s="401"/>
      <c r="AD44" s="401"/>
      <c r="AE44" s="401"/>
      <c r="AF44" s="401"/>
      <c r="AG44" s="401"/>
      <c r="AH44" s="401"/>
      <c r="AI44" s="401"/>
      <c r="AJ44" s="401"/>
      <c r="AK44" s="401"/>
      <c r="AL44" s="401"/>
      <c r="AM44" s="401"/>
      <c r="AN44" s="401"/>
      <c r="AO44" s="401"/>
      <c r="AP44" s="401"/>
      <c r="AQ44" s="401"/>
      <c r="AR44" s="401"/>
      <c r="AS44" s="401"/>
      <c r="AT44" s="401"/>
      <c r="AU44" s="401"/>
      <c r="AV44" s="401"/>
      <c r="AW44" s="401"/>
      <c r="AX44" s="401"/>
      <c r="AY44" s="401"/>
      <c r="AZ44" s="401"/>
      <c r="BA44" s="401"/>
      <c r="BB44" s="401"/>
      <c r="BC44" s="401"/>
      <c r="BD44" s="401"/>
      <c r="BE44" s="401"/>
      <c r="BF44" s="401"/>
      <c r="BG44" s="401"/>
      <c r="BH44" s="401"/>
      <c r="BI44" s="401"/>
      <c r="BJ44" s="401"/>
      <c r="BK44" s="401"/>
      <c r="BL44" s="401"/>
      <c r="BM44" s="401"/>
      <c r="BN44" s="401"/>
      <c r="BO44" s="401"/>
      <c r="BP44" s="401"/>
      <c r="BQ44" s="401"/>
      <c r="BR44" s="401"/>
      <c r="BS44" s="401"/>
      <c r="BT44" s="401"/>
      <c r="BU44" s="401"/>
      <c r="BV44" s="401"/>
      <c r="BW44" s="401"/>
      <c r="BX44" s="401"/>
      <c r="BY44" s="401"/>
      <c r="BZ44" s="401"/>
    </row>
    <row r="45" ht="15.75" customHeight="1">
      <c r="A45" s="454"/>
      <c r="B45" s="455" t="s">
        <v>2947</v>
      </c>
      <c r="C45" s="433"/>
      <c r="D45" s="433"/>
      <c r="E45" s="434" t="str">
        <f t="shared" si="9"/>
        <v>#DIV/0!</v>
      </c>
      <c r="F45" s="435"/>
      <c r="G45" s="435"/>
      <c r="H45" s="435"/>
      <c r="I45" s="435"/>
      <c r="J45" s="435"/>
      <c r="K45" s="435"/>
      <c r="L45" s="435"/>
      <c r="M45" s="435"/>
      <c r="N45" s="435"/>
      <c r="O45" s="435"/>
      <c r="P45" s="401"/>
      <c r="Q45" s="401"/>
      <c r="R45" s="401"/>
      <c r="S45" s="401"/>
      <c r="T45" s="401"/>
      <c r="U45" s="401"/>
      <c r="V45" s="401"/>
      <c r="W45" s="401"/>
      <c r="X45" s="401"/>
      <c r="Y45" s="401"/>
      <c r="Z45" s="401"/>
      <c r="AA45" s="401"/>
      <c r="AB45" s="401"/>
      <c r="AC45" s="401"/>
      <c r="AD45" s="401"/>
      <c r="AE45" s="401"/>
      <c r="AF45" s="401"/>
      <c r="AG45" s="401"/>
      <c r="AH45" s="401"/>
      <c r="AI45" s="401"/>
      <c r="AJ45" s="401"/>
      <c r="AK45" s="401"/>
      <c r="AL45" s="401"/>
      <c r="AM45" s="401"/>
      <c r="AN45" s="401"/>
      <c r="AO45" s="401"/>
      <c r="AP45" s="401"/>
      <c r="AQ45" s="401"/>
      <c r="AR45" s="401"/>
      <c r="AS45" s="401"/>
      <c r="AT45" s="401"/>
      <c r="AU45" s="401"/>
      <c r="AV45" s="401"/>
      <c r="AW45" s="401"/>
      <c r="AX45" s="401"/>
      <c r="AY45" s="401"/>
      <c r="AZ45" s="401"/>
      <c r="BA45" s="401"/>
      <c r="BB45" s="401"/>
      <c r="BC45" s="401"/>
      <c r="BD45" s="401"/>
      <c r="BE45" s="401"/>
      <c r="BF45" s="401"/>
      <c r="BG45" s="401"/>
      <c r="BH45" s="401"/>
      <c r="BI45" s="401"/>
      <c r="BJ45" s="401"/>
      <c r="BK45" s="401"/>
      <c r="BL45" s="401"/>
      <c r="BM45" s="401"/>
      <c r="BN45" s="401"/>
      <c r="BO45" s="401"/>
      <c r="BP45" s="401"/>
      <c r="BQ45" s="401"/>
      <c r="BR45" s="401"/>
      <c r="BS45" s="401"/>
      <c r="BT45" s="401"/>
      <c r="BU45" s="401"/>
      <c r="BV45" s="401"/>
      <c r="BW45" s="401"/>
      <c r="BX45" s="401"/>
      <c r="BY45" s="401"/>
      <c r="BZ45" s="401"/>
    </row>
    <row r="46" ht="15.75" customHeight="1">
      <c r="A46" s="454"/>
      <c r="B46" s="455" t="s">
        <v>2627</v>
      </c>
      <c r="C46" s="433"/>
      <c r="D46" s="433"/>
      <c r="E46" s="434" t="str">
        <f t="shared" si="9"/>
        <v>#DIV/0!</v>
      </c>
      <c r="F46" s="435"/>
      <c r="G46" s="435"/>
      <c r="H46" s="435"/>
      <c r="I46" s="435"/>
      <c r="J46" s="435"/>
      <c r="K46" s="435"/>
      <c r="L46" s="435"/>
      <c r="M46" s="435"/>
      <c r="N46" s="435"/>
      <c r="O46" s="435"/>
      <c r="P46" s="401"/>
      <c r="Q46" s="401"/>
      <c r="R46" s="401"/>
      <c r="S46" s="401"/>
      <c r="T46" s="401"/>
      <c r="U46" s="401"/>
      <c r="V46" s="401"/>
      <c r="W46" s="401"/>
      <c r="X46" s="401"/>
      <c r="Y46" s="401"/>
      <c r="Z46" s="401"/>
      <c r="AA46" s="401"/>
      <c r="AB46" s="401"/>
      <c r="AC46" s="401"/>
      <c r="AD46" s="401"/>
      <c r="AE46" s="401"/>
      <c r="AF46" s="401"/>
      <c r="AG46" s="401"/>
      <c r="AH46" s="401"/>
      <c r="AI46" s="401"/>
      <c r="AJ46" s="401"/>
      <c r="AK46" s="401"/>
      <c r="AL46" s="401"/>
      <c r="AM46" s="401"/>
      <c r="AN46" s="401"/>
      <c r="AO46" s="401"/>
      <c r="AP46" s="401"/>
      <c r="AQ46" s="401"/>
      <c r="AR46" s="401"/>
      <c r="AS46" s="401"/>
      <c r="AT46" s="401"/>
      <c r="AU46" s="401"/>
      <c r="AV46" s="401"/>
      <c r="AW46" s="401"/>
      <c r="AX46" s="401"/>
      <c r="AY46" s="401"/>
      <c r="AZ46" s="401"/>
      <c r="BA46" s="401"/>
      <c r="BB46" s="401"/>
      <c r="BC46" s="401"/>
      <c r="BD46" s="401"/>
      <c r="BE46" s="401"/>
      <c r="BF46" s="401"/>
      <c r="BG46" s="401"/>
      <c r="BH46" s="401"/>
      <c r="BI46" s="401"/>
      <c r="BJ46" s="401"/>
      <c r="BK46" s="401"/>
      <c r="BL46" s="401"/>
      <c r="BM46" s="401"/>
      <c r="BN46" s="401"/>
      <c r="BO46" s="401"/>
      <c r="BP46" s="401"/>
      <c r="BQ46" s="401"/>
      <c r="BR46" s="401"/>
      <c r="BS46" s="401"/>
      <c r="BT46" s="401"/>
      <c r="BU46" s="401"/>
      <c r="BV46" s="401"/>
      <c r="BW46" s="401"/>
      <c r="BX46" s="401"/>
      <c r="BY46" s="401"/>
      <c r="BZ46" s="401"/>
    </row>
    <row r="47" ht="15.75" customHeight="1">
      <c r="A47" s="454"/>
      <c r="B47" s="455" t="s">
        <v>2622</v>
      </c>
      <c r="C47" s="433"/>
      <c r="D47" s="433"/>
      <c r="E47" s="434" t="str">
        <f t="shared" si="9"/>
        <v>#DIV/0!</v>
      </c>
      <c r="F47" s="435"/>
      <c r="G47" s="435"/>
      <c r="H47" s="435"/>
      <c r="I47" s="435"/>
      <c r="J47" s="435"/>
      <c r="K47" s="435"/>
      <c r="L47" s="435"/>
      <c r="M47" s="435"/>
      <c r="N47" s="435"/>
      <c r="O47" s="435"/>
      <c r="P47" s="401"/>
      <c r="Q47" s="401"/>
      <c r="R47" s="401"/>
      <c r="S47" s="401"/>
      <c r="T47" s="401"/>
      <c r="U47" s="401"/>
      <c r="V47" s="401"/>
      <c r="W47" s="401"/>
      <c r="X47" s="401"/>
      <c r="Y47" s="401"/>
      <c r="Z47" s="401"/>
      <c r="AA47" s="401"/>
      <c r="AB47" s="401"/>
      <c r="AC47" s="401"/>
      <c r="AD47" s="401"/>
      <c r="AE47" s="401"/>
      <c r="AF47" s="401"/>
      <c r="AG47" s="401"/>
      <c r="AH47" s="401"/>
      <c r="AI47" s="401"/>
      <c r="AJ47" s="401"/>
      <c r="AK47" s="401"/>
      <c r="AL47" s="401"/>
      <c r="AM47" s="401"/>
      <c r="AN47" s="401"/>
      <c r="AO47" s="401"/>
      <c r="AP47" s="401"/>
      <c r="AQ47" s="401"/>
      <c r="AR47" s="401"/>
      <c r="AS47" s="401"/>
      <c r="AT47" s="401"/>
      <c r="AU47" s="401"/>
      <c r="AV47" s="401"/>
      <c r="AW47" s="401"/>
      <c r="AX47" s="401"/>
      <c r="AY47" s="401"/>
      <c r="AZ47" s="401"/>
      <c r="BA47" s="401"/>
      <c r="BB47" s="401"/>
      <c r="BC47" s="401"/>
      <c r="BD47" s="401"/>
      <c r="BE47" s="401"/>
      <c r="BF47" s="401"/>
      <c r="BG47" s="401"/>
      <c r="BH47" s="401"/>
      <c r="BI47" s="401"/>
      <c r="BJ47" s="401"/>
      <c r="BK47" s="401"/>
      <c r="BL47" s="401"/>
      <c r="BM47" s="401"/>
      <c r="BN47" s="401"/>
      <c r="BO47" s="401"/>
      <c r="BP47" s="401"/>
      <c r="BQ47" s="401"/>
      <c r="BR47" s="401"/>
      <c r="BS47" s="401"/>
      <c r="BT47" s="401"/>
      <c r="BU47" s="401"/>
      <c r="BV47" s="401"/>
      <c r="BW47" s="401"/>
      <c r="BX47" s="401"/>
      <c r="BY47" s="401"/>
      <c r="BZ47" s="401"/>
    </row>
    <row r="48" ht="15.75" customHeight="1">
      <c r="A48" s="454"/>
      <c r="B48" s="455" t="s">
        <v>2948</v>
      </c>
      <c r="C48" s="433"/>
      <c r="D48" s="433"/>
      <c r="E48" s="434" t="str">
        <f t="shared" si="9"/>
        <v>#DIV/0!</v>
      </c>
      <c r="F48" s="435"/>
      <c r="G48" s="435"/>
      <c r="H48" s="435"/>
      <c r="I48" s="435"/>
      <c r="J48" s="435"/>
      <c r="K48" s="435"/>
      <c r="L48" s="435"/>
      <c r="M48" s="435"/>
      <c r="N48" s="435"/>
      <c r="O48" s="435"/>
      <c r="P48" s="401"/>
      <c r="Q48" s="401"/>
      <c r="R48" s="401"/>
      <c r="S48" s="401"/>
      <c r="T48" s="401"/>
      <c r="U48" s="401"/>
      <c r="V48" s="401"/>
      <c r="W48" s="401"/>
      <c r="X48" s="401"/>
      <c r="Y48" s="401"/>
      <c r="Z48" s="401"/>
      <c r="AA48" s="401"/>
      <c r="AB48" s="401"/>
      <c r="AC48" s="401"/>
      <c r="AD48" s="401"/>
      <c r="AE48" s="401"/>
      <c r="AF48" s="401"/>
      <c r="AG48" s="401"/>
      <c r="AH48" s="401"/>
      <c r="AI48" s="401"/>
      <c r="AJ48" s="401"/>
      <c r="AK48" s="401"/>
      <c r="AL48" s="401"/>
      <c r="AM48" s="401"/>
      <c r="AN48" s="401"/>
      <c r="AO48" s="401"/>
      <c r="AP48" s="401"/>
      <c r="AQ48" s="401"/>
      <c r="AR48" s="401"/>
      <c r="AS48" s="401"/>
      <c r="AT48" s="401"/>
      <c r="AU48" s="401"/>
      <c r="AV48" s="401"/>
      <c r="AW48" s="401"/>
      <c r="AX48" s="401"/>
      <c r="AY48" s="401"/>
      <c r="AZ48" s="401"/>
      <c r="BA48" s="401"/>
      <c r="BB48" s="401"/>
      <c r="BC48" s="401"/>
      <c r="BD48" s="401"/>
      <c r="BE48" s="401"/>
      <c r="BF48" s="401"/>
      <c r="BG48" s="401"/>
      <c r="BH48" s="401"/>
      <c r="BI48" s="401"/>
      <c r="BJ48" s="401"/>
      <c r="BK48" s="401"/>
      <c r="BL48" s="401"/>
      <c r="BM48" s="401"/>
      <c r="BN48" s="401"/>
      <c r="BO48" s="401"/>
      <c r="BP48" s="401"/>
      <c r="BQ48" s="401"/>
      <c r="BR48" s="401"/>
      <c r="BS48" s="401"/>
      <c r="BT48" s="401"/>
      <c r="BU48" s="401"/>
      <c r="BV48" s="401"/>
      <c r="BW48" s="401"/>
      <c r="BX48" s="401"/>
      <c r="BY48" s="401"/>
      <c r="BZ48" s="401"/>
    </row>
    <row r="49" ht="15.75" customHeight="1">
      <c r="A49" s="454"/>
      <c r="B49" s="455" t="s">
        <v>2949</v>
      </c>
      <c r="C49" s="433"/>
      <c r="D49" s="433"/>
      <c r="E49" s="434" t="str">
        <f t="shared" si="9"/>
        <v>#DIV/0!</v>
      </c>
      <c r="F49" s="435"/>
      <c r="G49" s="435"/>
      <c r="H49" s="435"/>
      <c r="I49" s="435"/>
      <c r="J49" s="435"/>
      <c r="K49" s="435"/>
      <c r="L49" s="435"/>
      <c r="M49" s="435"/>
      <c r="N49" s="435"/>
      <c r="O49" s="435"/>
      <c r="P49" s="401"/>
      <c r="Q49" s="401"/>
      <c r="R49" s="401"/>
      <c r="S49" s="401"/>
      <c r="T49" s="401"/>
      <c r="U49" s="401"/>
      <c r="V49" s="401"/>
      <c r="W49" s="401"/>
      <c r="X49" s="401"/>
      <c r="Y49" s="401"/>
      <c r="Z49" s="401"/>
      <c r="AA49" s="401"/>
      <c r="AB49" s="401"/>
      <c r="AC49" s="401"/>
      <c r="AD49" s="401"/>
      <c r="AE49" s="401"/>
      <c r="AF49" s="401"/>
      <c r="AG49" s="401"/>
      <c r="AH49" s="401"/>
      <c r="AI49" s="401"/>
      <c r="AJ49" s="401"/>
      <c r="AK49" s="401"/>
      <c r="AL49" s="401"/>
      <c r="AM49" s="401"/>
      <c r="AN49" s="401"/>
      <c r="AO49" s="401"/>
      <c r="AP49" s="401"/>
      <c r="AQ49" s="401"/>
      <c r="AR49" s="401"/>
      <c r="AS49" s="401"/>
      <c r="AT49" s="401"/>
      <c r="AU49" s="401"/>
      <c r="AV49" s="401"/>
      <c r="AW49" s="401"/>
      <c r="AX49" s="401"/>
      <c r="AY49" s="401"/>
      <c r="AZ49" s="401"/>
      <c r="BA49" s="401"/>
      <c r="BB49" s="401"/>
      <c r="BC49" s="401"/>
      <c r="BD49" s="401"/>
      <c r="BE49" s="401"/>
      <c r="BF49" s="401"/>
      <c r="BG49" s="401"/>
      <c r="BH49" s="401"/>
      <c r="BI49" s="401"/>
      <c r="BJ49" s="401"/>
      <c r="BK49" s="401"/>
      <c r="BL49" s="401"/>
      <c r="BM49" s="401"/>
      <c r="BN49" s="401"/>
      <c r="BO49" s="401"/>
      <c r="BP49" s="401"/>
      <c r="BQ49" s="401"/>
      <c r="BR49" s="401"/>
      <c r="BS49" s="401"/>
      <c r="BT49" s="401"/>
      <c r="BU49" s="401"/>
      <c r="BV49" s="401"/>
      <c r="BW49" s="401"/>
      <c r="BX49" s="401"/>
      <c r="BY49" s="401"/>
      <c r="BZ49" s="401"/>
    </row>
    <row r="50" ht="15.75" customHeight="1">
      <c r="A50" s="454"/>
      <c r="B50" s="455" t="s">
        <v>2950</v>
      </c>
      <c r="C50" s="433"/>
      <c r="D50" s="433"/>
      <c r="E50" s="434" t="str">
        <f t="shared" si="9"/>
        <v>#DIV/0!</v>
      </c>
      <c r="F50" s="435"/>
      <c r="G50" s="435"/>
      <c r="H50" s="435"/>
      <c r="I50" s="435"/>
      <c r="J50" s="435"/>
      <c r="K50" s="435"/>
      <c r="L50" s="435"/>
      <c r="M50" s="435"/>
      <c r="N50" s="435"/>
      <c r="O50" s="435"/>
      <c r="P50" s="401"/>
      <c r="Q50" s="401"/>
      <c r="R50" s="401"/>
      <c r="S50" s="401"/>
      <c r="T50" s="401"/>
      <c r="U50" s="401"/>
      <c r="V50" s="401"/>
      <c r="W50" s="401"/>
      <c r="X50" s="401"/>
      <c r="Y50" s="401"/>
      <c r="Z50" s="401"/>
      <c r="AA50" s="401"/>
      <c r="AB50" s="401"/>
      <c r="AC50" s="401"/>
      <c r="AD50" s="401"/>
      <c r="AE50" s="401"/>
      <c r="AF50" s="401"/>
      <c r="AG50" s="401"/>
      <c r="AH50" s="401"/>
      <c r="AI50" s="401"/>
      <c r="AJ50" s="401"/>
      <c r="AK50" s="401"/>
      <c r="AL50" s="401"/>
      <c r="AM50" s="401"/>
      <c r="AN50" s="401"/>
      <c r="AO50" s="401"/>
      <c r="AP50" s="401"/>
      <c r="AQ50" s="401"/>
      <c r="AR50" s="401"/>
      <c r="AS50" s="401"/>
      <c r="AT50" s="401"/>
      <c r="AU50" s="401"/>
      <c r="AV50" s="401"/>
      <c r="AW50" s="401"/>
      <c r="AX50" s="401"/>
      <c r="AY50" s="401"/>
      <c r="AZ50" s="401"/>
      <c r="BA50" s="401"/>
      <c r="BB50" s="401"/>
      <c r="BC50" s="401"/>
      <c r="BD50" s="401"/>
      <c r="BE50" s="401"/>
      <c r="BF50" s="401"/>
      <c r="BG50" s="401"/>
      <c r="BH50" s="401"/>
      <c r="BI50" s="401"/>
      <c r="BJ50" s="401"/>
      <c r="BK50" s="401"/>
      <c r="BL50" s="401"/>
      <c r="BM50" s="401"/>
      <c r="BN50" s="401"/>
      <c r="BO50" s="401"/>
      <c r="BP50" s="401"/>
      <c r="BQ50" s="401"/>
      <c r="BR50" s="401"/>
      <c r="BS50" s="401"/>
      <c r="BT50" s="401"/>
      <c r="BU50" s="401"/>
      <c r="BV50" s="401"/>
      <c r="BW50" s="401"/>
      <c r="BX50" s="401"/>
      <c r="BY50" s="401"/>
      <c r="BZ50" s="401"/>
    </row>
    <row r="51" ht="15.75" customHeight="1">
      <c r="A51" s="456"/>
      <c r="B51" s="457" t="s">
        <v>892</v>
      </c>
      <c r="C51" s="440">
        <v>350.0</v>
      </c>
      <c r="D51" s="440">
        <v>32.0</v>
      </c>
      <c r="E51" s="434">
        <f t="shared" si="9"/>
        <v>0.09142857143</v>
      </c>
      <c r="F51" s="441">
        <f t="shared" ref="F51:O51" si="10">SUM(F43:F50)</f>
        <v>0</v>
      </c>
      <c r="G51" s="441">
        <f t="shared" si="10"/>
        <v>0</v>
      </c>
      <c r="H51" s="441">
        <f t="shared" si="10"/>
        <v>0</v>
      </c>
      <c r="I51" s="441">
        <f t="shared" si="10"/>
        <v>0</v>
      </c>
      <c r="J51" s="441">
        <f t="shared" si="10"/>
        <v>0</v>
      </c>
      <c r="K51" s="441">
        <f t="shared" si="10"/>
        <v>0</v>
      </c>
      <c r="L51" s="441">
        <f t="shared" si="10"/>
        <v>0</v>
      </c>
      <c r="M51" s="441">
        <f t="shared" si="10"/>
        <v>0</v>
      </c>
      <c r="N51" s="441">
        <f t="shared" si="10"/>
        <v>0</v>
      </c>
      <c r="O51" s="441">
        <f t="shared" si="10"/>
        <v>0</v>
      </c>
      <c r="P51" s="401"/>
      <c r="Q51" s="401"/>
      <c r="R51" s="401"/>
      <c r="S51" s="401"/>
      <c r="T51" s="401"/>
      <c r="U51" s="401"/>
      <c r="V51" s="401"/>
      <c r="W51" s="401"/>
      <c r="X51" s="401"/>
      <c r="Y51" s="401"/>
      <c r="Z51" s="401"/>
      <c r="AA51" s="401"/>
      <c r="AB51" s="401"/>
      <c r="AC51" s="401"/>
      <c r="AD51" s="401"/>
      <c r="AE51" s="401"/>
      <c r="AF51" s="401"/>
      <c r="AG51" s="401"/>
      <c r="AH51" s="401"/>
      <c r="AI51" s="401"/>
      <c r="AJ51" s="401"/>
      <c r="AK51" s="401"/>
      <c r="AL51" s="401"/>
      <c r="AM51" s="401"/>
      <c r="AN51" s="401"/>
      <c r="AO51" s="401"/>
      <c r="AP51" s="401"/>
      <c r="AQ51" s="401"/>
      <c r="AR51" s="401"/>
      <c r="AS51" s="401"/>
      <c r="AT51" s="401"/>
      <c r="AU51" s="401"/>
      <c r="AV51" s="401"/>
      <c r="AW51" s="401"/>
      <c r="AX51" s="401"/>
      <c r="AY51" s="401"/>
      <c r="AZ51" s="401"/>
      <c r="BA51" s="401"/>
      <c r="BB51" s="401"/>
      <c r="BC51" s="401"/>
      <c r="BD51" s="401"/>
      <c r="BE51" s="401"/>
      <c r="BF51" s="401"/>
      <c r="BG51" s="401"/>
      <c r="BH51" s="401"/>
      <c r="BI51" s="401"/>
      <c r="BJ51" s="401"/>
      <c r="BK51" s="401"/>
      <c r="BL51" s="401"/>
      <c r="BM51" s="401"/>
      <c r="BN51" s="401"/>
      <c r="BO51" s="401"/>
      <c r="BP51" s="401"/>
      <c r="BQ51" s="401"/>
      <c r="BR51" s="401"/>
      <c r="BS51" s="401"/>
      <c r="BT51" s="401"/>
      <c r="BU51" s="401"/>
      <c r="BV51" s="401"/>
      <c r="BW51" s="401"/>
      <c r="BX51" s="401"/>
      <c r="BY51" s="401"/>
      <c r="BZ51" s="401"/>
    </row>
    <row r="52" ht="15.75" customHeight="1">
      <c r="A52" s="401"/>
      <c r="B52" s="401"/>
      <c r="C52" s="401"/>
      <c r="D52" s="401"/>
      <c r="E52" s="401"/>
      <c r="F52" s="401"/>
      <c r="G52" s="401"/>
      <c r="H52" s="401"/>
      <c r="I52" s="381"/>
      <c r="J52" s="381"/>
      <c r="K52" s="381"/>
      <c r="L52" s="381"/>
      <c r="M52" s="381"/>
      <c r="N52" s="381"/>
      <c r="O52" s="381"/>
      <c r="P52" s="401"/>
      <c r="Q52" s="401"/>
      <c r="R52" s="401"/>
      <c r="S52" s="401"/>
      <c r="T52" s="401"/>
      <c r="U52" s="401"/>
      <c r="V52" s="401"/>
      <c r="W52" s="401"/>
      <c r="X52" s="401"/>
      <c r="Y52" s="401"/>
      <c r="Z52" s="401"/>
      <c r="AA52" s="401"/>
      <c r="AB52" s="401"/>
      <c r="AC52" s="401"/>
      <c r="AD52" s="401"/>
      <c r="AE52" s="401"/>
      <c r="AF52" s="401"/>
      <c r="AG52" s="401"/>
      <c r="AH52" s="401"/>
      <c r="AI52" s="401"/>
      <c r="AJ52" s="401"/>
      <c r="AK52" s="401"/>
      <c r="AL52" s="401"/>
      <c r="AM52" s="401"/>
      <c r="AN52" s="401"/>
      <c r="AO52" s="401"/>
      <c r="AP52" s="401"/>
      <c r="AQ52" s="401"/>
      <c r="AR52" s="401"/>
      <c r="AS52" s="401"/>
      <c r="AT52" s="401"/>
      <c r="AU52" s="401"/>
      <c r="AV52" s="401"/>
      <c r="AW52" s="401"/>
      <c r="AX52" s="401"/>
      <c r="AY52" s="401"/>
      <c r="AZ52" s="401"/>
      <c r="BA52" s="401"/>
      <c r="BB52" s="401"/>
      <c r="BC52" s="401"/>
      <c r="BD52" s="401"/>
      <c r="BE52" s="401"/>
      <c r="BF52" s="401"/>
      <c r="BG52" s="401"/>
      <c r="BH52" s="401"/>
      <c r="BI52" s="401"/>
      <c r="BJ52" s="401"/>
      <c r="BK52" s="401"/>
      <c r="BL52" s="401"/>
      <c r="BM52" s="401"/>
      <c r="BN52" s="401"/>
      <c r="BO52" s="401"/>
      <c r="BP52" s="401"/>
      <c r="BQ52" s="401"/>
      <c r="BR52" s="401"/>
      <c r="BS52" s="401"/>
      <c r="BT52" s="401"/>
      <c r="BU52" s="401"/>
      <c r="BV52" s="401"/>
      <c r="BW52" s="401"/>
      <c r="BX52" s="401"/>
      <c r="BY52" s="401"/>
      <c r="BZ52" s="401"/>
    </row>
    <row r="53" ht="15.75" customHeight="1">
      <c r="A53" s="401"/>
      <c r="B53" s="401"/>
      <c r="C53" s="401"/>
      <c r="D53" s="401"/>
      <c r="E53" s="401"/>
      <c r="F53" s="401"/>
      <c r="G53" s="401"/>
      <c r="H53" s="401"/>
      <c r="I53" s="444" t="s">
        <v>2971</v>
      </c>
      <c r="J53" s="445"/>
      <c r="K53" s="445"/>
      <c r="L53" s="445"/>
      <c r="M53" s="445"/>
      <c r="N53" s="445"/>
      <c r="O53" s="446"/>
      <c r="P53" s="401"/>
      <c r="Q53" s="401"/>
      <c r="R53" s="401"/>
      <c r="S53" s="401"/>
      <c r="T53" s="401"/>
      <c r="U53" s="401"/>
      <c r="V53" s="401"/>
      <c r="W53" s="401"/>
      <c r="X53" s="401"/>
      <c r="Y53" s="401"/>
      <c r="Z53" s="401"/>
      <c r="AA53" s="401"/>
      <c r="AB53" s="401"/>
      <c r="AC53" s="401"/>
      <c r="AD53" s="401"/>
      <c r="AE53" s="401"/>
      <c r="AF53" s="401"/>
      <c r="AG53" s="401"/>
      <c r="AH53" s="401"/>
      <c r="AI53" s="401"/>
      <c r="AJ53" s="401"/>
      <c r="AK53" s="401"/>
      <c r="AL53" s="401"/>
      <c r="AM53" s="401"/>
      <c r="AN53" s="401"/>
      <c r="AO53" s="401"/>
      <c r="AP53" s="401"/>
      <c r="AQ53" s="401"/>
      <c r="AR53" s="401"/>
      <c r="AS53" s="401"/>
      <c r="AT53" s="401"/>
      <c r="AU53" s="401"/>
      <c r="AV53" s="401"/>
      <c r="AW53" s="401"/>
      <c r="AX53" s="401"/>
      <c r="AY53" s="401"/>
      <c r="AZ53" s="401"/>
      <c r="BA53" s="401"/>
      <c r="BB53" s="401"/>
      <c r="BC53" s="401"/>
      <c r="BD53" s="401"/>
      <c r="BE53" s="401"/>
      <c r="BF53" s="401"/>
      <c r="BG53" s="401"/>
      <c r="BH53" s="401"/>
      <c r="BI53" s="401"/>
      <c r="BJ53" s="401"/>
      <c r="BK53" s="401"/>
      <c r="BL53" s="401"/>
      <c r="BM53" s="401"/>
      <c r="BN53" s="401"/>
      <c r="BO53" s="401"/>
      <c r="BP53" s="401"/>
      <c r="BQ53" s="401"/>
      <c r="BR53" s="401"/>
      <c r="BS53" s="401"/>
      <c r="BT53" s="401"/>
      <c r="BU53" s="401"/>
      <c r="BV53" s="401"/>
      <c r="BW53" s="401"/>
      <c r="BX53" s="401"/>
      <c r="BY53" s="401"/>
      <c r="BZ53" s="401"/>
    </row>
    <row r="54" ht="15.75" customHeight="1">
      <c r="A54" s="447"/>
      <c r="B54" s="445"/>
      <c r="C54" s="445"/>
      <c r="D54" s="445"/>
      <c r="E54" s="446"/>
      <c r="F54" s="448" t="s">
        <v>2938</v>
      </c>
      <c r="G54" s="5"/>
      <c r="H54" s="6"/>
      <c r="I54" s="449" t="s">
        <v>2972</v>
      </c>
      <c r="J54" s="449" t="s">
        <v>2973</v>
      </c>
      <c r="K54" s="449" t="s">
        <v>2974</v>
      </c>
      <c r="L54" s="449" t="s">
        <v>2975</v>
      </c>
      <c r="M54" s="449" t="s">
        <v>2976</v>
      </c>
      <c r="N54" s="449" t="s">
        <v>2977</v>
      </c>
      <c r="O54" s="449" t="s">
        <v>2978</v>
      </c>
      <c r="P54" s="401"/>
      <c r="Q54" s="401"/>
      <c r="R54" s="401"/>
      <c r="S54" s="401"/>
      <c r="T54" s="401"/>
      <c r="U54" s="401"/>
      <c r="V54" s="401"/>
      <c r="W54" s="401"/>
      <c r="X54" s="401"/>
      <c r="Y54" s="401"/>
      <c r="Z54" s="401"/>
      <c r="AA54" s="401"/>
      <c r="AB54" s="401"/>
      <c r="AC54" s="401"/>
      <c r="AD54" s="401"/>
      <c r="AE54" s="401"/>
      <c r="AF54" s="401"/>
      <c r="AG54" s="401"/>
      <c r="AH54" s="401"/>
      <c r="AI54" s="401"/>
      <c r="AJ54" s="401"/>
      <c r="AK54" s="401"/>
      <c r="AL54" s="401"/>
      <c r="AM54" s="401"/>
      <c r="AN54" s="401"/>
      <c r="AO54" s="401"/>
      <c r="AP54" s="401"/>
      <c r="AQ54" s="401"/>
      <c r="AR54" s="401"/>
      <c r="AS54" s="401"/>
      <c r="AT54" s="401"/>
      <c r="AU54" s="401"/>
      <c r="AV54" s="401"/>
      <c r="AW54" s="401"/>
      <c r="AX54" s="401"/>
      <c r="AY54" s="401"/>
      <c r="AZ54" s="401"/>
      <c r="BA54" s="401"/>
      <c r="BB54" s="401"/>
      <c r="BC54" s="401"/>
      <c r="BD54" s="401"/>
      <c r="BE54" s="401"/>
      <c r="BF54" s="401"/>
      <c r="BG54" s="401"/>
      <c r="BH54" s="401"/>
      <c r="BI54" s="401"/>
      <c r="BJ54" s="401"/>
      <c r="BK54" s="401"/>
      <c r="BL54" s="401"/>
      <c r="BM54" s="401"/>
      <c r="BN54" s="401"/>
      <c r="BO54" s="401"/>
      <c r="BP54" s="401"/>
      <c r="BQ54" s="401"/>
      <c r="BR54" s="401"/>
      <c r="BS54" s="401"/>
      <c r="BT54" s="401"/>
      <c r="BU54" s="401"/>
      <c r="BV54" s="401"/>
      <c r="BW54" s="401"/>
      <c r="BX54" s="401"/>
      <c r="BY54" s="401"/>
      <c r="BZ54" s="401"/>
    </row>
    <row r="55" ht="15.75" customHeight="1">
      <c r="A55" s="451" t="s">
        <v>2960</v>
      </c>
      <c r="B55" s="452" t="s">
        <v>2940</v>
      </c>
      <c r="C55" s="452" t="s">
        <v>2926</v>
      </c>
      <c r="D55" s="452" t="s">
        <v>2941</v>
      </c>
      <c r="E55" s="452" t="s">
        <v>2942</v>
      </c>
      <c r="F55" s="453" t="s">
        <v>2916</v>
      </c>
      <c r="G55" s="453" t="s">
        <v>2970</v>
      </c>
      <c r="H55" s="453" t="s">
        <v>2943</v>
      </c>
      <c r="I55" s="16"/>
      <c r="J55" s="16"/>
      <c r="K55" s="16"/>
      <c r="L55" s="16"/>
      <c r="M55" s="16"/>
      <c r="N55" s="16"/>
      <c r="O55" s="16"/>
      <c r="P55" s="401"/>
      <c r="Q55" s="401"/>
      <c r="R55" s="401"/>
      <c r="S55" s="401"/>
      <c r="T55" s="401"/>
      <c r="U55" s="401"/>
      <c r="V55" s="401"/>
      <c r="W55" s="401"/>
      <c r="X55" s="401"/>
      <c r="Y55" s="401"/>
      <c r="Z55" s="401"/>
      <c r="AA55" s="401"/>
      <c r="AB55" s="401"/>
      <c r="AC55" s="401"/>
      <c r="AD55" s="401"/>
      <c r="AE55" s="401"/>
      <c r="AF55" s="401"/>
      <c r="AG55" s="401"/>
      <c r="AH55" s="401"/>
      <c r="AI55" s="401"/>
      <c r="AJ55" s="401"/>
      <c r="AK55" s="401"/>
      <c r="AL55" s="401"/>
      <c r="AM55" s="401"/>
      <c r="AN55" s="401"/>
      <c r="AO55" s="401"/>
      <c r="AP55" s="401"/>
      <c r="AQ55" s="401"/>
      <c r="AR55" s="401"/>
      <c r="AS55" s="401"/>
      <c r="AT55" s="401"/>
      <c r="AU55" s="401"/>
      <c r="AV55" s="401"/>
      <c r="AW55" s="401"/>
      <c r="AX55" s="401"/>
      <c r="AY55" s="401"/>
      <c r="AZ55" s="401"/>
      <c r="BA55" s="401"/>
      <c r="BB55" s="401"/>
      <c r="BC55" s="401"/>
      <c r="BD55" s="401"/>
      <c r="BE55" s="401"/>
      <c r="BF55" s="401"/>
      <c r="BG55" s="401"/>
      <c r="BH55" s="401"/>
      <c r="BI55" s="401"/>
      <c r="BJ55" s="401"/>
      <c r="BK55" s="401"/>
      <c r="BL55" s="401"/>
      <c r="BM55" s="401"/>
      <c r="BN55" s="401"/>
      <c r="BO55" s="401"/>
      <c r="BP55" s="401"/>
      <c r="BQ55" s="401"/>
      <c r="BR55" s="401"/>
      <c r="BS55" s="401"/>
      <c r="BT55" s="401"/>
      <c r="BU55" s="401"/>
      <c r="BV55" s="401"/>
      <c r="BW55" s="401"/>
      <c r="BX55" s="401"/>
      <c r="BY55" s="401"/>
      <c r="BZ55" s="401"/>
    </row>
    <row r="56" ht="15.75" customHeight="1">
      <c r="A56" s="454"/>
      <c r="B56" s="455" t="s">
        <v>2946</v>
      </c>
      <c r="C56" s="433"/>
      <c r="D56" s="433"/>
      <c r="E56" s="434" t="str">
        <f t="shared" ref="E56:E63" si="11">D56/C56</f>
        <v>#DIV/0!</v>
      </c>
      <c r="F56" s="435"/>
      <c r="G56" s="435"/>
      <c r="H56" s="435"/>
      <c r="I56" s="435"/>
      <c r="J56" s="435"/>
      <c r="K56" s="435"/>
      <c r="L56" s="435"/>
      <c r="M56" s="435"/>
      <c r="N56" s="435"/>
      <c r="O56" s="435"/>
      <c r="P56" s="401"/>
      <c r="Q56" s="401"/>
      <c r="R56" s="401"/>
      <c r="S56" s="401"/>
      <c r="T56" s="401"/>
      <c r="U56" s="401"/>
      <c r="V56" s="401"/>
      <c r="W56" s="401"/>
      <c r="X56" s="401"/>
      <c r="Y56" s="401"/>
      <c r="Z56" s="401"/>
      <c r="AA56" s="401"/>
      <c r="AB56" s="401"/>
      <c r="AC56" s="401"/>
      <c r="AD56" s="401"/>
      <c r="AE56" s="401"/>
      <c r="AF56" s="401"/>
      <c r="AG56" s="401"/>
      <c r="AH56" s="401"/>
      <c r="AI56" s="401"/>
      <c r="AJ56" s="401"/>
      <c r="AK56" s="401"/>
      <c r="AL56" s="401"/>
      <c r="AM56" s="401"/>
      <c r="AN56" s="401"/>
      <c r="AO56" s="401"/>
      <c r="AP56" s="401"/>
      <c r="AQ56" s="401"/>
      <c r="AR56" s="401"/>
      <c r="AS56" s="401"/>
      <c r="AT56" s="401"/>
      <c r="AU56" s="401"/>
      <c r="AV56" s="401"/>
      <c r="AW56" s="401"/>
      <c r="AX56" s="401"/>
      <c r="AY56" s="401"/>
      <c r="AZ56" s="401"/>
      <c r="BA56" s="401"/>
      <c r="BB56" s="401"/>
      <c r="BC56" s="401"/>
      <c r="BD56" s="401"/>
      <c r="BE56" s="401"/>
      <c r="BF56" s="401"/>
      <c r="BG56" s="401"/>
      <c r="BH56" s="401"/>
      <c r="BI56" s="401"/>
      <c r="BJ56" s="401"/>
      <c r="BK56" s="401"/>
      <c r="BL56" s="401"/>
      <c r="BM56" s="401"/>
      <c r="BN56" s="401"/>
      <c r="BO56" s="401"/>
      <c r="BP56" s="401"/>
      <c r="BQ56" s="401"/>
      <c r="BR56" s="401"/>
      <c r="BS56" s="401"/>
      <c r="BT56" s="401"/>
      <c r="BU56" s="401"/>
      <c r="BV56" s="401"/>
      <c r="BW56" s="401"/>
      <c r="BX56" s="401"/>
      <c r="BY56" s="401"/>
      <c r="BZ56" s="401"/>
    </row>
    <row r="57" ht="15.75" customHeight="1">
      <c r="A57" s="454"/>
      <c r="B57" s="455" t="s">
        <v>2624</v>
      </c>
      <c r="C57" s="433"/>
      <c r="D57" s="433"/>
      <c r="E57" s="434" t="str">
        <f t="shared" si="11"/>
        <v>#DIV/0!</v>
      </c>
      <c r="F57" s="435"/>
      <c r="G57" s="435"/>
      <c r="H57" s="435"/>
      <c r="I57" s="435"/>
      <c r="J57" s="435"/>
      <c r="K57" s="435"/>
      <c r="L57" s="435"/>
      <c r="M57" s="435"/>
      <c r="N57" s="435"/>
      <c r="O57" s="435"/>
      <c r="P57" s="401"/>
      <c r="Q57" s="401"/>
      <c r="R57" s="401"/>
      <c r="S57" s="401"/>
      <c r="T57" s="401"/>
      <c r="U57" s="401"/>
      <c r="V57" s="401"/>
      <c r="W57" s="401"/>
      <c r="X57" s="401"/>
      <c r="Y57" s="401"/>
      <c r="Z57" s="401"/>
      <c r="AA57" s="401"/>
      <c r="AB57" s="401"/>
      <c r="AC57" s="401"/>
      <c r="AD57" s="401"/>
      <c r="AE57" s="401"/>
      <c r="AF57" s="401"/>
      <c r="AG57" s="401"/>
      <c r="AH57" s="401"/>
      <c r="AI57" s="401"/>
      <c r="AJ57" s="401"/>
      <c r="AK57" s="401"/>
      <c r="AL57" s="401"/>
      <c r="AM57" s="401"/>
      <c r="AN57" s="401"/>
      <c r="AO57" s="401"/>
      <c r="AP57" s="401"/>
      <c r="AQ57" s="401"/>
      <c r="AR57" s="401"/>
      <c r="AS57" s="401"/>
      <c r="AT57" s="401"/>
      <c r="AU57" s="401"/>
      <c r="AV57" s="401"/>
      <c r="AW57" s="401"/>
      <c r="AX57" s="401"/>
      <c r="AY57" s="401"/>
      <c r="AZ57" s="401"/>
      <c r="BA57" s="401"/>
      <c r="BB57" s="401"/>
      <c r="BC57" s="401"/>
      <c r="BD57" s="401"/>
      <c r="BE57" s="401"/>
      <c r="BF57" s="401"/>
      <c r="BG57" s="401"/>
      <c r="BH57" s="401"/>
      <c r="BI57" s="401"/>
      <c r="BJ57" s="401"/>
      <c r="BK57" s="401"/>
      <c r="BL57" s="401"/>
      <c r="BM57" s="401"/>
      <c r="BN57" s="401"/>
      <c r="BO57" s="401"/>
      <c r="BP57" s="401"/>
      <c r="BQ57" s="401"/>
      <c r="BR57" s="401"/>
      <c r="BS57" s="401"/>
      <c r="BT57" s="401"/>
      <c r="BU57" s="401"/>
      <c r="BV57" s="401"/>
      <c r="BW57" s="401"/>
      <c r="BX57" s="401"/>
      <c r="BY57" s="401"/>
      <c r="BZ57" s="401"/>
    </row>
    <row r="58" ht="15.75" customHeight="1">
      <c r="A58" s="454"/>
      <c r="B58" s="455" t="s">
        <v>2947</v>
      </c>
      <c r="C58" s="433"/>
      <c r="D58" s="433"/>
      <c r="E58" s="434" t="str">
        <f t="shared" si="11"/>
        <v>#DIV/0!</v>
      </c>
      <c r="F58" s="435"/>
      <c r="G58" s="435"/>
      <c r="H58" s="435"/>
      <c r="I58" s="435"/>
      <c r="J58" s="435"/>
      <c r="K58" s="435"/>
      <c r="L58" s="435"/>
      <c r="M58" s="435"/>
      <c r="N58" s="435"/>
      <c r="O58" s="435"/>
      <c r="P58" s="401"/>
      <c r="Q58" s="401"/>
      <c r="R58" s="401"/>
      <c r="S58" s="401"/>
      <c r="T58" s="401"/>
      <c r="U58" s="401"/>
      <c r="V58" s="401"/>
      <c r="W58" s="401"/>
      <c r="X58" s="401"/>
      <c r="Y58" s="401"/>
      <c r="Z58" s="401"/>
      <c r="AA58" s="401"/>
      <c r="AB58" s="401"/>
      <c r="AC58" s="401"/>
      <c r="AD58" s="401"/>
      <c r="AE58" s="401"/>
      <c r="AF58" s="401"/>
      <c r="AG58" s="401"/>
      <c r="AH58" s="401"/>
      <c r="AI58" s="401"/>
      <c r="AJ58" s="401"/>
      <c r="AK58" s="401"/>
      <c r="AL58" s="401"/>
      <c r="AM58" s="401"/>
      <c r="AN58" s="401"/>
      <c r="AO58" s="401"/>
      <c r="AP58" s="401"/>
      <c r="AQ58" s="401"/>
      <c r="AR58" s="401"/>
      <c r="AS58" s="401"/>
      <c r="AT58" s="401"/>
      <c r="AU58" s="401"/>
      <c r="AV58" s="401"/>
      <c r="AW58" s="401"/>
      <c r="AX58" s="401"/>
      <c r="AY58" s="401"/>
      <c r="AZ58" s="401"/>
      <c r="BA58" s="401"/>
      <c r="BB58" s="401"/>
      <c r="BC58" s="401"/>
      <c r="BD58" s="401"/>
      <c r="BE58" s="401"/>
      <c r="BF58" s="401"/>
      <c r="BG58" s="401"/>
      <c r="BH58" s="401"/>
      <c r="BI58" s="401"/>
      <c r="BJ58" s="401"/>
      <c r="BK58" s="401"/>
      <c r="BL58" s="401"/>
      <c r="BM58" s="401"/>
      <c r="BN58" s="401"/>
      <c r="BO58" s="401"/>
      <c r="BP58" s="401"/>
      <c r="BQ58" s="401"/>
      <c r="BR58" s="401"/>
      <c r="BS58" s="401"/>
      <c r="BT58" s="401"/>
      <c r="BU58" s="401"/>
      <c r="BV58" s="401"/>
      <c r="BW58" s="401"/>
      <c r="BX58" s="401"/>
      <c r="BY58" s="401"/>
      <c r="BZ58" s="401"/>
    </row>
    <row r="59" ht="15.75" customHeight="1">
      <c r="A59" s="454"/>
      <c r="B59" s="455" t="s">
        <v>2627</v>
      </c>
      <c r="C59" s="433"/>
      <c r="D59" s="433"/>
      <c r="E59" s="434" t="str">
        <f t="shared" si="11"/>
        <v>#DIV/0!</v>
      </c>
      <c r="F59" s="435"/>
      <c r="G59" s="435"/>
      <c r="H59" s="435"/>
      <c r="I59" s="435"/>
      <c r="J59" s="435"/>
      <c r="K59" s="435"/>
      <c r="L59" s="435"/>
      <c r="M59" s="435"/>
      <c r="N59" s="435"/>
      <c r="O59" s="435"/>
      <c r="P59" s="401"/>
      <c r="Q59" s="401"/>
      <c r="R59" s="401"/>
      <c r="S59" s="401"/>
      <c r="T59" s="401"/>
      <c r="U59" s="401"/>
      <c r="V59" s="401"/>
      <c r="W59" s="401"/>
      <c r="X59" s="401"/>
      <c r="Y59" s="401"/>
      <c r="Z59" s="401"/>
      <c r="AA59" s="401"/>
      <c r="AB59" s="401"/>
      <c r="AC59" s="401"/>
      <c r="AD59" s="401"/>
      <c r="AE59" s="401"/>
      <c r="AF59" s="401"/>
      <c r="AG59" s="401"/>
      <c r="AH59" s="401"/>
      <c r="AI59" s="401"/>
      <c r="AJ59" s="401"/>
      <c r="AK59" s="401"/>
      <c r="AL59" s="401"/>
      <c r="AM59" s="401"/>
      <c r="AN59" s="401"/>
      <c r="AO59" s="401"/>
      <c r="AP59" s="401"/>
      <c r="AQ59" s="401"/>
      <c r="AR59" s="401"/>
      <c r="AS59" s="401"/>
      <c r="AT59" s="401"/>
      <c r="AU59" s="401"/>
      <c r="AV59" s="401"/>
      <c r="AW59" s="401"/>
      <c r="AX59" s="401"/>
      <c r="AY59" s="401"/>
      <c r="AZ59" s="401"/>
      <c r="BA59" s="401"/>
      <c r="BB59" s="401"/>
      <c r="BC59" s="401"/>
      <c r="BD59" s="401"/>
      <c r="BE59" s="401"/>
      <c r="BF59" s="401"/>
      <c r="BG59" s="401"/>
      <c r="BH59" s="401"/>
      <c r="BI59" s="401"/>
      <c r="BJ59" s="401"/>
      <c r="BK59" s="401"/>
      <c r="BL59" s="401"/>
      <c r="BM59" s="401"/>
      <c r="BN59" s="401"/>
      <c r="BO59" s="401"/>
      <c r="BP59" s="401"/>
      <c r="BQ59" s="401"/>
      <c r="BR59" s="401"/>
      <c r="BS59" s="401"/>
      <c r="BT59" s="401"/>
      <c r="BU59" s="401"/>
      <c r="BV59" s="401"/>
      <c r="BW59" s="401"/>
      <c r="BX59" s="401"/>
      <c r="BY59" s="401"/>
      <c r="BZ59" s="401"/>
    </row>
    <row r="60" ht="15.75" customHeight="1">
      <c r="A60" s="454"/>
      <c r="B60" s="455" t="s">
        <v>2622</v>
      </c>
      <c r="C60" s="433"/>
      <c r="D60" s="433"/>
      <c r="E60" s="434" t="str">
        <f t="shared" si="11"/>
        <v>#DIV/0!</v>
      </c>
      <c r="F60" s="435"/>
      <c r="G60" s="435"/>
      <c r="H60" s="435"/>
      <c r="I60" s="435"/>
      <c r="J60" s="435"/>
      <c r="K60" s="435"/>
      <c r="L60" s="435"/>
      <c r="M60" s="435"/>
      <c r="N60" s="435"/>
      <c r="O60" s="435"/>
      <c r="P60" s="401"/>
      <c r="Q60" s="401"/>
      <c r="R60" s="401"/>
      <c r="S60" s="401"/>
      <c r="T60" s="401"/>
      <c r="U60" s="401"/>
      <c r="V60" s="401"/>
      <c r="W60" s="401"/>
      <c r="X60" s="401"/>
      <c r="Y60" s="401"/>
      <c r="Z60" s="401"/>
      <c r="AA60" s="401"/>
      <c r="AB60" s="401"/>
      <c r="AC60" s="401"/>
      <c r="AD60" s="401"/>
      <c r="AE60" s="401"/>
      <c r="AF60" s="401"/>
      <c r="AG60" s="401"/>
      <c r="AH60" s="401"/>
      <c r="AI60" s="401"/>
      <c r="AJ60" s="401"/>
      <c r="AK60" s="401"/>
      <c r="AL60" s="401"/>
      <c r="AM60" s="401"/>
      <c r="AN60" s="401"/>
      <c r="AO60" s="401"/>
      <c r="AP60" s="401"/>
      <c r="AQ60" s="401"/>
      <c r="AR60" s="401"/>
      <c r="AS60" s="401"/>
      <c r="AT60" s="401"/>
      <c r="AU60" s="401"/>
      <c r="AV60" s="401"/>
      <c r="AW60" s="401"/>
      <c r="AX60" s="401"/>
      <c r="AY60" s="401"/>
      <c r="AZ60" s="401"/>
      <c r="BA60" s="401"/>
      <c r="BB60" s="401"/>
      <c r="BC60" s="401"/>
      <c r="BD60" s="401"/>
      <c r="BE60" s="401"/>
      <c r="BF60" s="401"/>
      <c r="BG60" s="401"/>
      <c r="BH60" s="401"/>
      <c r="BI60" s="401"/>
      <c r="BJ60" s="401"/>
      <c r="BK60" s="401"/>
      <c r="BL60" s="401"/>
      <c r="BM60" s="401"/>
      <c r="BN60" s="401"/>
      <c r="BO60" s="401"/>
      <c r="BP60" s="401"/>
      <c r="BQ60" s="401"/>
      <c r="BR60" s="401"/>
      <c r="BS60" s="401"/>
      <c r="BT60" s="401"/>
      <c r="BU60" s="401"/>
      <c r="BV60" s="401"/>
      <c r="BW60" s="401"/>
      <c r="BX60" s="401"/>
      <c r="BY60" s="401"/>
      <c r="BZ60" s="401"/>
    </row>
    <row r="61" ht="15.75" customHeight="1">
      <c r="A61" s="454"/>
      <c r="B61" s="455" t="s">
        <v>2948</v>
      </c>
      <c r="C61" s="433"/>
      <c r="D61" s="433"/>
      <c r="E61" s="434" t="str">
        <f t="shared" si="11"/>
        <v>#DIV/0!</v>
      </c>
      <c r="F61" s="435"/>
      <c r="G61" s="435"/>
      <c r="H61" s="435"/>
      <c r="I61" s="435"/>
      <c r="J61" s="435"/>
      <c r="K61" s="435"/>
      <c r="L61" s="435"/>
      <c r="M61" s="435"/>
      <c r="N61" s="435"/>
      <c r="O61" s="435"/>
      <c r="P61" s="401"/>
      <c r="Q61" s="401"/>
      <c r="R61" s="401"/>
      <c r="S61" s="401"/>
      <c r="T61" s="401"/>
      <c r="U61" s="401"/>
      <c r="V61" s="401"/>
      <c r="W61" s="401"/>
      <c r="X61" s="401"/>
      <c r="Y61" s="401"/>
      <c r="Z61" s="401"/>
      <c r="AA61" s="401"/>
      <c r="AB61" s="401"/>
      <c r="AC61" s="401"/>
      <c r="AD61" s="401"/>
      <c r="AE61" s="401"/>
      <c r="AF61" s="401"/>
      <c r="AG61" s="401"/>
      <c r="AH61" s="401"/>
      <c r="AI61" s="401"/>
      <c r="AJ61" s="401"/>
      <c r="AK61" s="401"/>
      <c r="AL61" s="401"/>
      <c r="AM61" s="401"/>
      <c r="AN61" s="401"/>
      <c r="AO61" s="401"/>
      <c r="AP61" s="401"/>
      <c r="AQ61" s="401"/>
      <c r="AR61" s="401"/>
      <c r="AS61" s="401"/>
      <c r="AT61" s="401"/>
      <c r="AU61" s="401"/>
      <c r="AV61" s="401"/>
      <c r="AW61" s="401"/>
      <c r="AX61" s="401"/>
      <c r="AY61" s="401"/>
      <c r="AZ61" s="401"/>
      <c r="BA61" s="401"/>
      <c r="BB61" s="401"/>
      <c r="BC61" s="401"/>
      <c r="BD61" s="401"/>
      <c r="BE61" s="401"/>
      <c r="BF61" s="401"/>
      <c r="BG61" s="401"/>
      <c r="BH61" s="401"/>
      <c r="BI61" s="401"/>
      <c r="BJ61" s="401"/>
      <c r="BK61" s="401"/>
      <c r="BL61" s="401"/>
      <c r="BM61" s="401"/>
      <c r="BN61" s="401"/>
      <c r="BO61" s="401"/>
      <c r="BP61" s="401"/>
      <c r="BQ61" s="401"/>
      <c r="BR61" s="401"/>
      <c r="BS61" s="401"/>
      <c r="BT61" s="401"/>
      <c r="BU61" s="401"/>
      <c r="BV61" s="401"/>
      <c r="BW61" s="401"/>
      <c r="BX61" s="401"/>
      <c r="BY61" s="401"/>
      <c r="BZ61" s="401"/>
    </row>
    <row r="62" ht="15.75" customHeight="1">
      <c r="A62" s="454"/>
      <c r="B62" s="455" t="s">
        <v>2949</v>
      </c>
      <c r="C62" s="433"/>
      <c r="D62" s="433"/>
      <c r="E62" s="434" t="str">
        <f t="shared" si="11"/>
        <v>#DIV/0!</v>
      </c>
      <c r="F62" s="435"/>
      <c r="G62" s="435"/>
      <c r="H62" s="435"/>
      <c r="I62" s="435"/>
      <c r="J62" s="435"/>
      <c r="K62" s="435"/>
      <c r="L62" s="435"/>
      <c r="M62" s="435"/>
      <c r="N62" s="435"/>
      <c r="O62" s="435"/>
      <c r="P62" s="401"/>
      <c r="Q62" s="401"/>
      <c r="R62" s="401"/>
      <c r="S62" s="401"/>
      <c r="T62" s="401"/>
      <c r="U62" s="401"/>
      <c r="V62" s="401"/>
      <c r="W62" s="401"/>
      <c r="X62" s="401"/>
      <c r="Y62" s="401"/>
      <c r="Z62" s="401"/>
      <c r="AA62" s="401"/>
      <c r="AB62" s="401"/>
      <c r="AC62" s="401"/>
      <c r="AD62" s="401"/>
      <c r="AE62" s="401"/>
      <c r="AF62" s="401"/>
      <c r="AG62" s="401"/>
      <c r="AH62" s="401"/>
      <c r="AI62" s="401"/>
      <c r="AJ62" s="401"/>
      <c r="AK62" s="401"/>
      <c r="AL62" s="401"/>
      <c r="AM62" s="401"/>
      <c r="AN62" s="401"/>
      <c r="AO62" s="401"/>
      <c r="AP62" s="401"/>
      <c r="AQ62" s="401"/>
      <c r="AR62" s="401"/>
      <c r="AS62" s="401"/>
      <c r="AT62" s="401"/>
      <c r="AU62" s="401"/>
      <c r="AV62" s="401"/>
      <c r="AW62" s="401"/>
      <c r="AX62" s="401"/>
      <c r="AY62" s="401"/>
      <c r="AZ62" s="401"/>
      <c r="BA62" s="401"/>
      <c r="BB62" s="401"/>
      <c r="BC62" s="401"/>
      <c r="BD62" s="401"/>
      <c r="BE62" s="401"/>
      <c r="BF62" s="401"/>
      <c r="BG62" s="401"/>
      <c r="BH62" s="401"/>
      <c r="BI62" s="401"/>
      <c r="BJ62" s="401"/>
      <c r="BK62" s="401"/>
      <c r="BL62" s="401"/>
      <c r="BM62" s="401"/>
      <c r="BN62" s="401"/>
      <c r="BO62" s="401"/>
      <c r="BP62" s="401"/>
      <c r="BQ62" s="401"/>
      <c r="BR62" s="401"/>
      <c r="BS62" s="401"/>
      <c r="BT62" s="401"/>
      <c r="BU62" s="401"/>
      <c r="BV62" s="401"/>
      <c r="BW62" s="401"/>
      <c r="BX62" s="401"/>
      <c r="BY62" s="401"/>
      <c r="BZ62" s="401"/>
    </row>
    <row r="63" ht="15.75" customHeight="1">
      <c r="A63" s="454"/>
      <c r="B63" s="455" t="s">
        <v>2950</v>
      </c>
      <c r="C63" s="433"/>
      <c r="D63" s="433"/>
      <c r="E63" s="434" t="str">
        <f t="shared" si="11"/>
        <v>#DIV/0!</v>
      </c>
      <c r="F63" s="435"/>
      <c r="G63" s="435"/>
      <c r="H63" s="435"/>
      <c r="I63" s="435"/>
      <c r="J63" s="435"/>
      <c r="K63" s="435"/>
      <c r="L63" s="435"/>
      <c r="M63" s="435"/>
      <c r="N63" s="435"/>
      <c r="O63" s="435"/>
      <c r="P63" s="401"/>
      <c r="Q63" s="401"/>
      <c r="R63" s="401"/>
      <c r="S63" s="401"/>
      <c r="T63" s="401"/>
      <c r="U63" s="401"/>
      <c r="V63" s="401"/>
      <c r="W63" s="401"/>
      <c r="X63" s="401"/>
      <c r="Y63" s="401"/>
      <c r="Z63" s="401"/>
      <c r="AA63" s="401"/>
      <c r="AB63" s="401"/>
      <c r="AC63" s="401"/>
      <c r="AD63" s="401"/>
      <c r="AE63" s="401"/>
      <c r="AF63" s="401"/>
      <c r="AG63" s="401"/>
      <c r="AH63" s="401"/>
      <c r="AI63" s="401"/>
      <c r="AJ63" s="401"/>
      <c r="AK63" s="401"/>
      <c r="AL63" s="401"/>
      <c r="AM63" s="401"/>
      <c r="AN63" s="401"/>
      <c r="AO63" s="401"/>
      <c r="AP63" s="401"/>
      <c r="AQ63" s="401"/>
      <c r="AR63" s="401"/>
      <c r="AS63" s="401"/>
      <c r="AT63" s="401"/>
      <c r="AU63" s="401"/>
      <c r="AV63" s="401"/>
      <c r="AW63" s="401"/>
      <c r="AX63" s="401"/>
      <c r="AY63" s="401"/>
      <c r="AZ63" s="401"/>
      <c r="BA63" s="401"/>
      <c r="BB63" s="401"/>
      <c r="BC63" s="401"/>
      <c r="BD63" s="401"/>
      <c r="BE63" s="401"/>
      <c r="BF63" s="401"/>
      <c r="BG63" s="401"/>
      <c r="BH63" s="401"/>
      <c r="BI63" s="401"/>
      <c r="BJ63" s="401"/>
      <c r="BK63" s="401"/>
      <c r="BL63" s="401"/>
      <c r="BM63" s="401"/>
      <c r="BN63" s="401"/>
      <c r="BO63" s="401"/>
      <c r="BP63" s="401"/>
      <c r="BQ63" s="401"/>
      <c r="BR63" s="401"/>
      <c r="BS63" s="401"/>
      <c r="BT63" s="401"/>
      <c r="BU63" s="401"/>
      <c r="BV63" s="401"/>
      <c r="BW63" s="401"/>
      <c r="BX63" s="401"/>
      <c r="BY63" s="401"/>
      <c r="BZ63" s="401"/>
    </row>
    <row r="64" ht="15.75" customHeight="1">
      <c r="A64" s="456"/>
      <c r="B64" s="457" t="s">
        <v>892</v>
      </c>
      <c r="C64" s="440">
        <v>500.0</v>
      </c>
      <c r="D64" s="440">
        <v>40.0</v>
      </c>
      <c r="E64" s="434"/>
      <c r="F64" s="441">
        <f t="shared" ref="F64:O64" si="12">SUM(F56:F63)</f>
        <v>0</v>
      </c>
      <c r="G64" s="441">
        <f t="shared" si="12"/>
        <v>0</v>
      </c>
      <c r="H64" s="441">
        <f t="shared" si="12"/>
        <v>0</v>
      </c>
      <c r="I64" s="441">
        <f t="shared" si="12"/>
        <v>0</v>
      </c>
      <c r="J64" s="441">
        <f t="shared" si="12"/>
        <v>0</v>
      </c>
      <c r="K64" s="441">
        <f t="shared" si="12"/>
        <v>0</v>
      </c>
      <c r="L64" s="441">
        <f t="shared" si="12"/>
        <v>0</v>
      </c>
      <c r="M64" s="441">
        <f t="shared" si="12"/>
        <v>0</v>
      </c>
      <c r="N64" s="441">
        <f t="shared" si="12"/>
        <v>0</v>
      </c>
      <c r="O64" s="441">
        <f t="shared" si="12"/>
        <v>0</v>
      </c>
      <c r="P64" s="401"/>
      <c r="Q64" s="401"/>
      <c r="R64" s="401"/>
      <c r="S64" s="401"/>
      <c r="T64" s="401"/>
      <c r="U64" s="401"/>
      <c r="V64" s="401"/>
      <c r="W64" s="401"/>
      <c r="X64" s="401"/>
      <c r="Y64" s="401"/>
      <c r="Z64" s="401"/>
      <c r="AA64" s="401"/>
      <c r="AB64" s="401"/>
      <c r="AC64" s="401"/>
      <c r="AD64" s="401"/>
      <c r="AE64" s="401"/>
      <c r="AF64" s="401"/>
      <c r="AG64" s="401"/>
      <c r="AH64" s="401"/>
      <c r="AI64" s="401"/>
      <c r="AJ64" s="401"/>
      <c r="AK64" s="401"/>
      <c r="AL64" s="401"/>
      <c r="AM64" s="401"/>
      <c r="AN64" s="401"/>
      <c r="AO64" s="401"/>
      <c r="AP64" s="401"/>
      <c r="AQ64" s="401"/>
      <c r="AR64" s="401"/>
      <c r="AS64" s="401"/>
      <c r="AT64" s="401"/>
      <c r="AU64" s="401"/>
      <c r="AV64" s="401"/>
      <c r="AW64" s="401"/>
      <c r="AX64" s="401"/>
      <c r="AY64" s="401"/>
      <c r="AZ64" s="401"/>
      <c r="BA64" s="401"/>
      <c r="BB64" s="401"/>
      <c r="BC64" s="401"/>
      <c r="BD64" s="401"/>
      <c r="BE64" s="401"/>
      <c r="BF64" s="401"/>
      <c r="BG64" s="401"/>
      <c r="BH64" s="401"/>
      <c r="BI64" s="401"/>
      <c r="BJ64" s="401"/>
      <c r="BK64" s="401"/>
      <c r="BL64" s="401"/>
      <c r="BM64" s="401"/>
      <c r="BN64" s="401"/>
      <c r="BO64" s="401"/>
      <c r="BP64" s="401"/>
      <c r="BQ64" s="401"/>
      <c r="BR64" s="401"/>
      <c r="BS64" s="401"/>
      <c r="BT64" s="401"/>
      <c r="BU64" s="401"/>
      <c r="BV64" s="401"/>
      <c r="BW64" s="401"/>
      <c r="BX64" s="401"/>
      <c r="BY64" s="401"/>
      <c r="BZ64" s="401"/>
    </row>
    <row r="65" ht="15.75" customHeight="1">
      <c r="A65" s="401"/>
      <c r="B65" s="401"/>
      <c r="C65" s="401"/>
      <c r="D65" s="401"/>
      <c r="E65" s="401"/>
      <c r="F65" s="401"/>
      <c r="G65" s="401"/>
      <c r="H65" s="401"/>
      <c r="I65" s="381"/>
      <c r="J65" s="381"/>
      <c r="K65" s="381"/>
      <c r="L65" s="381"/>
      <c r="M65" s="381"/>
      <c r="N65" s="381"/>
      <c r="O65" s="381"/>
      <c r="P65" s="401"/>
      <c r="Q65" s="401"/>
      <c r="R65" s="401"/>
      <c r="S65" s="401"/>
      <c r="T65" s="401"/>
      <c r="U65" s="401"/>
      <c r="V65" s="401"/>
      <c r="W65" s="401"/>
      <c r="X65" s="401"/>
      <c r="Y65" s="401"/>
      <c r="Z65" s="401"/>
      <c r="AA65" s="401"/>
      <c r="AB65" s="401"/>
      <c r="AC65" s="401"/>
      <c r="AD65" s="401"/>
      <c r="AE65" s="401"/>
      <c r="AF65" s="401"/>
      <c r="AG65" s="401"/>
      <c r="AH65" s="401"/>
      <c r="AI65" s="401"/>
      <c r="AJ65" s="401"/>
      <c r="AK65" s="401"/>
      <c r="AL65" s="401"/>
      <c r="AM65" s="401"/>
      <c r="AN65" s="401"/>
      <c r="AO65" s="401"/>
      <c r="AP65" s="401"/>
      <c r="AQ65" s="401"/>
      <c r="AR65" s="401"/>
      <c r="AS65" s="401"/>
      <c r="AT65" s="401"/>
      <c r="AU65" s="401"/>
      <c r="AV65" s="401"/>
      <c r="AW65" s="401"/>
      <c r="AX65" s="401"/>
      <c r="AY65" s="401"/>
      <c r="AZ65" s="401"/>
      <c r="BA65" s="401"/>
      <c r="BB65" s="401"/>
      <c r="BC65" s="401"/>
      <c r="BD65" s="401"/>
      <c r="BE65" s="401"/>
      <c r="BF65" s="401"/>
      <c r="BG65" s="401"/>
      <c r="BH65" s="401"/>
      <c r="BI65" s="401"/>
      <c r="BJ65" s="401"/>
      <c r="BK65" s="401"/>
      <c r="BL65" s="401"/>
      <c r="BM65" s="401"/>
      <c r="BN65" s="401"/>
      <c r="BO65" s="401"/>
      <c r="BP65" s="401"/>
      <c r="BQ65" s="401"/>
      <c r="BR65" s="401"/>
      <c r="BS65" s="401"/>
      <c r="BT65" s="401"/>
      <c r="BU65" s="401"/>
      <c r="BV65" s="401"/>
      <c r="BW65" s="401"/>
      <c r="BX65" s="401"/>
      <c r="BY65" s="401"/>
      <c r="BZ65" s="401"/>
    </row>
    <row r="66" ht="15.75" customHeight="1">
      <c r="A66" s="401"/>
      <c r="B66" s="401"/>
      <c r="C66" s="401"/>
      <c r="D66" s="401"/>
      <c r="E66" s="401"/>
      <c r="F66" s="401"/>
      <c r="G66" s="401"/>
      <c r="H66" s="401"/>
      <c r="I66" s="381"/>
      <c r="J66" s="381"/>
      <c r="K66" s="381"/>
      <c r="L66" s="381"/>
      <c r="M66" s="381"/>
      <c r="N66" s="381"/>
      <c r="O66" s="381"/>
      <c r="P66" s="401"/>
      <c r="Q66" s="401"/>
      <c r="R66" s="401"/>
      <c r="S66" s="401"/>
      <c r="T66" s="401"/>
      <c r="U66" s="401"/>
      <c r="V66" s="401"/>
      <c r="W66" s="401"/>
      <c r="X66" s="401"/>
      <c r="Y66" s="401"/>
      <c r="Z66" s="401"/>
      <c r="AA66" s="401"/>
      <c r="AB66" s="401"/>
      <c r="AC66" s="401"/>
      <c r="AD66" s="401"/>
      <c r="AE66" s="401"/>
      <c r="AF66" s="401"/>
      <c r="AG66" s="401"/>
      <c r="AH66" s="401"/>
      <c r="AI66" s="401"/>
      <c r="AJ66" s="401"/>
      <c r="AK66" s="401"/>
      <c r="AL66" s="401"/>
      <c r="AM66" s="401"/>
      <c r="AN66" s="401"/>
      <c r="AO66" s="401"/>
      <c r="AP66" s="401"/>
      <c r="AQ66" s="401"/>
      <c r="AR66" s="401"/>
      <c r="AS66" s="401"/>
      <c r="AT66" s="401"/>
      <c r="AU66" s="401"/>
      <c r="AV66" s="401"/>
      <c r="AW66" s="401"/>
      <c r="AX66" s="401"/>
      <c r="AY66" s="401"/>
      <c r="AZ66" s="401"/>
      <c r="BA66" s="401"/>
      <c r="BB66" s="401"/>
      <c r="BC66" s="401"/>
      <c r="BD66" s="401"/>
      <c r="BE66" s="401"/>
      <c r="BF66" s="401"/>
      <c r="BG66" s="401"/>
      <c r="BH66" s="401"/>
      <c r="BI66" s="401"/>
      <c r="BJ66" s="401"/>
      <c r="BK66" s="401"/>
      <c r="BL66" s="401"/>
      <c r="BM66" s="401"/>
      <c r="BN66" s="401"/>
      <c r="BO66" s="401"/>
      <c r="BP66" s="401"/>
      <c r="BQ66" s="401"/>
      <c r="BR66" s="401"/>
      <c r="BS66" s="401"/>
      <c r="BT66" s="401"/>
      <c r="BU66" s="401"/>
      <c r="BV66" s="401"/>
      <c r="BW66" s="401"/>
      <c r="BX66" s="401"/>
      <c r="BY66" s="401"/>
      <c r="BZ66" s="401"/>
    </row>
    <row r="67" ht="15.75" hidden="1" customHeight="1">
      <c r="A67" s="459" t="s">
        <v>2979</v>
      </c>
      <c r="B67" s="401"/>
      <c r="C67" s="401"/>
      <c r="D67" s="401"/>
      <c r="E67" s="401"/>
      <c r="F67" s="401"/>
      <c r="G67" s="401"/>
      <c r="H67" s="401"/>
      <c r="I67" s="381"/>
      <c r="J67" s="381"/>
      <c r="K67" s="381"/>
      <c r="L67" s="381"/>
      <c r="M67" s="381"/>
      <c r="N67" s="381"/>
      <c r="O67" s="381"/>
      <c r="P67" s="401"/>
      <c r="Q67" s="401"/>
      <c r="R67" s="401"/>
      <c r="S67" s="401"/>
      <c r="T67" s="401"/>
      <c r="U67" s="401"/>
      <c r="V67" s="401"/>
      <c r="W67" s="401"/>
      <c r="X67" s="401"/>
      <c r="Y67" s="401"/>
      <c r="Z67" s="401"/>
      <c r="AA67" s="401"/>
      <c r="AB67" s="401"/>
      <c r="AC67" s="401"/>
      <c r="AD67" s="401"/>
      <c r="AE67" s="401"/>
      <c r="AF67" s="401"/>
      <c r="AG67" s="401"/>
      <c r="AH67" s="401"/>
      <c r="AI67" s="401"/>
      <c r="AJ67" s="401"/>
      <c r="AK67" s="401"/>
      <c r="AL67" s="401"/>
      <c r="AM67" s="401"/>
      <c r="AN67" s="401"/>
      <c r="AO67" s="401"/>
      <c r="AP67" s="401"/>
      <c r="AQ67" s="401"/>
      <c r="AR67" s="401"/>
      <c r="AS67" s="401"/>
      <c r="AT67" s="401"/>
      <c r="AU67" s="401"/>
      <c r="AV67" s="401"/>
      <c r="AW67" s="401"/>
      <c r="AX67" s="401"/>
      <c r="AY67" s="401"/>
      <c r="AZ67" s="401"/>
      <c r="BA67" s="401"/>
      <c r="BB67" s="401"/>
      <c r="BC67" s="401"/>
      <c r="BD67" s="401"/>
      <c r="BE67" s="401"/>
      <c r="BF67" s="401"/>
      <c r="BG67" s="401"/>
      <c r="BH67" s="401"/>
      <c r="BI67" s="401"/>
      <c r="BJ67" s="401"/>
      <c r="BK67" s="401"/>
      <c r="BL67" s="401"/>
      <c r="BM67" s="401"/>
      <c r="BN67" s="401"/>
      <c r="BO67" s="401"/>
      <c r="BP67" s="401"/>
      <c r="BQ67" s="401"/>
      <c r="BR67" s="401"/>
      <c r="BS67" s="401"/>
      <c r="BT67" s="401"/>
      <c r="BU67" s="401"/>
      <c r="BV67" s="401"/>
      <c r="BW67" s="401"/>
      <c r="BX67" s="401"/>
      <c r="BY67" s="401"/>
      <c r="BZ67" s="401"/>
    </row>
    <row r="68" ht="15.75" hidden="1" customHeight="1">
      <c r="A68" s="401"/>
      <c r="B68" s="401"/>
      <c r="C68" s="401"/>
      <c r="D68" s="401"/>
      <c r="E68" s="401"/>
      <c r="F68" s="401"/>
      <c r="G68" s="401"/>
      <c r="H68" s="401"/>
      <c r="I68" s="381"/>
      <c r="J68" s="381"/>
      <c r="K68" s="381"/>
      <c r="L68" s="381"/>
      <c r="M68" s="381"/>
      <c r="N68" s="381"/>
      <c r="O68" s="381"/>
      <c r="P68" s="401"/>
      <c r="Q68" s="401"/>
      <c r="R68" s="401"/>
      <c r="S68" s="401"/>
      <c r="T68" s="401"/>
      <c r="U68" s="401"/>
      <c r="V68" s="401"/>
      <c r="W68" s="401"/>
      <c r="X68" s="401"/>
      <c r="Y68" s="401"/>
      <c r="Z68" s="401"/>
      <c r="AA68" s="401"/>
      <c r="AB68" s="401"/>
      <c r="AC68" s="401"/>
      <c r="AD68" s="401"/>
      <c r="AE68" s="401"/>
      <c r="AF68" s="401"/>
      <c r="AG68" s="401"/>
      <c r="AH68" s="401"/>
      <c r="AI68" s="401"/>
      <c r="AJ68" s="401"/>
      <c r="AK68" s="401"/>
      <c r="AL68" s="401"/>
      <c r="AM68" s="401"/>
      <c r="AN68" s="401"/>
      <c r="AO68" s="401"/>
      <c r="AP68" s="401"/>
      <c r="AQ68" s="401"/>
      <c r="AR68" s="401"/>
      <c r="AS68" s="401"/>
      <c r="AT68" s="401"/>
      <c r="AU68" s="401"/>
      <c r="AV68" s="401"/>
      <c r="AW68" s="401"/>
      <c r="AX68" s="401"/>
      <c r="AY68" s="401"/>
      <c r="AZ68" s="401"/>
      <c r="BA68" s="401"/>
      <c r="BB68" s="401"/>
      <c r="BC68" s="401"/>
      <c r="BD68" s="401"/>
      <c r="BE68" s="401"/>
      <c r="BF68" s="401"/>
      <c r="BG68" s="401"/>
      <c r="BH68" s="401"/>
      <c r="BI68" s="401"/>
      <c r="BJ68" s="401"/>
      <c r="BK68" s="401"/>
      <c r="BL68" s="401"/>
      <c r="BM68" s="401"/>
      <c r="BN68" s="401"/>
      <c r="BO68" s="401"/>
      <c r="BP68" s="401"/>
      <c r="BQ68" s="401"/>
      <c r="BR68" s="401"/>
      <c r="BS68" s="401"/>
      <c r="BT68" s="401"/>
      <c r="BU68" s="401"/>
      <c r="BV68" s="401"/>
      <c r="BW68" s="401"/>
      <c r="BX68" s="401"/>
      <c r="BY68" s="401"/>
      <c r="BZ68" s="401"/>
    </row>
    <row r="69" ht="42.75" hidden="1" customHeight="1">
      <c r="A69" s="460"/>
      <c r="B69" s="461"/>
      <c r="C69" s="445"/>
      <c r="D69" s="445"/>
      <c r="E69" s="445"/>
      <c r="F69" s="445"/>
      <c r="G69" s="445"/>
      <c r="H69" s="445"/>
      <c r="I69" s="446"/>
      <c r="K69" s="462"/>
      <c r="L69" s="462"/>
      <c r="M69" s="462"/>
      <c r="N69" s="462"/>
      <c r="O69" s="463"/>
      <c r="P69" s="462"/>
      <c r="Q69" s="462"/>
      <c r="R69" s="462"/>
      <c r="S69" s="462"/>
      <c r="T69" s="462"/>
      <c r="U69" s="462"/>
      <c r="V69" s="462"/>
      <c r="W69" s="463"/>
      <c r="X69" s="462"/>
      <c r="Y69" s="462"/>
      <c r="Z69" s="462"/>
      <c r="AA69" s="462"/>
      <c r="AB69" s="462"/>
      <c r="AC69" s="462"/>
      <c r="AD69" s="462"/>
      <c r="AE69" s="462"/>
      <c r="AF69" s="462"/>
      <c r="AG69" s="462"/>
      <c r="AH69" s="464"/>
      <c r="AI69" s="465"/>
      <c r="AJ69" s="465"/>
      <c r="AK69" s="465"/>
      <c r="AL69" s="465"/>
      <c r="AM69" s="465"/>
      <c r="AN69" s="465"/>
      <c r="AO69" s="465"/>
      <c r="AP69" s="465"/>
      <c r="AQ69" s="465"/>
      <c r="AR69" s="465"/>
      <c r="AS69" s="465"/>
      <c r="AT69" s="465"/>
      <c r="AU69" s="465"/>
      <c r="AV69" s="465"/>
      <c r="AW69" s="465"/>
      <c r="AX69" s="465"/>
      <c r="AY69" s="465"/>
      <c r="AZ69" s="465"/>
      <c r="BA69" s="465"/>
      <c r="BB69" s="465"/>
      <c r="BC69" s="465"/>
      <c r="BD69" s="465"/>
      <c r="BE69" s="465"/>
      <c r="BF69" s="465"/>
      <c r="BG69" s="465"/>
      <c r="BH69" s="465"/>
      <c r="BI69" s="465"/>
      <c r="BJ69" s="465"/>
      <c r="BK69" s="465"/>
      <c r="BL69" s="465"/>
      <c r="BM69" s="465"/>
      <c r="BN69" s="465"/>
      <c r="BO69" s="465"/>
      <c r="BP69" s="465"/>
      <c r="BQ69" s="465"/>
      <c r="BR69" s="465"/>
      <c r="BS69" s="465"/>
      <c r="BT69" s="465"/>
      <c r="BU69" s="465"/>
      <c r="BV69" s="465"/>
      <c r="BW69" s="465"/>
      <c r="BX69" s="465"/>
      <c r="BY69" s="465"/>
      <c r="BZ69" s="465"/>
    </row>
    <row r="70" ht="42.75" hidden="1" customHeight="1">
      <c r="A70" s="466" t="s">
        <v>2960</v>
      </c>
      <c r="B70" s="467" t="s">
        <v>2980</v>
      </c>
      <c r="C70" s="467" t="s">
        <v>2981</v>
      </c>
      <c r="D70" s="467" t="s">
        <v>2982</v>
      </c>
      <c r="E70" s="468">
        <v>45573.0</v>
      </c>
      <c r="F70" s="5"/>
      <c r="G70" s="5"/>
      <c r="H70" s="5"/>
      <c r="I70" s="5"/>
      <c r="J70" s="5"/>
      <c r="K70" s="5"/>
      <c r="L70" s="5"/>
      <c r="M70" s="469"/>
      <c r="N70" s="466" t="s">
        <v>2960</v>
      </c>
      <c r="O70" s="467" t="s">
        <v>2980</v>
      </c>
      <c r="P70" s="467" t="s">
        <v>2981</v>
      </c>
      <c r="Q70" s="467" t="s">
        <v>2982</v>
      </c>
      <c r="R70" s="468">
        <v>45574.0</v>
      </c>
      <c r="S70" s="5"/>
      <c r="T70" s="5"/>
      <c r="U70" s="5"/>
      <c r="V70" s="5"/>
      <c r="W70" s="5"/>
      <c r="X70" s="5"/>
      <c r="Y70" s="5"/>
      <c r="Z70" s="469"/>
      <c r="AA70" s="466" t="s">
        <v>2960</v>
      </c>
      <c r="AB70" s="467" t="s">
        <v>2980</v>
      </c>
      <c r="AC70" s="467" t="s">
        <v>2981</v>
      </c>
      <c r="AD70" s="467" t="s">
        <v>2982</v>
      </c>
      <c r="AE70" s="468">
        <v>45575.0</v>
      </c>
      <c r="AF70" s="5"/>
      <c r="AG70" s="5"/>
      <c r="AH70" s="5"/>
      <c r="AI70" s="5"/>
      <c r="AJ70" s="5"/>
      <c r="AK70" s="5"/>
      <c r="AL70" s="5"/>
      <c r="AM70" s="469"/>
      <c r="AN70" s="466" t="s">
        <v>2960</v>
      </c>
      <c r="AO70" s="467" t="s">
        <v>2980</v>
      </c>
      <c r="AP70" s="467" t="s">
        <v>2981</v>
      </c>
      <c r="AQ70" s="467" t="s">
        <v>2982</v>
      </c>
      <c r="AR70" s="468">
        <v>45576.0</v>
      </c>
      <c r="AS70" s="5"/>
      <c r="AT70" s="5"/>
      <c r="AU70" s="5"/>
      <c r="AV70" s="5"/>
      <c r="AW70" s="5"/>
      <c r="AX70" s="5"/>
      <c r="AY70" s="5"/>
      <c r="AZ70" s="470"/>
      <c r="BA70" s="466" t="s">
        <v>2960</v>
      </c>
      <c r="BB70" s="467" t="s">
        <v>2980</v>
      </c>
      <c r="BC70" s="467" t="s">
        <v>2981</v>
      </c>
      <c r="BD70" s="467" t="s">
        <v>2982</v>
      </c>
      <c r="BE70" s="468">
        <v>45577.0</v>
      </c>
      <c r="BF70" s="5"/>
      <c r="BG70" s="5"/>
      <c r="BH70" s="5"/>
      <c r="BI70" s="5"/>
      <c r="BJ70" s="5"/>
      <c r="BK70" s="5"/>
      <c r="BL70" s="5"/>
      <c r="BM70" s="6"/>
      <c r="BN70" s="466" t="s">
        <v>2960</v>
      </c>
      <c r="BO70" s="467" t="s">
        <v>2980</v>
      </c>
      <c r="BP70" s="467" t="s">
        <v>2981</v>
      </c>
      <c r="BQ70" s="467" t="s">
        <v>2982</v>
      </c>
      <c r="BR70" s="468">
        <v>45578.0</v>
      </c>
      <c r="BS70" s="5"/>
      <c r="BT70" s="5"/>
      <c r="BU70" s="5"/>
      <c r="BV70" s="5"/>
      <c r="BW70" s="5"/>
      <c r="BX70" s="5"/>
      <c r="BY70" s="5"/>
      <c r="BZ70" s="6"/>
    </row>
    <row r="71" ht="30.75" hidden="1" customHeight="1">
      <c r="A71" s="471" t="s">
        <v>2940</v>
      </c>
      <c r="B71" s="16"/>
      <c r="C71" s="16"/>
      <c r="D71" s="16"/>
      <c r="E71" s="472" t="s">
        <v>2983</v>
      </c>
      <c r="F71" s="472" t="s">
        <v>2984</v>
      </c>
      <c r="G71" s="472" t="s">
        <v>2985</v>
      </c>
      <c r="H71" s="472" t="s">
        <v>2986</v>
      </c>
      <c r="I71" s="472" t="s">
        <v>2987</v>
      </c>
      <c r="J71" s="472" t="s">
        <v>2988</v>
      </c>
      <c r="K71" s="472" t="s">
        <v>2989</v>
      </c>
      <c r="L71" s="473" t="s">
        <v>2990</v>
      </c>
      <c r="M71" s="472" t="s">
        <v>2934</v>
      </c>
      <c r="N71" s="471" t="s">
        <v>2940</v>
      </c>
      <c r="O71" s="16"/>
      <c r="P71" s="16"/>
      <c r="Q71" s="16"/>
      <c r="R71" s="472" t="s">
        <v>2983</v>
      </c>
      <c r="S71" s="472" t="s">
        <v>2984</v>
      </c>
      <c r="T71" s="472" t="s">
        <v>2985</v>
      </c>
      <c r="U71" s="472" t="s">
        <v>2986</v>
      </c>
      <c r="V71" s="472" t="s">
        <v>2987</v>
      </c>
      <c r="W71" s="472" t="s">
        <v>2988</v>
      </c>
      <c r="X71" s="472" t="s">
        <v>2989</v>
      </c>
      <c r="Y71" s="473" t="s">
        <v>2990</v>
      </c>
      <c r="Z71" s="472" t="s">
        <v>2934</v>
      </c>
      <c r="AA71" s="471" t="s">
        <v>2940</v>
      </c>
      <c r="AB71" s="16"/>
      <c r="AC71" s="16"/>
      <c r="AD71" s="16"/>
      <c r="AE71" s="472" t="s">
        <v>2983</v>
      </c>
      <c r="AF71" s="472" t="s">
        <v>2984</v>
      </c>
      <c r="AG71" s="472" t="s">
        <v>2985</v>
      </c>
      <c r="AH71" s="472" t="s">
        <v>2986</v>
      </c>
      <c r="AI71" s="472" t="s">
        <v>2987</v>
      </c>
      <c r="AJ71" s="472" t="s">
        <v>2988</v>
      </c>
      <c r="AK71" s="472" t="s">
        <v>2989</v>
      </c>
      <c r="AL71" s="473" t="s">
        <v>2990</v>
      </c>
      <c r="AM71" s="472" t="s">
        <v>2934</v>
      </c>
      <c r="AN71" s="471" t="s">
        <v>2940</v>
      </c>
      <c r="AO71" s="16"/>
      <c r="AP71" s="16"/>
      <c r="AQ71" s="16"/>
      <c r="AR71" s="472" t="s">
        <v>2983</v>
      </c>
      <c r="AS71" s="472" t="s">
        <v>2984</v>
      </c>
      <c r="AT71" s="472" t="s">
        <v>2985</v>
      </c>
      <c r="AU71" s="472" t="s">
        <v>2986</v>
      </c>
      <c r="AV71" s="472" t="s">
        <v>2987</v>
      </c>
      <c r="AW71" s="472" t="s">
        <v>2988</v>
      </c>
      <c r="AX71" s="472" t="s">
        <v>2989</v>
      </c>
      <c r="AY71" s="473" t="s">
        <v>2990</v>
      </c>
      <c r="AZ71" s="472" t="s">
        <v>2934</v>
      </c>
      <c r="BA71" s="471" t="s">
        <v>2940</v>
      </c>
      <c r="BB71" s="16"/>
      <c r="BC71" s="16"/>
      <c r="BD71" s="16"/>
      <c r="BE71" s="472" t="s">
        <v>2983</v>
      </c>
      <c r="BF71" s="472" t="s">
        <v>2984</v>
      </c>
      <c r="BG71" s="472" t="s">
        <v>2985</v>
      </c>
      <c r="BH71" s="472" t="s">
        <v>2986</v>
      </c>
      <c r="BI71" s="472" t="s">
        <v>2987</v>
      </c>
      <c r="BJ71" s="472" t="s">
        <v>2988</v>
      </c>
      <c r="BK71" s="472" t="s">
        <v>2989</v>
      </c>
      <c r="BL71" s="473" t="s">
        <v>2990</v>
      </c>
      <c r="BM71" s="472" t="s">
        <v>2934</v>
      </c>
      <c r="BN71" s="471" t="s">
        <v>2940</v>
      </c>
      <c r="BO71" s="16"/>
      <c r="BP71" s="16"/>
      <c r="BQ71" s="16"/>
      <c r="BR71" s="472" t="s">
        <v>2983</v>
      </c>
      <c r="BS71" s="472" t="s">
        <v>2984</v>
      </c>
      <c r="BT71" s="472" t="s">
        <v>2985</v>
      </c>
      <c r="BU71" s="472" t="s">
        <v>2986</v>
      </c>
      <c r="BV71" s="472" t="s">
        <v>2987</v>
      </c>
      <c r="BW71" s="472" t="s">
        <v>2988</v>
      </c>
      <c r="BX71" s="472" t="s">
        <v>2989</v>
      </c>
      <c r="BY71" s="473" t="s">
        <v>2990</v>
      </c>
      <c r="BZ71" s="472" t="s">
        <v>2934</v>
      </c>
    </row>
    <row r="72" ht="30.75" hidden="1" customHeight="1">
      <c r="A72" s="474" t="s">
        <v>2946</v>
      </c>
      <c r="B72" s="475"/>
      <c r="C72" s="475"/>
      <c r="D72" s="475"/>
      <c r="E72" s="433"/>
      <c r="F72" s="433"/>
      <c r="G72" s="433"/>
      <c r="H72" s="476"/>
      <c r="I72" s="435"/>
      <c r="J72" s="433"/>
      <c r="K72" s="433"/>
      <c r="L72" s="433"/>
      <c r="M72" s="433"/>
      <c r="N72" s="474" t="s">
        <v>2946</v>
      </c>
      <c r="O72" s="475"/>
      <c r="P72" s="475"/>
      <c r="Q72" s="475"/>
      <c r="R72" s="433"/>
      <c r="S72" s="433"/>
      <c r="T72" s="433"/>
      <c r="U72" s="476"/>
      <c r="V72" s="435"/>
      <c r="W72" s="433"/>
      <c r="X72" s="433"/>
      <c r="Y72" s="433"/>
      <c r="Z72" s="433"/>
      <c r="AA72" s="474" t="s">
        <v>2946</v>
      </c>
      <c r="AB72" s="475"/>
      <c r="AC72" s="475"/>
      <c r="AD72" s="475"/>
      <c r="AE72" s="433"/>
      <c r="AF72" s="433"/>
      <c r="AG72" s="433"/>
      <c r="AH72" s="476"/>
      <c r="AI72" s="435"/>
      <c r="AJ72" s="433"/>
      <c r="AK72" s="433"/>
      <c r="AL72" s="433"/>
      <c r="AM72" s="433"/>
      <c r="AN72" s="474" t="s">
        <v>2946</v>
      </c>
      <c r="AO72" s="475"/>
      <c r="AP72" s="475"/>
      <c r="AQ72" s="475"/>
      <c r="AR72" s="433"/>
      <c r="AS72" s="433"/>
      <c r="AT72" s="433"/>
      <c r="AU72" s="476"/>
      <c r="AV72" s="435"/>
      <c r="AW72" s="433"/>
      <c r="AX72" s="433"/>
      <c r="AY72" s="433"/>
      <c r="AZ72" s="433"/>
      <c r="BA72" s="474" t="s">
        <v>2946</v>
      </c>
      <c r="BB72" s="475"/>
      <c r="BC72" s="475"/>
      <c r="BD72" s="475"/>
      <c r="BE72" s="433"/>
      <c r="BF72" s="433"/>
      <c r="BG72" s="433"/>
      <c r="BH72" s="476"/>
      <c r="BI72" s="435"/>
      <c r="BJ72" s="433"/>
      <c r="BK72" s="433"/>
      <c r="BL72" s="433"/>
      <c r="BM72" s="433"/>
      <c r="BN72" s="474" t="s">
        <v>2946</v>
      </c>
      <c r="BO72" s="475"/>
      <c r="BP72" s="475"/>
      <c r="BQ72" s="475"/>
      <c r="BR72" s="433"/>
      <c r="BS72" s="433"/>
      <c r="BT72" s="433"/>
      <c r="BU72" s="476"/>
      <c r="BV72" s="435"/>
      <c r="BW72" s="433"/>
      <c r="BX72" s="433"/>
      <c r="BY72" s="433"/>
      <c r="BZ72" s="433"/>
    </row>
    <row r="73" ht="30.75" hidden="1" customHeight="1">
      <c r="A73" s="474" t="s">
        <v>2624</v>
      </c>
      <c r="B73" s="475"/>
      <c r="C73" s="475"/>
      <c r="D73" s="475"/>
      <c r="E73" s="433"/>
      <c r="F73" s="433"/>
      <c r="G73" s="433"/>
      <c r="H73" s="476"/>
      <c r="I73" s="433"/>
      <c r="J73" s="433"/>
      <c r="K73" s="433"/>
      <c r="L73" s="433"/>
      <c r="M73" s="433"/>
      <c r="N73" s="474" t="s">
        <v>2624</v>
      </c>
      <c r="O73" s="475"/>
      <c r="P73" s="475"/>
      <c r="Q73" s="475"/>
      <c r="R73" s="433"/>
      <c r="S73" s="433"/>
      <c r="T73" s="433"/>
      <c r="U73" s="476"/>
      <c r="V73" s="433"/>
      <c r="W73" s="433"/>
      <c r="X73" s="433"/>
      <c r="Y73" s="433"/>
      <c r="Z73" s="433"/>
      <c r="AA73" s="474" t="s">
        <v>2624</v>
      </c>
      <c r="AB73" s="475"/>
      <c r="AC73" s="475"/>
      <c r="AD73" s="475"/>
      <c r="AE73" s="433"/>
      <c r="AF73" s="433"/>
      <c r="AG73" s="433"/>
      <c r="AH73" s="476"/>
      <c r="AI73" s="433"/>
      <c r="AJ73" s="433"/>
      <c r="AK73" s="433"/>
      <c r="AL73" s="433"/>
      <c r="AM73" s="433"/>
      <c r="AN73" s="474" t="s">
        <v>2624</v>
      </c>
      <c r="AO73" s="475"/>
      <c r="AP73" s="475"/>
      <c r="AQ73" s="475"/>
      <c r="AR73" s="433"/>
      <c r="AS73" s="433"/>
      <c r="AT73" s="433"/>
      <c r="AU73" s="476"/>
      <c r="AV73" s="433"/>
      <c r="AW73" s="433"/>
      <c r="AX73" s="433"/>
      <c r="AY73" s="433"/>
      <c r="AZ73" s="433"/>
      <c r="BA73" s="474" t="s">
        <v>2624</v>
      </c>
      <c r="BB73" s="475"/>
      <c r="BC73" s="475"/>
      <c r="BD73" s="475"/>
      <c r="BE73" s="433"/>
      <c r="BF73" s="433"/>
      <c r="BG73" s="433"/>
      <c r="BH73" s="476"/>
      <c r="BI73" s="433"/>
      <c r="BJ73" s="433"/>
      <c r="BK73" s="433"/>
      <c r="BL73" s="433"/>
      <c r="BM73" s="433"/>
      <c r="BN73" s="474" t="s">
        <v>2624</v>
      </c>
      <c r="BO73" s="475"/>
      <c r="BP73" s="475"/>
      <c r="BQ73" s="475"/>
      <c r="BR73" s="433"/>
      <c r="BS73" s="433"/>
      <c r="BT73" s="433"/>
      <c r="BU73" s="476"/>
      <c r="BV73" s="433"/>
      <c r="BW73" s="433"/>
      <c r="BX73" s="433"/>
      <c r="BY73" s="433"/>
      <c r="BZ73" s="433"/>
    </row>
    <row r="74" ht="30.75" hidden="1" customHeight="1">
      <c r="A74" s="474" t="s">
        <v>2947</v>
      </c>
      <c r="B74" s="475"/>
      <c r="C74" s="475"/>
      <c r="D74" s="475"/>
      <c r="E74" s="433"/>
      <c r="F74" s="433"/>
      <c r="G74" s="433"/>
      <c r="H74" s="476"/>
      <c r="I74" s="433"/>
      <c r="J74" s="433"/>
      <c r="K74" s="433"/>
      <c r="L74" s="433"/>
      <c r="M74" s="433"/>
      <c r="N74" s="474" t="s">
        <v>2947</v>
      </c>
      <c r="O74" s="475"/>
      <c r="P74" s="475"/>
      <c r="Q74" s="475"/>
      <c r="R74" s="433"/>
      <c r="S74" s="433"/>
      <c r="T74" s="433"/>
      <c r="U74" s="476"/>
      <c r="V74" s="433"/>
      <c r="W74" s="433"/>
      <c r="X74" s="433"/>
      <c r="Y74" s="433"/>
      <c r="Z74" s="433"/>
      <c r="AA74" s="474" t="s">
        <v>2947</v>
      </c>
      <c r="AB74" s="475"/>
      <c r="AC74" s="475"/>
      <c r="AD74" s="475"/>
      <c r="AE74" s="433"/>
      <c r="AF74" s="433"/>
      <c r="AG74" s="433"/>
      <c r="AH74" s="476"/>
      <c r="AI74" s="433"/>
      <c r="AJ74" s="433"/>
      <c r="AK74" s="433"/>
      <c r="AL74" s="433"/>
      <c r="AM74" s="433"/>
      <c r="AN74" s="474" t="s">
        <v>2947</v>
      </c>
      <c r="AO74" s="475"/>
      <c r="AP74" s="475"/>
      <c r="AQ74" s="475"/>
      <c r="AR74" s="433"/>
      <c r="AS74" s="433"/>
      <c r="AT74" s="433"/>
      <c r="AU74" s="476"/>
      <c r="AV74" s="433"/>
      <c r="AW74" s="433"/>
      <c r="AX74" s="433"/>
      <c r="AY74" s="433"/>
      <c r="AZ74" s="433"/>
      <c r="BA74" s="474" t="s">
        <v>2947</v>
      </c>
      <c r="BB74" s="475"/>
      <c r="BC74" s="475"/>
      <c r="BD74" s="475"/>
      <c r="BE74" s="433"/>
      <c r="BF74" s="433"/>
      <c r="BG74" s="433"/>
      <c r="BH74" s="476"/>
      <c r="BI74" s="433"/>
      <c r="BJ74" s="433"/>
      <c r="BK74" s="433"/>
      <c r="BL74" s="433"/>
      <c r="BM74" s="433"/>
      <c r="BN74" s="474" t="s">
        <v>2947</v>
      </c>
      <c r="BO74" s="475"/>
      <c r="BP74" s="475"/>
      <c r="BQ74" s="475"/>
      <c r="BR74" s="433"/>
      <c r="BS74" s="433"/>
      <c r="BT74" s="433"/>
      <c r="BU74" s="476"/>
      <c r="BV74" s="433"/>
      <c r="BW74" s="433"/>
      <c r="BX74" s="433"/>
      <c r="BY74" s="433"/>
      <c r="BZ74" s="433"/>
    </row>
    <row r="75" ht="30.75" hidden="1" customHeight="1">
      <c r="A75" s="474" t="s">
        <v>2627</v>
      </c>
      <c r="B75" s="475"/>
      <c r="C75" s="475"/>
      <c r="D75" s="475"/>
      <c r="E75" s="433"/>
      <c r="F75" s="433"/>
      <c r="G75" s="433"/>
      <c r="H75" s="476"/>
      <c r="I75" s="433"/>
      <c r="J75" s="433"/>
      <c r="K75" s="433"/>
      <c r="L75" s="433"/>
      <c r="M75" s="433"/>
      <c r="N75" s="474" t="s">
        <v>2627</v>
      </c>
      <c r="O75" s="475"/>
      <c r="P75" s="475"/>
      <c r="Q75" s="475"/>
      <c r="R75" s="433"/>
      <c r="S75" s="433"/>
      <c r="T75" s="433"/>
      <c r="U75" s="476"/>
      <c r="V75" s="433"/>
      <c r="W75" s="433"/>
      <c r="X75" s="433"/>
      <c r="Y75" s="433"/>
      <c r="Z75" s="433"/>
      <c r="AA75" s="474" t="s">
        <v>2627</v>
      </c>
      <c r="AB75" s="475"/>
      <c r="AC75" s="475"/>
      <c r="AD75" s="475"/>
      <c r="AE75" s="433"/>
      <c r="AF75" s="433"/>
      <c r="AG75" s="433"/>
      <c r="AH75" s="476"/>
      <c r="AI75" s="433"/>
      <c r="AJ75" s="433"/>
      <c r="AK75" s="433"/>
      <c r="AL75" s="433"/>
      <c r="AM75" s="433"/>
      <c r="AN75" s="474" t="s">
        <v>2627</v>
      </c>
      <c r="AO75" s="475"/>
      <c r="AP75" s="475"/>
      <c r="AQ75" s="475"/>
      <c r="AR75" s="433"/>
      <c r="AS75" s="433"/>
      <c r="AT75" s="433"/>
      <c r="AU75" s="476"/>
      <c r="AV75" s="433"/>
      <c r="AW75" s="433"/>
      <c r="AX75" s="433"/>
      <c r="AY75" s="433"/>
      <c r="AZ75" s="433"/>
      <c r="BA75" s="474" t="s">
        <v>2627</v>
      </c>
      <c r="BB75" s="475"/>
      <c r="BC75" s="475"/>
      <c r="BD75" s="475"/>
      <c r="BE75" s="433"/>
      <c r="BF75" s="433"/>
      <c r="BG75" s="433"/>
      <c r="BH75" s="476"/>
      <c r="BI75" s="433"/>
      <c r="BJ75" s="433"/>
      <c r="BK75" s="433"/>
      <c r="BL75" s="433"/>
      <c r="BM75" s="433"/>
      <c r="BN75" s="474" t="s">
        <v>2627</v>
      </c>
      <c r="BO75" s="475"/>
      <c r="BP75" s="475"/>
      <c r="BQ75" s="475"/>
      <c r="BR75" s="433"/>
      <c r="BS75" s="433"/>
      <c r="BT75" s="433"/>
      <c r="BU75" s="476"/>
      <c r="BV75" s="433"/>
      <c r="BW75" s="433"/>
      <c r="BX75" s="433"/>
      <c r="BY75" s="433"/>
      <c r="BZ75" s="433"/>
    </row>
    <row r="76" ht="30.75" hidden="1" customHeight="1">
      <c r="A76" s="474" t="s">
        <v>2622</v>
      </c>
      <c r="B76" s="475"/>
      <c r="C76" s="475"/>
      <c r="D76" s="475"/>
      <c r="E76" s="433"/>
      <c r="F76" s="433"/>
      <c r="G76" s="433"/>
      <c r="H76" s="476"/>
      <c r="I76" s="433"/>
      <c r="J76" s="433"/>
      <c r="K76" s="433"/>
      <c r="L76" s="433"/>
      <c r="M76" s="433"/>
      <c r="N76" s="474" t="s">
        <v>2622</v>
      </c>
      <c r="O76" s="475"/>
      <c r="P76" s="475"/>
      <c r="Q76" s="475"/>
      <c r="R76" s="433"/>
      <c r="S76" s="433"/>
      <c r="T76" s="433"/>
      <c r="U76" s="476"/>
      <c r="V76" s="433"/>
      <c r="W76" s="433"/>
      <c r="X76" s="433"/>
      <c r="Y76" s="433"/>
      <c r="Z76" s="433"/>
      <c r="AA76" s="474" t="s">
        <v>2622</v>
      </c>
      <c r="AB76" s="475"/>
      <c r="AC76" s="475"/>
      <c r="AD76" s="475"/>
      <c r="AE76" s="433"/>
      <c r="AF76" s="433"/>
      <c r="AG76" s="433"/>
      <c r="AH76" s="476"/>
      <c r="AI76" s="433"/>
      <c r="AJ76" s="433"/>
      <c r="AK76" s="433"/>
      <c r="AL76" s="433"/>
      <c r="AM76" s="433"/>
      <c r="AN76" s="474" t="s">
        <v>2622</v>
      </c>
      <c r="AO76" s="475"/>
      <c r="AP76" s="475"/>
      <c r="AQ76" s="475"/>
      <c r="AR76" s="433"/>
      <c r="AS76" s="433"/>
      <c r="AT76" s="433"/>
      <c r="AU76" s="476"/>
      <c r="AV76" s="433"/>
      <c r="AW76" s="433"/>
      <c r="AX76" s="433"/>
      <c r="AY76" s="433"/>
      <c r="AZ76" s="433"/>
      <c r="BA76" s="474" t="s">
        <v>2622</v>
      </c>
      <c r="BB76" s="475"/>
      <c r="BC76" s="475"/>
      <c r="BD76" s="475"/>
      <c r="BE76" s="433"/>
      <c r="BF76" s="433"/>
      <c r="BG76" s="433"/>
      <c r="BH76" s="476"/>
      <c r="BI76" s="433"/>
      <c r="BJ76" s="433"/>
      <c r="BK76" s="433"/>
      <c r="BL76" s="433"/>
      <c r="BM76" s="433"/>
      <c r="BN76" s="474" t="s">
        <v>2622</v>
      </c>
      <c r="BO76" s="475"/>
      <c r="BP76" s="475"/>
      <c r="BQ76" s="475"/>
      <c r="BR76" s="433"/>
      <c r="BS76" s="433"/>
      <c r="BT76" s="433"/>
      <c r="BU76" s="476"/>
      <c r="BV76" s="433"/>
      <c r="BW76" s="433"/>
      <c r="BX76" s="433"/>
      <c r="BY76" s="433"/>
      <c r="BZ76" s="433"/>
    </row>
    <row r="77" ht="30.75" hidden="1" customHeight="1">
      <c r="A77" s="474" t="s">
        <v>2948</v>
      </c>
      <c r="B77" s="475"/>
      <c r="C77" s="475"/>
      <c r="D77" s="475"/>
      <c r="E77" s="433"/>
      <c r="F77" s="433"/>
      <c r="G77" s="433"/>
      <c r="H77" s="476"/>
      <c r="I77" s="435"/>
      <c r="J77" s="433"/>
      <c r="K77" s="433"/>
      <c r="L77" s="433"/>
      <c r="M77" s="433"/>
      <c r="N77" s="474" t="s">
        <v>2948</v>
      </c>
      <c r="O77" s="475"/>
      <c r="P77" s="475"/>
      <c r="Q77" s="475"/>
      <c r="R77" s="433"/>
      <c r="S77" s="433"/>
      <c r="T77" s="433"/>
      <c r="U77" s="476"/>
      <c r="V77" s="435"/>
      <c r="W77" s="433"/>
      <c r="X77" s="433"/>
      <c r="Y77" s="433"/>
      <c r="Z77" s="433"/>
      <c r="AA77" s="474" t="s">
        <v>2948</v>
      </c>
      <c r="AB77" s="475"/>
      <c r="AC77" s="475"/>
      <c r="AD77" s="475"/>
      <c r="AE77" s="433"/>
      <c r="AF77" s="433"/>
      <c r="AG77" s="433"/>
      <c r="AH77" s="476"/>
      <c r="AI77" s="435"/>
      <c r="AJ77" s="433"/>
      <c r="AK77" s="433"/>
      <c r="AL77" s="433"/>
      <c r="AM77" s="433"/>
      <c r="AN77" s="474" t="s">
        <v>2948</v>
      </c>
      <c r="AO77" s="475"/>
      <c r="AP77" s="475"/>
      <c r="AQ77" s="475"/>
      <c r="AR77" s="433"/>
      <c r="AS77" s="433"/>
      <c r="AT77" s="433"/>
      <c r="AU77" s="476"/>
      <c r="AV77" s="435"/>
      <c r="AW77" s="433"/>
      <c r="AX77" s="433"/>
      <c r="AY77" s="433"/>
      <c r="AZ77" s="433"/>
      <c r="BA77" s="474" t="s">
        <v>2948</v>
      </c>
      <c r="BB77" s="475"/>
      <c r="BC77" s="475"/>
      <c r="BD77" s="475"/>
      <c r="BE77" s="433"/>
      <c r="BF77" s="433"/>
      <c r="BG77" s="433"/>
      <c r="BH77" s="476"/>
      <c r="BI77" s="435"/>
      <c r="BJ77" s="433"/>
      <c r="BK77" s="433"/>
      <c r="BL77" s="433"/>
      <c r="BM77" s="433"/>
      <c r="BN77" s="474" t="s">
        <v>2948</v>
      </c>
      <c r="BO77" s="475"/>
      <c r="BP77" s="475"/>
      <c r="BQ77" s="475"/>
      <c r="BR77" s="433"/>
      <c r="BS77" s="433"/>
      <c r="BT77" s="433"/>
      <c r="BU77" s="476"/>
      <c r="BV77" s="435"/>
      <c r="BW77" s="433"/>
      <c r="BX77" s="433"/>
      <c r="BY77" s="433"/>
      <c r="BZ77" s="433"/>
    </row>
    <row r="78" ht="30.75" hidden="1" customHeight="1">
      <c r="A78" s="474" t="s">
        <v>2949</v>
      </c>
      <c r="B78" s="475"/>
      <c r="C78" s="475"/>
      <c r="D78" s="475"/>
      <c r="E78" s="433"/>
      <c r="F78" s="433"/>
      <c r="G78" s="433"/>
      <c r="H78" s="476"/>
      <c r="I78" s="476"/>
      <c r="J78" s="476"/>
      <c r="K78" s="476"/>
      <c r="L78" s="476"/>
      <c r="M78" s="476"/>
      <c r="N78" s="474" t="s">
        <v>2949</v>
      </c>
      <c r="O78" s="475"/>
      <c r="P78" s="475"/>
      <c r="Q78" s="475"/>
      <c r="R78" s="433"/>
      <c r="S78" s="433"/>
      <c r="T78" s="433"/>
      <c r="U78" s="476"/>
      <c r="V78" s="476"/>
      <c r="W78" s="476"/>
      <c r="X78" s="476"/>
      <c r="Y78" s="476"/>
      <c r="Z78" s="476"/>
      <c r="AA78" s="474" t="s">
        <v>2949</v>
      </c>
      <c r="AB78" s="475"/>
      <c r="AC78" s="475"/>
      <c r="AD78" s="475"/>
      <c r="AE78" s="433"/>
      <c r="AF78" s="433"/>
      <c r="AG78" s="433"/>
      <c r="AH78" s="476"/>
      <c r="AI78" s="476"/>
      <c r="AJ78" s="476"/>
      <c r="AK78" s="476"/>
      <c r="AL78" s="476"/>
      <c r="AM78" s="476"/>
      <c r="AN78" s="474" t="s">
        <v>2949</v>
      </c>
      <c r="AO78" s="475"/>
      <c r="AP78" s="475"/>
      <c r="AQ78" s="475"/>
      <c r="AR78" s="433"/>
      <c r="AS78" s="433"/>
      <c r="AT78" s="433"/>
      <c r="AU78" s="476"/>
      <c r="AV78" s="476"/>
      <c r="AW78" s="476"/>
      <c r="AX78" s="476"/>
      <c r="AY78" s="476"/>
      <c r="AZ78" s="476"/>
      <c r="BA78" s="474" t="s">
        <v>2949</v>
      </c>
      <c r="BB78" s="475"/>
      <c r="BC78" s="475"/>
      <c r="BD78" s="475"/>
      <c r="BE78" s="433"/>
      <c r="BF78" s="433"/>
      <c r="BG78" s="433"/>
      <c r="BH78" s="476"/>
      <c r="BI78" s="476"/>
      <c r="BJ78" s="476"/>
      <c r="BK78" s="476"/>
      <c r="BL78" s="476"/>
      <c r="BM78" s="476"/>
      <c r="BN78" s="474" t="s">
        <v>2949</v>
      </c>
      <c r="BO78" s="475"/>
      <c r="BP78" s="475"/>
      <c r="BQ78" s="475"/>
      <c r="BR78" s="433"/>
      <c r="BS78" s="433"/>
      <c r="BT78" s="433"/>
      <c r="BU78" s="476"/>
      <c r="BV78" s="476"/>
      <c r="BW78" s="476"/>
      <c r="BX78" s="476"/>
      <c r="BY78" s="476"/>
      <c r="BZ78" s="476"/>
    </row>
    <row r="79" ht="30.75" hidden="1" customHeight="1">
      <c r="A79" s="474" t="s">
        <v>2950</v>
      </c>
      <c r="B79" s="475"/>
      <c r="C79" s="475"/>
      <c r="D79" s="475"/>
      <c r="E79" s="433"/>
      <c r="F79" s="433"/>
      <c r="G79" s="433"/>
      <c r="H79" s="433"/>
      <c r="I79" s="435"/>
      <c r="J79" s="435"/>
      <c r="K79" s="435"/>
      <c r="L79" s="435"/>
      <c r="M79" s="435"/>
      <c r="N79" s="474" t="s">
        <v>2950</v>
      </c>
      <c r="O79" s="475"/>
      <c r="P79" s="475"/>
      <c r="Q79" s="475"/>
      <c r="R79" s="433"/>
      <c r="S79" s="433"/>
      <c r="T79" s="433"/>
      <c r="U79" s="433"/>
      <c r="V79" s="435"/>
      <c r="W79" s="435"/>
      <c r="X79" s="435"/>
      <c r="Y79" s="435"/>
      <c r="Z79" s="435"/>
      <c r="AA79" s="474" t="s">
        <v>2950</v>
      </c>
      <c r="AB79" s="475"/>
      <c r="AC79" s="475"/>
      <c r="AD79" s="475"/>
      <c r="AE79" s="433"/>
      <c r="AF79" s="433"/>
      <c r="AG79" s="433"/>
      <c r="AH79" s="433"/>
      <c r="AI79" s="435"/>
      <c r="AJ79" s="435"/>
      <c r="AK79" s="435"/>
      <c r="AL79" s="435"/>
      <c r="AM79" s="435"/>
      <c r="AN79" s="474" t="s">
        <v>2950</v>
      </c>
      <c r="AO79" s="475"/>
      <c r="AP79" s="475"/>
      <c r="AQ79" s="475"/>
      <c r="AR79" s="433"/>
      <c r="AS79" s="433"/>
      <c r="AT79" s="433"/>
      <c r="AU79" s="433"/>
      <c r="AV79" s="435"/>
      <c r="AW79" s="435"/>
      <c r="AX79" s="435"/>
      <c r="AY79" s="435"/>
      <c r="AZ79" s="435"/>
      <c r="BA79" s="474" t="s">
        <v>2950</v>
      </c>
      <c r="BB79" s="475"/>
      <c r="BC79" s="475"/>
      <c r="BD79" s="475"/>
      <c r="BE79" s="433"/>
      <c r="BF79" s="433"/>
      <c r="BG79" s="433"/>
      <c r="BH79" s="433"/>
      <c r="BI79" s="435"/>
      <c r="BJ79" s="435"/>
      <c r="BK79" s="435"/>
      <c r="BL79" s="435"/>
      <c r="BM79" s="435"/>
      <c r="BN79" s="474" t="s">
        <v>2950</v>
      </c>
      <c r="BO79" s="475"/>
      <c r="BP79" s="475"/>
      <c r="BQ79" s="475"/>
      <c r="BR79" s="433"/>
      <c r="BS79" s="433"/>
      <c r="BT79" s="433"/>
      <c r="BU79" s="433"/>
      <c r="BV79" s="435"/>
      <c r="BW79" s="435"/>
      <c r="BX79" s="435"/>
      <c r="BY79" s="435"/>
      <c r="BZ79" s="435"/>
    </row>
    <row r="80" ht="30.75" hidden="1" customHeight="1">
      <c r="A80" s="477" t="s">
        <v>892</v>
      </c>
      <c r="B80" s="475"/>
      <c r="C80" s="475"/>
      <c r="D80" s="475"/>
      <c r="E80" s="433"/>
      <c r="F80" s="433"/>
      <c r="G80" s="433"/>
      <c r="H80" s="433"/>
      <c r="I80" s="435"/>
      <c r="J80" s="435"/>
      <c r="K80" s="435"/>
      <c r="L80" s="435"/>
      <c r="M80" s="435"/>
      <c r="N80" s="477" t="s">
        <v>892</v>
      </c>
      <c r="O80" s="475"/>
      <c r="P80" s="475"/>
      <c r="Q80" s="475"/>
      <c r="R80" s="433"/>
      <c r="S80" s="433"/>
      <c r="T80" s="433"/>
      <c r="U80" s="433"/>
      <c r="V80" s="435"/>
      <c r="W80" s="435"/>
      <c r="X80" s="435"/>
      <c r="Y80" s="435"/>
      <c r="Z80" s="435"/>
      <c r="AA80" s="477" t="s">
        <v>892</v>
      </c>
      <c r="AB80" s="475"/>
      <c r="AC80" s="475"/>
      <c r="AD80" s="475"/>
      <c r="AE80" s="433"/>
      <c r="AF80" s="433"/>
      <c r="AG80" s="433"/>
      <c r="AH80" s="433"/>
      <c r="AI80" s="435"/>
      <c r="AJ80" s="435"/>
      <c r="AK80" s="435"/>
      <c r="AL80" s="435"/>
      <c r="AM80" s="435"/>
      <c r="AN80" s="477" t="s">
        <v>892</v>
      </c>
      <c r="AO80" s="475"/>
      <c r="AP80" s="475"/>
      <c r="AQ80" s="475"/>
      <c r="AR80" s="433"/>
      <c r="AS80" s="433"/>
      <c r="AT80" s="433"/>
      <c r="AU80" s="433"/>
      <c r="AV80" s="435"/>
      <c r="AW80" s="435"/>
      <c r="AX80" s="435"/>
      <c r="AY80" s="435"/>
      <c r="AZ80" s="435"/>
      <c r="BA80" s="477" t="s">
        <v>892</v>
      </c>
      <c r="BB80" s="475"/>
      <c r="BC80" s="475"/>
      <c r="BD80" s="475"/>
      <c r="BE80" s="433"/>
      <c r="BF80" s="433"/>
      <c r="BG80" s="433"/>
      <c r="BH80" s="433"/>
      <c r="BI80" s="435"/>
      <c r="BJ80" s="435"/>
      <c r="BK80" s="435"/>
      <c r="BL80" s="435"/>
      <c r="BM80" s="435"/>
      <c r="BN80" s="477" t="s">
        <v>892</v>
      </c>
      <c r="BO80" s="475"/>
      <c r="BP80" s="475"/>
      <c r="BQ80" s="475"/>
      <c r="BR80" s="433"/>
      <c r="BS80" s="433"/>
      <c r="BT80" s="433"/>
      <c r="BU80" s="433"/>
      <c r="BV80" s="435"/>
      <c r="BW80" s="435"/>
      <c r="BX80" s="435"/>
      <c r="BY80" s="435"/>
      <c r="BZ80" s="435"/>
    </row>
    <row r="81" ht="15.75" customHeight="1">
      <c r="A81" s="401"/>
      <c r="B81" s="401"/>
      <c r="C81" s="401"/>
      <c r="D81" s="401"/>
      <c r="E81" s="401"/>
      <c r="F81" s="401"/>
      <c r="G81" s="401"/>
      <c r="H81" s="401"/>
      <c r="I81" s="381"/>
      <c r="J81" s="381"/>
      <c r="K81" s="381"/>
      <c r="L81" s="381"/>
      <c r="M81" s="381"/>
      <c r="N81" s="381"/>
      <c r="O81" s="381"/>
      <c r="P81" s="401"/>
      <c r="Q81" s="401"/>
      <c r="R81" s="401"/>
      <c r="S81" s="401"/>
      <c r="T81" s="401"/>
      <c r="U81" s="401"/>
      <c r="V81" s="401"/>
      <c r="W81" s="401"/>
      <c r="X81" s="401"/>
      <c r="Y81" s="401"/>
      <c r="Z81" s="401"/>
      <c r="AA81" s="401"/>
      <c r="AB81" s="401"/>
      <c r="AC81" s="401"/>
      <c r="AD81" s="401"/>
      <c r="AE81" s="401"/>
      <c r="AF81" s="401"/>
      <c r="AG81" s="401"/>
      <c r="AH81" s="401"/>
      <c r="AI81" s="401"/>
      <c r="AJ81" s="401"/>
      <c r="AK81" s="401"/>
      <c r="AL81" s="401"/>
      <c r="AM81" s="401"/>
      <c r="AN81" s="401"/>
      <c r="AO81" s="401"/>
      <c r="AP81" s="401"/>
      <c r="AQ81" s="401"/>
      <c r="AR81" s="401"/>
      <c r="AS81" s="401"/>
      <c r="AT81" s="401"/>
      <c r="AU81" s="401"/>
      <c r="AV81" s="401"/>
      <c r="AW81" s="401"/>
      <c r="AX81" s="401"/>
      <c r="AY81" s="401"/>
      <c r="AZ81" s="401"/>
      <c r="BA81" s="401"/>
      <c r="BB81" s="401"/>
      <c r="BC81" s="401"/>
      <c r="BD81" s="401"/>
      <c r="BE81" s="401"/>
      <c r="BF81" s="401"/>
      <c r="BG81" s="401"/>
      <c r="BH81" s="401"/>
      <c r="BI81" s="401"/>
      <c r="BJ81" s="401"/>
      <c r="BK81" s="401"/>
      <c r="BL81" s="401"/>
      <c r="BM81" s="401"/>
      <c r="BN81" s="401"/>
      <c r="BO81" s="401"/>
      <c r="BP81" s="401"/>
      <c r="BQ81" s="401"/>
      <c r="BR81" s="401"/>
      <c r="BS81" s="401"/>
      <c r="BT81" s="401"/>
      <c r="BU81" s="401"/>
      <c r="BV81" s="401"/>
      <c r="BW81" s="401"/>
      <c r="BX81" s="401"/>
      <c r="BY81" s="401"/>
      <c r="BZ81" s="401"/>
    </row>
    <row r="82" ht="15.75" customHeight="1">
      <c r="A82" s="401"/>
      <c r="B82" s="401"/>
      <c r="C82" s="401"/>
      <c r="D82" s="401"/>
      <c r="E82" s="401"/>
      <c r="F82" s="401"/>
      <c r="G82" s="401"/>
      <c r="H82" s="401"/>
      <c r="I82" s="381"/>
      <c r="J82" s="381"/>
      <c r="K82" s="381"/>
      <c r="L82" s="381"/>
      <c r="M82" s="381"/>
      <c r="N82" s="381"/>
      <c r="O82" s="381"/>
      <c r="P82" s="401"/>
      <c r="Q82" s="401"/>
      <c r="R82" s="401"/>
      <c r="S82" s="401"/>
      <c r="T82" s="401"/>
      <c r="U82" s="401"/>
      <c r="V82" s="401"/>
      <c r="W82" s="401"/>
      <c r="X82" s="401"/>
      <c r="Y82" s="401"/>
      <c r="Z82" s="401"/>
      <c r="AA82" s="401"/>
      <c r="AB82" s="401"/>
      <c r="AC82" s="401"/>
      <c r="AD82" s="401"/>
      <c r="AE82" s="401"/>
      <c r="AF82" s="401"/>
      <c r="AG82" s="401"/>
      <c r="AH82" s="401"/>
      <c r="AI82" s="401"/>
      <c r="AJ82" s="401"/>
      <c r="AK82" s="401"/>
      <c r="AL82" s="401"/>
      <c r="AM82" s="401"/>
      <c r="AN82" s="401"/>
      <c r="AO82" s="401"/>
      <c r="AP82" s="401"/>
      <c r="AQ82" s="401"/>
      <c r="AR82" s="401"/>
      <c r="AS82" s="401"/>
      <c r="AT82" s="401"/>
      <c r="AU82" s="401"/>
      <c r="AV82" s="401"/>
      <c r="AW82" s="401"/>
      <c r="AX82" s="401"/>
      <c r="AY82" s="401"/>
      <c r="AZ82" s="401"/>
      <c r="BA82" s="401"/>
      <c r="BB82" s="401"/>
      <c r="BC82" s="401"/>
      <c r="BD82" s="401"/>
      <c r="BE82" s="401"/>
      <c r="BF82" s="401"/>
      <c r="BG82" s="401"/>
      <c r="BH82" s="401"/>
      <c r="BI82" s="401"/>
      <c r="BJ82" s="401"/>
      <c r="BK82" s="401"/>
      <c r="BL82" s="401"/>
      <c r="BM82" s="401"/>
      <c r="BN82" s="401"/>
      <c r="BO82" s="401"/>
      <c r="BP82" s="401"/>
      <c r="BQ82" s="401"/>
      <c r="BR82" s="401"/>
      <c r="BS82" s="401"/>
      <c r="BT82" s="401"/>
      <c r="BU82" s="401"/>
      <c r="BV82" s="401"/>
      <c r="BW82" s="401"/>
      <c r="BX82" s="401"/>
      <c r="BY82" s="401"/>
      <c r="BZ82" s="401"/>
    </row>
    <row r="83" ht="15.75" customHeight="1">
      <c r="A83" s="401"/>
      <c r="B83" s="401"/>
      <c r="C83" s="401"/>
      <c r="D83" s="401"/>
      <c r="E83" s="401"/>
      <c r="F83" s="401"/>
      <c r="G83" s="401"/>
      <c r="H83" s="401"/>
      <c r="I83" s="381"/>
      <c r="J83" s="381"/>
      <c r="K83" s="381"/>
      <c r="L83" s="381"/>
      <c r="M83" s="381"/>
      <c r="N83" s="381"/>
      <c r="O83" s="381"/>
      <c r="P83" s="401"/>
      <c r="Q83" s="401"/>
      <c r="R83" s="401"/>
      <c r="S83" s="401"/>
      <c r="T83" s="401"/>
      <c r="U83" s="401"/>
      <c r="V83" s="401"/>
      <c r="W83" s="401"/>
      <c r="X83" s="401"/>
      <c r="Y83" s="401"/>
      <c r="Z83" s="401"/>
      <c r="AA83" s="401"/>
      <c r="AB83" s="401"/>
      <c r="AC83" s="401"/>
      <c r="AD83" s="401"/>
      <c r="AE83" s="401"/>
      <c r="AF83" s="401"/>
      <c r="AG83" s="401"/>
      <c r="AH83" s="401"/>
      <c r="AI83" s="401"/>
      <c r="AJ83" s="401"/>
      <c r="AK83" s="401"/>
      <c r="AL83" s="401"/>
      <c r="AM83" s="401"/>
      <c r="AN83" s="401"/>
      <c r="AO83" s="401"/>
      <c r="AP83" s="401"/>
      <c r="AQ83" s="401"/>
      <c r="AR83" s="401"/>
      <c r="AS83" s="401"/>
      <c r="AT83" s="401"/>
      <c r="AU83" s="401"/>
      <c r="AV83" s="401"/>
      <c r="AW83" s="401"/>
      <c r="AX83" s="401"/>
      <c r="AY83" s="401"/>
      <c r="AZ83" s="401"/>
      <c r="BA83" s="401"/>
      <c r="BB83" s="401"/>
      <c r="BC83" s="401"/>
      <c r="BD83" s="401"/>
      <c r="BE83" s="401"/>
      <c r="BF83" s="401"/>
      <c r="BG83" s="401"/>
      <c r="BH83" s="401"/>
      <c r="BI83" s="401"/>
      <c r="BJ83" s="401"/>
      <c r="BK83" s="401"/>
      <c r="BL83" s="401"/>
      <c r="BM83" s="401"/>
      <c r="BN83" s="401"/>
      <c r="BO83" s="401"/>
      <c r="BP83" s="401"/>
      <c r="BQ83" s="401"/>
      <c r="BR83" s="401"/>
      <c r="BS83" s="401"/>
      <c r="BT83" s="401"/>
      <c r="BU83" s="401"/>
      <c r="BV83" s="401"/>
      <c r="BW83" s="401"/>
      <c r="BX83" s="401"/>
      <c r="BY83" s="401"/>
      <c r="BZ83" s="401"/>
    </row>
    <row r="84" ht="15.75" customHeight="1">
      <c r="A84" s="401"/>
      <c r="B84" s="401"/>
      <c r="C84" s="401"/>
      <c r="D84" s="401"/>
      <c r="E84" s="401"/>
      <c r="F84" s="401"/>
      <c r="G84" s="401"/>
      <c r="H84" s="401"/>
      <c r="I84" s="381"/>
      <c r="J84" s="381"/>
      <c r="K84" s="381"/>
      <c r="L84" s="381"/>
      <c r="M84" s="381"/>
      <c r="N84" s="381"/>
      <c r="O84" s="381"/>
      <c r="P84" s="401"/>
      <c r="Q84" s="401"/>
      <c r="R84" s="401"/>
      <c r="S84" s="401"/>
      <c r="T84" s="401"/>
      <c r="U84" s="401"/>
      <c r="V84" s="401"/>
      <c r="W84" s="401"/>
      <c r="X84" s="401"/>
      <c r="Y84" s="401"/>
      <c r="Z84" s="401"/>
      <c r="AA84" s="401"/>
      <c r="AB84" s="401"/>
      <c r="AC84" s="401"/>
      <c r="AD84" s="401"/>
      <c r="AE84" s="401"/>
      <c r="AF84" s="401"/>
      <c r="AG84" s="401"/>
      <c r="AH84" s="401"/>
      <c r="AI84" s="401"/>
      <c r="AJ84" s="401"/>
      <c r="AK84" s="401"/>
      <c r="AL84" s="401"/>
      <c r="AM84" s="401"/>
      <c r="AN84" s="401"/>
      <c r="AO84" s="401"/>
      <c r="AP84" s="401"/>
      <c r="AQ84" s="401"/>
      <c r="AR84" s="401"/>
      <c r="AS84" s="401"/>
      <c r="AT84" s="401"/>
      <c r="AU84" s="401"/>
      <c r="AV84" s="401"/>
      <c r="AW84" s="401"/>
      <c r="AX84" s="401"/>
      <c r="AY84" s="401"/>
      <c r="AZ84" s="401"/>
      <c r="BA84" s="401"/>
      <c r="BB84" s="401"/>
      <c r="BC84" s="401"/>
      <c r="BD84" s="401"/>
      <c r="BE84" s="401"/>
      <c r="BF84" s="401"/>
      <c r="BG84" s="401"/>
      <c r="BH84" s="401"/>
      <c r="BI84" s="401"/>
      <c r="BJ84" s="401"/>
      <c r="BK84" s="401"/>
      <c r="BL84" s="401"/>
      <c r="BM84" s="401"/>
      <c r="BN84" s="401"/>
      <c r="BO84" s="401"/>
      <c r="BP84" s="401"/>
      <c r="BQ84" s="401"/>
      <c r="BR84" s="401"/>
      <c r="BS84" s="401"/>
      <c r="BT84" s="401"/>
      <c r="BU84" s="401"/>
      <c r="BV84" s="401"/>
      <c r="BW84" s="401"/>
      <c r="BX84" s="401"/>
      <c r="BY84" s="401"/>
      <c r="BZ84" s="401"/>
    </row>
    <row r="85" ht="15.75" customHeight="1">
      <c r="A85" s="401"/>
      <c r="B85" s="401"/>
      <c r="C85" s="401"/>
      <c r="D85" s="401"/>
      <c r="E85" s="401"/>
      <c r="F85" s="401"/>
      <c r="G85" s="401"/>
      <c r="H85" s="401"/>
      <c r="I85" s="381"/>
      <c r="J85" s="381"/>
      <c r="K85" s="381"/>
      <c r="L85" s="381"/>
      <c r="M85" s="381"/>
      <c r="N85" s="381"/>
      <c r="O85" s="381"/>
      <c r="P85" s="401"/>
      <c r="Q85" s="401"/>
      <c r="R85" s="401"/>
      <c r="S85" s="401"/>
      <c r="T85" s="401"/>
      <c r="U85" s="401"/>
      <c r="V85" s="401"/>
      <c r="W85" s="401"/>
      <c r="X85" s="401"/>
      <c r="Y85" s="401"/>
      <c r="Z85" s="401"/>
      <c r="AA85" s="401"/>
      <c r="AB85" s="401"/>
      <c r="AC85" s="401"/>
      <c r="AD85" s="401"/>
      <c r="AE85" s="401"/>
      <c r="AF85" s="401"/>
      <c r="AG85" s="401"/>
      <c r="AH85" s="401"/>
      <c r="AI85" s="401"/>
      <c r="AJ85" s="401"/>
      <c r="AK85" s="401"/>
      <c r="AL85" s="401"/>
      <c r="AM85" s="401"/>
      <c r="AN85" s="401"/>
      <c r="AO85" s="401"/>
      <c r="AP85" s="401"/>
      <c r="AQ85" s="401"/>
      <c r="AR85" s="401"/>
      <c r="AS85" s="401"/>
      <c r="AT85" s="401"/>
      <c r="AU85" s="401"/>
      <c r="AV85" s="401"/>
      <c r="AW85" s="401"/>
      <c r="AX85" s="401"/>
      <c r="AY85" s="401"/>
      <c r="AZ85" s="401"/>
      <c r="BA85" s="401"/>
      <c r="BB85" s="401"/>
      <c r="BC85" s="401"/>
      <c r="BD85" s="401"/>
      <c r="BE85" s="401"/>
      <c r="BF85" s="401"/>
      <c r="BG85" s="401"/>
      <c r="BH85" s="401"/>
      <c r="BI85" s="401"/>
      <c r="BJ85" s="401"/>
      <c r="BK85" s="401"/>
      <c r="BL85" s="401"/>
      <c r="BM85" s="401"/>
      <c r="BN85" s="401"/>
      <c r="BO85" s="401"/>
      <c r="BP85" s="401"/>
      <c r="BQ85" s="401"/>
      <c r="BR85" s="401"/>
      <c r="BS85" s="401"/>
      <c r="BT85" s="401"/>
      <c r="BU85" s="401"/>
      <c r="BV85" s="401"/>
      <c r="BW85" s="401"/>
      <c r="BX85" s="401"/>
      <c r="BY85" s="401"/>
      <c r="BZ85" s="401"/>
    </row>
    <row r="86" ht="15.75" customHeight="1">
      <c r="A86" s="401"/>
      <c r="B86" s="401"/>
      <c r="C86" s="401"/>
      <c r="D86" s="401"/>
      <c r="E86" s="401"/>
      <c r="F86" s="401"/>
      <c r="G86" s="401"/>
      <c r="H86" s="401"/>
      <c r="I86" s="381"/>
      <c r="J86" s="381"/>
      <c r="K86" s="381"/>
      <c r="L86" s="381"/>
      <c r="M86" s="381"/>
      <c r="N86" s="381"/>
      <c r="O86" s="381"/>
      <c r="P86" s="401"/>
      <c r="Q86" s="401"/>
      <c r="R86" s="401"/>
      <c r="S86" s="401"/>
      <c r="T86" s="401"/>
      <c r="U86" s="401"/>
      <c r="V86" s="401"/>
      <c r="W86" s="401"/>
      <c r="X86" s="401"/>
      <c r="Y86" s="401"/>
      <c r="Z86" s="401"/>
      <c r="AA86" s="401"/>
      <c r="AB86" s="401"/>
      <c r="AC86" s="401"/>
      <c r="AD86" s="401"/>
      <c r="AE86" s="401"/>
      <c r="AF86" s="401"/>
      <c r="AG86" s="401"/>
      <c r="AH86" s="401"/>
      <c r="AI86" s="401"/>
      <c r="AJ86" s="401"/>
      <c r="AK86" s="401"/>
      <c r="AL86" s="401"/>
      <c r="AM86" s="401"/>
      <c r="AN86" s="401"/>
      <c r="AO86" s="401"/>
      <c r="AP86" s="401"/>
      <c r="AQ86" s="401"/>
      <c r="AR86" s="401"/>
      <c r="AS86" s="401"/>
      <c r="AT86" s="401"/>
      <c r="AU86" s="401"/>
      <c r="AV86" s="401"/>
      <c r="AW86" s="401"/>
      <c r="AX86" s="401"/>
      <c r="AY86" s="401"/>
      <c r="AZ86" s="401"/>
      <c r="BA86" s="401"/>
      <c r="BB86" s="401"/>
      <c r="BC86" s="401"/>
      <c r="BD86" s="401"/>
      <c r="BE86" s="401"/>
      <c r="BF86" s="401"/>
      <c r="BG86" s="401"/>
      <c r="BH86" s="401"/>
      <c r="BI86" s="401"/>
      <c r="BJ86" s="401"/>
      <c r="BK86" s="401"/>
      <c r="BL86" s="401"/>
      <c r="BM86" s="401"/>
      <c r="BN86" s="401"/>
      <c r="BO86" s="401"/>
      <c r="BP86" s="401"/>
      <c r="BQ86" s="401"/>
      <c r="BR86" s="401"/>
      <c r="BS86" s="401"/>
      <c r="BT86" s="401"/>
      <c r="BU86" s="401"/>
      <c r="BV86" s="401"/>
      <c r="BW86" s="401"/>
      <c r="BX86" s="401"/>
      <c r="BY86" s="401"/>
      <c r="BZ86" s="401"/>
    </row>
    <row r="87" ht="15.75" customHeight="1">
      <c r="A87" s="401"/>
      <c r="B87" s="401"/>
      <c r="C87" s="401"/>
      <c r="D87" s="401"/>
      <c r="E87" s="401"/>
      <c r="F87" s="401"/>
      <c r="G87" s="401"/>
      <c r="H87" s="401"/>
      <c r="I87" s="381"/>
      <c r="J87" s="381"/>
      <c r="K87" s="381"/>
      <c r="L87" s="381"/>
      <c r="M87" s="381"/>
      <c r="N87" s="381"/>
      <c r="O87" s="381"/>
      <c r="P87" s="401"/>
      <c r="Q87" s="401"/>
      <c r="R87" s="401"/>
      <c r="S87" s="401"/>
      <c r="T87" s="401"/>
      <c r="U87" s="401"/>
      <c r="V87" s="401"/>
      <c r="W87" s="401"/>
      <c r="X87" s="401"/>
      <c r="Y87" s="401"/>
      <c r="Z87" s="401"/>
      <c r="AA87" s="401"/>
      <c r="AB87" s="401"/>
      <c r="AC87" s="401"/>
      <c r="AD87" s="401"/>
      <c r="AE87" s="401"/>
      <c r="AF87" s="401"/>
      <c r="AG87" s="401"/>
      <c r="AH87" s="401"/>
      <c r="AI87" s="401"/>
      <c r="AJ87" s="401"/>
      <c r="AK87" s="401"/>
      <c r="AL87" s="401"/>
      <c r="AM87" s="401"/>
      <c r="AN87" s="401"/>
      <c r="AO87" s="401"/>
      <c r="AP87" s="401"/>
      <c r="AQ87" s="401"/>
      <c r="AR87" s="401"/>
      <c r="AS87" s="401"/>
      <c r="AT87" s="401"/>
      <c r="AU87" s="401"/>
      <c r="AV87" s="401"/>
      <c r="AW87" s="401"/>
      <c r="AX87" s="401"/>
      <c r="AY87" s="401"/>
      <c r="AZ87" s="401"/>
      <c r="BA87" s="401"/>
      <c r="BB87" s="401"/>
      <c r="BC87" s="401"/>
      <c r="BD87" s="401"/>
      <c r="BE87" s="401"/>
      <c r="BF87" s="401"/>
      <c r="BG87" s="401"/>
      <c r="BH87" s="401"/>
      <c r="BI87" s="401"/>
      <c r="BJ87" s="401"/>
      <c r="BK87" s="401"/>
      <c r="BL87" s="401"/>
      <c r="BM87" s="401"/>
      <c r="BN87" s="401"/>
      <c r="BO87" s="401"/>
      <c r="BP87" s="401"/>
      <c r="BQ87" s="401"/>
      <c r="BR87" s="401"/>
      <c r="BS87" s="401"/>
      <c r="BT87" s="401"/>
      <c r="BU87" s="401"/>
      <c r="BV87" s="401"/>
      <c r="BW87" s="401"/>
      <c r="BX87" s="401"/>
      <c r="BY87" s="401"/>
      <c r="BZ87" s="401"/>
    </row>
    <row r="88" ht="15.75" customHeight="1">
      <c r="A88" s="401"/>
      <c r="B88" s="401"/>
      <c r="C88" s="401"/>
      <c r="D88" s="401"/>
      <c r="E88" s="401"/>
      <c r="F88" s="401"/>
      <c r="G88" s="401"/>
      <c r="H88" s="401"/>
      <c r="I88" s="381"/>
      <c r="J88" s="381"/>
      <c r="K88" s="381"/>
      <c r="L88" s="381"/>
      <c r="M88" s="381"/>
      <c r="N88" s="381"/>
      <c r="O88" s="381"/>
      <c r="P88" s="401"/>
      <c r="Q88" s="401"/>
      <c r="R88" s="401"/>
      <c r="S88" s="401"/>
      <c r="T88" s="401"/>
      <c r="U88" s="401"/>
      <c r="V88" s="401"/>
      <c r="W88" s="401"/>
      <c r="X88" s="401"/>
      <c r="Y88" s="401"/>
      <c r="Z88" s="401"/>
      <c r="AA88" s="401"/>
      <c r="AB88" s="401"/>
      <c r="AC88" s="401"/>
      <c r="AD88" s="401"/>
      <c r="AE88" s="401"/>
      <c r="AF88" s="401"/>
      <c r="AG88" s="401"/>
      <c r="AH88" s="401"/>
      <c r="AI88" s="401"/>
      <c r="AJ88" s="401"/>
      <c r="AK88" s="401"/>
      <c r="AL88" s="401"/>
      <c r="AM88" s="401"/>
      <c r="AN88" s="401"/>
      <c r="AO88" s="401"/>
      <c r="AP88" s="401"/>
      <c r="AQ88" s="401"/>
      <c r="AR88" s="401"/>
      <c r="AS88" s="401"/>
      <c r="AT88" s="401"/>
      <c r="AU88" s="401"/>
      <c r="AV88" s="401"/>
      <c r="AW88" s="401"/>
      <c r="AX88" s="401"/>
      <c r="AY88" s="401"/>
      <c r="AZ88" s="401"/>
      <c r="BA88" s="401"/>
      <c r="BB88" s="401"/>
      <c r="BC88" s="401"/>
      <c r="BD88" s="401"/>
      <c r="BE88" s="401"/>
      <c r="BF88" s="401"/>
      <c r="BG88" s="401"/>
      <c r="BH88" s="401"/>
      <c r="BI88" s="401"/>
      <c r="BJ88" s="401"/>
      <c r="BK88" s="401"/>
      <c r="BL88" s="401"/>
      <c r="BM88" s="401"/>
      <c r="BN88" s="401"/>
      <c r="BO88" s="401"/>
      <c r="BP88" s="401"/>
      <c r="BQ88" s="401"/>
      <c r="BR88" s="401"/>
      <c r="BS88" s="401"/>
      <c r="BT88" s="401"/>
      <c r="BU88" s="401"/>
      <c r="BV88" s="401"/>
      <c r="BW88" s="401"/>
      <c r="BX88" s="401"/>
      <c r="BY88" s="401"/>
      <c r="BZ88" s="401"/>
    </row>
    <row r="89" ht="15.75" customHeight="1">
      <c r="A89" s="401"/>
      <c r="B89" s="401"/>
      <c r="C89" s="401"/>
      <c r="D89" s="401"/>
      <c r="E89" s="401"/>
      <c r="F89" s="401"/>
      <c r="G89" s="401"/>
      <c r="H89" s="401"/>
      <c r="I89" s="381"/>
      <c r="J89" s="381"/>
      <c r="K89" s="381"/>
      <c r="L89" s="381"/>
      <c r="M89" s="381"/>
      <c r="N89" s="381"/>
      <c r="O89" s="381"/>
      <c r="P89" s="401"/>
      <c r="Q89" s="401"/>
      <c r="R89" s="401"/>
      <c r="S89" s="401"/>
      <c r="T89" s="401"/>
      <c r="U89" s="401"/>
      <c r="V89" s="401"/>
      <c r="W89" s="401"/>
      <c r="X89" s="401"/>
      <c r="Y89" s="401"/>
      <c r="Z89" s="401"/>
      <c r="AA89" s="401"/>
      <c r="AB89" s="401"/>
      <c r="AC89" s="401"/>
      <c r="AD89" s="401"/>
      <c r="AE89" s="401"/>
      <c r="AF89" s="401"/>
      <c r="AG89" s="401"/>
      <c r="AH89" s="401"/>
      <c r="AI89" s="401"/>
      <c r="AJ89" s="401"/>
      <c r="AK89" s="401"/>
      <c r="AL89" s="401"/>
      <c r="AM89" s="401"/>
      <c r="AN89" s="401"/>
      <c r="AO89" s="401"/>
      <c r="AP89" s="401"/>
      <c r="AQ89" s="401"/>
      <c r="AR89" s="401"/>
      <c r="AS89" s="401"/>
      <c r="AT89" s="401"/>
      <c r="AU89" s="401"/>
      <c r="AV89" s="401"/>
      <c r="AW89" s="401"/>
      <c r="AX89" s="401"/>
      <c r="AY89" s="401"/>
      <c r="AZ89" s="401"/>
      <c r="BA89" s="401"/>
      <c r="BB89" s="401"/>
      <c r="BC89" s="401"/>
      <c r="BD89" s="401"/>
      <c r="BE89" s="401"/>
      <c r="BF89" s="401"/>
      <c r="BG89" s="401"/>
      <c r="BH89" s="401"/>
      <c r="BI89" s="401"/>
      <c r="BJ89" s="401"/>
      <c r="BK89" s="401"/>
      <c r="BL89" s="401"/>
      <c r="BM89" s="401"/>
      <c r="BN89" s="401"/>
      <c r="BO89" s="401"/>
      <c r="BP89" s="401"/>
      <c r="BQ89" s="401"/>
      <c r="BR89" s="401"/>
      <c r="BS89" s="401"/>
      <c r="BT89" s="401"/>
      <c r="BU89" s="401"/>
      <c r="BV89" s="401"/>
      <c r="BW89" s="401"/>
      <c r="BX89" s="401"/>
      <c r="BY89" s="401"/>
      <c r="BZ89" s="401"/>
    </row>
    <row r="90" ht="15.75" customHeight="1">
      <c r="A90" s="401"/>
      <c r="B90" s="401"/>
      <c r="C90" s="401"/>
      <c r="D90" s="401"/>
      <c r="E90" s="401"/>
      <c r="F90" s="401"/>
      <c r="G90" s="401"/>
      <c r="H90" s="401"/>
      <c r="I90" s="381"/>
      <c r="J90" s="381"/>
      <c r="K90" s="381"/>
      <c r="L90" s="381"/>
      <c r="M90" s="381"/>
      <c r="N90" s="381"/>
      <c r="O90" s="381"/>
      <c r="P90" s="401"/>
      <c r="Q90" s="401"/>
      <c r="R90" s="401"/>
      <c r="S90" s="401"/>
      <c r="T90" s="401"/>
      <c r="U90" s="401"/>
      <c r="V90" s="401"/>
      <c r="W90" s="401"/>
      <c r="X90" s="401"/>
      <c r="Y90" s="401"/>
      <c r="Z90" s="401"/>
      <c r="AA90" s="401"/>
      <c r="AB90" s="401"/>
      <c r="AC90" s="401"/>
      <c r="AD90" s="401"/>
      <c r="AE90" s="401"/>
      <c r="AF90" s="401"/>
      <c r="AG90" s="401"/>
      <c r="AH90" s="401"/>
      <c r="AI90" s="401"/>
      <c r="AJ90" s="401"/>
      <c r="AK90" s="401"/>
      <c r="AL90" s="401"/>
      <c r="AM90" s="401"/>
      <c r="AN90" s="401"/>
      <c r="AO90" s="401"/>
      <c r="AP90" s="401"/>
      <c r="AQ90" s="401"/>
      <c r="AR90" s="401"/>
      <c r="AS90" s="401"/>
      <c r="AT90" s="401"/>
      <c r="AU90" s="401"/>
      <c r="AV90" s="401"/>
      <c r="AW90" s="401"/>
      <c r="AX90" s="401"/>
      <c r="AY90" s="401"/>
      <c r="AZ90" s="401"/>
      <c r="BA90" s="401"/>
      <c r="BB90" s="401"/>
      <c r="BC90" s="401"/>
      <c r="BD90" s="401"/>
      <c r="BE90" s="401"/>
      <c r="BF90" s="401"/>
      <c r="BG90" s="401"/>
      <c r="BH90" s="401"/>
      <c r="BI90" s="401"/>
      <c r="BJ90" s="401"/>
      <c r="BK90" s="401"/>
      <c r="BL90" s="401"/>
      <c r="BM90" s="401"/>
      <c r="BN90" s="401"/>
      <c r="BO90" s="401"/>
      <c r="BP90" s="401"/>
      <c r="BQ90" s="401"/>
      <c r="BR90" s="401"/>
      <c r="BS90" s="401"/>
      <c r="BT90" s="401"/>
      <c r="BU90" s="401"/>
      <c r="BV90" s="401"/>
      <c r="BW90" s="401"/>
      <c r="BX90" s="401"/>
      <c r="BY90" s="401"/>
      <c r="BZ90" s="401"/>
    </row>
    <row r="91" ht="15.75" customHeight="1">
      <c r="A91" s="401"/>
      <c r="B91" s="401"/>
      <c r="C91" s="401"/>
      <c r="D91" s="401"/>
      <c r="E91" s="401"/>
      <c r="F91" s="401"/>
      <c r="G91" s="401"/>
      <c r="H91" s="401"/>
      <c r="I91" s="381"/>
      <c r="J91" s="381"/>
      <c r="K91" s="381"/>
      <c r="L91" s="381"/>
      <c r="M91" s="381"/>
      <c r="N91" s="381"/>
      <c r="O91" s="381"/>
      <c r="P91" s="401"/>
      <c r="Q91" s="401"/>
      <c r="R91" s="401"/>
      <c r="S91" s="401"/>
      <c r="T91" s="401"/>
      <c r="U91" s="401"/>
      <c r="V91" s="401"/>
      <c r="W91" s="401"/>
      <c r="X91" s="401"/>
      <c r="Y91" s="401"/>
      <c r="Z91" s="401"/>
      <c r="AA91" s="401"/>
      <c r="AB91" s="401"/>
      <c r="AC91" s="401"/>
      <c r="AD91" s="401"/>
      <c r="AE91" s="401"/>
      <c r="AF91" s="401"/>
      <c r="AG91" s="401"/>
      <c r="AH91" s="401"/>
      <c r="AI91" s="401"/>
      <c r="AJ91" s="401"/>
      <c r="AK91" s="401"/>
      <c r="AL91" s="401"/>
      <c r="AM91" s="401"/>
      <c r="AN91" s="401"/>
      <c r="AO91" s="401"/>
      <c r="AP91" s="401"/>
      <c r="AQ91" s="401"/>
      <c r="AR91" s="401"/>
      <c r="AS91" s="401"/>
      <c r="AT91" s="401"/>
      <c r="AU91" s="401"/>
      <c r="AV91" s="401"/>
      <c r="AW91" s="401"/>
      <c r="AX91" s="401"/>
      <c r="AY91" s="401"/>
      <c r="AZ91" s="401"/>
      <c r="BA91" s="401"/>
      <c r="BB91" s="401"/>
      <c r="BC91" s="401"/>
      <c r="BD91" s="401"/>
      <c r="BE91" s="401"/>
      <c r="BF91" s="401"/>
      <c r="BG91" s="401"/>
      <c r="BH91" s="401"/>
      <c r="BI91" s="401"/>
      <c r="BJ91" s="401"/>
      <c r="BK91" s="401"/>
      <c r="BL91" s="401"/>
      <c r="BM91" s="401"/>
      <c r="BN91" s="401"/>
      <c r="BO91" s="401"/>
      <c r="BP91" s="401"/>
      <c r="BQ91" s="401"/>
      <c r="BR91" s="401"/>
      <c r="BS91" s="401"/>
      <c r="BT91" s="401"/>
      <c r="BU91" s="401"/>
      <c r="BV91" s="401"/>
      <c r="BW91" s="401"/>
      <c r="BX91" s="401"/>
      <c r="BY91" s="401"/>
      <c r="BZ91" s="401"/>
    </row>
    <row r="92" ht="15.75" customHeight="1">
      <c r="A92" s="401"/>
      <c r="B92" s="401"/>
      <c r="C92" s="401"/>
      <c r="D92" s="401"/>
      <c r="E92" s="401"/>
      <c r="F92" s="401"/>
      <c r="G92" s="401"/>
      <c r="H92" s="401"/>
      <c r="I92" s="381"/>
      <c r="J92" s="381"/>
      <c r="K92" s="381"/>
      <c r="L92" s="381"/>
      <c r="M92" s="381"/>
      <c r="N92" s="381"/>
      <c r="O92" s="381"/>
      <c r="P92" s="401"/>
      <c r="Q92" s="401"/>
      <c r="R92" s="401"/>
      <c r="S92" s="401"/>
      <c r="T92" s="401"/>
      <c r="U92" s="401"/>
      <c r="V92" s="401"/>
      <c r="W92" s="401"/>
      <c r="X92" s="401"/>
      <c r="Y92" s="401"/>
      <c r="Z92" s="401"/>
      <c r="AA92" s="401"/>
      <c r="AB92" s="401"/>
      <c r="AC92" s="401"/>
      <c r="AD92" s="401"/>
      <c r="AE92" s="401"/>
      <c r="AF92" s="401"/>
      <c r="AG92" s="401"/>
      <c r="AH92" s="401"/>
      <c r="AI92" s="401"/>
      <c r="AJ92" s="401"/>
      <c r="AK92" s="401"/>
      <c r="AL92" s="401"/>
      <c r="AM92" s="401"/>
      <c r="AN92" s="401"/>
      <c r="AO92" s="401"/>
      <c r="AP92" s="401"/>
      <c r="AQ92" s="401"/>
      <c r="AR92" s="401"/>
      <c r="AS92" s="401"/>
      <c r="AT92" s="401"/>
      <c r="AU92" s="401"/>
      <c r="AV92" s="401"/>
      <c r="AW92" s="401"/>
      <c r="AX92" s="401"/>
      <c r="AY92" s="401"/>
      <c r="AZ92" s="401"/>
      <c r="BA92" s="401"/>
      <c r="BB92" s="401"/>
      <c r="BC92" s="401"/>
      <c r="BD92" s="401"/>
      <c r="BE92" s="401"/>
      <c r="BF92" s="401"/>
      <c r="BG92" s="401"/>
      <c r="BH92" s="401"/>
      <c r="BI92" s="401"/>
      <c r="BJ92" s="401"/>
      <c r="BK92" s="401"/>
      <c r="BL92" s="401"/>
      <c r="BM92" s="401"/>
      <c r="BN92" s="401"/>
      <c r="BO92" s="401"/>
      <c r="BP92" s="401"/>
      <c r="BQ92" s="401"/>
      <c r="BR92" s="401"/>
      <c r="BS92" s="401"/>
      <c r="BT92" s="401"/>
      <c r="BU92" s="401"/>
      <c r="BV92" s="401"/>
      <c r="BW92" s="401"/>
      <c r="BX92" s="401"/>
      <c r="BY92" s="401"/>
      <c r="BZ92" s="401"/>
    </row>
    <row r="93" ht="15.75" customHeight="1">
      <c r="A93" s="401"/>
      <c r="B93" s="401"/>
      <c r="C93" s="401"/>
      <c r="D93" s="401"/>
      <c r="E93" s="401"/>
      <c r="F93" s="401"/>
      <c r="G93" s="401"/>
      <c r="H93" s="401"/>
      <c r="I93" s="381"/>
      <c r="J93" s="381"/>
      <c r="K93" s="381"/>
      <c r="L93" s="381"/>
      <c r="M93" s="381"/>
      <c r="N93" s="381"/>
      <c r="O93" s="381"/>
      <c r="P93" s="401"/>
      <c r="Q93" s="401"/>
      <c r="R93" s="401"/>
      <c r="S93" s="401"/>
      <c r="T93" s="401"/>
      <c r="U93" s="401"/>
      <c r="V93" s="401"/>
      <c r="W93" s="401"/>
      <c r="X93" s="401"/>
      <c r="Y93" s="401"/>
      <c r="Z93" s="401"/>
      <c r="AA93" s="401"/>
      <c r="AB93" s="401"/>
      <c r="AC93" s="401"/>
      <c r="AD93" s="401"/>
      <c r="AE93" s="401"/>
      <c r="AF93" s="401"/>
      <c r="AG93" s="401"/>
      <c r="AH93" s="401"/>
      <c r="AI93" s="401"/>
      <c r="AJ93" s="401"/>
      <c r="AK93" s="401"/>
      <c r="AL93" s="401"/>
      <c r="AM93" s="401"/>
      <c r="AN93" s="401"/>
      <c r="AO93" s="401"/>
      <c r="AP93" s="401"/>
      <c r="AQ93" s="401"/>
      <c r="AR93" s="401"/>
      <c r="AS93" s="401"/>
      <c r="AT93" s="401"/>
      <c r="AU93" s="401"/>
      <c r="AV93" s="401"/>
      <c r="AW93" s="401"/>
      <c r="AX93" s="401"/>
      <c r="AY93" s="401"/>
      <c r="AZ93" s="401"/>
      <c r="BA93" s="401"/>
      <c r="BB93" s="401"/>
      <c r="BC93" s="401"/>
      <c r="BD93" s="401"/>
      <c r="BE93" s="401"/>
      <c r="BF93" s="401"/>
      <c r="BG93" s="401"/>
      <c r="BH93" s="401"/>
      <c r="BI93" s="401"/>
      <c r="BJ93" s="401"/>
      <c r="BK93" s="401"/>
      <c r="BL93" s="401"/>
      <c r="BM93" s="401"/>
      <c r="BN93" s="401"/>
      <c r="BO93" s="401"/>
      <c r="BP93" s="401"/>
      <c r="BQ93" s="401"/>
      <c r="BR93" s="401"/>
      <c r="BS93" s="401"/>
      <c r="BT93" s="401"/>
      <c r="BU93" s="401"/>
      <c r="BV93" s="401"/>
      <c r="BW93" s="401"/>
      <c r="BX93" s="401"/>
      <c r="BY93" s="401"/>
      <c r="BZ93" s="401"/>
    </row>
    <row r="94" ht="15.75" customHeight="1">
      <c r="A94" s="401"/>
      <c r="B94" s="401"/>
      <c r="C94" s="401"/>
      <c r="D94" s="401"/>
      <c r="E94" s="401"/>
      <c r="F94" s="401"/>
      <c r="G94" s="401"/>
      <c r="H94" s="401"/>
      <c r="I94" s="381"/>
      <c r="J94" s="381"/>
      <c r="K94" s="381"/>
      <c r="L94" s="381"/>
      <c r="M94" s="381"/>
      <c r="N94" s="381"/>
      <c r="O94" s="381"/>
      <c r="P94" s="401"/>
      <c r="Q94" s="401"/>
      <c r="R94" s="401"/>
      <c r="S94" s="401"/>
      <c r="T94" s="401"/>
      <c r="U94" s="401"/>
      <c r="V94" s="401"/>
      <c r="W94" s="401"/>
      <c r="X94" s="401"/>
      <c r="Y94" s="401"/>
      <c r="Z94" s="401"/>
      <c r="AA94" s="401"/>
      <c r="AB94" s="401"/>
      <c r="AC94" s="401"/>
      <c r="AD94" s="401"/>
      <c r="AE94" s="401"/>
      <c r="AF94" s="401"/>
      <c r="AG94" s="401"/>
      <c r="AH94" s="401"/>
      <c r="AI94" s="401"/>
      <c r="AJ94" s="401"/>
      <c r="AK94" s="401"/>
      <c r="AL94" s="401"/>
      <c r="AM94" s="401"/>
      <c r="AN94" s="401"/>
      <c r="AO94" s="401"/>
      <c r="AP94" s="401"/>
      <c r="AQ94" s="401"/>
      <c r="AR94" s="401"/>
      <c r="AS94" s="401"/>
      <c r="AT94" s="401"/>
      <c r="AU94" s="401"/>
      <c r="AV94" s="401"/>
      <c r="AW94" s="401"/>
      <c r="AX94" s="401"/>
      <c r="AY94" s="401"/>
      <c r="AZ94" s="401"/>
      <c r="BA94" s="401"/>
      <c r="BB94" s="401"/>
      <c r="BC94" s="401"/>
      <c r="BD94" s="401"/>
      <c r="BE94" s="401"/>
      <c r="BF94" s="401"/>
      <c r="BG94" s="401"/>
      <c r="BH94" s="401"/>
      <c r="BI94" s="401"/>
      <c r="BJ94" s="401"/>
      <c r="BK94" s="401"/>
      <c r="BL94" s="401"/>
      <c r="BM94" s="401"/>
      <c r="BN94" s="401"/>
      <c r="BO94" s="401"/>
      <c r="BP94" s="401"/>
      <c r="BQ94" s="401"/>
      <c r="BR94" s="401"/>
      <c r="BS94" s="401"/>
      <c r="BT94" s="401"/>
      <c r="BU94" s="401"/>
      <c r="BV94" s="401"/>
      <c r="BW94" s="401"/>
      <c r="BX94" s="401"/>
      <c r="BY94" s="401"/>
      <c r="BZ94" s="401"/>
    </row>
    <row r="95" ht="15.75" customHeight="1">
      <c r="A95" s="401"/>
      <c r="B95" s="401"/>
      <c r="C95" s="401"/>
      <c r="D95" s="401"/>
      <c r="E95" s="401"/>
      <c r="F95" s="401"/>
      <c r="G95" s="401"/>
      <c r="H95" s="401"/>
      <c r="I95" s="381"/>
      <c r="J95" s="381"/>
      <c r="K95" s="381"/>
      <c r="L95" s="381"/>
      <c r="M95" s="381"/>
      <c r="N95" s="381"/>
      <c r="O95" s="381"/>
      <c r="P95" s="401"/>
      <c r="Q95" s="401"/>
      <c r="R95" s="401"/>
      <c r="S95" s="401"/>
      <c r="T95" s="401"/>
      <c r="U95" s="401"/>
      <c r="V95" s="401"/>
      <c r="W95" s="401"/>
      <c r="X95" s="401"/>
      <c r="Y95" s="401"/>
      <c r="Z95" s="401"/>
      <c r="AA95" s="401"/>
      <c r="AB95" s="401"/>
      <c r="AC95" s="401"/>
      <c r="AD95" s="401"/>
      <c r="AE95" s="401"/>
      <c r="AF95" s="401"/>
      <c r="AG95" s="401"/>
      <c r="AH95" s="401"/>
      <c r="AI95" s="401"/>
      <c r="AJ95" s="401"/>
      <c r="AK95" s="401"/>
      <c r="AL95" s="401"/>
      <c r="AM95" s="401"/>
      <c r="AN95" s="401"/>
      <c r="AO95" s="401"/>
      <c r="AP95" s="401"/>
      <c r="AQ95" s="401"/>
      <c r="AR95" s="401"/>
      <c r="AS95" s="401"/>
      <c r="AT95" s="401"/>
      <c r="AU95" s="401"/>
      <c r="AV95" s="401"/>
      <c r="AW95" s="401"/>
      <c r="AX95" s="401"/>
      <c r="AY95" s="401"/>
      <c r="AZ95" s="401"/>
      <c r="BA95" s="401"/>
      <c r="BB95" s="401"/>
      <c r="BC95" s="401"/>
      <c r="BD95" s="401"/>
      <c r="BE95" s="401"/>
      <c r="BF95" s="401"/>
      <c r="BG95" s="401"/>
      <c r="BH95" s="401"/>
      <c r="BI95" s="401"/>
      <c r="BJ95" s="401"/>
      <c r="BK95" s="401"/>
      <c r="BL95" s="401"/>
      <c r="BM95" s="401"/>
      <c r="BN95" s="401"/>
      <c r="BO95" s="401"/>
      <c r="BP95" s="401"/>
      <c r="BQ95" s="401"/>
      <c r="BR95" s="401"/>
      <c r="BS95" s="401"/>
      <c r="BT95" s="401"/>
      <c r="BU95" s="401"/>
      <c r="BV95" s="401"/>
      <c r="BW95" s="401"/>
      <c r="BX95" s="401"/>
      <c r="BY95" s="401"/>
      <c r="BZ95" s="401"/>
    </row>
    <row r="96" ht="15.75" customHeight="1">
      <c r="A96" s="401"/>
      <c r="B96" s="401"/>
      <c r="C96" s="401"/>
      <c r="D96" s="401"/>
      <c r="E96" s="401"/>
      <c r="F96" s="401"/>
      <c r="G96" s="401"/>
      <c r="H96" s="401"/>
      <c r="I96" s="381"/>
      <c r="J96" s="381"/>
      <c r="K96" s="381"/>
      <c r="L96" s="381"/>
      <c r="M96" s="381"/>
      <c r="N96" s="381"/>
      <c r="O96" s="381"/>
      <c r="P96" s="401"/>
      <c r="Q96" s="401"/>
      <c r="R96" s="401"/>
      <c r="S96" s="401"/>
      <c r="T96" s="401"/>
      <c r="U96" s="401"/>
      <c r="V96" s="401"/>
      <c r="W96" s="401"/>
      <c r="X96" s="401"/>
      <c r="Y96" s="401"/>
      <c r="Z96" s="401"/>
      <c r="AA96" s="401"/>
      <c r="AB96" s="401"/>
      <c r="AC96" s="401"/>
      <c r="AD96" s="401"/>
      <c r="AE96" s="401"/>
      <c r="AF96" s="401"/>
      <c r="AG96" s="401"/>
      <c r="AH96" s="401"/>
      <c r="AI96" s="401"/>
      <c r="AJ96" s="401"/>
      <c r="AK96" s="401"/>
      <c r="AL96" s="401"/>
      <c r="AM96" s="401"/>
      <c r="AN96" s="401"/>
      <c r="AO96" s="401"/>
      <c r="AP96" s="401"/>
      <c r="AQ96" s="401"/>
      <c r="AR96" s="401"/>
      <c r="AS96" s="401"/>
      <c r="AT96" s="401"/>
      <c r="AU96" s="401"/>
      <c r="AV96" s="401"/>
      <c r="AW96" s="401"/>
      <c r="AX96" s="401"/>
      <c r="AY96" s="401"/>
      <c r="AZ96" s="401"/>
      <c r="BA96" s="401"/>
      <c r="BB96" s="401"/>
      <c r="BC96" s="401"/>
      <c r="BD96" s="401"/>
      <c r="BE96" s="401"/>
      <c r="BF96" s="401"/>
      <c r="BG96" s="401"/>
      <c r="BH96" s="401"/>
      <c r="BI96" s="401"/>
      <c r="BJ96" s="401"/>
      <c r="BK96" s="401"/>
      <c r="BL96" s="401"/>
      <c r="BM96" s="401"/>
      <c r="BN96" s="401"/>
      <c r="BO96" s="401"/>
      <c r="BP96" s="401"/>
      <c r="BQ96" s="401"/>
      <c r="BR96" s="401"/>
      <c r="BS96" s="401"/>
      <c r="BT96" s="401"/>
      <c r="BU96" s="401"/>
      <c r="BV96" s="401"/>
      <c r="BW96" s="401"/>
      <c r="BX96" s="401"/>
      <c r="BY96" s="401"/>
      <c r="BZ96" s="401"/>
    </row>
    <row r="97" ht="15.75" customHeight="1">
      <c r="A97" s="401"/>
      <c r="B97" s="401"/>
      <c r="C97" s="401"/>
      <c r="D97" s="401"/>
      <c r="E97" s="401"/>
      <c r="F97" s="401"/>
      <c r="G97" s="401"/>
      <c r="H97" s="401"/>
      <c r="I97" s="381"/>
      <c r="J97" s="381"/>
      <c r="K97" s="381"/>
      <c r="L97" s="381"/>
      <c r="M97" s="381"/>
      <c r="N97" s="381"/>
      <c r="O97" s="381"/>
      <c r="P97" s="401"/>
      <c r="Q97" s="401"/>
      <c r="R97" s="401"/>
      <c r="S97" s="401"/>
      <c r="T97" s="401"/>
      <c r="U97" s="401"/>
      <c r="V97" s="401"/>
      <c r="W97" s="401"/>
      <c r="X97" s="401"/>
      <c r="Y97" s="401"/>
      <c r="Z97" s="401"/>
      <c r="AA97" s="401"/>
      <c r="AB97" s="401"/>
      <c r="AC97" s="401"/>
      <c r="AD97" s="401"/>
      <c r="AE97" s="401"/>
      <c r="AF97" s="401"/>
      <c r="AG97" s="401"/>
      <c r="AH97" s="401"/>
      <c r="AI97" s="401"/>
      <c r="AJ97" s="401"/>
      <c r="AK97" s="401"/>
      <c r="AL97" s="401"/>
      <c r="AM97" s="401"/>
      <c r="AN97" s="401"/>
      <c r="AO97" s="401"/>
      <c r="AP97" s="401"/>
      <c r="AQ97" s="401"/>
      <c r="AR97" s="401"/>
      <c r="AS97" s="401"/>
      <c r="AT97" s="401"/>
      <c r="AU97" s="401"/>
      <c r="AV97" s="401"/>
      <c r="AW97" s="401"/>
      <c r="AX97" s="401"/>
      <c r="AY97" s="401"/>
      <c r="AZ97" s="401"/>
      <c r="BA97" s="401"/>
      <c r="BB97" s="401"/>
      <c r="BC97" s="401"/>
      <c r="BD97" s="401"/>
      <c r="BE97" s="401"/>
      <c r="BF97" s="401"/>
      <c r="BG97" s="401"/>
      <c r="BH97" s="401"/>
      <c r="BI97" s="401"/>
      <c r="BJ97" s="401"/>
      <c r="BK97" s="401"/>
      <c r="BL97" s="401"/>
      <c r="BM97" s="401"/>
      <c r="BN97" s="401"/>
      <c r="BO97" s="401"/>
      <c r="BP97" s="401"/>
      <c r="BQ97" s="401"/>
      <c r="BR97" s="401"/>
      <c r="BS97" s="401"/>
      <c r="BT97" s="401"/>
      <c r="BU97" s="401"/>
      <c r="BV97" s="401"/>
      <c r="BW97" s="401"/>
      <c r="BX97" s="401"/>
      <c r="BY97" s="401"/>
      <c r="BZ97" s="401"/>
    </row>
    <row r="98" ht="15.75" customHeight="1">
      <c r="A98" s="401"/>
      <c r="B98" s="401"/>
      <c r="C98" s="401"/>
      <c r="D98" s="401"/>
      <c r="E98" s="401"/>
      <c r="F98" s="401"/>
      <c r="G98" s="401"/>
      <c r="H98" s="401"/>
      <c r="I98" s="381"/>
      <c r="J98" s="381"/>
      <c r="K98" s="381"/>
      <c r="L98" s="381"/>
      <c r="M98" s="381"/>
      <c r="N98" s="381"/>
      <c r="O98" s="381"/>
      <c r="P98" s="401"/>
      <c r="Q98" s="401"/>
      <c r="R98" s="401"/>
      <c r="S98" s="401"/>
      <c r="T98" s="401"/>
      <c r="U98" s="401"/>
      <c r="V98" s="401"/>
      <c r="W98" s="401"/>
      <c r="X98" s="401"/>
      <c r="Y98" s="401"/>
      <c r="Z98" s="401"/>
      <c r="AA98" s="401"/>
      <c r="AB98" s="401"/>
      <c r="AC98" s="401"/>
      <c r="AD98" s="401"/>
      <c r="AE98" s="401"/>
      <c r="AF98" s="401"/>
      <c r="AG98" s="401"/>
      <c r="AH98" s="401"/>
      <c r="AI98" s="401"/>
      <c r="AJ98" s="401"/>
      <c r="AK98" s="401"/>
      <c r="AL98" s="401"/>
      <c r="AM98" s="401"/>
      <c r="AN98" s="401"/>
      <c r="AO98" s="401"/>
      <c r="AP98" s="401"/>
      <c r="AQ98" s="401"/>
      <c r="AR98" s="401"/>
      <c r="AS98" s="401"/>
      <c r="AT98" s="401"/>
      <c r="AU98" s="401"/>
      <c r="AV98" s="401"/>
      <c r="AW98" s="401"/>
      <c r="AX98" s="401"/>
      <c r="AY98" s="401"/>
      <c r="AZ98" s="401"/>
      <c r="BA98" s="401"/>
      <c r="BB98" s="401"/>
      <c r="BC98" s="401"/>
      <c r="BD98" s="401"/>
      <c r="BE98" s="401"/>
      <c r="BF98" s="401"/>
      <c r="BG98" s="401"/>
      <c r="BH98" s="401"/>
      <c r="BI98" s="401"/>
      <c r="BJ98" s="401"/>
      <c r="BK98" s="401"/>
      <c r="BL98" s="401"/>
      <c r="BM98" s="401"/>
      <c r="BN98" s="401"/>
      <c r="BO98" s="401"/>
      <c r="BP98" s="401"/>
      <c r="BQ98" s="401"/>
      <c r="BR98" s="401"/>
      <c r="BS98" s="401"/>
      <c r="BT98" s="401"/>
      <c r="BU98" s="401"/>
      <c r="BV98" s="401"/>
      <c r="BW98" s="401"/>
      <c r="BX98" s="401"/>
      <c r="BY98" s="401"/>
      <c r="BZ98" s="401"/>
    </row>
    <row r="99" ht="15.75" customHeight="1">
      <c r="A99" s="401"/>
      <c r="B99" s="401"/>
      <c r="C99" s="401"/>
      <c r="D99" s="401"/>
      <c r="E99" s="401"/>
      <c r="F99" s="401"/>
      <c r="G99" s="401"/>
      <c r="H99" s="401"/>
      <c r="I99" s="381"/>
      <c r="J99" s="381"/>
      <c r="K99" s="381"/>
      <c r="L99" s="381"/>
      <c r="M99" s="381"/>
      <c r="N99" s="381"/>
      <c r="O99" s="381"/>
      <c r="P99" s="401"/>
      <c r="Q99" s="401"/>
      <c r="R99" s="401"/>
      <c r="S99" s="401"/>
      <c r="T99" s="401"/>
      <c r="U99" s="401"/>
      <c r="V99" s="401"/>
      <c r="W99" s="401"/>
      <c r="X99" s="401"/>
      <c r="Y99" s="401"/>
      <c r="Z99" s="401"/>
      <c r="AA99" s="401"/>
      <c r="AB99" s="401"/>
      <c r="AC99" s="401"/>
      <c r="AD99" s="401"/>
      <c r="AE99" s="401"/>
      <c r="AF99" s="401"/>
      <c r="AG99" s="401"/>
      <c r="AH99" s="401"/>
      <c r="AI99" s="401"/>
      <c r="AJ99" s="401"/>
      <c r="AK99" s="401"/>
      <c r="AL99" s="401"/>
      <c r="AM99" s="401"/>
      <c r="AN99" s="401"/>
      <c r="AO99" s="401"/>
      <c r="AP99" s="401"/>
      <c r="AQ99" s="401"/>
      <c r="AR99" s="401"/>
      <c r="AS99" s="401"/>
      <c r="AT99" s="401"/>
      <c r="AU99" s="401"/>
      <c r="AV99" s="401"/>
      <c r="AW99" s="401"/>
      <c r="AX99" s="401"/>
      <c r="AY99" s="401"/>
      <c r="AZ99" s="401"/>
      <c r="BA99" s="401"/>
      <c r="BB99" s="401"/>
      <c r="BC99" s="401"/>
      <c r="BD99" s="401"/>
      <c r="BE99" s="401"/>
      <c r="BF99" s="401"/>
      <c r="BG99" s="401"/>
      <c r="BH99" s="401"/>
      <c r="BI99" s="401"/>
      <c r="BJ99" s="401"/>
      <c r="BK99" s="401"/>
      <c r="BL99" s="401"/>
      <c r="BM99" s="401"/>
      <c r="BN99" s="401"/>
      <c r="BO99" s="401"/>
      <c r="BP99" s="401"/>
      <c r="BQ99" s="401"/>
      <c r="BR99" s="401"/>
      <c r="BS99" s="401"/>
      <c r="BT99" s="401"/>
      <c r="BU99" s="401"/>
      <c r="BV99" s="401"/>
      <c r="BW99" s="401"/>
      <c r="BX99" s="401"/>
      <c r="BY99" s="401"/>
      <c r="BZ99" s="401"/>
    </row>
    <row r="100" ht="15.75" customHeight="1">
      <c r="A100" s="401"/>
      <c r="B100" s="401"/>
      <c r="C100" s="401"/>
      <c r="D100" s="401"/>
      <c r="E100" s="401"/>
      <c r="F100" s="401"/>
      <c r="G100" s="401"/>
      <c r="H100" s="401"/>
      <c r="I100" s="381"/>
      <c r="J100" s="381"/>
      <c r="K100" s="381"/>
      <c r="L100" s="381"/>
      <c r="M100" s="381"/>
      <c r="N100" s="381"/>
      <c r="O100" s="381"/>
      <c r="P100" s="401"/>
      <c r="Q100" s="401"/>
      <c r="R100" s="401"/>
      <c r="S100" s="401"/>
      <c r="T100" s="401"/>
      <c r="U100" s="401"/>
      <c r="V100" s="401"/>
      <c r="W100" s="401"/>
      <c r="X100" s="401"/>
      <c r="Y100" s="401"/>
      <c r="Z100" s="401"/>
      <c r="AA100" s="401"/>
      <c r="AB100" s="401"/>
      <c r="AC100" s="401"/>
      <c r="AD100" s="401"/>
      <c r="AE100" s="401"/>
      <c r="AF100" s="401"/>
      <c r="AG100" s="401"/>
      <c r="AH100" s="401"/>
      <c r="AI100" s="401"/>
      <c r="AJ100" s="401"/>
      <c r="AK100" s="401"/>
      <c r="AL100" s="401"/>
      <c r="AM100" s="401"/>
      <c r="AN100" s="401"/>
      <c r="AO100" s="401"/>
      <c r="AP100" s="401"/>
      <c r="AQ100" s="401"/>
      <c r="AR100" s="401"/>
      <c r="AS100" s="401"/>
      <c r="AT100" s="401"/>
      <c r="AU100" s="401"/>
      <c r="AV100" s="401"/>
      <c r="AW100" s="401"/>
      <c r="AX100" s="401"/>
      <c r="AY100" s="401"/>
      <c r="AZ100" s="401"/>
      <c r="BA100" s="401"/>
      <c r="BB100" s="401"/>
      <c r="BC100" s="401"/>
      <c r="BD100" s="401"/>
      <c r="BE100" s="401"/>
      <c r="BF100" s="401"/>
      <c r="BG100" s="401"/>
      <c r="BH100" s="401"/>
      <c r="BI100" s="401"/>
      <c r="BJ100" s="401"/>
      <c r="BK100" s="401"/>
      <c r="BL100" s="401"/>
      <c r="BM100" s="401"/>
      <c r="BN100" s="401"/>
      <c r="BO100" s="401"/>
      <c r="BP100" s="401"/>
      <c r="BQ100" s="401"/>
      <c r="BR100" s="401"/>
      <c r="BS100" s="401"/>
      <c r="BT100" s="401"/>
      <c r="BU100" s="401"/>
      <c r="BV100" s="401"/>
      <c r="BW100" s="401"/>
      <c r="BX100" s="401"/>
      <c r="BY100" s="401"/>
      <c r="BZ100" s="401"/>
    </row>
    <row r="101" ht="15.75" customHeight="1">
      <c r="A101" s="401"/>
      <c r="B101" s="401"/>
      <c r="C101" s="401"/>
      <c r="D101" s="401"/>
      <c r="E101" s="401"/>
      <c r="F101" s="401"/>
      <c r="G101" s="401"/>
      <c r="H101" s="401"/>
      <c r="I101" s="381"/>
      <c r="J101" s="381"/>
      <c r="K101" s="381"/>
      <c r="L101" s="381"/>
      <c r="M101" s="381"/>
      <c r="N101" s="381"/>
      <c r="O101" s="381"/>
      <c r="P101" s="401"/>
      <c r="Q101" s="401"/>
      <c r="R101" s="401"/>
      <c r="S101" s="401"/>
      <c r="T101" s="401"/>
      <c r="U101" s="401"/>
      <c r="V101" s="401"/>
      <c r="W101" s="401"/>
      <c r="X101" s="401"/>
      <c r="Y101" s="401"/>
      <c r="Z101" s="401"/>
      <c r="AA101" s="401"/>
      <c r="AB101" s="401"/>
      <c r="AC101" s="401"/>
      <c r="AD101" s="401"/>
      <c r="AE101" s="401"/>
      <c r="AF101" s="401"/>
      <c r="AG101" s="401"/>
      <c r="AH101" s="401"/>
      <c r="AI101" s="401"/>
      <c r="AJ101" s="401"/>
      <c r="AK101" s="401"/>
      <c r="AL101" s="401"/>
      <c r="AM101" s="401"/>
      <c r="AN101" s="401"/>
      <c r="AO101" s="401"/>
      <c r="AP101" s="401"/>
      <c r="AQ101" s="401"/>
      <c r="AR101" s="401"/>
      <c r="AS101" s="401"/>
      <c r="AT101" s="401"/>
      <c r="AU101" s="401"/>
      <c r="AV101" s="401"/>
      <c r="AW101" s="401"/>
      <c r="AX101" s="401"/>
      <c r="AY101" s="401"/>
      <c r="AZ101" s="401"/>
      <c r="BA101" s="401"/>
      <c r="BB101" s="401"/>
      <c r="BC101" s="401"/>
      <c r="BD101" s="401"/>
      <c r="BE101" s="401"/>
      <c r="BF101" s="401"/>
      <c r="BG101" s="401"/>
      <c r="BH101" s="401"/>
      <c r="BI101" s="401"/>
      <c r="BJ101" s="401"/>
      <c r="BK101" s="401"/>
      <c r="BL101" s="401"/>
      <c r="BM101" s="401"/>
      <c r="BN101" s="401"/>
      <c r="BO101" s="401"/>
      <c r="BP101" s="401"/>
      <c r="BQ101" s="401"/>
      <c r="BR101" s="401"/>
      <c r="BS101" s="401"/>
      <c r="BT101" s="401"/>
      <c r="BU101" s="401"/>
      <c r="BV101" s="401"/>
      <c r="BW101" s="401"/>
      <c r="BX101" s="401"/>
      <c r="BY101" s="401"/>
      <c r="BZ101" s="401"/>
    </row>
    <row r="102" ht="15.75" customHeight="1">
      <c r="A102" s="401"/>
      <c r="B102" s="401"/>
      <c r="C102" s="401"/>
      <c r="D102" s="401"/>
      <c r="E102" s="401"/>
      <c r="F102" s="401"/>
      <c r="G102" s="401"/>
      <c r="H102" s="401"/>
      <c r="I102" s="381"/>
      <c r="J102" s="381"/>
      <c r="K102" s="381"/>
      <c r="L102" s="381"/>
      <c r="M102" s="381"/>
      <c r="N102" s="381"/>
      <c r="O102" s="381"/>
      <c r="P102" s="401"/>
      <c r="Q102" s="401"/>
      <c r="R102" s="401"/>
      <c r="S102" s="401"/>
      <c r="T102" s="401"/>
      <c r="U102" s="401"/>
      <c r="V102" s="401"/>
      <c r="W102" s="401"/>
      <c r="X102" s="401"/>
      <c r="Y102" s="401"/>
      <c r="Z102" s="401"/>
      <c r="AA102" s="401"/>
      <c r="AB102" s="401"/>
      <c r="AC102" s="401"/>
      <c r="AD102" s="401"/>
      <c r="AE102" s="401"/>
      <c r="AF102" s="401"/>
      <c r="AG102" s="401"/>
      <c r="AH102" s="401"/>
      <c r="AI102" s="401"/>
      <c r="AJ102" s="401"/>
      <c r="AK102" s="401"/>
      <c r="AL102" s="401"/>
      <c r="AM102" s="401"/>
      <c r="AN102" s="401"/>
      <c r="AO102" s="401"/>
      <c r="AP102" s="401"/>
      <c r="AQ102" s="401"/>
      <c r="AR102" s="401"/>
      <c r="AS102" s="401"/>
      <c r="AT102" s="401"/>
      <c r="AU102" s="401"/>
      <c r="AV102" s="401"/>
      <c r="AW102" s="401"/>
      <c r="AX102" s="401"/>
      <c r="AY102" s="401"/>
      <c r="AZ102" s="401"/>
      <c r="BA102" s="401"/>
      <c r="BB102" s="401"/>
      <c r="BC102" s="401"/>
      <c r="BD102" s="401"/>
      <c r="BE102" s="401"/>
      <c r="BF102" s="401"/>
      <c r="BG102" s="401"/>
      <c r="BH102" s="401"/>
      <c r="BI102" s="401"/>
      <c r="BJ102" s="401"/>
      <c r="BK102" s="401"/>
      <c r="BL102" s="401"/>
      <c r="BM102" s="401"/>
      <c r="BN102" s="401"/>
      <c r="BO102" s="401"/>
      <c r="BP102" s="401"/>
      <c r="BQ102" s="401"/>
      <c r="BR102" s="401"/>
      <c r="BS102" s="401"/>
      <c r="BT102" s="401"/>
      <c r="BU102" s="401"/>
      <c r="BV102" s="401"/>
      <c r="BW102" s="401"/>
      <c r="BX102" s="401"/>
      <c r="BY102" s="401"/>
      <c r="BZ102" s="401"/>
    </row>
    <row r="103" ht="15.75" customHeight="1">
      <c r="A103" s="401"/>
      <c r="B103" s="401"/>
      <c r="C103" s="401"/>
      <c r="D103" s="401"/>
      <c r="E103" s="401"/>
      <c r="F103" s="401"/>
      <c r="G103" s="401"/>
      <c r="H103" s="401"/>
      <c r="I103" s="381"/>
      <c r="J103" s="381"/>
      <c r="K103" s="381"/>
      <c r="L103" s="381"/>
      <c r="M103" s="381"/>
      <c r="N103" s="381"/>
      <c r="O103" s="381"/>
      <c r="P103" s="401"/>
      <c r="Q103" s="401"/>
      <c r="R103" s="401"/>
      <c r="S103" s="401"/>
      <c r="T103" s="401"/>
      <c r="U103" s="401"/>
      <c r="V103" s="401"/>
      <c r="W103" s="401"/>
      <c r="X103" s="401"/>
      <c r="Y103" s="401"/>
      <c r="Z103" s="401"/>
      <c r="AA103" s="401"/>
      <c r="AB103" s="401"/>
      <c r="AC103" s="401"/>
      <c r="AD103" s="401"/>
      <c r="AE103" s="401"/>
      <c r="AF103" s="401"/>
      <c r="AG103" s="401"/>
      <c r="AH103" s="401"/>
      <c r="AI103" s="401"/>
      <c r="AJ103" s="401"/>
      <c r="AK103" s="401"/>
      <c r="AL103" s="401"/>
      <c r="AM103" s="401"/>
      <c r="AN103" s="401"/>
      <c r="AO103" s="401"/>
      <c r="AP103" s="401"/>
      <c r="AQ103" s="401"/>
      <c r="AR103" s="401"/>
      <c r="AS103" s="401"/>
      <c r="AT103" s="401"/>
      <c r="AU103" s="401"/>
      <c r="AV103" s="401"/>
      <c r="AW103" s="401"/>
      <c r="AX103" s="401"/>
      <c r="AY103" s="401"/>
      <c r="AZ103" s="401"/>
      <c r="BA103" s="401"/>
      <c r="BB103" s="401"/>
      <c r="BC103" s="401"/>
      <c r="BD103" s="401"/>
      <c r="BE103" s="401"/>
      <c r="BF103" s="401"/>
      <c r="BG103" s="401"/>
      <c r="BH103" s="401"/>
      <c r="BI103" s="401"/>
      <c r="BJ103" s="401"/>
      <c r="BK103" s="401"/>
      <c r="BL103" s="401"/>
      <c r="BM103" s="401"/>
      <c r="BN103" s="401"/>
      <c r="BO103" s="401"/>
      <c r="BP103" s="401"/>
      <c r="BQ103" s="401"/>
      <c r="BR103" s="401"/>
      <c r="BS103" s="401"/>
      <c r="BT103" s="401"/>
      <c r="BU103" s="401"/>
      <c r="BV103" s="401"/>
      <c r="BW103" s="401"/>
      <c r="BX103" s="401"/>
      <c r="BY103" s="401"/>
      <c r="BZ103" s="401"/>
    </row>
    <row r="104" ht="15.75" customHeight="1">
      <c r="A104" s="401"/>
      <c r="B104" s="401"/>
      <c r="C104" s="401"/>
      <c r="D104" s="401"/>
      <c r="E104" s="401"/>
      <c r="F104" s="401"/>
      <c r="G104" s="401"/>
      <c r="H104" s="401"/>
      <c r="I104" s="381"/>
      <c r="J104" s="381"/>
      <c r="K104" s="381"/>
      <c r="L104" s="381"/>
      <c r="M104" s="381"/>
      <c r="N104" s="381"/>
      <c r="O104" s="381"/>
      <c r="P104" s="401"/>
      <c r="Q104" s="401"/>
      <c r="R104" s="401"/>
      <c r="S104" s="401"/>
      <c r="T104" s="401"/>
      <c r="U104" s="401"/>
      <c r="V104" s="401"/>
      <c r="W104" s="401"/>
      <c r="X104" s="401"/>
      <c r="Y104" s="401"/>
      <c r="Z104" s="401"/>
      <c r="AA104" s="401"/>
      <c r="AB104" s="401"/>
      <c r="AC104" s="401"/>
      <c r="AD104" s="401"/>
      <c r="AE104" s="401"/>
      <c r="AF104" s="401"/>
      <c r="AG104" s="401"/>
      <c r="AH104" s="401"/>
      <c r="AI104" s="401"/>
      <c r="AJ104" s="401"/>
      <c r="AK104" s="401"/>
      <c r="AL104" s="401"/>
      <c r="AM104" s="401"/>
      <c r="AN104" s="401"/>
      <c r="AO104" s="401"/>
      <c r="AP104" s="401"/>
      <c r="AQ104" s="401"/>
      <c r="AR104" s="401"/>
      <c r="AS104" s="401"/>
      <c r="AT104" s="401"/>
      <c r="AU104" s="401"/>
      <c r="AV104" s="401"/>
      <c r="AW104" s="401"/>
      <c r="AX104" s="401"/>
      <c r="AY104" s="401"/>
      <c r="AZ104" s="401"/>
      <c r="BA104" s="401"/>
      <c r="BB104" s="401"/>
      <c r="BC104" s="401"/>
      <c r="BD104" s="401"/>
      <c r="BE104" s="401"/>
      <c r="BF104" s="401"/>
      <c r="BG104" s="401"/>
      <c r="BH104" s="401"/>
      <c r="BI104" s="401"/>
      <c r="BJ104" s="401"/>
      <c r="BK104" s="401"/>
      <c r="BL104" s="401"/>
      <c r="BM104" s="401"/>
      <c r="BN104" s="401"/>
      <c r="BO104" s="401"/>
      <c r="BP104" s="401"/>
      <c r="BQ104" s="401"/>
      <c r="BR104" s="401"/>
      <c r="BS104" s="401"/>
      <c r="BT104" s="401"/>
      <c r="BU104" s="401"/>
      <c r="BV104" s="401"/>
      <c r="BW104" s="401"/>
      <c r="BX104" s="401"/>
      <c r="BY104" s="401"/>
      <c r="BZ104" s="401"/>
    </row>
    <row r="105" ht="15.75" customHeight="1">
      <c r="A105" s="401"/>
      <c r="B105" s="401"/>
      <c r="C105" s="401"/>
      <c r="D105" s="401"/>
      <c r="E105" s="401"/>
      <c r="F105" s="401"/>
      <c r="G105" s="401"/>
      <c r="H105" s="401"/>
      <c r="I105" s="381"/>
      <c r="J105" s="381"/>
      <c r="K105" s="381"/>
      <c r="L105" s="381"/>
      <c r="M105" s="381"/>
      <c r="N105" s="381"/>
      <c r="O105" s="381"/>
      <c r="P105" s="401"/>
      <c r="Q105" s="401"/>
      <c r="R105" s="401"/>
      <c r="S105" s="401"/>
      <c r="T105" s="401"/>
      <c r="U105" s="401"/>
      <c r="V105" s="401"/>
      <c r="W105" s="401"/>
      <c r="X105" s="401"/>
      <c r="Y105" s="401"/>
      <c r="Z105" s="401"/>
      <c r="AA105" s="401"/>
      <c r="AB105" s="401"/>
      <c r="AC105" s="401"/>
      <c r="AD105" s="401"/>
      <c r="AE105" s="401"/>
      <c r="AF105" s="401"/>
      <c r="AG105" s="401"/>
      <c r="AH105" s="401"/>
      <c r="AI105" s="401"/>
      <c r="AJ105" s="401"/>
      <c r="AK105" s="401"/>
      <c r="AL105" s="401"/>
      <c r="AM105" s="401"/>
      <c r="AN105" s="401"/>
      <c r="AO105" s="401"/>
      <c r="AP105" s="401"/>
      <c r="AQ105" s="401"/>
      <c r="AR105" s="401"/>
      <c r="AS105" s="401"/>
      <c r="AT105" s="401"/>
      <c r="AU105" s="401"/>
      <c r="AV105" s="401"/>
      <c r="AW105" s="401"/>
      <c r="AX105" s="401"/>
      <c r="AY105" s="401"/>
      <c r="AZ105" s="401"/>
      <c r="BA105" s="401"/>
      <c r="BB105" s="401"/>
      <c r="BC105" s="401"/>
      <c r="BD105" s="401"/>
      <c r="BE105" s="401"/>
      <c r="BF105" s="401"/>
      <c r="BG105" s="401"/>
      <c r="BH105" s="401"/>
      <c r="BI105" s="401"/>
      <c r="BJ105" s="401"/>
      <c r="BK105" s="401"/>
      <c r="BL105" s="401"/>
      <c r="BM105" s="401"/>
      <c r="BN105" s="401"/>
      <c r="BO105" s="401"/>
      <c r="BP105" s="401"/>
      <c r="BQ105" s="401"/>
      <c r="BR105" s="401"/>
      <c r="BS105" s="401"/>
      <c r="BT105" s="401"/>
      <c r="BU105" s="401"/>
      <c r="BV105" s="401"/>
      <c r="BW105" s="401"/>
      <c r="BX105" s="401"/>
      <c r="BY105" s="401"/>
      <c r="BZ105" s="401"/>
    </row>
    <row r="106" ht="15.75" customHeight="1">
      <c r="A106" s="401"/>
      <c r="B106" s="401"/>
      <c r="C106" s="401"/>
      <c r="D106" s="401"/>
      <c r="E106" s="401"/>
      <c r="F106" s="401"/>
      <c r="G106" s="401"/>
      <c r="H106" s="401"/>
      <c r="I106" s="381"/>
      <c r="J106" s="381"/>
      <c r="K106" s="381"/>
      <c r="L106" s="381"/>
      <c r="M106" s="381"/>
      <c r="N106" s="381"/>
      <c r="O106" s="381"/>
      <c r="P106" s="401"/>
      <c r="Q106" s="401"/>
      <c r="R106" s="401"/>
      <c r="S106" s="401"/>
      <c r="T106" s="401"/>
      <c r="U106" s="401"/>
      <c r="V106" s="401"/>
      <c r="W106" s="401"/>
      <c r="X106" s="401"/>
      <c r="Y106" s="401"/>
      <c r="Z106" s="401"/>
      <c r="AA106" s="401"/>
      <c r="AB106" s="401"/>
      <c r="AC106" s="401"/>
      <c r="AD106" s="401"/>
      <c r="AE106" s="401"/>
      <c r="AF106" s="401"/>
      <c r="AG106" s="401"/>
      <c r="AH106" s="401"/>
      <c r="AI106" s="401"/>
      <c r="AJ106" s="401"/>
      <c r="AK106" s="401"/>
      <c r="AL106" s="401"/>
      <c r="AM106" s="401"/>
      <c r="AN106" s="401"/>
      <c r="AO106" s="401"/>
      <c r="AP106" s="401"/>
      <c r="AQ106" s="401"/>
      <c r="AR106" s="401"/>
      <c r="AS106" s="401"/>
      <c r="AT106" s="401"/>
      <c r="AU106" s="401"/>
      <c r="AV106" s="401"/>
      <c r="AW106" s="401"/>
      <c r="AX106" s="401"/>
      <c r="AY106" s="401"/>
      <c r="AZ106" s="401"/>
      <c r="BA106" s="401"/>
      <c r="BB106" s="401"/>
      <c r="BC106" s="401"/>
      <c r="BD106" s="401"/>
      <c r="BE106" s="401"/>
      <c r="BF106" s="401"/>
      <c r="BG106" s="401"/>
      <c r="BH106" s="401"/>
      <c r="BI106" s="401"/>
      <c r="BJ106" s="401"/>
      <c r="BK106" s="401"/>
      <c r="BL106" s="401"/>
      <c r="BM106" s="401"/>
      <c r="BN106" s="401"/>
      <c r="BO106" s="401"/>
      <c r="BP106" s="401"/>
      <c r="BQ106" s="401"/>
      <c r="BR106" s="401"/>
      <c r="BS106" s="401"/>
      <c r="BT106" s="401"/>
      <c r="BU106" s="401"/>
      <c r="BV106" s="401"/>
      <c r="BW106" s="401"/>
      <c r="BX106" s="401"/>
      <c r="BY106" s="401"/>
      <c r="BZ106" s="401"/>
    </row>
    <row r="107" ht="15.75" customHeight="1">
      <c r="A107" s="401"/>
      <c r="B107" s="401"/>
      <c r="C107" s="401"/>
      <c r="D107" s="401"/>
      <c r="E107" s="401"/>
      <c r="F107" s="401"/>
      <c r="G107" s="401"/>
      <c r="H107" s="401"/>
      <c r="I107" s="381"/>
      <c r="J107" s="381"/>
      <c r="K107" s="381"/>
      <c r="L107" s="381"/>
      <c r="M107" s="381"/>
      <c r="N107" s="381"/>
      <c r="O107" s="381"/>
      <c r="P107" s="401"/>
      <c r="Q107" s="401"/>
      <c r="R107" s="401"/>
      <c r="S107" s="401"/>
      <c r="T107" s="401"/>
      <c r="U107" s="401"/>
      <c r="V107" s="401"/>
      <c r="W107" s="401"/>
      <c r="X107" s="401"/>
      <c r="Y107" s="401"/>
      <c r="Z107" s="401"/>
      <c r="AA107" s="401"/>
      <c r="AB107" s="401"/>
      <c r="AC107" s="401"/>
      <c r="AD107" s="401"/>
      <c r="AE107" s="401"/>
      <c r="AF107" s="401"/>
      <c r="AG107" s="401"/>
      <c r="AH107" s="401"/>
      <c r="AI107" s="401"/>
      <c r="AJ107" s="401"/>
      <c r="AK107" s="401"/>
      <c r="AL107" s="401"/>
      <c r="AM107" s="401"/>
      <c r="AN107" s="401"/>
      <c r="AO107" s="401"/>
      <c r="AP107" s="401"/>
      <c r="AQ107" s="401"/>
      <c r="AR107" s="401"/>
      <c r="AS107" s="401"/>
      <c r="AT107" s="401"/>
      <c r="AU107" s="401"/>
      <c r="AV107" s="401"/>
      <c r="AW107" s="401"/>
      <c r="AX107" s="401"/>
      <c r="AY107" s="401"/>
      <c r="AZ107" s="401"/>
      <c r="BA107" s="401"/>
      <c r="BB107" s="401"/>
      <c r="BC107" s="401"/>
      <c r="BD107" s="401"/>
      <c r="BE107" s="401"/>
      <c r="BF107" s="401"/>
      <c r="BG107" s="401"/>
      <c r="BH107" s="401"/>
      <c r="BI107" s="401"/>
      <c r="BJ107" s="401"/>
      <c r="BK107" s="401"/>
      <c r="BL107" s="401"/>
      <c r="BM107" s="401"/>
      <c r="BN107" s="401"/>
      <c r="BO107" s="401"/>
      <c r="BP107" s="401"/>
      <c r="BQ107" s="401"/>
      <c r="BR107" s="401"/>
      <c r="BS107" s="401"/>
      <c r="BT107" s="401"/>
      <c r="BU107" s="401"/>
      <c r="BV107" s="401"/>
      <c r="BW107" s="401"/>
      <c r="BX107" s="401"/>
      <c r="BY107" s="401"/>
      <c r="BZ107" s="401"/>
    </row>
    <row r="108" ht="15.75" customHeight="1">
      <c r="A108" s="401"/>
      <c r="B108" s="401"/>
      <c r="C108" s="401"/>
      <c r="D108" s="401"/>
      <c r="E108" s="401"/>
      <c r="F108" s="401"/>
      <c r="G108" s="401"/>
      <c r="H108" s="401"/>
      <c r="I108" s="381"/>
      <c r="J108" s="381"/>
      <c r="K108" s="381"/>
      <c r="L108" s="381"/>
      <c r="M108" s="381"/>
      <c r="N108" s="381"/>
      <c r="O108" s="381"/>
      <c r="P108" s="401"/>
      <c r="Q108" s="401"/>
      <c r="R108" s="401"/>
      <c r="S108" s="401"/>
      <c r="T108" s="401"/>
      <c r="U108" s="401"/>
      <c r="V108" s="401"/>
      <c r="W108" s="401"/>
      <c r="X108" s="401"/>
      <c r="Y108" s="401"/>
      <c r="Z108" s="401"/>
      <c r="AA108" s="401"/>
      <c r="AB108" s="401"/>
      <c r="AC108" s="401"/>
      <c r="AD108" s="401"/>
      <c r="AE108" s="401"/>
      <c r="AF108" s="401"/>
      <c r="AG108" s="401"/>
      <c r="AH108" s="401"/>
      <c r="AI108" s="401"/>
      <c r="AJ108" s="401"/>
      <c r="AK108" s="401"/>
      <c r="AL108" s="401"/>
      <c r="AM108" s="401"/>
      <c r="AN108" s="401"/>
      <c r="AO108" s="401"/>
      <c r="AP108" s="401"/>
      <c r="AQ108" s="401"/>
      <c r="AR108" s="401"/>
      <c r="AS108" s="401"/>
      <c r="AT108" s="401"/>
      <c r="AU108" s="401"/>
      <c r="AV108" s="401"/>
      <c r="AW108" s="401"/>
      <c r="AX108" s="401"/>
      <c r="AY108" s="401"/>
      <c r="AZ108" s="401"/>
      <c r="BA108" s="401"/>
      <c r="BB108" s="401"/>
      <c r="BC108" s="401"/>
      <c r="BD108" s="401"/>
      <c r="BE108" s="401"/>
      <c r="BF108" s="401"/>
      <c r="BG108" s="401"/>
      <c r="BH108" s="401"/>
      <c r="BI108" s="401"/>
      <c r="BJ108" s="401"/>
      <c r="BK108" s="401"/>
      <c r="BL108" s="401"/>
      <c r="BM108" s="401"/>
      <c r="BN108" s="401"/>
      <c r="BO108" s="401"/>
      <c r="BP108" s="401"/>
      <c r="BQ108" s="401"/>
      <c r="BR108" s="401"/>
      <c r="BS108" s="401"/>
      <c r="BT108" s="401"/>
      <c r="BU108" s="401"/>
      <c r="BV108" s="401"/>
      <c r="BW108" s="401"/>
      <c r="BX108" s="401"/>
      <c r="BY108" s="401"/>
      <c r="BZ108" s="401"/>
    </row>
    <row r="109" ht="15.75" customHeight="1">
      <c r="A109" s="401"/>
      <c r="B109" s="401"/>
      <c r="C109" s="401"/>
      <c r="D109" s="401"/>
      <c r="E109" s="401"/>
      <c r="F109" s="401"/>
      <c r="G109" s="401"/>
      <c r="H109" s="401"/>
      <c r="I109" s="381"/>
      <c r="J109" s="381"/>
      <c r="K109" s="381"/>
      <c r="L109" s="381"/>
      <c r="M109" s="381"/>
      <c r="N109" s="381"/>
      <c r="O109" s="381"/>
      <c r="P109" s="401"/>
      <c r="Q109" s="401"/>
      <c r="R109" s="401"/>
      <c r="S109" s="401"/>
      <c r="T109" s="401"/>
      <c r="U109" s="401"/>
      <c r="V109" s="401"/>
      <c r="W109" s="401"/>
      <c r="X109" s="401"/>
      <c r="Y109" s="401"/>
      <c r="Z109" s="401"/>
      <c r="AA109" s="401"/>
      <c r="AB109" s="401"/>
      <c r="AC109" s="401"/>
      <c r="AD109" s="401"/>
      <c r="AE109" s="401"/>
      <c r="AF109" s="401"/>
      <c r="AG109" s="401"/>
      <c r="AH109" s="401"/>
      <c r="AI109" s="401"/>
      <c r="AJ109" s="401"/>
      <c r="AK109" s="401"/>
      <c r="AL109" s="401"/>
      <c r="AM109" s="401"/>
      <c r="AN109" s="401"/>
      <c r="AO109" s="401"/>
      <c r="AP109" s="401"/>
      <c r="AQ109" s="401"/>
      <c r="AR109" s="401"/>
      <c r="AS109" s="401"/>
      <c r="AT109" s="401"/>
      <c r="AU109" s="401"/>
      <c r="AV109" s="401"/>
      <c r="AW109" s="401"/>
      <c r="AX109" s="401"/>
      <c r="AY109" s="401"/>
      <c r="AZ109" s="401"/>
      <c r="BA109" s="401"/>
      <c r="BB109" s="401"/>
      <c r="BC109" s="401"/>
      <c r="BD109" s="401"/>
      <c r="BE109" s="401"/>
      <c r="BF109" s="401"/>
      <c r="BG109" s="401"/>
      <c r="BH109" s="401"/>
      <c r="BI109" s="401"/>
      <c r="BJ109" s="401"/>
      <c r="BK109" s="401"/>
      <c r="BL109" s="401"/>
      <c r="BM109" s="401"/>
      <c r="BN109" s="401"/>
      <c r="BO109" s="401"/>
      <c r="BP109" s="401"/>
      <c r="BQ109" s="401"/>
      <c r="BR109" s="401"/>
      <c r="BS109" s="401"/>
      <c r="BT109" s="401"/>
      <c r="BU109" s="401"/>
      <c r="BV109" s="401"/>
      <c r="BW109" s="401"/>
      <c r="BX109" s="401"/>
      <c r="BY109" s="401"/>
      <c r="BZ109" s="401"/>
    </row>
    <row r="110" ht="15.75" customHeight="1">
      <c r="A110" s="401"/>
      <c r="B110" s="401"/>
      <c r="C110" s="401"/>
      <c r="D110" s="401"/>
      <c r="E110" s="401"/>
      <c r="F110" s="401"/>
      <c r="G110" s="401"/>
      <c r="H110" s="401"/>
      <c r="I110" s="381"/>
      <c r="J110" s="381"/>
      <c r="K110" s="381"/>
      <c r="L110" s="381"/>
      <c r="M110" s="381"/>
      <c r="N110" s="381"/>
      <c r="O110" s="381"/>
      <c r="P110" s="401"/>
      <c r="Q110" s="401"/>
      <c r="R110" s="401"/>
      <c r="S110" s="401"/>
      <c r="T110" s="401"/>
      <c r="U110" s="401"/>
      <c r="V110" s="401"/>
      <c r="W110" s="401"/>
      <c r="X110" s="401"/>
      <c r="Y110" s="401"/>
      <c r="Z110" s="401"/>
      <c r="AA110" s="401"/>
      <c r="AB110" s="401"/>
      <c r="AC110" s="401"/>
      <c r="AD110" s="401"/>
      <c r="AE110" s="401"/>
      <c r="AF110" s="401"/>
      <c r="AG110" s="401"/>
      <c r="AH110" s="401"/>
      <c r="AI110" s="401"/>
      <c r="AJ110" s="401"/>
      <c r="AK110" s="401"/>
      <c r="AL110" s="401"/>
      <c r="AM110" s="401"/>
      <c r="AN110" s="401"/>
      <c r="AO110" s="401"/>
      <c r="AP110" s="401"/>
      <c r="AQ110" s="401"/>
      <c r="AR110" s="401"/>
      <c r="AS110" s="401"/>
      <c r="AT110" s="401"/>
      <c r="AU110" s="401"/>
      <c r="AV110" s="401"/>
      <c r="AW110" s="401"/>
      <c r="AX110" s="401"/>
      <c r="AY110" s="401"/>
      <c r="AZ110" s="401"/>
      <c r="BA110" s="401"/>
      <c r="BB110" s="401"/>
      <c r="BC110" s="401"/>
      <c r="BD110" s="401"/>
      <c r="BE110" s="401"/>
      <c r="BF110" s="401"/>
      <c r="BG110" s="401"/>
      <c r="BH110" s="401"/>
      <c r="BI110" s="401"/>
      <c r="BJ110" s="401"/>
      <c r="BK110" s="401"/>
      <c r="BL110" s="401"/>
      <c r="BM110" s="401"/>
      <c r="BN110" s="401"/>
      <c r="BO110" s="401"/>
      <c r="BP110" s="401"/>
      <c r="BQ110" s="401"/>
      <c r="BR110" s="401"/>
      <c r="BS110" s="401"/>
      <c r="BT110" s="401"/>
      <c r="BU110" s="401"/>
      <c r="BV110" s="401"/>
      <c r="BW110" s="401"/>
      <c r="BX110" s="401"/>
      <c r="BY110" s="401"/>
      <c r="BZ110" s="401"/>
    </row>
    <row r="111" ht="15.75" customHeight="1">
      <c r="A111" s="401"/>
      <c r="B111" s="401"/>
      <c r="C111" s="401"/>
      <c r="D111" s="401"/>
      <c r="E111" s="401"/>
      <c r="F111" s="401"/>
      <c r="G111" s="401"/>
      <c r="H111" s="401"/>
      <c r="I111" s="381"/>
      <c r="J111" s="381"/>
      <c r="K111" s="381"/>
      <c r="L111" s="381"/>
      <c r="M111" s="381"/>
      <c r="N111" s="381"/>
      <c r="O111" s="381"/>
      <c r="P111" s="401"/>
      <c r="Q111" s="401"/>
      <c r="R111" s="401"/>
      <c r="S111" s="401"/>
      <c r="T111" s="401"/>
      <c r="U111" s="401"/>
      <c r="V111" s="401"/>
      <c r="W111" s="401"/>
      <c r="X111" s="401"/>
      <c r="Y111" s="401"/>
      <c r="Z111" s="401"/>
      <c r="AA111" s="401"/>
      <c r="AB111" s="401"/>
      <c r="AC111" s="401"/>
      <c r="AD111" s="401"/>
      <c r="AE111" s="401"/>
      <c r="AF111" s="401"/>
      <c r="AG111" s="401"/>
      <c r="AH111" s="401"/>
      <c r="AI111" s="401"/>
      <c r="AJ111" s="401"/>
      <c r="AK111" s="401"/>
      <c r="AL111" s="401"/>
      <c r="AM111" s="401"/>
      <c r="AN111" s="401"/>
      <c r="AO111" s="401"/>
      <c r="AP111" s="401"/>
      <c r="AQ111" s="401"/>
      <c r="AR111" s="401"/>
      <c r="AS111" s="401"/>
      <c r="AT111" s="401"/>
      <c r="AU111" s="401"/>
      <c r="AV111" s="401"/>
      <c r="AW111" s="401"/>
      <c r="AX111" s="401"/>
      <c r="AY111" s="401"/>
      <c r="AZ111" s="401"/>
      <c r="BA111" s="401"/>
      <c r="BB111" s="401"/>
      <c r="BC111" s="401"/>
      <c r="BD111" s="401"/>
      <c r="BE111" s="401"/>
      <c r="BF111" s="401"/>
      <c r="BG111" s="401"/>
      <c r="BH111" s="401"/>
      <c r="BI111" s="401"/>
      <c r="BJ111" s="401"/>
      <c r="BK111" s="401"/>
      <c r="BL111" s="401"/>
      <c r="BM111" s="401"/>
      <c r="BN111" s="401"/>
      <c r="BO111" s="401"/>
      <c r="BP111" s="401"/>
      <c r="BQ111" s="401"/>
      <c r="BR111" s="401"/>
      <c r="BS111" s="401"/>
      <c r="BT111" s="401"/>
      <c r="BU111" s="401"/>
      <c r="BV111" s="401"/>
      <c r="BW111" s="401"/>
      <c r="BX111" s="401"/>
      <c r="BY111" s="401"/>
      <c r="BZ111" s="401"/>
    </row>
    <row r="112" ht="15.75" customHeight="1">
      <c r="A112" s="401"/>
      <c r="B112" s="401"/>
      <c r="C112" s="401"/>
      <c r="D112" s="401"/>
      <c r="E112" s="401"/>
      <c r="F112" s="401"/>
      <c r="G112" s="401"/>
      <c r="H112" s="401"/>
      <c r="I112" s="381"/>
      <c r="J112" s="381"/>
      <c r="K112" s="381"/>
      <c r="L112" s="381"/>
      <c r="M112" s="381"/>
      <c r="N112" s="381"/>
      <c r="O112" s="381"/>
      <c r="P112" s="401"/>
      <c r="Q112" s="401"/>
      <c r="R112" s="401"/>
      <c r="S112" s="401"/>
      <c r="T112" s="401"/>
      <c r="U112" s="401"/>
      <c r="V112" s="401"/>
      <c r="W112" s="401"/>
      <c r="X112" s="401"/>
      <c r="Y112" s="401"/>
      <c r="Z112" s="401"/>
      <c r="AA112" s="401"/>
      <c r="AB112" s="401"/>
      <c r="AC112" s="401"/>
      <c r="AD112" s="401"/>
      <c r="AE112" s="401"/>
      <c r="AF112" s="401"/>
      <c r="AG112" s="401"/>
      <c r="AH112" s="401"/>
      <c r="AI112" s="401"/>
      <c r="AJ112" s="401"/>
      <c r="AK112" s="401"/>
      <c r="AL112" s="401"/>
      <c r="AM112" s="401"/>
      <c r="AN112" s="401"/>
      <c r="AO112" s="401"/>
      <c r="AP112" s="401"/>
      <c r="AQ112" s="401"/>
      <c r="AR112" s="401"/>
      <c r="AS112" s="401"/>
      <c r="AT112" s="401"/>
      <c r="AU112" s="401"/>
      <c r="AV112" s="401"/>
      <c r="AW112" s="401"/>
      <c r="AX112" s="401"/>
      <c r="AY112" s="401"/>
      <c r="AZ112" s="401"/>
      <c r="BA112" s="401"/>
      <c r="BB112" s="401"/>
      <c r="BC112" s="401"/>
      <c r="BD112" s="401"/>
      <c r="BE112" s="401"/>
      <c r="BF112" s="401"/>
      <c r="BG112" s="401"/>
      <c r="BH112" s="401"/>
      <c r="BI112" s="401"/>
      <c r="BJ112" s="401"/>
      <c r="BK112" s="401"/>
      <c r="BL112" s="401"/>
      <c r="BM112" s="401"/>
      <c r="BN112" s="401"/>
      <c r="BO112" s="401"/>
      <c r="BP112" s="401"/>
      <c r="BQ112" s="401"/>
      <c r="BR112" s="401"/>
      <c r="BS112" s="401"/>
      <c r="BT112" s="401"/>
      <c r="BU112" s="401"/>
      <c r="BV112" s="401"/>
      <c r="BW112" s="401"/>
      <c r="BX112" s="401"/>
      <c r="BY112" s="401"/>
      <c r="BZ112" s="401"/>
    </row>
    <row r="113" ht="15.75" customHeight="1">
      <c r="A113" s="401"/>
      <c r="B113" s="401"/>
      <c r="C113" s="401"/>
      <c r="D113" s="401"/>
      <c r="E113" s="401"/>
      <c r="F113" s="401"/>
      <c r="G113" s="401"/>
      <c r="H113" s="401"/>
      <c r="I113" s="381"/>
      <c r="J113" s="381"/>
      <c r="K113" s="381"/>
      <c r="L113" s="381"/>
      <c r="M113" s="381"/>
      <c r="N113" s="381"/>
      <c r="O113" s="381"/>
      <c r="P113" s="401"/>
      <c r="Q113" s="401"/>
      <c r="R113" s="401"/>
      <c r="S113" s="401"/>
      <c r="T113" s="401"/>
      <c r="U113" s="401"/>
      <c r="V113" s="401"/>
      <c r="W113" s="401"/>
      <c r="X113" s="401"/>
      <c r="Y113" s="401"/>
      <c r="Z113" s="401"/>
      <c r="AA113" s="401"/>
      <c r="AB113" s="401"/>
      <c r="AC113" s="401"/>
      <c r="AD113" s="401"/>
      <c r="AE113" s="401"/>
      <c r="AF113" s="401"/>
      <c r="AG113" s="401"/>
      <c r="AH113" s="401"/>
      <c r="AI113" s="401"/>
      <c r="AJ113" s="401"/>
      <c r="AK113" s="401"/>
      <c r="AL113" s="401"/>
      <c r="AM113" s="401"/>
      <c r="AN113" s="401"/>
      <c r="AO113" s="401"/>
      <c r="AP113" s="401"/>
      <c r="AQ113" s="401"/>
      <c r="AR113" s="401"/>
      <c r="AS113" s="401"/>
      <c r="AT113" s="401"/>
      <c r="AU113" s="401"/>
      <c r="AV113" s="401"/>
      <c r="AW113" s="401"/>
      <c r="AX113" s="401"/>
      <c r="AY113" s="401"/>
      <c r="AZ113" s="401"/>
      <c r="BA113" s="401"/>
      <c r="BB113" s="401"/>
      <c r="BC113" s="401"/>
      <c r="BD113" s="401"/>
      <c r="BE113" s="401"/>
      <c r="BF113" s="401"/>
      <c r="BG113" s="401"/>
      <c r="BH113" s="401"/>
      <c r="BI113" s="401"/>
      <c r="BJ113" s="401"/>
      <c r="BK113" s="401"/>
      <c r="BL113" s="401"/>
      <c r="BM113" s="401"/>
      <c r="BN113" s="401"/>
      <c r="BO113" s="401"/>
      <c r="BP113" s="401"/>
      <c r="BQ113" s="401"/>
      <c r="BR113" s="401"/>
      <c r="BS113" s="401"/>
      <c r="BT113" s="401"/>
      <c r="BU113" s="401"/>
      <c r="BV113" s="401"/>
      <c r="BW113" s="401"/>
      <c r="BX113" s="401"/>
      <c r="BY113" s="401"/>
      <c r="BZ113" s="401"/>
    </row>
    <row r="114" ht="15.75" customHeight="1">
      <c r="A114" s="401"/>
      <c r="B114" s="401"/>
      <c r="C114" s="401"/>
      <c r="D114" s="401"/>
      <c r="E114" s="401"/>
      <c r="F114" s="401"/>
      <c r="G114" s="401"/>
      <c r="H114" s="401"/>
      <c r="I114" s="381"/>
      <c r="J114" s="381"/>
      <c r="K114" s="381"/>
      <c r="L114" s="381"/>
      <c r="M114" s="381"/>
      <c r="N114" s="381"/>
      <c r="O114" s="381"/>
      <c r="P114" s="401"/>
      <c r="Q114" s="401"/>
      <c r="R114" s="401"/>
      <c r="S114" s="401"/>
      <c r="T114" s="401"/>
      <c r="U114" s="401"/>
      <c r="V114" s="401"/>
      <c r="W114" s="401"/>
      <c r="X114" s="401"/>
      <c r="Y114" s="401"/>
      <c r="Z114" s="401"/>
      <c r="AA114" s="401"/>
      <c r="AB114" s="401"/>
      <c r="AC114" s="401"/>
      <c r="AD114" s="401"/>
      <c r="AE114" s="401"/>
      <c r="AF114" s="401"/>
      <c r="AG114" s="401"/>
      <c r="AH114" s="401"/>
      <c r="AI114" s="401"/>
      <c r="AJ114" s="401"/>
      <c r="AK114" s="401"/>
      <c r="AL114" s="401"/>
      <c r="AM114" s="401"/>
      <c r="AN114" s="401"/>
      <c r="AO114" s="401"/>
      <c r="AP114" s="401"/>
      <c r="AQ114" s="401"/>
      <c r="AR114" s="401"/>
      <c r="AS114" s="401"/>
      <c r="AT114" s="401"/>
      <c r="AU114" s="401"/>
      <c r="AV114" s="401"/>
      <c r="AW114" s="401"/>
      <c r="AX114" s="401"/>
      <c r="AY114" s="401"/>
      <c r="AZ114" s="401"/>
      <c r="BA114" s="401"/>
      <c r="BB114" s="401"/>
      <c r="BC114" s="401"/>
      <c r="BD114" s="401"/>
      <c r="BE114" s="401"/>
      <c r="BF114" s="401"/>
      <c r="BG114" s="401"/>
      <c r="BH114" s="401"/>
      <c r="BI114" s="401"/>
      <c r="BJ114" s="401"/>
      <c r="BK114" s="401"/>
      <c r="BL114" s="401"/>
      <c r="BM114" s="401"/>
      <c r="BN114" s="401"/>
      <c r="BO114" s="401"/>
      <c r="BP114" s="401"/>
      <c r="BQ114" s="401"/>
      <c r="BR114" s="401"/>
      <c r="BS114" s="401"/>
      <c r="BT114" s="401"/>
      <c r="BU114" s="401"/>
      <c r="BV114" s="401"/>
      <c r="BW114" s="401"/>
      <c r="BX114" s="401"/>
      <c r="BY114" s="401"/>
      <c r="BZ114" s="401"/>
    </row>
    <row r="115" ht="15.75" customHeight="1">
      <c r="A115" s="401"/>
      <c r="B115" s="401"/>
      <c r="C115" s="401"/>
      <c r="D115" s="401"/>
      <c r="E115" s="401"/>
      <c r="F115" s="401"/>
      <c r="G115" s="401"/>
      <c r="H115" s="401"/>
      <c r="I115" s="381"/>
      <c r="J115" s="381"/>
      <c r="K115" s="381"/>
      <c r="L115" s="381"/>
      <c r="M115" s="381"/>
      <c r="N115" s="381"/>
      <c r="O115" s="381"/>
      <c r="P115" s="401"/>
      <c r="Q115" s="401"/>
      <c r="R115" s="401"/>
      <c r="S115" s="401"/>
      <c r="T115" s="401"/>
      <c r="U115" s="401"/>
      <c r="V115" s="401"/>
      <c r="W115" s="401"/>
      <c r="X115" s="401"/>
      <c r="Y115" s="401"/>
      <c r="Z115" s="401"/>
      <c r="AA115" s="401"/>
      <c r="AB115" s="401"/>
      <c r="AC115" s="401"/>
      <c r="AD115" s="401"/>
      <c r="AE115" s="401"/>
      <c r="AF115" s="401"/>
      <c r="AG115" s="401"/>
      <c r="AH115" s="401"/>
      <c r="AI115" s="401"/>
      <c r="AJ115" s="401"/>
      <c r="AK115" s="401"/>
      <c r="AL115" s="401"/>
      <c r="AM115" s="401"/>
      <c r="AN115" s="401"/>
      <c r="AO115" s="401"/>
      <c r="AP115" s="401"/>
      <c r="AQ115" s="401"/>
      <c r="AR115" s="401"/>
      <c r="AS115" s="401"/>
      <c r="AT115" s="401"/>
      <c r="AU115" s="401"/>
      <c r="AV115" s="401"/>
      <c r="AW115" s="401"/>
      <c r="AX115" s="401"/>
      <c r="AY115" s="401"/>
      <c r="AZ115" s="401"/>
      <c r="BA115" s="401"/>
      <c r="BB115" s="401"/>
      <c r="BC115" s="401"/>
      <c r="BD115" s="401"/>
      <c r="BE115" s="401"/>
      <c r="BF115" s="401"/>
      <c r="BG115" s="401"/>
      <c r="BH115" s="401"/>
      <c r="BI115" s="401"/>
      <c r="BJ115" s="401"/>
      <c r="BK115" s="401"/>
      <c r="BL115" s="401"/>
      <c r="BM115" s="401"/>
      <c r="BN115" s="401"/>
      <c r="BO115" s="401"/>
      <c r="BP115" s="401"/>
      <c r="BQ115" s="401"/>
      <c r="BR115" s="401"/>
      <c r="BS115" s="401"/>
      <c r="BT115" s="401"/>
      <c r="BU115" s="401"/>
      <c r="BV115" s="401"/>
      <c r="BW115" s="401"/>
      <c r="BX115" s="401"/>
      <c r="BY115" s="401"/>
      <c r="BZ115" s="401"/>
    </row>
    <row r="116" ht="15.75" customHeight="1">
      <c r="A116" s="401"/>
      <c r="B116" s="401"/>
      <c r="C116" s="401"/>
      <c r="D116" s="401"/>
      <c r="E116" s="401"/>
      <c r="F116" s="401"/>
      <c r="G116" s="401"/>
      <c r="H116" s="401"/>
      <c r="I116" s="381"/>
      <c r="J116" s="381"/>
      <c r="K116" s="381"/>
      <c r="L116" s="381"/>
      <c r="M116" s="381"/>
      <c r="N116" s="381"/>
      <c r="O116" s="381"/>
      <c r="P116" s="401"/>
      <c r="Q116" s="401"/>
      <c r="R116" s="401"/>
      <c r="S116" s="401"/>
      <c r="T116" s="401"/>
      <c r="U116" s="401"/>
      <c r="V116" s="401"/>
      <c r="W116" s="401"/>
      <c r="X116" s="401"/>
      <c r="Y116" s="401"/>
      <c r="Z116" s="401"/>
      <c r="AA116" s="401"/>
      <c r="AB116" s="401"/>
      <c r="AC116" s="401"/>
      <c r="AD116" s="401"/>
      <c r="AE116" s="401"/>
      <c r="AF116" s="401"/>
      <c r="AG116" s="401"/>
      <c r="AH116" s="401"/>
      <c r="AI116" s="401"/>
      <c r="AJ116" s="401"/>
      <c r="AK116" s="401"/>
      <c r="AL116" s="401"/>
      <c r="AM116" s="401"/>
      <c r="AN116" s="401"/>
      <c r="AO116" s="401"/>
      <c r="AP116" s="401"/>
      <c r="AQ116" s="401"/>
      <c r="AR116" s="401"/>
      <c r="AS116" s="401"/>
      <c r="AT116" s="401"/>
      <c r="AU116" s="401"/>
      <c r="AV116" s="401"/>
      <c r="AW116" s="401"/>
      <c r="AX116" s="401"/>
      <c r="AY116" s="401"/>
      <c r="AZ116" s="401"/>
      <c r="BA116" s="401"/>
      <c r="BB116" s="401"/>
      <c r="BC116" s="401"/>
      <c r="BD116" s="401"/>
      <c r="BE116" s="401"/>
      <c r="BF116" s="401"/>
      <c r="BG116" s="401"/>
      <c r="BH116" s="401"/>
      <c r="BI116" s="401"/>
      <c r="BJ116" s="401"/>
      <c r="BK116" s="401"/>
      <c r="BL116" s="401"/>
      <c r="BM116" s="401"/>
      <c r="BN116" s="401"/>
      <c r="BO116" s="401"/>
      <c r="BP116" s="401"/>
      <c r="BQ116" s="401"/>
      <c r="BR116" s="401"/>
      <c r="BS116" s="401"/>
      <c r="BT116" s="401"/>
      <c r="BU116" s="401"/>
      <c r="BV116" s="401"/>
      <c r="BW116" s="401"/>
      <c r="BX116" s="401"/>
      <c r="BY116" s="401"/>
      <c r="BZ116" s="401"/>
    </row>
    <row r="117" ht="15.75" customHeight="1">
      <c r="A117" s="401"/>
      <c r="B117" s="401"/>
      <c r="C117" s="401"/>
      <c r="D117" s="401"/>
      <c r="E117" s="401"/>
      <c r="F117" s="401"/>
      <c r="G117" s="401"/>
      <c r="H117" s="401"/>
      <c r="I117" s="381"/>
      <c r="J117" s="381"/>
      <c r="K117" s="381"/>
      <c r="L117" s="381"/>
      <c r="M117" s="381"/>
      <c r="N117" s="381"/>
      <c r="O117" s="381"/>
      <c r="P117" s="401"/>
      <c r="Q117" s="401"/>
      <c r="R117" s="401"/>
      <c r="S117" s="401"/>
      <c r="T117" s="401"/>
      <c r="U117" s="401"/>
      <c r="V117" s="401"/>
      <c r="W117" s="401"/>
      <c r="X117" s="401"/>
      <c r="Y117" s="401"/>
      <c r="Z117" s="401"/>
      <c r="AA117" s="401"/>
      <c r="AB117" s="401"/>
      <c r="AC117" s="401"/>
      <c r="AD117" s="401"/>
      <c r="AE117" s="401"/>
      <c r="AF117" s="401"/>
      <c r="AG117" s="401"/>
      <c r="AH117" s="401"/>
      <c r="AI117" s="401"/>
      <c r="AJ117" s="401"/>
      <c r="AK117" s="401"/>
      <c r="AL117" s="401"/>
      <c r="AM117" s="401"/>
      <c r="AN117" s="401"/>
      <c r="AO117" s="401"/>
      <c r="AP117" s="401"/>
      <c r="AQ117" s="401"/>
      <c r="AR117" s="401"/>
      <c r="AS117" s="401"/>
      <c r="AT117" s="401"/>
      <c r="AU117" s="401"/>
      <c r="AV117" s="401"/>
      <c r="AW117" s="401"/>
      <c r="AX117" s="401"/>
      <c r="AY117" s="401"/>
      <c r="AZ117" s="401"/>
      <c r="BA117" s="401"/>
      <c r="BB117" s="401"/>
      <c r="BC117" s="401"/>
      <c r="BD117" s="401"/>
      <c r="BE117" s="401"/>
      <c r="BF117" s="401"/>
      <c r="BG117" s="401"/>
      <c r="BH117" s="401"/>
      <c r="BI117" s="401"/>
      <c r="BJ117" s="401"/>
      <c r="BK117" s="401"/>
      <c r="BL117" s="401"/>
      <c r="BM117" s="401"/>
      <c r="BN117" s="401"/>
      <c r="BO117" s="401"/>
      <c r="BP117" s="401"/>
      <c r="BQ117" s="401"/>
      <c r="BR117" s="401"/>
      <c r="BS117" s="401"/>
      <c r="BT117" s="401"/>
      <c r="BU117" s="401"/>
      <c r="BV117" s="401"/>
      <c r="BW117" s="401"/>
      <c r="BX117" s="401"/>
      <c r="BY117" s="401"/>
      <c r="BZ117" s="401"/>
    </row>
    <row r="118" ht="15.75" customHeight="1">
      <c r="A118" s="401"/>
      <c r="B118" s="401"/>
      <c r="C118" s="401"/>
      <c r="D118" s="401"/>
      <c r="E118" s="401"/>
      <c r="F118" s="401"/>
      <c r="G118" s="401"/>
      <c r="H118" s="401"/>
      <c r="I118" s="381"/>
      <c r="J118" s="381"/>
      <c r="K118" s="381"/>
      <c r="L118" s="381"/>
      <c r="M118" s="381"/>
      <c r="N118" s="381"/>
      <c r="O118" s="381"/>
      <c r="P118" s="401"/>
      <c r="Q118" s="401"/>
      <c r="R118" s="401"/>
      <c r="S118" s="401"/>
      <c r="T118" s="401"/>
      <c r="U118" s="401"/>
      <c r="V118" s="401"/>
      <c r="W118" s="401"/>
      <c r="X118" s="401"/>
      <c r="Y118" s="401"/>
      <c r="Z118" s="401"/>
      <c r="AA118" s="401"/>
      <c r="AB118" s="401"/>
      <c r="AC118" s="401"/>
      <c r="AD118" s="401"/>
      <c r="AE118" s="401"/>
      <c r="AF118" s="401"/>
      <c r="AG118" s="401"/>
      <c r="AH118" s="401"/>
      <c r="AI118" s="401"/>
      <c r="AJ118" s="401"/>
      <c r="AK118" s="401"/>
      <c r="AL118" s="401"/>
      <c r="AM118" s="401"/>
      <c r="AN118" s="401"/>
      <c r="AO118" s="401"/>
      <c r="AP118" s="401"/>
      <c r="AQ118" s="401"/>
      <c r="AR118" s="401"/>
      <c r="AS118" s="401"/>
      <c r="AT118" s="401"/>
      <c r="AU118" s="401"/>
      <c r="AV118" s="401"/>
      <c r="AW118" s="401"/>
      <c r="AX118" s="401"/>
      <c r="AY118" s="401"/>
      <c r="AZ118" s="401"/>
      <c r="BA118" s="401"/>
      <c r="BB118" s="401"/>
      <c r="BC118" s="401"/>
      <c r="BD118" s="401"/>
      <c r="BE118" s="401"/>
      <c r="BF118" s="401"/>
      <c r="BG118" s="401"/>
      <c r="BH118" s="401"/>
      <c r="BI118" s="401"/>
      <c r="BJ118" s="401"/>
      <c r="BK118" s="401"/>
      <c r="BL118" s="401"/>
      <c r="BM118" s="401"/>
      <c r="BN118" s="401"/>
      <c r="BO118" s="401"/>
      <c r="BP118" s="401"/>
      <c r="BQ118" s="401"/>
      <c r="BR118" s="401"/>
      <c r="BS118" s="401"/>
      <c r="BT118" s="401"/>
      <c r="BU118" s="401"/>
      <c r="BV118" s="401"/>
      <c r="BW118" s="401"/>
      <c r="BX118" s="401"/>
      <c r="BY118" s="401"/>
      <c r="BZ118" s="401"/>
    </row>
    <row r="119" ht="15.75" customHeight="1">
      <c r="A119" s="401"/>
      <c r="B119" s="401"/>
      <c r="C119" s="401"/>
      <c r="D119" s="401"/>
      <c r="E119" s="401"/>
      <c r="F119" s="401"/>
      <c r="G119" s="401"/>
      <c r="H119" s="401"/>
      <c r="I119" s="381"/>
      <c r="J119" s="381"/>
      <c r="K119" s="381"/>
      <c r="L119" s="381"/>
      <c r="M119" s="381"/>
      <c r="N119" s="381"/>
      <c r="O119" s="381"/>
      <c r="P119" s="401"/>
      <c r="Q119" s="401"/>
      <c r="R119" s="401"/>
      <c r="S119" s="401"/>
      <c r="T119" s="401"/>
      <c r="U119" s="401"/>
      <c r="V119" s="401"/>
      <c r="W119" s="401"/>
      <c r="X119" s="401"/>
      <c r="Y119" s="401"/>
      <c r="Z119" s="401"/>
      <c r="AA119" s="401"/>
      <c r="AB119" s="401"/>
      <c r="AC119" s="401"/>
      <c r="AD119" s="401"/>
      <c r="AE119" s="401"/>
      <c r="AF119" s="401"/>
      <c r="AG119" s="401"/>
      <c r="AH119" s="401"/>
      <c r="AI119" s="401"/>
      <c r="AJ119" s="401"/>
      <c r="AK119" s="401"/>
      <c r="AL119" s="401"/>
      <c r="AM119" s="401"/>
      <c r="AN119" s="401"/>
      <c r="AO119" s="401"/>
      <c r="AP119" s="401"/>
      <c r="AQ119" s="401"/>
      <c r="AR119" s="401"/>
      <c r="AS119" s="401"/>
      <c r="AT119" s="401"/>
      <c r="AU119" s="401"/>
      <c r="AV119" s="401"/>
      <c r="AW119" s="401"/>
      <c r="AX119" s="401"/>
      <c r="AY119" s="401"/>
      <c r="AZ119" s="401"/>
      <c r="BA119" s="401"/>
      <c r="BB119" s="401"/>
      <c r="BC119" s="401"/>
      <c r="BD119" s="401"/>
      <c r="BE119" s="401"/>
      <c r="BF119" s="401"/>
      <c r="BG119" s="401"/>
      <c r="BH119" s="401"/>
      <c r="BI119" s="401"/>
      <c r="BJ119" s="401"/>
      <c r="BK119" s="401"/>
      <c r="BL119" s="401"/>
      <c r="BM119" s="401"/>
      <c r="BN119" s="401"/>
      <c r="BO119" s="401"/>
      <c r="BP119" s="401"/>
      <c r="BQ119" s="401"/>
      <c r="BR119" s="401"/>
      <c r="BS119" s="401"/>
      <c r="BT119" s="401"/>
      <c r="BU119" s="401"/>
      <c r="BV119" s="401"/>
      <c r="BW119" s="401"/>
      <c r="BX119" s="401"/>
      <c r="BY119" s="401"/>
      <c r="BZ119" s="401"/>
    </row>
    <row r="120" ht="15.75" customHeight="1">
      <c r="A120" s="401"/>
      <c r="B120" s="401"/>
      <c r="C120" s="401"/>
      <c r="D120" s="401"/>
      <c r="E120" s="401"/>
      <c r="F120" s="401"/>
      <c r="G120" s="401"/>
      <c r="H120" s="401"/>
      <c r="I120" s="381"/>
      <c r="J120" s="381"/>
      <c r="K120" s="381"/>
      <c r="L120" s="381"/>
      <c r="M120" s="381"/>
      <c r="N120" s="381"/>
      <c r="O120" s="381"/>
      <c r="P120" s="401"/>
      <c r="Q120" s="401"/>
      <c r="R120" s="401"/>
      <c r="S120" s="401"/>
      <c r="T120" s="401"/>
      <c r="U120" s="401"/>
      <c r="V120" s="401"/>
      <c r="W120" s="401"/>
      <c r="X120" s="401"/>
      <c r="Y120" s="401"/>
      <c r="Z120" s="401"/>
      <c r="AA120" s="401"/>
      <c r="AB120" s="401"/>
      <c r="AC120" s="401"/>
      <c r="AD120" s="401"/>
      <c r="AE120" s="401"/>
      <c r="AF120" s="401"/>
      <c r="AG120" s="401"/>
      <c r="AH120" s="401"/>
      <c r="AI120" s="401"/>
      <c r="AJ120" s="401"/>
      <c r="AK120" s="401"/>
      <c r="AL120" s="401"/>
      <c r="AM120" s="401"/>
      <c r="AN120" s="401"/>
      <c r="AO120" s="401"/>
      <c r="AP120" s="401"/>
      <c r="AQ120" s="401"/>
      <c r="AR120" s="401"/>
      <c r="AS120" s="401"/>
      <c r="AT120" s="401"/>
      <c r="AU120" s="401"/>
      <c r="AV120" s="401"/>
      <c r="AW120" s="401"/>
      <c r="AX120" s="401"/>
      <c r="AY120" s="401"/>
      <c r="AZ120" s="401"/>
      <c r="BA120" s="401"/>
      <c r="BB120" s="401"/>
      <c r="BC120" s="401"/>
      <c r="BD120" s="401"/>
      <c r="BE120" s="401"/>
      <c r="BF120" s="401"/>
      <c r="BG120" s="401"/>
      <c r="BH120" s="401"/>
      <c r="BI120" s="401"/>
      <c r="BJ120" s="401"/>
      <c r="BK120" s="401"/>
      <c r="BL120" s="401"/>
      <c r="BM120" s="401"/>
      <c r="BN120" s="401"/>
      <c r="BO120" s="401"/>
      <c r="BP120" s="401"/>
      <c r="BQ120" s="401"/>
      <c r="BR120" s="401"/>
      <c r="BS120" s="401"/>
      <c r="BT120" s="401"/>
      <c r="BU120" s="401"/>
      <c r="BV120" s="401"/>
      <c r="BW120" s="401"/>
      <c r="BX120" s="401"/>
      <c r="BY120" s="401"/>
      <c r="BZ120" s="401"/>
    </row>
    <row r="121" ht="15.75" customHeight="1">
      <c r="A121" s="401"/>
      <c r="B121" s="401"/>
      <c r="C121" s="401"/>
      <c r="D121" s="401"/>
      <c r="E121" s="401"/>
      <c r="F121" s="401"/>
      <c r="G121" s="401"/>
      <c r="H121" s="401"/>
      <c r="I121" s="381"/>
      <c r="J121" s="381"/>
      <c r="K121" s="381"/>
      <c r="L121" s="381"/>
      <c r="M121" s="381"/>
      <c r="N121" s="381"/>
      <c r="O121" s="381"/>
      <c r="P121" s="401"/>
      <c r="Q121" s="401"/>
      <c r="R121" s="401"/>
      <c r="S121" s="401"/>
      <c r="T121" s="401"/>
      <c r="U121" s="401"/>
      <c r="V121" s="401"/>
      <c r="W121" s="401"/>
      <c r="X121" s="401"/>
      <c r="Y121" s="401"/>
      <c r="Z121" s="401"/>
      <c r="AA121" s="401"/>
      <c r="AB121" s="401"/>
      <c r="AC121" s="401"/>
      <c r="AD121" s="401"/>
      <c r="AE121" s="401"/>
      <c r="AF121" s="401"/>
      <c r="AG121" s="401"/>
      <c r="AH121" s="401"/>
      <c r="AI121" s="401"/>
      <c r="AJ121" s="401"/>
      <c r="AK121" s="401"/>
      <c r="AL121" s="401"/>
      <c r="AM121" s="401"/>
      <c r="AN121" s="401"/>
      <c r="AO121" s="401"/>
      <c r="AP121" s="401"/>
      <c r="AQ121" s="401"/>
      <c r="AR121" s="401"/>
      <c r="AS121" s="401"/>
      <c r="AT121" s="401"/>
      <c r="AU121" s="401"/>
      <c r="AV121" s="401"/>
      <c r="AW121" s="401"/>
      <c r="AX121" s="401"/>
      <c r="AY121" s="401"/>
      <c r="AZ121" s="401"/>
      <c r="BA121" s="401"/>
      <c r="BB121" s="401"/>
      <c r="BC121" s="401"/>
      <c r="BD121" s="401"/>
      <c r="BE121" s="401"/>
      <c r="BF121" s="401"/>
      <c r="BG121" s="401"/>
      <c r="BH121" s="401"/>
      <c r="BI121" s="401"/>
      <c r="BJ121" s="401"/>
      <c r="BK121" s="401"/>
      <c r="BL121" s="401"/>
      <c r="BM121" s="401"/>
      <c r="BN121" s="401"/>
      <c r="BO121" s="401"/>
      <c r="BP121" s="401"/>
      <c r="BQ121" s="401"/>
      <c r="BR121" s="401"/>
      <c r="BS121" s="401"/>
      <c r="BT121" s="401"/>
      <c r="BU121" s="401"/>
      <c r="BV121" s="401"/>
      <c r="BW121" s="401"/>
      <c r="BX121" s="401"/>
      <c r="BY121" s="401"/>
      <c r="BZ121" s="401"/>
    </row>
    <row r="122" ht="15.75" customHeight="1">
      <c r="A122" s="401"/>
      <c r="B122" s="401"/>
      <c r="C122" s="401"/>
      <c r="D122" s="401"/>
      <c r="E122" s="401"/>
      <c r="F122" s="401"/>
      <c r="G122" s="401"/>
      <c r="H122" s="401"/>
      <c r="I122" s="381"/>
      <c r="J122" s="381"/>
      <c r="K122" s="381"/>
      <c r="L122" s="381"/>
      <c r="M122" s="381"/>
      <c r="N122" s="381"/>
      <c r="O122" s="381"/>
      <c r="P122" s="401"/>
      <c r="Q122" s="401"/>
      <c r="R122" s="401"/>
      <c r="S122" s="401"/>
      <c r="T122" s="401"/>
      <c r="U122" s="401"/>
      <c r="V122" s="401"/>
      <c r="W122" s="401"/>
      <c r="X122" s="401"/>
      <c r="Y122" s="401"/>
      <c r="Z122" s="401"/>
      <c r="AA122" s="401"/>
      <c r="AB122" s="401"/>
      <c r="AC122" s="401"/>
      <c r="AD122" s="401"/>
      <c r="AE122" s="401"/>
      <c r="AF122" s="401"/>
      <c r="AG122" s="401"/>
      <c r="AH122" s="401"/>
      <c r="AI122" s="401"/>
      <c r="AJ122" s="401"/>
      <c r="AK122" s="401"/>
      <c r="AL122" s="401"/>
      <c r="AM122" s="401"/>
      <c r="AN122" s="401"/>
      <c r="AO122" s="401"/>
      <c r="AP122" s="401"/>
      <c r="AQ122" s="401"/>
      <c r="AR122" s="401"/>
      <c r="AS122" s="401"/>
      <c r="AT122" s="401"/>
      <c r="AU122" s="401"/>
      <c r="AV122" s="401"/>
      <c r="AW122" s="401"/>
      <c r="AX122" s="401"/>
      <c r="AY122" s="401"/>
      <c r="AZ122" s="401"/>
      <c r="BA122" s="401"/>
      <c r="BB122" s="401"/>
      <c r="BC122" s="401"/>
      <c r="BD122" s="401"/>
      <c r="BE122" s="401"/>
      <c r="BF122" s="401"/>
      <c r="BG122" s="401"/>
      <c r="BH122" s="401"/>
      <c r="BI122" s="401"/>
      <c r="BJ122" s="401"/>
      <c r="BK122" s="401"/>
      <c r="BL122" s="401"/>
      <c r="BM122" s="401"/>
      <c r="BN122" s="401"/>
      <c r="BO122" s="401"/>
      <c r="BP122" s="401"/>
      <c r="BQ122" s="401"/>
      <c r="BR122" s="401"/>
      <c r="BS122" s="401"/>
      <c r="BT122" s="401"/>
      <c r="BU122" s="401"/>
      <c r="BV122" s="401"/>
      <c r="BW122" s="401"/>
      <c r="BX122" s="401"/>
      <c r="BY122" s="401"/>
      <c r="BZ122" s="401"/>
    </row>
    <row r="123" ht="15.75" customHeight="1">
      <c r="A123" s="401"/>
      <c r="B123" s="401"/>
      <c r="C123" s="401"/>
      <c r="D123" s="401"/>
      <c r="E123" s="401"/>
      <c r="F123" s="401"/>
      <c r="G123" s="401"/>
      <c r="H123" s="401"/>
      <c r="I123" s="381"/>
      <c r="J123" s="381"/>
      <c r="K123" s="381"/>
      <c r="L123" s="381"/>
      <c r="M123" s="381"/>
      <c r="N123" s="381"/>
      <c r="O123" s="381"/>
      <c r="P123" s="401"/>
      <c r="Q123" s="401"/>
      <c r="R123" s="401"/>
      <c r="S123" s="401"/>
      <c r="T123" s="401"/>
      <c r="U123" s="401"/>
      <c r="V123" s="401"/>
      <c r="W123" s="401"/>
      <c r="X123" s="401"/>
      <c r="Y123" s="401"/>
      <c r="Z123" s="401"/>
      <c r="AA123" s="401"/>
      <c r="AB123" s="401"/>
      <c r="AC123" s="401"/>
      <c r="AD123" s="401"/>
      <c r="AE123" s="401"/>
      <c r="AF123" s="401"/>
      <c r="AG123" s="401"/>
      <c r="AH123" s="401"/>
      <c r="AI123" s="401"/>
      <c r="AJ123" s="401"/>
      <c r="AK123" s="401"/>
      <c r="AL123" s="401"/>
      <c r="AM123" s="401"/>
      <c r="AN123" s="401"/>
      <c r="AO123" s="401"/>
      <c r="AP123" s="401"/>
      <c r="AQ123" s="401"/>
      <c r="AR123" s="401"/>
      <c r="AS123" s="401"/>
      <c r="AT123" s="401"/>
      <c r="AU123" s="401"/>
      <c r="AV123" s="401"/>
      <c r="AW123" s="401"/>
      <c r="AX123" s="401"/>
      <c r="AY123" s="401"/>
      <c r="AZ123" s="401"/>
      <c r="BA123" s="401"/>
      <c r="BB123" s="401"/>
      <c r="BC123" s="401"/>
      <c r="BD123" s="401"/>
      <c r="BE123" s="401"/>
      <c r="BF123" s="401"/>
      <c r="BG123" s="401"/>
      <c r="BH123" s="401"/>
      <c r="BI123" s="401"/>
      <c r="BJ123" s="401"/>
      <c r="BK123" s="401"/>
      <c r="BL123" s="401"/>
      <c r="BM123" s="401"/>
      <c r="BN123" s="401"/>
      <c r="BO123" s="401"/>
      <c r="BP123" s="401"/>
      <c r="BQ123" s="401"/>
      <c r="BR123" s="401"/>
      <c r="BS123" s="401"/>
      <c r="BT123" s="401"/>
      <c r="BU123" s="401"/>
      <c r="BV123" s="401"/>
      <c r="BW123" s="401"/>
      <c r="BX123" s="401"/>
      <c r="BY123" s="401"/>
      <c r="BZ123" s="401"/>
    </row>
    <row r="124" ht="15.75" customHeight="1">
      <c r="A124" s="401"/>
      <c r="B124" s="401"/>
      <c r="C124" s="401"/>
      <c r="D124" s="401"/>
      <c r="E124" s="401"/>
      <c r="F124" s="401"/>
      <c r="G124" s="401"/>
      <c r="H124" s="401"/>
      <c r="I124" s="381"/>
      <c r="J124" s="381"/>
      <c r="K124" s="381"/>
      <c r="L124" s="381"/>
      <c r="M124" s="381"/>
      <c r="N124" s="381"/>
      <c r="O124" s="381"/>
      <c r="P124" s="401"/>
      <c r="Q124" s="401"/>
      <c r="R124" s="401"/>
      <c r="S124" s="401"/>
      <c r="T124" s="401"/>
      <c r="U124" s="401"/>
      <c r="V124" s="401"/>
      <c r="W124" s="401"/>
      <c r="X124" s="401"/>
      <c r="Y124" s="401"/>
      <c r="Z124" s="401"/>
      <c r="AA124" s="401"/>
      <c r="AB124" s="401"/>
      <c r="AC124" s="401"/>
      <c r="AD124" s="401"/>
      <c r="AE124" s="401"/>
      <c r="AF124" s="401"/>
      <c r="AG124" s="401"/>
      <c r="AH124" s="401"/>
      <c r="AI124" s="401"/>
      <c r="AJ124" s="401"/>
      <c r="AK124" s="401"/>
      <c r="AL124" s="401"/>
      <c r="AM124" s="401"/>
      <c r="AN124" s="401"/>
      <c r="AO124" s="401"/>
      <c r="AP124" s="401"/>
      <c r="AQ124" s="401"/>
      <c r="AR124" s="401"/>
      <c r="AS124" s="401"/>
      <c r="AT124" s="401"/>
      <c r="AU124" s="401"/>
      <c r="AV124" s="401"/>
      <c r="AW124" s="401"/>
      <c r="AX124" s="401"/>
      <c r="AY124" s="401"/>
      <c r="AZ124" s="401"/>
      <c r="BA124" s="401"/>
      <c r="BB124" s="401"/>
      <c r="BC124" s="401"/>
      <c r="BD124" s="401"/>
      <c r="BE124" s="401"/>
      <c r="BF124" s="401"/>
      <c r="BG124" s="401"/>
      <c r="BH124" s="401"/>
      <c r="BI124" s="401"/>
      <c r="BJ124" s="401"/>
      <c r="BK124" s="401"/>
      <c r="BL124" s="401"/>
      <c r="BM124" s="401"/>
      <c r="BN124" s="401"/>
      <c r="BO124" s="401"/>
      <c r="BP124" s="401"/>
      <c r="BQ124" s="401"/>
      <c r="BR124" s="401"/>
      <c r="BS124" s="401"/>
      <c r="BT124" s="401"/>
      <c r="BU124" s="401"/>
      <c r="BV124" s="401"/>
      <c r="BW124" s="401"/>
      <c r="BX124" s="401"/>
      <c r="BY124" s="401"/>
      <c r="BZ124" s="401"/>
    </row>
    <row r="125" ht="15.75" customHeight="1">
      <c r="A125" s="401"/>
      <c r="B125" s="401"/>
      <c r="C125" s="401"/>
      <c r="D125" s="401"/>
      <c r="E125" s="401"/>
      <c r="F125" s="401"/>
      <c r="G125" s="401"/>
      <c r="H125" s="401"/>
      <c r="I125" s="381"/>
      <c r="J125" s="381"/>
      <c r="K125" s="381"/>
      <c r="L125" s="381"/>
      <c r="M125" s="381"/>
      <c r="N125" s="381"/>
      <c r="O125" s="381"/>
      <c r="P125" s="401"/>
      <c r="Q125" s="401"/>
      <c r="R125" s="401"/>
      <c r="S125" s="401"/>
      <c r="T125" s="401"/>
      <c r="U125" s="401"/>
      <c r="V125" s="401"/>
      <c r="W125" s="401"/>
      <c r="X125" s="401"/>
      <c r="Y125" s="401"/>
      <c r="Z125" s="401"/>
      <c r="AA125" s="401"/>
      <c r="AB125" s="401"/>
      <c r="AC125" s="401"/>
      <c r="AD125" s="401"/>
      <c r="AE125" s="401"/>
      <c r="AF125" s="401"/>
      <c r="AG125" s="401"/>
      <c r="AH125" s="401"/>
      <c r="AI125" s="401"/>
      <c r="AJ125" s="401"/>
      <c r="AK125" s="401"/>
      <c r="AL125" s="401"/>
      <c r="AM125" s="401"/>
      <c r="AN125" s="401"/>
      <c r="AO125" s="401"/>
      <c r="AP125" s="401"/>
      <c r="AQ125" s="401"/>
      <c r="AR125" s="401"/>
      <c r="AS125" s="401"/>
      <c r="AT125" s="401"/>
      <c r="AU125" s="401"/>
      <c r="AV125" s="401"/>
      <c r="AW125" s="401"/>
      <c r="AX125" s="401"/>
      <c r="AY125" s="401"/>
      <c r="AZ125" s="401"/>
      <c r="BA125" s="401"/>
      <c r="BB125" s="401"/>
      <c r="BC125" s="401"/>
      <c r="BD125" s="401"/>
      <c r="BE125" s="401"/>
      <c r="BF125" s="401"/>
      <c r="BG125" s="401"/>
      <c r="BH125" s="401"/>
      <c r="BI125" s="401"/>
      <c r="BJ125" s="401"/>
      <c r="BK125" s="401"/>
      <c r="BL125" s="401"/>
      <c r="BM125" s="401"/>
      <c r="BN125" s="401"/>
      <c r="BO125" s="401"/>
      <c r="BP125" s="401"/>
      <c r="BQ125" s="401"/>
      <c r="BR125" s="401"/>
      <c r="BS125" s="401"/>
      <c r="BT125" s="401"/>
      <c r="BU125" s="401"/>
      <c r="BV125" s="401"/>
      <c r="BW125" s="401"/>
      <c r="BX125" s="401"/>
      <c r="BY125" s="401"/>
      <c r="BZ125" s="401"/>
    </row>
    <row r="126" ht="15.75" customHeight="1">
      <c r="A126" s="401"/>
      <c r="B126" s="401"/>
      <c r="C126" s="401"/>
      <c r="D126" s="401"/>
      <c r="E126" s="401"/>
      <c r="F126" s="401"/>
      <c r="G126" s="401"/>
      <c r="H126" s="401"/>
      <c r="I126" s="381"/>
      <c r="J126" s="381"/>
      <c r="K126" s="381"/>
      <c r="L126" s="381"/>
      <c r="M126" s="381"/>
      <c r="N126" s="381"/>
      <c r="O126" s="381"/>
      <c r="P126" s="401"/>
      <c r="Q126" s="401"/>
      <c r="R126" s="401"/>
      <c r="S126" s="401"/>
      <c r="T126" s="401"/>
      <c r="U126" s="401"/>
      <c r="V126" s="401"/>
      <c r="W126" s="401"/>
      <c r="X126" s="401"/>
      <c r="Y126" s="401"/>
      <c r="Z126" s="401"/>
      <c r="AA126" s="401"/>
      <c r="AB126" s="401"/>
      <c r="AC126" s="401"/>
      <c r="AD126" s="401"/>
      <c r="AE126" s="401"/>
      <c r="AF126" s="401"/>
      <c r="AG126" s="401"/>
      <c r="AH126" s="401"/>
      <c r="AI126" s="401"/>
      <c r="AJ126" s="401"/>
      <c r="AK126" s="401"/>
      <c r="AL126" s="401"/>
      <c r="AM126" s="401"/>
      <c r="AN126" s="401"/>
      <c r="AO126" s="401"/>
      <c r="AP126" s="401"/>
      <c r="AQ126" s="401"/>
      <c r="AR126" s="401"/>
      <c r="AS126" s="401"/>
      <c r="AT126" s="401"/>
      <c r="AU126" s="401"/>
      <c r="AV126" s="401"/>
      <c r="AW126" s="401"/>
      <c r="AX126" s="401"/>
      <c r="AY126" s="401"/>
      <c r="AZ126" s="401"/>
      <c r="BA126" s="401"/>
      <c r="BB126" s="401"/>
      <c r="BC126" s="401"/>
      <c r="BD126" s="401"/>
      <c r="BE126" s="401"/>
      <c r="BF126" s="401"/>
      <c r="BG126" s="401"/>
      <c r="BH126" s="401"/>
      <c r="BI126" s="401"/>
      <c r="BJ126" s="401"/>
      <c r="BK126" s="401"/>
      <c r="BL126" s="401"/>
      <c r="BM126" s="401"/>
      <c r="BN126" s="401"/>
      <c r="BO126" s="401"/>
      <c r="BP126" s="401"/>
      <c r="BQ126" s="401"/>
      <c r="BR126" s="401"/>
      <c r="BS126" s="401"/>
      <c r="BT126" s="401"/>
      <c r="BU126" s="401"/>
      <c r="BV126" s="401"/>
      <c r="BW126" s="401"/>
      <c r="BX126" s="401"/>
      <c r="BY126" s="401"/>
      <c r="BZ126" s="401"/>
    </row>
    <row r="127" ht="15.75" customHeight="1">
      <c r="A127" s="401"/>
      <c r="B127" s="401"/>
      <c r="C127" s="401"/>
      <c r="D127" s="401"/>
      <c r="E127" s="401"/>
      <c r="F127" s="401"/>
      <c r="G127" s="401"/>
      <c r="H127" s="401"/>
      <c r="I127" s="381"/>
      <c r="J127" s="381"/>
      <c r="K127" s="381"/>
      <c r="L127" s="381"/>
      <c r="M127" s="381"/>
      <c r="N127" s="381"/>
      <c r="O127" s="381"/>
      <c r="P127" s="401"/>
      <c r="Q127" s="401"/>
      <c r="R127" s="401"/>
      <c r="S127" s="401"/>
      <c r="T127" s="401"/>
      <c r="U127" s="401"/>
      <c r="V127" s="401"/>
      <c r="W127" s="401"/>
      <c r="X127" s="401"/>
      <c r="Y127" s="401"/>
      <c r="Z127" s="401"/>
      <c r="AA127" s="401"/>
      <c r="AB127" s="401"/>
      <c r="AC127" s="401"/>
      <c r="AD127" s="401"/>
      <c r="AE127" s="401"/>
      <c r="AF127" s="401"/>
      <c r="AG127" s="401"/>
      <c r="AH127" s="401"/>
      <c r="AI127" s="401"/>
      <c r="AJ127" s="401"/>
      <c r="AK127" s="401"/>
      <c r="AL127" s="401"/>
      <c r="AM127" s="401"/>
      <c r="AN127" s="401"/>
      <c r="AO127" s="401"/>
      <c r="AP127" s="401"/>
      <c r="AQ127" s="401"/>
      <c r="AR127" s="401"/>
      <c r="AS127" s="401"/>
      <c r="AT127" s="401"/>
      <c r="AU127" s="401"/>
      <c r="AV127" s="401"/>
      <c r="AW127" s="401"/>
      <c r="AX127" s="401"/>
      <c r="AY127" s="401"/>
      <c r="AZ127" s="401"/>
      <c r="BA127" s="401"/>
      <c r="BB127" s="401"/>
      <c r="BC127" s="401"/>
      <c r="BD127" s="401"/>
      <c r="BE127" s="401"/>
      <c r="BF127" s="401"/>
      <c r="BG127" s="401"/>
      <c r="BH127" s="401"/>
      <c r="BI127" s="401"/>
      <c r="BJ127" s="401"/>
      <c r="BK127" s="401"/>
      <c r="BL127" s="401"/>
      <c r="BM127" s="401"/>
      <c r="BN127" s="401"/>
      <c r="BO127" s="401"/>
      <c r="BP127" s="401"/>
      <c r="BQ127" s="401"/>
      <c r="BR127" s="401"/>
      <c r="BS127" s="401"/>
      <c r="BT127" s="401"/>
      <c r="BU127" s="401"/>
      <c r="BV127" s="401"/>
      <c r="BW127" s="401"/>
      <c r="BX127" s="401"/>
      <c r="BY127" s="401"/>
      <c r="BZ127" s="401"/>
    </row>
    <row r="128" ht="15.75" customHeight="1">
      <c r="A128" s="401"/>
      <c r="B128" s="401"/>
      <c r="C128" s="401"/>
      <c r="D128" s="401"/>
      <c r="E128" s="401"/>
      <c r="F128" s="401"/>
      <c r="G128" s="401"/>
      <c r="H128" s="401"/>
      <c r="I128" s="381"/>
      <c r="J128" s="381"/>
      <c r="K128" s="381"/>
      <c r="L128" s="381"/>
      <c r="M128" s="381"/>
      <c r="N128" s="381"/>
      <c r="O128" s="381"/>
      <c r="P128" s="401"/>
      <c r="Q128" s="401"/>
      <c r="R128" s="401"/>
      <c r="S128" s="401"/>
      <c r="T128" s="401"/>
      <c r="U128" s="401"/>
      <c r="V128" s="401"/>
      <c r="W128" s="401"/>
      <c r="X128" s="401"/>
      <c r="Y128" s="401"/>
      <c r="Z128" s="401"/>
      <c r="AA128" s="401"/>
      <c r="AB128" s="401"/>
      <c r="AC128" s="401"/>
      <c r="AD128" s="401"/>
      <c r="AE128" s="401"/>
      <c r="AF128" s="401"/>
      <c r="AG128" s="401"/>
      <c r="AH128" s="401"/>
      <c r="AI128" s="401"/>
      <c r="AJ128" s="401"/>
      <c r="AK128" s="401"/>
      <c r="AL128" s="401"/>
      <c r="AM128" s="401"/>
      <c r="AN128" s="401"/>
      <c r="AO128" s="401"/>
      <c r="AP128" s="401"/>
      <c r="AQ128" s="401"/>
      <c r="AR128" s="401"/>
      <c r="AS128" s="401"/>
      <c r="AT128" s="401"/>
      <c r="AU128" s="401"/>
      <c r="AV128" s="401"/>
      <c r="AW128" s="401"/>
      <c r="AX128" s="401"/>
      <c r="AY128" s="401"/>
      <c r="AZ128" s="401"/>
      <c r="BA128" s="401"/>
      <c r="BB128" s="401"/>
      <c r="BC128" s="401"/>
      <c r="BD128" s="401"/>
      <c r="BE128" s="401"/>
      <c r="BF128" s="401"/>
      <c r="BG128" s="401"/>
      <c r="BH128" s="401"/>
      <c r="BI128" s="401"/>
      <c r="BJ128" s="401"/>
      <c r="BK128" s="401"/>
      <c r="BL128" s="401"/>
      <c r="BM128" s="401"/>
      <c r="BN128" s="401"/>
      <c r="BO128" s="401"/>
      <c r="BP128" s="401"/>
      <c r="BQ128" s="401"/>
      <c r="BR128" s="401"/>
      <c r="BS128" s="401"/>
      <c r="BT128" s="401"/>
      <c r="BU128" s="401"/>
      <c r="BV128" s="401"/>
      <c r="BW128" s="401"/>
      <c r="BX128" s="401"/>
      <c r="BY128" s="401"/>
      <c r="BZ128" s="401"/>
    </row>
    <row r="129" ht="15.75" customHeight="1">
      <c r="A129" s="401"/>
      <c r="B129" s="401"/>
      <c r="C129" s="401"/>
      <c r="D129" s="401"/>
      <c r="E129" s="401"/>
      <c r="F129" s="401"/>
      <c r="G129" s="401"/>
      <c r="H129" s="401"/>
      <c r="I129" s="381"/>
      <c r="J129" s="381"/>
      <c r="K129" s="381"/>
      <c r="L129" s="381"/>
      <c r="M129" s="381"/>
      <c r="N129" s="381"/>
      <c r="O129" s="381"/>
      <c r="P129" s="401"/>
      <c r="Q129" s="401"/>
      <c r="R129" s="401"/>
      <c r="S129" s="401"/>
      <c r="T129" s="401"/>
      <c r="U129" s="401"/>
      <c r="V129" s="401"/>
      <c r="W129" s="401"/>
      <c r="X129" s="401"/>
      <c r="Y129" s="401"/>
      <c r="Z129" s="401"/>
      <c r="AA129" s="401"/>
      <c r="AB129" s="401"/>
      <c r="AC129" s="401"/>
      <c r="AD129" s="401"/>
      <c r="AE129" s="401"/>
      <c r="AF129" s="401"/>
      <c r="AG129" s="401"/>
      <c r="AH129" s="401"/>
      <c r="AI129" s="401"/>
      <c r="AJ129" s="401"/>
      <c r="AK129" s="401"/>
      <c r="AL129" s="401"/>
      <c r="AM129" s="401"/>
      <c r="AN129" s="401"/>
      <c r="AO129" s="401"/>
      <c r="AP129" s="401"/>
      <c r="AQ129" s="401"/>
      <c r="AR129" s="401"/>
      <c r="AS129" s="401"/>
      <c r="AT129" s="401"/>
      <c r="AU129" s="401"/>
      <c r="AV129" s="401"/>
      <c r="AW129" s="401"/>
      <c r="AX129" s="401"/>
      <c r="AY129" s="401"/>
      <c r="AZ129" s="401"/>
      <c r="BA129" s="401"/>
      <c r="BB129" s="401"/>
      <c r="BC129" s="401"/>
      <c r="BD129" s="401"/>
      <c r="BE129" s="401"/>
      <c r="BF129" s="401"/>
      <c r="BG129" s="401"/>
      <c r="BH129" s="401"/>
      <c r="BI129" s="401"/>
      <c r="BJ129" s="401"/>
      <c r="BK129" s="401"/>
      <c r="BL129" s="401"/>
      <c r="BM129" s="401"/>
      <c r="BN129" s="401"/>
      <c r="BO129" s="401"/>
      <c r="BP129" s="401"/>
      <c r="BQ129" s="401"/>
      <c r="BR129" s="401"/>
      <c r="BS129" s="401"/>
      <c r="BT129" s="401"/>
      <c r="BU129" s="401"/>
      <c r="BV129" s="401"/>
      <c r="BW129" s="401"/>
      <c r="BX129" s="401"/>
      <c r="BY129" s="401"/>
      <c r="BZ129" s="401"/>
    </row>
    <row r="130" ht="15.75" customHeight="1">
      <c r="A130" s="401"/>
      <c r="B130" s="401"/>
      <c r="C130" s="401"/>
      <c r="D130" s="401"/>
      <c r="E130" s="401"/>
      <c r="F130" s="401"/>
      <c r="G130" s="401"/>
      <c r="H130" s="401"/>
      <c r="I130" s="381"/>
      <c r="J130" s="381"/>
      <c r="K130" s="381"/>
      <c r="L130" s="381"/>
      <c r="M130" s="381"/>
      <c r="N130" s="381"/>
      <c r="O130" s="381"/>
      <c r="P130" s="401"/>
      <c r="Q130" s="401"/>
      <c r="R130" s="401"/>
      <c r="S130" s="401"/>
      <c r="T130" s="401"/>
      <c r="U130" s="401"/>
      <c r="V130" s="401"/>
      <c r="W130" s="401"/>
      <c r="X130" s="401"/>
      <c r="Y130" s="401"/>
      <c r="Z130" s="401"/>
      <c r="AA130" s="401"/>
      <c r="AB130" s="401"/>
      <c r="AC130" s="401"/>
      <c r="AD130" s="401"/>
      <c r="AE130" s="401"/>
      <c r="AF130" s="401"/>
      <c r="AG130" s="401"/>
      <c r="AH130" s="401"/>
      <c r="AI130" s="401"/>
      <c r="AJ130" s="401"/>
      <c r="AK130" s="401"/>
      <c r="AL130" s="401"/>
      <c r="AM130" s="401"/>
      <c r="AN130" s="401"/>
      <c r="AO130" s="401"/>
      <c r="AP130" s="401"/>
      <c r="AQ130" s="401"/>
      <c r="AR130" s="401"/>
      <c r="AS130" s="401"/>
      <c r="AT130" s="401"/>
      <c r="AU130" s="401"/>
      <c r="AV130" s="401"/>
      <c r="AW130" s="401"/>
      <c r="AX130" s="401"/>
      <c r="AY130" s="401"/>
      <c r="AZ130" s="401"/>
      <c r="BA130" s="401"/>
      <c r="BB130" s="401"/>
      <c r="BC130" s="401"/>
      <c r="BD130" s="401"/>
      <c r="BE130" s="401"/>
      <c r="BF130" s="401"/>
      <c r="BG130" s="401"/>
      <c r="BH130" s="401"/>
      <c r="BI130" s="401"/>
      <c r="BJ130" s="401"/>
      <c r="BK130" s="401"/>
      <c r="BL130" s="401"/>
      <c r="BM130" s="401"/>
      <c r="BN130" s="401"/>
      <c r="BO130" s="401"/>
      <c r="BP130" s="401"/>
      <c r="BQ130" s="401"/>
      <c r="BR130" s="401"/>
      <c r="BS130" s="401"/>
      <c r="BT130" s="401"/>
      <c r="BU130" s="401"/>
      <c r="BV130" s="401"/>
      <c r="BW130" s="401"/>
      <c r="BX130" s="401"/>
      <c r="BY130" s="401"/>
      <c r="BZ130" s="401"/>
    </row>
    <row r="131" ht="15.75" customHeight="1">
      <c r="A131" s="401"/>
      <c r="B131" s="401"/>
      <c r="C131" s="401"/>
      <c r="D131" s="401"/>
      <c r="E131" s="401"/>
      <c r="F131" s="401"/>
      <c r="G131" s="401"/>
      <c r="H131" s="401"/>
      <c r="I131" s="381"/>
      <c r="J131" s="381"/>
      <c r="K131" s="381"/>
      <c r="L131" s="381"/>
      <c r="M131" s="381"/>
      <c r="N131" s="381"/>
      <c r="O131" s="381"/>
      <c r="P131" s="401"/>
      <c r="Q131" s="401"/>
      <c r="R131" s="401"/>
      <c r="S131" s="401"/>
      <c r="T131" s="401"/>
      <c r="U131" s="401"/>
      <c r="V131" s="401"/>
      <c r="W131" s="401"/>
      <c r="X131" s="401"/>
      <c r="Y131" s="401"/>
      <c r="Z131" s="401"/>
      <c r="AA131" s="401"/>
      <c r="AB131" s="401"/>
      <c r="AC131" s="401"/>
      <c r="AD131" s="401"/>
      <c r="AE131" s="401"/>
      <c r="AF131" s="401"/>
      <c r="AG131" s="401"/>
      <c r="AH131" s="401"/>
      <c r="AI131" s="401"/>
      <c r="AJ131" s="401"/>
      <c r="AK131" s="401"/>
      <c r="AL131" s="401"/>
      <c r="AM131" s="401"/>
      <c r="AN131" s="401"/>
      <c r="AO131" s="401"/>
      <c r="AP131" s="401"/>
      <c r="AQ131" s="401"/>
      <c r="AR131" s="401"/>
      <c r="AS131" s="401"/>
      <c r="AT131" s="401"/>
      <c r="AU131" s="401"/>
      <c r="AV131" s="401"/>
      <c r="AW131" s="401"/>
      <c r="AX131" s="401"/>
      <c r="AY131" s="401"/>
      <c r="AZ131" s="401"/>
      <c r="BA131" s="401"/>
      <c r="BB131" s="401"/>
      <c r="BC131" s="401"/>
      <c r="BD131" s="401"/>
      <c r="BE131" s="401"/>
      <c r="BF131" s="401"/>
      <c r="BG131" s="401"/>
      <c r="BH131" s="401"/>
      <c r="BI131" s="401"/>
      <c r="BJ131" s="401"/>
      <c r="BK131" s="401"/>
      <c r="BL131" s="401"/>
      <c r="BM131" s="401"/>
      <c r="BN131" s="401"/>
      <c r="BO131" s="401"/>
      <c r="BP131" s="401"/>
      <c r="BQ131" s="401"/>
      <c r="BR131" s="401"/>
      <c r="BS131" s="401"/>
      <c r="BT131" s="401"/>
      <c r="BU131" s="401"/>
      <c r="BV131" s="401"/>
      <c r="BW131" s="401"/>
      <c r="BX131" s="401"/>
      <c r="BY131" s="401"/>
      <c r="BZ131" s="401"/>
    </row>
    <row r="132" ht="15.75" customHeight="1">
      <c r="A132" s="401"/>
      <c r="B132" s="401"/>
      <c r="C132" s="401"/>
      <c r="D132" s="401"/>
      <c r="E132" s="401"/>
      <c r="F132" s="401"/>
      <c r="G132" s="401"/>
      <c r="H132" s="401"/>
      <c r="I132" s="381"/>
      <c r="J132" s="381"/>
      <c r="K132" s="381"/>
      <c r="L132" s="381"/>
      <c r="M132" s="381"/>
      <c r="N132" s="381"/>
      <c r="O132" s="381"/>
      <c r="P132" s="401"/>
      <c r="Q132" s="401"/>
      <c r="R132" s="401"/>
      <c r="S132" s="401"/>
      <c r="T132" s="401"/>
      <c r="U132" s="401"/>
      <c r="V132" s="401"/>
      <c r="W132" s="401"/>
      <c r="X132" s="401"/>
      <c r="Y132" s="401"/>
      <c r="Z132" s="401"/>
      <c r="AA132" s="401"/>
      <c r="AB132" s="401"/>
      <c r="AC132" s="401"/>
      <c r="AD132" s="401"/>
      <c r="AE132" s="401"/>
      <c r="AF132" s="401"/>
      <c r="AG132" s="401"/>
      <c r="AH132" s="401"/>
      <c r="AI132" s="401"/>
      <c r="AJ132" s="401"/>
      <c r="AK132" s="401"/>
      <c r="AL132" s="401"/>
      <c r="AM132" s="401"/>
      <c r="AN132" s="401"/>
      <c r="AO132" s="401"/>
      <c r="AP132" s="401"/>
      <c r="AQ132" s="401"/>
      <c r="AR132" s="401"/>
      <c r="AS132" s="401"/>
      <c r="AT132" s="401"/>
      <c r="AU132" s="401"/>
      <c r="AV132" s="401"/>
      <c r="AW132" s="401"/>
      <c r="AX132" s="401"/>
      <c r="AY132" s="401"/>
      <c r="AZ132" s="401"/>
      <c r="BA132" s="401"/>
      <c r="BB132" s="401"/>
      <c r="BC132" s="401"/>
      <c r="BD132" s="401"/>
      <c r="BE132" s="401"/>
      <c r="BF132" s="401"/>
      <c r="BG132" s="401"/>
      <c r="BH132" s="401"/>
      <c r="BI132" s="401"/>
      <c r="BJ132" s="401"/>
      <c r="BK132" s="401"/>
      <c r="BL132" s="401"/>
      <c r="BM132" s="401"/>
      <c r="BN132" s="401"/>
      <c r="BO132" s="401"/>
      <c r="BP132" s="401"/>
      <c r="BQ132" s="401"/>
      <c r="BR132" s="401"/>
      <c r="BS132" s="401"/>
      <c r="BT132" s="401"/>
      <c r="BU132" s="401"/>
      <c r="BV132" s="401"/>
      <c r="BW132" s="401"/>
      <c r="BX132" s="401"/>
      <c r="BY132" s="401"/>
      <c r="BZ132" s="401"/>
    </row>
    <row r="133" ht="15.75" customHeight="1">
      <c r="A133" s="401"/>
      <c r="B133" s="401"/>
      <c r="C133" s="401"/>
      <c r="D133" s="401"/>
      <c r="E133" s="401"/>
      <c r="F133" s="401"/>
      <c r="G133" s="401"/>
      <c r="H133" s="401"/>
      <c r="I133" s="381"/>
      <c r="J133" s="381"/>
      <c r="K133" s="381"/>
      <c r="L133" s="381"/>
      <c r="M133" s="381"/>
      <c r="N133" s="381"/>
      <c r="O133" s="381"/>
      <c r="P133" s="401"/>
      <c r="Q133" s="401"/>
      <c r="R133" s="401"/>
      <c r="S133" s="401"/>
      <c r="T133" s="401"/>
      <c r="U133" s="401"/>
      <c r="V133" s="401"/>
      <c r="W133" s="401"/>
      <c r="X133" s="401"/>
      <c r="Y133" s="401"/>
      <c r="Z133" s="401"/>
      <c r="AA133" s="401"/>
      <c r="AB133" s="401"/>
      <c r="AC133" s="401"/>
      <c r="AD133" s="401"/>
      <c r="AE133" s="401"/>
      <c r="AF133" s="401"/>
      <c r="AG133" s="401"/>
      <c r="AH133" s="401"/>
      <c r="AI133" s="401"/>
      <c r="AJ133" s="401"/>
      <c r="AK133" s="401"/>
      <c r="AL133" s="401"/>
      <c r="AM133" s="401"/>
      <c r="AN133" s="401"/>
      <c r="AO133" s="401"/>
      <c r="AP133" s="401"/>
      <c r="AQ133" s="401"/>
      <c r="AR133" s="401"/>
      <c r="AS133" s="401"/>
      <c r="AT133" s="401"/>
      <c r="AU133" s="401"/>
      <c r="AV133" s="401"/>
      <c r="AW133" s="401"/>
      <c r="AX133" s="401"/>
      <c r="AY133" s="401"/>
      <c r="AZ133" s="401"/>
      <c r="BA133" s="401"/>
      <c r="BB133" s="401"/>
      <c r="BC133" s="401"/>
      <c r="BD133" s="401"/>
      <c r="BE133" s="401"/>
      <c r="BF133" s="401"/>
      <c r="BG133" s="401"/>
      <c r="BH133" s="401"/>
      <c r="BI133" s="401"/>
      <c r="BJ133" s="401"/>
      <c r="BK133" s="401"/>
      <c r="BL133" s="401"/>
      <c r="BM133" s="401"/>
      <c r="BN133" s="401"/>
      <c r="BO133" s="401"/>
      <c r="BP133" s="401"/>
      <c r="BQ133" s="401"/>
      <c r="BR133" s="401"/>
      <c r="BS133" s="401"/>
      <c r="BT133" s="401"/>
      <c r="BU133" s="401"/>
      <c r="BV133" s="401"/>
      <c r="BW133" s="401"/>
      <c r="BX133" s="401"/>
      <c r="BY133" s="401"/>
      <c r="BZ133" s="401"/>
    </row>
    <row r="134" ht="15.75" customHeight="1">
      <c r="A134" s="401"/>
      <c r="B134" s="401"/>
      <c r="C134" s="401"/>
      <c r="D134" s="401"/>
      <c r="E134" s="401"/>
      <c r="F134" s="401"/>
      <c r="G134" s="401"/>
      <c r="H134" s="401"/>
      <c r="I134" s="381"/>
      <c r="J134" s="381"/>
      <c r="K134" s="381"/>
      <c r="L134" s="381"/>
      <c r="M134" s="381"/>
      <c r="N134" s="381"/>
      <c r="O134" s="381"/>
      <c r="P134" s="401"/>
      <c r="Q134" s="401"/>
      <c r="R134" s="401"/>
      <c r="S134" s="401"/>
      <c r="T134" s="401"/>
      <c r="U134" s="401"/>
      <c r="V134" s="401"/>
      <c r="W134" s="401"/>
      <c r="X134" s="401"/>
      <c r="Y134" s="401"/>
      <c r="Z134" s="401"/>
      <c r="AA134" s="401"/>
      <c r="AB134" s="401"/>
      <c r="AC134" s="401"/>
      <c r="AD134" s="401"/>
      <c r="AE134" s="401"/>
      <c r="AF134" s="401"/>
      <c r="AG134" s="401"/>
      <c r="AH134" s="401"/>
      <c r="AI134" s="401"/>
      <c r="AJ134" s="401"/>
      <c r="AK134" s="401"/>
      <c r="AL134" s="401"/>
      <c r="AM134" s="401"/>
      <c r="AN134" s="401"/>
      <c r="AO134" s="401"/>
      <c r="AP134" s="401"/>
      <c r="AQ134" s="401"/>
      <c r="AR134" s="401"/>
      <c r="AS134" s="401"/>
      <c r="AT134" s="401"/>
      <c r="AU134" s="401"/>
      <c r="AV134" s="401"/>
      <c r="AW134" s="401"/>
      <c r="AX134" s="401"/>
      <c r="AY134" s="401"/>
      <c r="AZ134" s="401"/>
      <c r="BA134" s="401"/>
      <c r="BB134" s="401"/>
      <c r="BC134" s="401"/>
      <c r="BD134" s="401"/>
      <c r="BE134" s="401"/>
      <c r="BF134" s="401"/>
      <c r="BG134" s="401"/>
      <c r="BH134" s="401"/>
      <c r="BI134" s="401"/>
      <c r="BJ134" s="401"/>
      <c r="BK134" s="401"/>
      <c r="BL134" s="401"/>
      <c r="BM134" s="401"/>
      <c r="BN134" s="401"/>
      <c r="BO134" s="401"/>
      <c r="BP134" s="401"/>
      <c r="BQ134" s="401"/>
      <c r="BR134" s="401"/>
      <c r="BS134" s="401"/>
      <c r="BT134" s="401"/>
      <c r="BU134" s="401"/>
      <c r="BV134" s="401"/>
      <c r="BW134" s="401"/>
      <c r="BX134" s="401"/>
      <c r="BY134" s="401"/>
      <c r="BZ134" s="401"/>
    </row>
    <row r="135" ht="15.75" customHeight="1">
      <c r="A135" s="401"/>
      <c r="B135" s="401"/>
      <c r="C135" s="401"/>
      <c r="D135" s="401"/>
      <c r="E135" s="401"/>
      <c r="F135" s="401"/>
      <c r="G135" s="401"/>
      <c r="H135" s="401"/>
      <c r="I135" s="381"/>
      <c r="J135" s="381"/>
      <c r="K135" s="381"/>
      <c r="L135" s="381"/>
      <c r="M135" s="381"/>
      <c r="N135" s="381"/>
      <c r="O135" s="381"/>
      <c r="P135" s="401"/>
      <c r="Q135" s="401"/>
      <c r="R135" s="401"/>
      <c r="S135" s="401"/>
      <c r="T135" s="401"/>
      <c r="U135" s="401"/>
      <c r="V135" s="401"/>
      <c r="W135" s="401"/>
      <c r="X135" s="401"/>
      <c r="Y135" s="401"/>
      <c r="Z135" s="401"/>
      <c r="AA135" s="401"/>
      <c r="AB135" s="401"/>
      <c r="AC135" s="401"/>
      <c r="AD135" s="401"/>
      <c r="AE135" s="401"/>
      <c r="AF135" s="401"/>
      <c r="AG135" s="401"/>
      <c r="AH135" s="401"/>
      <c r="AI135" s="401"/>
      <c r="AJ135" s="401"/>
      <c r="AK135" s="401"/>
      <c r="AL135" s="401"/>
      <c r="AM135" s="401"/>
      <c r="AN135" s="401"/>
      <c r="AO135" s="401"/>
      <c r="AP135" s="401"/>
      <c r="AQ135" s="401"/>
      <c r="AR135" s="401"/>
      <c r="AS135" s="401"/>
      <c r="AT135" s="401"/>
      <c r="AU135" s="401"/>
      <c r="AV135" s="401"/>
      <c r="AW135" s="401"/>
      <c r="AX135" s="401"/>
      <c r="AY135" s="401"/>
      <c r="AZ135" s="401"/>
      <c r="BA135" s="401"/>
      <c r="BB135" s="401"/>
      <c r="BC135" s="401"/>
      <c r="BD135" s="401"/>
      <c r="BE135" s="401"/>
      <c r="BF135" s="401"/>
      <c r="BG135" s="401"/>
      <c r="BH135" s="401"/>
      <c r="BI135" s="401"/>
      <c r="BJ135" s="401"/>
      <c r="BK135" s="401"/>
      <c r="BL135" s="401"/>
      <c r="BM135" s="401"/>
      <c r="BN135" s="401"/>
      <c r="BO135" s="401"/>
      <c r="BP135" s="401"/>
      <c r="BQ135" s="401"/>
      <c r="BR135" s="401"/>
      <c r="BS135" s="401"/>
      <c r="BT135" s="401"/>
      <c r="BU135" s="401"/>
      <c r="BV135" s="401"/>
      <c r="BW135" s="401"/>
      <c r="BX135" s="401"/>
      <c r="BY135" s="401"/>
      <c r="BZ135" s="401"/>
    </row>
    <row r="136" ht="15.75" customHeight="1">
      <c r="A136" s="401"/>
      <c r="B136" s="401"/>
      <c r="C136" s="401"/>
      <c r="D136" s="401"/>
      <c r="E136" s="401"/>
      <c r="F136" s="401"/>
      <c r="G136" s="401"/>
      <c r="H136" s="401"/>
      <c r="I136" s="381"/>
      <c r="J136" s="381"/>
      <c r="K136" s="381"/>
      <c r="L136" s="381"/>
      <c r="M136" s="381"/>
      <c r="N136" s="381"/>
      <c r="O136" s="381"/>
      <c r="P136" s="401"/>
      <c r="Q136" s="401"/>
      <c r="R136" s="401"/>
      <c r="S136" s="401"/>
      <c r="T136" s="401"/>
      <c r="U136" s="401"/>
      <c r="V136" s="401"/>
      <c r="W136" s="401"/>
      <c r="X136" s="401"/>
      <c r="Y136" s="401"/>
      <c r="Z136" s="401"/>
      <c r="AA136" s="401"/>
      <c r="AB136" s="401"/>
      <c r="AC136" s="401"/>
      <c r="AD136" s="401"/>
      <c r="AE136" s="401"/>
      <c r="AF136" s="401"/>
      <c r="AG136" s="401"/>
      <c r="AH136" s="401"/>
      <c r="AI136" s="401"/>
      <c r="AJ136" s="401"/>
      <c r="AK136" s="401"/>
      <c r="AL136" s="401"/>
      <c r="AM136" s="401"/>
      <c r="AN136" s="401"/>
      <c r="AO136" s="401"/>
      <c r="AP136" s="401"/>
      <c r="AQ136" s="401"/>
      <c r="AR136" s="401"/>
      <c r="AS136" s="401"/>
      <c r="AT136" s="401"/>
      <c r="AU136" s="401"/>
      <c r="AV136" s="401"/>
      <c r="AW136" s="401"/>
      <c r="AX136" s="401"/>
      <c r="AY136" s="401"/>
      <c r="AZ136" s="401"/>
      <c r="BA136" s="401"/>
      <c r="BB136" s="401"/>
      <c r="BC136" s="401"/>
      <c r="BD136" s="401"/>
      <c r="BE136" s="401"/>
      <c r="BF136" s="401"/>
      <c r="BG136" s="401"/>
      <c r="BH136" s="401"/>
      <c r="BI136" s="401"/>
      <c r="BJ136" s="401"/>
      <c r="BK136" s="401"/>
      <c r="BL136" s="401"/>
      <c r="BM136" s="401"/>
      <c r="BN136" s="401"/>
      <c r="BO136" s="401"/>
      <c r="BP136" s="401"/>
      <c r="BQ136" s="401"/>
      <c r="BR136" s="401"/>
      <c r="BS136" s="401"/>
      <c r="BT136" s="401"/>
      <c r="BU136" s="401"/>
      <c r="BV136" s="401"/>
      <c r="BW136" s="401"/>
      <c r="BX136" s="401"/>
      <c r="BY136" s="401"/>
      <c r="BZ136" s="401"/>
    </row>
    <row r="137" ht="15.75" customHeight="1">
      <c r="A137" s="401"/>
      <c r="B137" s="401"/>
      <c r="C137" s="401"/>
      <c r="D137" s="401"/>
      <c r="E137" s="401"/>
      <c r="F137" s="401"/>
      <c r="G137" s="401"/>
      <c r="H137" s="401"/>
      <c r="I137" s="381"/>
      <c r="J137" s="381"/>
      <c r="K137" s="381"/>
      <c r="L137" s="381"/>
      <c r="M137" s="381"/>
      <c r="N137" s="381"/>
      <c r="O137" s="381"/>
      <c r="P137" s="401"/>
      <c r="Q137" s="401"/>
      <c r="R137" s="401"/>
      <c r="S137" s="401"/>
      <c r="T137" s="401"/>
      <c r="U137" s="401"/>
      <c r="V137" s="401"/>
      <c r="W137" s="401"/>
      <c r="X137" s="401"/>
      <c r="Y137" s="401"/>
      <c r="Z137" s="401"/>
      <c r="AA137" s="401"/>
      <c r="AB137" s="401"/>
      <c r="AC137" s="401"/>
      <c r="AD137" s="401"/>
      <c r="AE137" s="401"/>
      <c r="AF137" s="401"/>
      <c r="AG137" s="401"/>
      <c r="AH137" s="401"/>
      <c r="AI137" s="401"/>
      <c r="AJ137" s="401"/>
      <c r="AK137" s="401"/>
      <c r="AL137" s="401"/>
      <c r="AM137" s="401"/>
      <c r="AN137" s="401"/>
      <c r="AO137" s="401"/>
      <c r="AP137" s="401"/>
      <c r="AQ137" s="401"/>
      <c r="AR137" s="401"/>
      <c r="AS137" s="401"/>
      <c r="AT137" s="401"/>
      <c r="AU137" s="401"/>
      <c r="AV137" s="401"/>
      <c r="AW137" s="401"/>
      <c r="AX137" s="401"/>
      <c r="AY137" s="401"/>
      <c r="AZ137" s="401"/>
      <c r="BA137" s="401"/>
      <c r="BB137" s="401"/>
      <c r="BC137" s="401"/>
      <c r="BD137" s="401"/>
      <c r="BE137" s="401"/>
      <c r="BF137" s="401"/>
      <c r="BG137" s="401"/>
      <c r="BH137" s="401"/>
      <c r="BI137" s="401"/>
      <c r="BJ137" s="401"/>
      <c r="BK137" s="401"/>
      <c r="BL137" s="401"/>
      <c r="BM137" s="401"/>
      <c r="BN137" s="401"/>
      <c r="BO137" s="401"/>
      <c r="BP137" s="401"/>
      <c r="BQ137" s="401"/>
      <c r="BR137" s="401"/>
      <c r="BS137" s="401"/>
      <c r="BT137" s="401"/>
      <c r="BU137" s="401"/>
      <c r="BV137" s="401"/>
      <c r="BW137" s="401"/>
      <c r="BX137" s="401"/>
      <c r="BY137" s="401"/>
      <c r="BZ137" s="401"/>
    </row>
    <row r="138" ht="15.75" customHeight="1">
      <c r="A138" s="401"/>
      <c r="B138" s="401"/>
      <c r="C138" s="401"/>
      <c r="D138" s="401"/>
      <c r="E138" s="401"/>
      <c r="F138" s="401"/>
      <c r="G138" s="401"/>
      <c r="H138" s="401"/>
      <c r="I138" s="381"/>
      <c r="J138" s="381"/>
      <c r="K138" s="381"/>
      <c r="L138" s="381"/>
      <c r="M138" s="381"/>
      <c r="N138" s="381"/>
      <c r="O138" s="381"/>
      <c r="P138" s="401"/>
      <c r="Q138" s="401"/>
      <c r="R138" s="401"/>
      <c r="S138" s="401"/>
      <c r="T138" s="401"/>
      <c r="U138" s="401"/>
      <c r="V138" s="401"/>
      <c r="W138" s="401"/>
      <c r="X138" s="401"/>
      <c r="Y138" s="401"/>
      <c r="Z138" s="401"/>
      <c r="AA138" s="401"/>
      <c r="AB138" s="401"/>
      <c r="AC138" s="401"/>
      <c r="AD138" s="401"/>
      <c r="AE138" s="401"/>
      <c r="AF138" s="401"/>
      <c r="AG138" s="401"/>
      <c r="AH138" s="401"/>
      <c r="AI138" s="401"/>
      <c r="AJ138" s="401"/>
      <c r="AK138" s="401"/>
      <c r="AL138" s="401"/>
      <c r="AM138" s="401"/>
      <c r="AN138" s="401"/>
      <c r="AO138" s="401"/>
      <c r="AP138" s="401"/>
      <c r="AQ138" s="401"/>
      <c r="AR138" s="401"/>
      <c r="AS138" s="401"/>
      <c r="AT138" s="401"/>
      <c r="AU138" s="401"/>
      <c r="AV138" s="401"/>
      <c r="AW138" s="401"/>
      <c r="AX138" s="401"/>
      <c r="AY138" s="401"/>
      <c r="AZ138" s="401"/>
      <c r="BA138" s="401"/>
      <c r="BB138" s="401"/>
      <c r="BC138" s="401"/>
      <c r="BD138" s="401"/>
      <c r="BE138" s="401"/>
      <c r="BF138" s="401"/>
      <c r="BG138" s="401"/>
      <c r="BH138" s="401"/>
      <c r="BI138" s="401"/>
      <c r="BJ138" s="401"/>
      <c r="BK138" s="401"/>
      <c r="BL138" s="401"/>
      <c r="BM138" s="401"/>
      <c r="BN138" s="401"/>
      <c r="BO138" s="401"/>
      <c r="BP138" s="401"/>
      <c r="BQ138" s="401"/>
      <c r="BR138" s="401"/>
      <c r="BS138" s="401"/>
      <c r="BT138" s="401"/>
      <c r="BU138" s="401"/>
      <c r="BV138" s="401"/>
      <c r="BW138" s="401"/>
      <c r="BX138" s="401"/>
      <c r="BY138" s="401"/>
      <c r="BZ138" s="401"/>
    </row>
    <row r="139" ht="15.75" customHeight="1">
      <c r="A139" s="401"/>
      <c r="B139" s="401"/>
      <c r="C139" s="401"/>
      <c r="D139" s="401"/>
      <c r="E139" s="401"/>
      <c r="F139" s="401"/>
      <c r="G139" s="401"/>
      <c r="H139" s="401"/>
      <c r="I139" s="381"/>
      <c r="J139" s="381"/>
      <c r="K139" s="381"/>
      <c r="L139" s="381"/>
      <c r="M139" s="381"/>
      <c r="N139" s="381"/>
      <c r="O139" s="381"/>
      <c r="P139" s="401"/>
      <c r="Q139" s="401"/>
      <c r="R139" s="401"/>
      <c r="S139" s="401"/>
      <c r="T139" s="401"/>
      <c r="U139" s="401"/>
      <c r="V139" s="401"/>
      <c r="W139" s="401"/>
      <c r="X139" s="401"/>
      <c r="Y139" s="401"/>
      <c r="Z139" s="401"/>
      <c r="AA139" s="401"/>
      <c r="AB139" s="401"/>
      <c r="AC139" s="401"/>
      <c r="AD139" s="401"/>
      <c r="AE139" s="401"/>
      <c r="AF139" s="401"/>
      <c r="AG139" s="401"/>
      <c r="AH139" s="401"/>
      <c r="AI139" s="401"/>
      <c r="AJ139" s="401"/>
      <c r="AK139" s="401"/>
      <c r="AL139" s="401"/>
      <c r="AM139" s="401"/>
      <c r="AN139" s="401"/>
      <c r="AO139" s="401"/>
      <c r="AP139" s="401"/>
      <c r="AQ139" s="401"/>
      <c r="AR139" s="401"/>
      <c r="AS139" s="401"/>
      <c r="AT139" s="401"/>
      <c r="AU139" s="401"/>
      <c r="AV139" s="401"/>
      <c r="AW139" s="401"/>
      <c r="AX139" s="401"/>
      <c r="AY139" s="401"/>
      <c r="AZ139" s="401"/>
      <c r="BA139" s="401"/>
      <c r="BB139" s="401"/>
      <c r="BC139" s="401"/>
      <c r="BD139" s="401"/>
      <c r="BE139" s="401"/>
      <c r="BF139" s="401"/>
      <c r="BG139" s="401"/>
      <c r="BH139" s="401"/>
      <c r="BI139" s="401"/>
      <c r="BJ139" s="401"/>
      <c r="BK139" s="401"/>
      <c r="BL139" s="401"/>
      <c r="BM139" s="401"/>
      <c r="BN139" s="401"/>
      <c r="BO139" s="401"/>
      <c r="BP139" s="401"/>
      <c r="BQ139" s="401"/>
      <c r="BR139" s="401"/>
      <c r="BS139" s="401"/>
      <c r="BT139" s="401"/>
      <c r="BU139" s="401"/>
      <c r="BV139" s="401"/>
      <c r="BW139" s="401"/>
      <c r="BX139" s="401"/>
      <c r="BY139" s="401"/>
      <c r="BZ139" s="401"/>
    </row>
    <row r="140" ht="15.75" customHeight="1">
      <c r="A140" s="401"/>
      <c r="B140" s="401"/>
      <c r="C140" s="401"/>
      <c r="D140" s="401"/>
      <c r="E140" s="401"/>
      <c r="F140" s="401"/>
      <c r="G140" s="401"/>
      <c r="H140" s="401"/>
      <c r="I140" s="381"/>
      <c r="J140" s="381"/>
      <c r="K140" s="381"/>
      <c r="L140" s="381"/>
      <c r="M140" s="381"/>
      <c r="N140" s="381"/>
      <c r="O140" s="381"/>
      <c r="P140" s="401"/>
      <c r="Q140" s="401"/>
      <c r="R140" s="401"/>
      <c r="S140" s="401"/>
      <c r="T140" s="401"/>
      <c r="U140" s="401"/>
      <c r="V140" s="401"/>
      <c r="W140" s="401"/>
      <c r="X140" s="401"/>
      <c r="Y140" s="401"/>
      <c r="Z140" s="401"/>
      <c r="AA140" s="401"/>
      <c r="AB140" s="401"/>
      <c r="AC140" s="401"/>
      <c r="AD140" s="401"/>
      <c r="AE140" s="401"/>
      <c r="AF140" s="401"/>
      <c r="AG140" s="401"/>
      <c r="AH140" s="401"/>
      <c r="AI140" s="401"/>
      <c r="AJ140" s="401"/>
      <c r="AK140" s="401"/>
      <c r="AL140" s="401"/>
      <c r="AM140" s="401"/>
      <c r="AN140" s="401"/>
      <c r="AO140" s="401"/>
      <c r="AP140" s="401"/>
      <c r="AQ140" s="401"/>
      <c r="AR140" s="401"/>
      <c r="AS140" s="401"/>
      <c r="AT140" s="401"/>
      <c r="AU140" s="401"/>
      <c r="AV140" s="401"/>
      <c r="AW140" s="401"/>
      <c r="AX140" s="401"/>
      <c r="AY140" s="401"/>
      <c r="AZ140" s="401"/>
      <c r="BA140" s="401"/>
      <c r="BB140" s="401"/>
      <c r="BC140" s="401"/>
      <c r="BD140" s="401"/>
      <c r="BE140" s="401"/>
      <c r="BF140" s="401"/>
      <c r="BG140" s="401"/>
      <c r="BH140" s="401"/>
      <c r="BI140" s="401"/>
      <c r="BJ140" s="401"/>
      <c r="BK140" s="401"/>
      <c r="BL140" s="401"/>
      <c r="BM140" s="401"/>
      <c r="BN140" s="401"/>
      <c r="BO140" s="401"/>
      <c r="BP140" s="401"/>
      <c r="BQ140" s="401"/>
      <c r="BR140" s="401"/>
      <c r="BS140" s="401"/>
      <c r="BT140" s="401"/>
      <c r="BU140" s="401"/>
      <c r="BV140" s="401"/>
      <c r="BW140" s="401"/>
      <c r="BX140" s="401"/>
      <c r="BY140" s="401"/>
      <c r="BZ140" s="401"/>
    </row>
    <row r="141" ht="15.75" customHeight="1">
      <c r="A141" s="401"/>
      <c r="B141" s="401"/>
      <c r="C141" s="401"/>
      <c r="D141" s="401"/>
      <c r="E141" s="401"/>
      <c r="F141" s="401"/>
      <c r="G141" s="401"/>
      <c r="H141" s="401"/>
      <c r="I141" s="381"/>
      <c r="J141" s="381"/>
      <c r="K141" s="381"/>
      <c r="L141" s="381"/>
      <c r="M141" s="381"/>
      <c r="N141" s="381"/>
      <c r="O141" s="381"/>
      <c r="P141" s="401"/>
      <c r="Q141" s="401"/>
      <c r="R141" s="401"/>
      <c r="S141" s="401"/>
      <c r="T141" s="401"/>
      <c r="U141" s="401"/>
      <c r="V141" s="401"/>
      <c r="W141" s="401"/>
      <c r="X141" s="401"/>
      <c r="Y141" s="401"/>
      <c r="Z141" s="401"/>
      <c r="AA141" s="401"/>
      <c r="AB141" s="401"/>
      <c r="AC141" s="401"/>
      <c r="AD141" s="401"/>
      <c r="AE141" s="401"/>
      <c r="AF141" s="401"/>
      <c r="AG141" s="401"/>
      <c r="AH141" s="401"/>
      <c r="AI141" s="401"/>
      <c r="AJ141" s="401"/>
      <c r="AK141" s="401"/>
      <c r="AL141" s="401"/>
      <c r="AM141" s="401"/>
      <c r="AN141" s="401"/>
      <c r="AO141" s="401"/>
      <c r="AP141" s="401"/>
      <c r="AQ141" s="401"/>
      <c r="AR141" s="401"/>
      <c r="AS141" s="401"/>
      <c r="AT141" s="401"/>
      <c r="AU141" s="401"/>
      <c r="AV141" s="401"/>
      <c r="AW141" s="401"/>
      <c r="AX141" s="401"/>
      <c r="AY141" s="401"/>
      <c r="AZ141" s="401"/>
      <c r="BA141" s="401"/>
      <c r="BB141" s="401"/>
      <c r="BC141" s="401"/>
      <c r="BD141" s="401"/>
      <c r="BE141" s="401"/>
      <c r="BF141" s="401"/>
      <c r="BG141" s="401"/>
      <c r="BH141" s="401"/>
      <c r="BI141" s="401"/>
      <c r="BJ141" s="401"/>
      <c r="BK141" s="401"/>
      <c r="BL141" s="401"/>
      <c r="BM141" s="401"/>
      <c r="BN141" s="401"/>
      <c r="BO141" s="401"/>
      <c r="BP141" s="401"/>
      <c r="BQ141" s="401"/>
      <c r="BR141" s="401"/>
      <c r="BS141" s="401"/>
      <c r="BT141" s="401"/>
      <c r="BU141" s="401"/>
      <c r="BV141" s="401"/>
      <c r="BW141" s="401"/>
      <c r="BX141" s="401"/>
      <c r="BY141" s="401"/>
      <c r="BZ141" s="401"/>
    </row>
    <row r="142" ht="15.75" customHeight="1">
      <c r="A142" s="401"/>
      <c r="B142" s="401"/>
      <c r="C142" s="401"/>
      <c r="D142" s="401"/>
      <c r="E142" s="401"/>
      <c r="F142" s="401"/>
      <c r="G142" s="401"/>
      <c r="H142" s="401"/>
      <c r="I142" s="381"/>
      <c r="J142" s="381"/>
      <c r="K142" s="381"/>
      <c r="L142" s="381"/>
      <c r="M142" s="381"/>
      <c r="N142" s="381"/>
      <c r="O142" s="381"/>
      <c r="P142" s="401"/>
      <c r="Q142" s="401"/>
      <c r="R142" s="401"/>
      <c r="S142" s="401"/>
      <c r="T142" s="401"/>
      <c r="U142" s="401"/>
      <c r="V142" s="401"/>
      <c r="W142" s="401"/>
      <c r="X142" s="401"/>
      <c r="Y142" s="401"/>
      <c r="Z142" s="401"/>
      <c r="AA142" s="401"/>
      <c r="AB142" s="401"/>
      <c r="AC142" s="401"/>
      <c r="AD142" s="401"/>
      <c r="AE142" s="401"/>
      <c r="AF142" s="401"/>
      <c r="AG142" s="401"/>
      <c r="AH142" s="401"/>
      <c r="AI142" s="401"/>
      <c r="AJ142" s="401"/>
      <c r="AK142" s="401"/>
      <c r="AL142" s="401"/>
      <c r="AM142" s="401"/>
      <c r="AN142" s="401"/>
      <c r="AO142" s="401"/>
      <c r="AP142" s="401"/>
      <c r="AQ142" s="401"/>
      <c r="AR142" s="401"/>
      <c r="AS142" s="401"/>
      <c r="AT142" s="401"/>
      <c r="AU142" s="401"/>
      <c r="AV142" s="401"/>
      <c r="AW142" s="401"/>
      <c r="AX142" s="401"/>
      <c r="AY142" s="401"/>
      <c r="AZ142" s="401"/>
      <c r="BA142" s="401"/>
      <c r="BB142" s="401"/>
      <c r="BC142" s="401"/>
      <c r="BD142" s="401"/>
      <c r="BE142" s="401"/>
      <c r="BF142" s="401"/>
      <c r="BG142" s="401"/>
      <c r="BH142" s="401"/>
      <c r="BI142" s="401"/>
      <c r="BJ142" s="401"/>
      <c r="BK142" s="401"/>
      <c r="BL142" s="401"/>
      <c r="BM142" s="401"/>
      <c r="BN142" s="401"/>
      <c r="BO142" s="401"/>
      <c r="BP142" s="401"/>
      <c r="BQ142" s="401"/>
      <c r="BR142" s="401"/>
      <c r="BS142" s="401"/>
      <c r="BT142" s="401"/>
      <c r="BU142" s="401"/>
      <c r="BV142" s="401"/>
      <c r="BW142" s="401"/>
      <c r="BX142" s="401"/>
      <c r="BY142" s="401"/>
      <c r="BZ142" s="401"/>
    </row>
    <row r="143" ht="15.75" customHeight="1">
      <c r="A143" s="401"/>
      <c r="B143" s="401"/>
      <c r="C143" s="401"/>
      <c r="D143" s="401"/>
      <c r="E143" s="401"/>
      <c r="F143" s="401"/>
      <c r="G143" s="401"/>
      <c r="H143" s="401"/>
      <c r="I143" s="381"/>
      <c r="J143" s="381"/>
      <c r="K143" s="381"/>
      <c r="L143" s="381"/>
      <c r="M143" s="381"/>
      <c r="N143" s="381"/>
      <c r="O143" s="381"/>
      <c r="P143" s="401"/>
      <c r="Q143" s="401"/>
      <c r="R143" s="401"/>
      <c r="S143" s="401"/>
      <c r="T143" s="401"/>
      <c r="U143" s="401"/>
      <c r="V143" s="401"/>
      <c r="W143" s="401"/>
      <c r="X143" s="401"/>
      <c r="Y143" s="401"/>
      <c r="Z143" s="401"/>
      <c r="AA143" s="401"/>
      <c r="AB143" s="401"/>
      <c r="AC143" s="401"/>
      <c r="AD143" s="401"/>
      <c r="AE143" s="401"/>
      <c r="AF143" s="401"/>
      <c r="AG143" s="401"/>
      <c r="AH143" s="401"/>
      <c r="AI143" s="401"/>
      <c r="AJ143" s="401"/>
      <c r="AK143" s="401"/>
      <c r="AL143" s="401"/>
      <c r="AM143" s="401"/>
      <c r="AN143" s="401"/>
      <c r="AO143" s="401"/>
      <c r="AP143" s="401"/>
      <c r="AQ143" s="401"/>
      <c r="AR143" s="401"/>
      <c r="AS143" s="401"/>
      <c r="AT143" s="401"/>
      <c r="AU143" s="401"/>
      <c r="AV143" s="401"/>
      <c r="AW143" s="401"/>
      <c r="AX143" s="401"/>
      <c r="AY143" s="401"/>
      <c r="AZ143" s="401"/>
      <c r="BA143" s="401"/>
      <c r="BB143" s="401"/>
      <c r="BC143" s="401"/>
      <c r="BD143" s="401"/>
      <c r="BE143" s="401"/>
      <c r="BF143" s="401"/>
      <c r="BG143" s="401"/>
      <c r="BH143" s="401"/>
      <c r="BI143" s="401"/>
      <c r="BJ143" s="401"/>
      <c r="BK143" s="401"/>
      <c r="BL143" s="401"/>
      <c r="BM143" s="401"/>
      <c r="BN143" s="401"/>
      <c r="BO143" s="401"/>
      <c r="BP143" s="401"/>
      <c r="BQ143" s="401"/>
      <c r="BR143" s="401"/>
      <c r="BS143" s="401"/>
      <c r="BT143" s="401"/>
      <c r="BU143" s="401"/>
      <c r="BV143" s="401"/>
      <c r="BW143" s="401"/>
      <c r="BX143" s="401"/>
      <c r="BY143" s="401"/>
      <c r="BZ143" s="401"/>
    </row>
    <row r="144" ht="15.75" customHeight="1">
      <c r="A144" s="401"/>
      <c r="B144" s="401"/>
      <c r="C144" s="401"/>
      <c r="D144" s="401"/>
      <c r="E144" s="401"/>
      <c r="F144" s="401"/>
      <c r="G144" s="401"/>
      <c r="H144" s="401"/>
      <c r="I144" s="381"/>
      <c r="J144" s="381"/>
      <c r="K144" s="381"/>
      <c r="L144" s="381"/>
      <c r="M144" s="381"/>
      <c r="N144" s="381"/>
      <c r="O144" s="381"/>
      <c r="P144" s="401"/>
      <c r="Q144" s="401"/>
      <c r="R144" s="401"/>
      <c r="S144" s="401"/>
      <c r="T144" s="401"/>
      <c r="U144" s="401"/>
      <c r="V144" s="401"/>
      <c r="W144" s="401"/>
      <c r="X144" s="401"/>
      <c r="Y144" s="401"/>
      <c r="Z144" s="401"/>
      <c r="AA144" s="401"/>
      <c r="AB144" s="401"/>
      <c r="AC144" s="401"/>
      <c r="AD144" s="401"/>
      <c r="AE144" s="401"/>
      <c r="AF144" s="401"/>
      <c r="AG144" s="401"/>
      <c r="AH144" s="401"/>
      <c r="AI144" s="401"/>
      <c r="AJ144" s="401"/>
      <c r="AK144" s="401"/>
      <c r="AL144" s="401"/>
      <c r="AM144" s="401"/>
      <c r="AN144" s="401"/>
      <c r="AO144" s="401"/>
      <c r="AP144" s="401"/>
      <c r="AQ144" s="401"/>
      <c r="AR144" s="401"/>
      <c r="AS144" s="401"/>
      <c r="AT144" s="401"/>
      <c r="AU144" s="401"/>
      <c r="AV144" s="401"/>
      <c r="AW144" s="401"/>
      <c r="AX144" s="401"/>
      <c r="AY144" s="401"/>
      <c r="AZ144" s="401"/>
      <c r="BA144" s="401"/>
      <c r="BB144" s="401"/>
      <c r="BC144" s="401"/>
      <c r="BD144" s="401"/>
      <c r="BE144" s="401"/>
      <c r="BF144" s="401"/>
      <c r="BG144" s="401"/>
      <c r="BH144" s="401"/>
      <c r="BI144" s="401"/>
      <c r="BJ144" s="401"/>
      <c r="BK144" s="401"/>
      <c r="BL144" s="401"/>
      <c r="BM144" s="401"/>
      <c r="BN144" s="401"/>
      <c r="BO144" s="401"/>
      <c r="BP144" s="401"/>
      <c r="BQ144" s="401"/>
      <c r="BR144" s="401"/>
      <c r="BS144" s="401"/>
      <c r="BT144" s="401"/>
      <c r="BU144" s="401"/>
      <c r="BV144" s="401"/>
      <c r="BW144" s="401"/>
      <c r="BX144" s="401"/>
      <c r="BY144" s="401"/>
      <c r="BZ144" s="401"/>
    </row>
    <row r="145" ht="15.75" customHeight="1">
      <c r="A145" s="401"/>
      <c r="B145" s="401"/>
      <c r="C145" s="401"/>
      <c r="D145" s="401"/>
      <c r="E145" s="401"/>
      <c r="F145" s="401"/>
      <c r="G145" s="401"/>
      <c r="H145" s="401"/>
      <c r="I145" s="381"/>
      <c r="J145" s="381"/>
      <c r="K145" s="381"/>
      <c r="L145" s="381"/>
      <c r="M145" s="381"/>
      <c r="N145" s="381"/>
      <c r="O145" s="381"/>
      <c r="P145" s="401"/>
      <c r="Q145" s="401"/>
      <c r="R145" s="401"/>
      <c r="S145" s="401"/>
      <c r="T145" s="401"/>
      <c r="U145" s="401"/>
      <c r="V145" s="401"/>
      <c r="W145" s="401"/>
      <c r="X145" s="401"/>
      <c r="Y145" s="401"/>
      <c r="Z145" s="401"/>
      <c r="AA145" s="401"/>
      <c r="AB145" s="401"/>
      <c r="AC145" s="401"/>
      <c r="AD145" s="401"/>
      <c r="AE145" s="401"/>
      <c r="AF145" s="401"/>
      <c r="AG145" s="401"/>
      <c r="AH145" s="401"/>
      <c r="AI145" s="401"/>
      <c r="AJ145" s="401"/>
      <c r="AK145" s="401"/>
      <c r="AL145" s="401"/>
      <c r="AM145" s="401"/>
      <c r="AN145" s="401"/>
      <c r="AO145" s="401"/>
      <c r="AP145" s="401"/>
      <c r="AQ145" s="401"/>
      <c r="AR145" s="401"/>
      <c r="AS145" s="401"/>
      <c r="AT145" s="401"/>
      <c r="AU145" s="401"/>
      <c r="AV145" s="401"/>
      <c r="AW145" s="401"/>
      <c r="AX145" s="401"/>
      <c r="AY145" s="401"/>
      <c r="AZ145" s="401"/>
      <c r="BA145" s="401"/>
      <c r="BB145" s="401"/>
      <c r="BC145" s="401"/>
      <c r="BD145" s="401"/>
      <c r="BE145" s="401"/>
      <c r="BF145" s="401"/>
      <c r="BG145" s="401"/>
      <c r="BH145" s="401"/>
      <c r="BI145" s="401"/>
      <c r="BJ145" s="401"/>
      <c r="BK145" s="401"/>
      <c r="BL145" s="401"/>
      <c r="BM145" s="401"/>
      <c r="BN145" s="401"/>
      <c r="BO145" s="401"/>
      <c r="BP145" s="401"/>
      <c r="BQ145" s="401"/>
      <c r="BR145" s="401"/>
      <c r="BS145" s="401"/>
      <c r="BT145" s="401"/>
      <c r="BU145" s="401"/>
      <c r="BV145" s="401"/>
      <c r="BW145" s="401"/>
      <c r="BX145" s="401"/>
      <c r="BY145" s="401"/>
      <c r="BZ145" s="401"/>
    </row>
    <row r="146" ht="15.75" customHeight="1">
      <c r="A146" s="401"/>
      <c r="B146" s="401"/>
      <c r="C146" s="401"/>
      <c r="D146" s="401"/>
      <c r="E146" s="401"/>
      <c r="F146" s="401"/>
      <c r="G146" s="401"/>
      <c r="H146" s="401"/>
      <c r="I146" s="381"/>
      <c r="J146" s="381"/>
      <c r="K146" s="381"/>
      <c r="L146" s="381"/>
      <c r="M146" s="381"/>
      <c r="N146" s="381"/>
      <c r="O146" s="381"/>
      <c r="P146" s="401"/>
      <c r="Q146" s="401"/>
      <c r="R146" s="401"/>
      <c r="S146" s="401"/>
      <c r="T146" s="401"/>
      <c r="U146" s="401"/>
      <c r="V146" s="401"/>
      <c r="W146" s="401"/>
      <c r="X146" s="401"/>
      <c r="Y146" s="401"/>
      <c r="Z146" s="401"/>
      <c r="AA146" s="401"/>
      <c r="AB146" s="401"/>
      <c r="AC146" s="401"/>
      <c r="AD146" s="401"/>
      <c r="AE146" s="401"/>
      <c r="AF146" s="401"/>
      <c r="AG146" s="401"/>
      <c r="AH146" s="401"/>
      <c r="AI146" s="401"/>
      <c r="AJ146" s="401"/>
      <c r="AK146" s="401"/>
      <c r="AL146" s="401"/>
      <c r="AM146" s="401"/>
      <c r="AN146" s="401"/>
      <c r="AO146" s="401"/>
      <c r="AP146" s="401"/>
      <c r="AQ146" s="401"/>
      <c r="AR146" s="401"/>
      <c r="AS146" s="401"/>
      <c r="AT146" s="401"/>
      <c r="AU146" s="401"/>
      <c r="AV146" s="401"/>
      <c r="AW146" s="401"/>
      <c r="AX146" s="401"/>
      <c r="AY146" s="401"/>
      <c r="AZ146" s="401"/>
      <c r="BA146" s="401"/>
      <c r="BB146" s="401"/>
      <c r="BC146" s="401"/>
      <c r="BD146" s="401"/>
      <c r="BE146" s="401"/>
      <c r="BF146" s="401"/>
      <c r="BG146" s="401"/>
      <c r="BH146" s="401"/>
      <c r="BI146" s="401"/>
      <c r="BJ146" s="401"/>
      <c r="BK146" s="401"/>
      <c r="BL146" s="401"/>
      <c r="BM146" s="401"/>
      <c r="BN146" s="401"/>
      <c r="BO146" s="401"/>
      <c r="BP146" s="401"/>
      <c r="BQ146" s="401"/>
      <c r="BR146" s="401"/>
      <c r="BS146" s="401"/>
      <c r="BT146" s="401"/>
      <c r="BU146" s="401"/>
      <c r="BV146" s="401"/>
      <c r="BW146" s="401"/>
      <c r="BX146" s="401"/>
      <c r="BY146" s="401"/>
      <c r="BZ146" s="401"/>
    </row>
    <row r="147" ht="15.75" customHeight="1">
      <c r="A147" s="401"/>
      <c r="B147" s="401"/>
      <c r="C147" s="401"/>
      <c r="D147" s="401"/>
      <c r="E147" s="401"/>
      <c r="F147" s="401"/>
      <c r="G147" s="401"/>
      <c r="H147" s="401"/>
      <c r="I147" s="381"/>
      <c r="J147" s="381"/>
      <c r="K147" s="381"/>
      <c r="L147" s="381"/>
      <c r="M147" s="381"/>
      <c r="N147" s="381"/>
      <c r="O147" s="381"/>
      <c r="P147" s="401"/>
      <c r="Q147" s="401"/>
      <c r="R147" s="401"/>
      <c r="S147" s="401"/>
      <c r="T147" s="401"/>
      <c r="U147" s="401"/>
      <c r="V147" s="401"/>
      <c r="W147" s="401"/>
      <c r="X147" s="401"/>
      <c r="Y147" s="401"/>
      <c r="Z147" s="401"/>
      <c r="AA147" s="401"/>
      <c r="AB147" s="401"/>
      <c r="AC147" s="401"/>
      <c r="AD147" s="401"/>
      <c r="AE147" s="401"/>
      <c r="AF147" s="401"/>
      <c r="AG147" s="401"/>
      <c r="AH147" s="401"/>
      <c r="AI147" s="401"/>
      <c r="AJ147" s="401"/>
      <c r="AK147" s="401"/>
      <c r="AL147" s="401"/>
      <c r="AM147" s="401"/>
      <c r="AN147" s="401"/>
      <c r="AO147" s="401"/>
      <c r="AP147" s="401"/>
      <c r="AQ147" s="401"/>
      <c r="AR147" s="401"/>
      <c r="AS147" s="401"/>
      <c r="AT147" s="401"/>
      <c r="AU147" s="401"/>
      <c r="AV147" s="401"/>
      <c r="AW147" s="401"/>
      <c r="AX147" s="401"/>
      <c r="AY147" s="401"/>
      <c r="AZ147" s="401"/>
      <c r="BA147" s="401"/>
      <c r="BB147" s="401"/>
      <c r="BC147" s="401"/>
      <c r="BD147" s="401"/>
      <c r="BE147" s="401"/>
      <c r="BF147" s="401"/>
      <c r="BG147" s="401"/>
      <c r="BH147" s="401"/>
      <c r="BI147" s="401"/>
      <c r="BJ147" s="401"/>
      <c r="BK147" s="401"/>
      <c r="BL147" s="401"/>
      <c r="BM147" s="401"/>
      <c r="BN147" s="401"/>
      <c r="BO147" s="401"/>
      <c r="BP147" s="401"/>
      <c r="BQ147" s="401"/>
      <c r="BR147" s="401"/>
      <c r="BS147" s="401"/>
      <c r="BT147" s="401"/>
      <c r="BU147" s="401"/>
      <c r="BV147" s="401"/>
      <c r="BW147" s="401"/>
      <c r="BX147" s="401"/>
      <c r="BY147" s="401"/>
      <c r="BZ147" s="401"/>
    </row>
    <row r="148" ht="15.75" customHeight="1">
      <c r="A148" s="401"/>
      <c r="B148" s="401"/>
      <c r="C148" s="401"/>
      <c r="D148" s="401"/>
      <c r="E148" s="401"/>
      <c r="F148" s="401"/>
      <c r="G148" s="401"/>
      <c r="H148" s="401"/>
      <c r="I148" s="381"/>
      <c r="J148" s="381"/>
      <c r="K148" s="381"/>
      <c r="L148" s="381"/>
      <c r="M148" s="381"/>
      <c r="N148" s="381"/>
      <c r="O148" s="381"/>
      <c r="P148" s="401"/>
      <c r="Q148" s="401"/>
      <c r="R148" s="401"/>
      <c r="S148" s="401"/>
      <c r="T148" s="401"/>
      <c r="U148" s="401"/>
      <c r="V148" s="401"/>
      <c r="W148" s="401"/>
      <c r="X148" s="401"/>
      <c r="Y148" s="401"/>
      <c r="Z148" s="401"/>
      <c r="AA148" s="401"/>
      <c r="AB148" s="401"/>
      <c r="AC148" s="401"/>
      <c r="AD148" s="401"/>
      <c r="AE148" s="401"/>
      <c r="AF148" s="401"/>
      <c r="AG148" s="401"/>
      <c r="AH148" s="401"/>
      <c r="AI148" s="401"/>
      <c r="AJ148" s="401"/>
      <c r="AK148" s="401"/>
      <c r="AL148" s="401"/>
      <c r="AM148" s="401"/>
      <c r="AN148" s="401"/>
      <c r="AO148" s="401"/>
      <c r="AP148" s="401"/>
      <c r="AQ148" s="401"/>
      <c r="AR148" s="401"/>
      <c r="AS148" s="401"/>
      <c r="AT148" s="401"/>
      <c r="AU148" s="401"/>
      <c r="AV148" s="401"/>
      <c r="AW148" s="401"/>
      <c r="AX148" s="401"/>
      <c r="AY148" s="401"/>
      <c r="AZ148" s="401"/>
      <c r="BA148" s="401"/>
      <c r="BB148" s="401"/>
      <c r="BC148" s="401"/>
      <c r="BD148" s="401"/>
      <c r="BE148" s="401"/>
      <c r="BF148" s="401"/>
      <c r="BG148" s="401"/>
      <c r="BH148" s="401"/>
      <c r="BI148" s="401"/>
      <c r="BJ148" s="401"/>
      <c r="BK148" s="401"/>
      <c r="BL148" s="401"/>
      <c r="BM148" s="401"/>
      <c r="BN148" s="401"/>
      <c r="BO148" s="401"/>
      <c r="BP148" s="401"/>
      <c r="BQ148" s="401"/>
      <c r="BR148" s="401"/>
      <c r="BS148" s="401"/>
      <c r="BT148" s="401"/>
      <c r="BU148" s="401"/>
      <c r="BV148" s="401"/>
      <c r="BW148" s="401"/>
      <c r="BX148" s="401"/>
      <c r="BY148" s="401"/>
      <c r="BZ148" s="401"/>
    </row>
    <row r="149" ht="15.75" customHeight="1">
      <c r="A149" s="401"/>
      <c r="B149" s="401"/>
      <c r="C149" s="401"/>
      <c r="D149" s="401"/>
      <c r="E149" s="401"/>
      <c r="F149" s="401"/>
      <c r="G149" s="401"/>
      <c r="H149" s="401"/>
      <c r="I149" s="381"/>
      <c r="J149" s="381"/>
      <c r="K149" s="381"/>
      <c r="L149" s="381"/>
      <c r="M149" s="381"/>
      <c r="N149" s="381"/>
      <c r="O149" s="381"/>
      <c r="P149" s="401"/>
      <c r="Q149" s="401"/>
      <c r="R149" s="401"/>
      <c r="S149" s="401"/>
      <c r="T149" s="401"/>
      <c r="U149" s="401"/>
      <c r="V149" s="401"/>
      <c r="W149" s="401"/>
      <c r="X149" s="401"/>
      <c r="Y149" s="401"/>
      <c r="Z149" s="401"/>
      <c r="AA149" s="401"/>
      <c r="AB149" s="401"/>
      <c r="AC149" s="401"/>
      <c r="AD149" s="401"/>
      <c r="AE149" s="401"/>
      <c r="AF149" s="401"/>
      <c r="AG149" s="401"/>
      <c r="AH149" s="401"/>
      <c r="AI149" s="401"/>
      <c r="AJ149" s="401"/>
      <c r="AK149" s="401"/>
      <c r="AL149" s="401"/>
      <c r="AM149" s="401"/>
      <c r="AN149" s="401"/>
      <c r="AO149" s="401"/>
      <c r="AP149" s="401"/>
      <c r="AQ149" s="401"/>
      <c r="AR149" s="401"/>
      <c r="AS149" s="401"/>
      <c r="AT149" s="401"/>
      <c r="AU149" s="401"/>
      <c r="AV149" s="401"/>
      <c r="AW149" s="401"/>
      <c r="AX149" s="401"/>
      <c r="AY149" s="401"/>
      <c r="AZ149" s="401"/>
      <c r="BA149" s="401"/>
      <c r="BB149" s="401"/>
      <c r="BC149" s="401"/>
      <c r="BD149" s="401"/>
      <c r="BE149" s="401"/>
      <c r="BF149" s="401"/>
      <c r="BG149" s="401"/>
      <c r="BH149" s="401"/>
      <c r="BI149" s="401"/>
      <c r="BJ149" s="401"/>
      <c r="BK149" s="401"/>
      <c r="BL149" s="401"/>
      <c r="BM149" s="401"/>
      <c r="BN149" s="401"/>
      <c r="BO149" s="401"/>
      <c r="BP149" s="401"/>
      <c r="BQ149" s="401"/>
      <c r="BR149" s="401"/>
      <c r="BS149" s="401"/>
      <c r="BT149" s="401"/>
      <c r="BU149" s="401"/>
      <c r="BV149" s="401"/>
      <c r="BW149" s="401"/>
      <c r="BX149" s="401"/>
      <c r="BY149" s="401"/>
      <c r="BZ149" s="401"/>
    </row>
    <row r="150" ht="15.75" customHeight="1">
      <c r="A150" s="401"/>
      <c r="B150" s="401"/>
      <c r="C150" s="401"/>
      <c r="D150" s="401"/>
      <c r="E150" s="401"/>
      <c r="F150" s="401"/>
      <c r="G150" s="401"/>
      <c r="H150" s="401"/>
      <c r="I150" s="381"/>
      <c r="J150" s="381"/>
      <c r="K150" s="381"/>
      <c r="L150" s="381"/>
      <c r="M150" s="381"/>
      <c r="N150" s="381"/>
      <c r="O150" s="381"/>
      <c r="P150" s="401"/>
      <c r="Q150" s="401"/>
      <c r="R150" s="401"/>
      <c r="S150" s="401"/>
      <c r="T150" s="401"/>
      <c r="U150" s="401"/>
      <c r="V150" s="401"/>
      <c r="W150" s="401"/>
      <c r="X150" s="401"/>
      <c r="Y150" s="401"/>
      <c r="Z150" s="401"/>
      <c r="AA150" s="401"/>
      <c r="AB150" s="401"/>
      <c r="AC150" s="401"/>
      <c r="AD150" s="401"/>
      <c r="AE150" s="401"/>
      <c r="AF150" s="401"/>
      <c r="AG150" s="401"/>
      <c r="AH150" s="401"/>
      <c r="AI150" s="401"/>
      <c r="AJ150" s="401"/>
      <c r="AK150" s="401"/>
      <c r="AL150" s="401"/>
      <c r="AM150" s="401"/>
      <c r="AN150" s="401"/>
      <c r="AO150" s="401"/>
      <c r="AP150" s="401"/>
      <c r="AQ150" s="401"/>
      <c r="AR150" s="401"/>
      <c r="AS150" s="401"/>
      <c r="AT150" s="401"/>
      <c r="AU150" s="401"/>
      <c r="AV150" s="401"/>
      <c r="AW150" s="401"/>
      <c r="AX150" s="401"/>
      <c r="AY150" s="401"/>
      <c r="AZ150" s="401"/>
      <c r="BA150" s="401"/>
      <c r="BB150" s="401"/>
      <c r="BC150" s="401"/>
      <c r="BD150" s="401"/>
      <c r="BE150" s="401"/>
      <c r="BF150" s="401"/>
      <c r="BG150" s="401"/>
      <c r="BH150" s="401"/>
      <c r="BI150" s="401"/>
      <c r="BJ150" s="401"/>
      <c r="BK150" s="401"/>
      <c r="BL150" s="401"/>
      <c r="BM150" s="401"/>
      <c r="BN150" s="401"/>
      <c r="BO150" s="401"/>
      <c r="BP150" s="401"/>
      <c r="BQ150" s="401"/>
      <c r="BR150" s="401"/>
      <c r="BS150" s="401"/>
      <c r="BT150" s="401"/>
      <c r="BU150" s="401"/>
      <c r="BV150" s="401"/>
      <c r="BW150" s="401"/>
      <c r="BX150" s="401"/>
      <c r="BY150" s="401"/>
      <c r="BZ150" s="401"/>
    </row>
    <row r="151" ht="15.75" customHeight="1">
      <c r="A151" s="401"/>
      <c r="B151" s="401"/>
      <c r="C151" s="401"/>
      <c r="D151" s="401"/>
      <c r="E151" s="401"/>
      <c r="F151" s="401"/>
      <c r="G151" s="401"/>
      <c r="H151" s="401"/>
      <c r="I151" s="381"/>
      <c r="J151" s="381"/>
      <c r="K151" s="381"/>
      <c r="L151" s="381"/>
      <c r="M151" s="381"/>
      <c r="N151" s="381"/>
      <c r="O151" s="381"/>
      <c r="P151" s="401"/>
      <c r="Q151" s="401"/>
      <c r="R151" s="401"/>
      <c r="S151" s="401"/>
      <c r="T151" s="401"/>
      <c r="U151" s="401"/>
      <c r="V151" s="401"/>
      <c r="W151" s="401"/>
      <c r="X151" s="401"/>
      <c r="Y151" s="401"/>
      <c r="Z151" s="401"/>
      <c r="AA151" s="401"/>
      <c r="AB151" s="401"/>
      <c r="AC151" s="401"/>
      <c r="AD151" s="401"/>
      <c r="AE151" s="401"/>
      <c r="AF151" s="401"/>
      <c r="AG151" s="401"/>
      <c r="AH151" s="401"/>
      <c r="AI151" s="401"/>
      <c r="AJ151" s="401"/>
      <c r="AK151" s="401"/>
      <c r="AL151" s="401"/>
      <c r="AM151" s="401"/>
      <c r="AN151" s="401"/>
      <c r="AO151" s="401"/>
      <c r="AP151" s="401"/>
      <c r="AQ151" s="401"/>
      <c r="AR151" s="401"/>
      <c r="AS151" s="401"/>
      <c r="AT151" s="401"/>
      <c r="AU151" s="401"/>
      <c r="AV151" s="401"/>
      <c r="AW151" s="401"/>
      <c r="AX151" s="401"/>
      <c r="AY151" s="401"/>
      <c r="AZ151" s="401"/>
      <c r="BA151" s="401"/>
      <c r="BB151" s="401"/>
      <c r="BC151" s="401"/>
      <c r="BD151" s="401"/>
      <c r="BE151" s="401"/>
      <c r="BF151" s="401"/>
      <c r="BG151" s="401"/>
      <c r="BH151" s="401"/>
      <c r="BI151" s="401"/>
      <c r="BJ151" s="401"/>
      <c r="BK151" s="401"/>
      <c r="BL151" s="401"/>
      <c r="BM151" s="401"/>
      <c r="BN151" s="401"/>
      <c r="BO151" s="401"/>
      <c r="BP151" s="401"/>
      <c r="BQ151" s="401"/>
      <c r="BR151" s="401"/>
      <c r="BS151" s="401"/>
      <c r="BT151" s="401"/>
      <c r="BU151" s="401"/>
      <c r="BV151" s="401"/>
      <c r="BW151" s="401"/>
      <c r="BX151" s="401"/>
      <c r="BY151" s="401"/>
      <c r="BZ151" s="401"/>
    </row>
    <row r="152" ht="15.75" customHeight="1">
      <c r="A152" s="401"/>
      <c r="B152" s="401"/>
      <c r="C152" s="401"/>
      <c r="D152" s="401"/>
      <c r="E152" s="401"/>
      <c r="F152" s="401"/>
      <c r="G152" s="401"/>
      <c r="H152" s="401"/>
      <c r="I152" s="381"/>
      <c r="J152" s="381"/>
      <c r="K152" s="381"/>
      <c r="L152" s="381"/>
      <c r="M152" s="381"/>
      <c r="N152" s="381"/>
      <c r="O152" s="381"/>
      <c r="P152" s="401"/>
      <c r="Q152" s="401"/>
      <c r="R152" s="401"/>
      <c r="S152" s="401"/>
      <c r="T152" s="401"/>
      <c r="U152" s="401"/>
      <c r="V152" s="401"/>
      <c r="W152" s="401"/>
      <c r="X152" s="401"/>
      <c r="Y152" s="401"/>
      <c r="Z152" s="401"/>
      <c r="AA152" s="401"/>
      <c r="AB152" s="401"/>
      <c r="AC152" s="401"/>
      <c r="AD152" s="401"/>
      <c r="AE152" s="401"/>
      <c r="AF152" s="401"/>
      <c r="AG152" s="401"/>
      <c r="AH152" s="401"/>
      <c r="AI152" s="401"/>
      <c r="AJ152" s="401"/>
      <c r="AK152" s="401"/>
      <c r="AL152" s="401"/>
      <c r="AM152" s="401"/>
      <c r="AN152" s="401"/>
      <c r="AO152" s="401"/>
      <c r="AP152" s="401"/>
      <c r="AQ152" s="401"/>
      <c r="AR152" s="401"/>
      <c r="AS152" s="401"/>
      <c r="AT152" s="401"/>
      <c r="AU152" s="401"/>
      <c r="AV152" s="401"/>
      <c r="AW152" s="401"/>
      <c r="AX152" s="401"/>
      <c r="AY152" s="401"/>
      <c r="AZ152" s="401"/>
      <c r="BA152" s="401"/>
      <c r="BB152" s="401"/>
      <c r="BC152" s="401"/>
      <c r="BD152" s="401"/>
      <c r="BE152" s="401"/>
      <c r="BF152" s="401"/>
      <c r="BG152" s="401"/>
      <c r="BH152" s="401"/>
      <c r="BI152" s="401"/>
      <c r="BJ152" s="401"/>
      <c r="BK152" s="401"/>
      <c r="BL152" s="401"/>
      <c r="BM152" s="401"/>
      <c r="BN152" s="401"/>
      <c r="BO152" s="401"/>
      <c r="BP152" s="401"/>
      <c r="BQ152" s="401"/>
      <c r="BR152" s="401"/>
      <c r="BS152" s="401"/>
      <c r="BT152" s="401"/>
      <c r="BU152" s="401"/>
      <c r="BV152" s="401"/>
      <c r="BW152" s="401"/>
      <c r="BX152" s="401"/>
      <c r="BY152" s="401"/>
      <c r="BZ152" s="401"/>
    </row>
    <row r="153" ht="15.75" customHeight="1">
      <c r="A153" s="401"/>
      <c r="B153" s="401"/>
      <c r="C153" s="401"/>
      <c r="D153" s="401"/>
      <c r="E153" s="401"/>
      <c r="F153" s="401"/>
      <c r="G153" s="401"/>
      <c r="H153" s="401"/>
      <c r="I153" s="381"/>
      <c r="J153" s="381"/>
      <c r="K153" s="381"/>
      <c r="L153" s="381"/>
      <c r="M153" s="381"/>
      <c r="N153" s="381"/>
      <c r="O153" s="381"/>
      <c r="P153" s="401"/>
      <c r="Q153" s="401"/>
      <c r="R153" s="401"/>
      <c r="S153" s="401"/>
      <c r="T153" s="401"/>
      <c r="U153" s="401"/>
      <c r="V153" s="401"/>
      <c r="W153" s="401"/>
      <c r="X153" s="401"/>
      <c r="Y153" s="401"/>
      <c r="Z153" s="401"/>
      <c r="AA153" s="401"/>
      <c r="AB153" s="401"/>
      <c r="AC153" s="401"/>
      <c r="AD153" s="401"/>
      <c r="AE153" s="401"/>
      <c r="AF153" s="401"/>
      <c r="AG153" s="401"/>
      <c r="AH153" s="401"/>
      <c r="AI153" s="401"/>
      <c r="AJ153" s="401"/>
      <c r="AK153" s="401"/>
      <c r="AL153" s="401"/>
      <c r="AM153" s="401"/>
      <c r="AN153" s="401"/>
      <c r="AO153" s="401"/>
      <c r="AP153" s="401"/>
      <c r="AQ153" s="401"/>
      <c r="AR153" s="401"/>
      <c r="AS153" s="401"/>
      <c r="AT153" s="401"/>
      <c r="AU153" s="401"/>
      <c r="AV153" s="401"/>
      <c r="AW153" s="401"/>
      <c r="AX153" s="401"/>
      <c r="AY153" s="401"/>
      <c r="AZ153" s="401"/>
      <c r="BA153" s="401"/>
      <c r="BB153" s="401"/>
      <c r="BC153" s="401"/>
      <c r="BD153" s="401"/>
      <c r="BE153" s="401"/>
      <c r="BF153" s="401"/>
      <c r="BG153" s="401"/>
      <c r="BH153" s="401"/>
      <c r="BI153" s="401"/>
      <c r="BJ153" s="401"/>
      <c r="BK153" s="401"/>
      <c r="BL153" s="401"/>
      <c r="BM153" s="401"/>
      <c r="BN153" s="401"/>
      <c r="BO153" s="401"/>
      <c r="BP153" s="401"/>
      <c r="BQ153" s="401"/>
      <c r="BR153" s="401"/>
      <c r="BS153" s="401"/>
      <c r="BT153" s="401"/>
      <c r="BU153" s="401"/>
      <c r="BV153" s="401"/>
      <c r="BW153" s="401"/>
      <c r="BX153" s="401"/>
      <c r="BY153" s="401"/>
      <c r="BZ153" s="401"/>
    </row>
    <row r="154" ht="15.75" customHeight="1">
      <c r="A154" s="401"/>
      <c r="B154" s="401"/>
      <c r="C154" s="401"/>
      <c r="D154" s="401"/>
      <c r="E154" s="401"/>
      <c r="F154" s="401"/>
      <c r="G154" s="401"/>
      <c r="H154" s="401"/>
      <c r="I154" s="381"/>
      <c r="J154" s="381"/>
      <c r="K154" s="381"/>
      <c r="L154" s="381"/>
      <c r="M154" s="381"/>
      <c r="N154" s="381"/>
      <c r="O154" s="381"/>
      <c r="P154" s="401"/>
      <c r="Q154" s="401"/>
      <c r="R154" s="401"/>
      <c r="S154" s="401"/>
      <c r="T154" s="401"/>
      <c r="U154" s="401"/>
      <c r="V154" s="401"/>
      <c r="W154" s="401"/>
      <c r="X154" s="401"/>
      <c r="Y154" s="401"/>
      <c r="Z154" s="401"/>
      <c r="AA154" s="401"/>
      <c r="AB154" s="401"/>
      <c r="AC154" s="401"/>
      <c r="AD154" s="401"/>
      <c r="AE154" s="401"/>
      <c r="AF154" s="401"/>
      <c r="AG154" s="401"/>
      <c r="AH154" s="401"/>
      <c r="AI154" s="401"/>
      <c r="AJ154" s="401"/>
      <c r="AK154" s="401"/>
      <c r="AL154" s="401"/>
      <c r="AM154" s="401"/>
      <c r="AN154" s="401"/>
      <c r="AO154" s="401"/>
      <c r="AP154" s="401"/>
      <c r="AQ154" s="401"/>
      <c r="AR154" s="401"/>
      <c r="AS154" s="401"/>
      <c r="AT154" s="401"/>
      <c r="AU154" s="401"/>
      <c r="AV154" s="401"/>
      <c r="AW154" s="401"/>
      <c r="AX154" s="401"/>
      <c r="AY154" s="401"/>
      <c r="AZ154" s="401"/>
      <c r="BA154" s="401"/>
      <c r="BB154" s="401"/>
      <c r="BC154" s="401"/>
      <c r="BD154" s="401"/>
      <c r="BE154" s="401"/>
      <c r="BF154" s="401"/>
      <c r="BG154" s="401"/>
      <c r="BH154" s="401"/>
      <c r="BI154" s="401"/>
      <c r="BJ154" s="401"/>
      <c r="BK154" s="401"/>
      <c r="BL154" s="401"/>
      <c r="BM154" s="401"/>
      <c r="BN154" s="401"/>
      <c r="BO154" s="401"/>
      <c r="BP154" s="401"/>
      <c r="BQ154" s="401"/>
      <c r="BR154" s="401"/>
      <c r="BS154" s="401"/>
      <c r="BT154" s="401"/>
      <c r="BU154" s="401"/>
      <c r="BV154" s="401"/>
      <c r="BW154" s="401"/>
      <c r="BX154" s="401"/>
      <c r="BY154" s="401"/>
      <c r="BZ154" s="401"/>
    </row>
    <row r="155" ht="15.75" customHeight="1">
      <c r="A155" s="401"/>
      <c r="B155" s="401"/>
      <c r="C155" s="401"/>
      <c r="D155" s="401"/>
      <c r="E155" s="401"/>
      <c r="F155" s="401"/>
      <c r="G155" s="401"/>
      <c r="H155" s="401"/>
      <c r="I155" s="381"/>
      <c r="J155" s="381"/>
      <c r="K155" s="381"/>
      <c r="L155" s="381"/>
      <c r="M155" s="381"/>
      <c r="N155" s="381"/>
      <c r="O155" s="381"/>
      <c r="P155" s="401"/>
      <c r="Q155" s="401"/>
      <c r="R155" s="401"/>
      <c r="S155" s="401"/>
      <c r="T155" s="401"/>
      <c r="U155" s="401"/>
      <c r="V155" s="401"/>
      <c r="W155" s="401"/>
      <c r="X155" s="401"/>
      <c r="Y155" s="401"/>
      <c r="Z155" s="401"/>
      <c r="AA155" s="401"/>
      <c r="AB155" s="401"/>
      <c r="AC155" s="401"/>
      <c r="AD155" s="401"/>
      <c r="AE155" s="401"/>
      <c r="AF155" s="401"/>
      <c r="AG155" s="401"/>
      <c r="AH155" s="401"/>
      <c r="AI155" s="401"/>
      <c r="AJ155" s="401"/>
      <c r="AK155" s="401"/>
      <c r="AL155" s="401"/>
      <c r="AM155" s="401"/>
      <c r="AN155" s="401"/>
      <c r="AO155" s="401"/>
      <c r="AP155" s="401"/>
      <c r="AQ155" s="401"/>
      <c r="AR155" s="401"/>
      <c r="AS155" s="401"/>
      <c r="AT155" s="401"/>
      <c r="AU155" s="401"/>
      <c r="AV155" s="401"/>
      <c r="AW155" s="401"/>
      <c r="AX155" s="401"/>
      <c r="AY155" s="401"/>
      <c r="AZ155" s="401"/>
      <c r="BA155" s="401"/>
      <c r="BB155" s="401"/>
      <c r="BC155" s="401"/>
      <c r="BD155" s="401"/>
      <c r="BE155" s="401"/>
      <c r="BF155" s="401"/>
      <c r="BG155" s="401"/>
      <c r="BH155" s="401"/>
      <c r="BI155" s="401"/>
      <c r="BJ155" s="401"/>
      <c r="BK155" s="401"/>
      <c r="BL155" s="401"/>
      <c r="BM155" s="401"/>
      <c r="BN155" s="401"/>
      <c r="BO155" s="401"/>
      <c r="BP155" s="401"/>
      <c r="BQ155" s="401"/>
      <c r="BR155" s="401"/>
      <c r="BS155" s="401"/>
      <c r="BT155" s="401"/>
      <c r="BU155" s="401"/>
      <c r="BV155" s="401"/>
      <c r="BW155" s="401"/>
      <c r="BX155" s="401"/>
      <c r="BY155" s="401"/>
      <c r="BZ155" s="401"/>
    </row>
    <row r="156" ht="15.75" customHeight="1">
      <c r="A156" s="401"/>
      <c r="B156" s="401"/>
      <c r="C156" s="401"/>
      <c r="D156" s="401"/>
      <c r="E156" s="401"/>
      <c r="F156" s="401"/>
      <c r="G156" s="401"/>
      <c r="H156" s="401"/>
      <c r="I156" s="381"/>
      <c r="J156" s="381"/>
      <c r="K156" s="381"/>
      <c r="L156" s="381"/>
      <c r="M156" s="381"/>
      <c r="N156" s="381"/>
      <c r="O156" s="381"/>
      <c r="P156" s="401"/>
      <c r="Q156" s="401"/>
      <c r="R156" s="401"/>
      <c r="S156" s="401"/>
      <c r="T156" s="401"/>
      <c r="U156" s="401"/>
      <c r="V156" s="401"/>
      <c r="W156" s="401"/>
      <c r="X156" s="401"/>
      <c r="Y156" s="401"/>
      <c r="Z156" s="401"/>
      <c r="AA156" s="401"/>
      <c r="AB156" s="401"/>
      <c r="AC156" s="401"/>
      <c r="AD156" s="401"/>
      <c r="AE156" s="401"/>
      <c r="AF156" s="401"/>
      <c r="AG156" s="401"/>
      <c r="AH156" s="401"/>
      <c r="AI156" s="401"/>
      <c r="AJ156" s="401"/>
      <c r="AK156" s="401"/>
      <c r="AL156" s="401"/>
      <c r="AM156" s="401"/>
      <c r="AN156" s="401"/>
      <c r="AO156" s="401"/>
      <c r="AP156" s="401"/>
      <c r="AQ156" s="401"/>
      <c r="AR156" s="401"/>
      <c r="AS156" s="401"/>
      <c r="AT156" s="401"/>
      <c r="AU156" s="401"/>
      <c r="AV156" s="401"/>
      <c r="AW156" s="401"/>
      <c r="AX156" s="401"/>
      <c r="AY156" s="401"/>
      <c r="AZ156" s="401"/>
      <c r="BA156" s="401"/>
      <c r="BB156" s="401"/>
      <c r="BC156" s="401"/>
      <c r="BD156" s="401"/>
      <c r="BE156" s="401"/>
      <c r="BF156" s="401"/>
      <c r="BG156" s="401"/>
      <c r="BH156" s="401"/>
      <c r="BI156" s="401"/>
      <c r="BJ156" s="401"/>
      <c r="BK156" s="401"/>
      <c r="BL156" s="401"/>
      <c r="BM156" s="401"/>
      <c r="BN156" s="401"/>
      <c r="BO156" s="401"/>
      <c r="BP156" s="401"/>
      <c r="BQ156" s="401"/>
      <c r="BR156" s="401"/>
      <c r="BS156" s="401"/>
      <c r="BT156" s="401"/>
      <c r="BU156" s="401"/>
      <c r="BV156" s="401"/>
      <c r="BW156" s="401"/>
      <c r="BX156" s="401"/>
      <c r="BY156" s="401"/>
      <c r="BZ156" s="401"/>
    </row>
    <row r="157" ht="15.75" customHeight="1">
      <c r="A157" s="401"/>
      <c r="B157" s="401"/>
      <c r="C157" s="401"/>
      <c r="D157" s="401"/>
      <c r="E157" s="401"/>
      <c r="F157" s="401"/>
      <c r="G157" s="401"/>
      <c r="H157" s="401"/>
      <c r="I157" s="381"/>
      <c r="J157" s="381"/>
      <c r="K157" s="381"/>
      <c r="L157" s="381"/>
      <c r="M157" s="381"/>
      <c r="N157" s="381"/>
      <c r="O157" s="381"/>
      <c r="P157" s="401"/>
      <c r="Q157" s="401"/>
      <c r="R157" s="401"/>
      <c r="S157" s="401"/>
      <c r="T157" s="401"/>
      <c r="U157" s="401"/>
      <c r="V157" s="401"/>
      <c r="W157" s="401"/>
      <c r="X157" s="401"/>
      <c r="Y157" s="401"/>
      <c r="Z157" s="401"/>
      <c r="AA157" s="401"/>
      <c r="AB157" s="401"/>
      <c r="AC157" s="401"/>
      <c r="AD157" s="401"/>
      <c r="AE157" s="401"/>
      <c r="AF157" s="401"/>
      <c r="AG157" s="401"/>
      <c r="AH157" s="401"/>
      <c r="AI157" s="401"/>
      <c r="AJ157" s="401"/>
      <c r="AK157" s="401"/>
      <c r="AL157" s="401"/>
      <c r="AM157" s="401"/>
      <c r="AN157" s="401"/>
      <c r="AO157" s="401"/>
      <c r="AP157" s="401"/>
      <c r="AQ157" s="401"/>
      <c r="AR157" s="401"/>
      <c r="AS157" s="401"/>
      <c r="AT157" s="401"/>
      <c r="AU157" s="401"/>
      <c r="AV157" s="401"/>
      <c r="AW157" s="401"/>
      <c r="AX157" s="401"/>
      <c r="AY157" s="401"/>
      <c r="AZ157" s="401"/>
      <c r="BA157" s="401"/>
      <c r="BB157" s="401"/>
      <c r="BC157" s="401"/>
      <c r="BD157" s="401"/>
      <c r="BE157" s="401"/>
      <c r="BF157" s="401"/>
      <c r="BG157" s="401"/>
      <c r="BH157" s="401"/>
      <c r="BI157" s="401"/>
      <c r="BJ157" s="401"/>
      <c r="BK157" s="401"/>
      <c r="BL157" s="401"/>
      <c r="BM157" s="401"/>
      <c r="BN157" s="401"/>
      <c r="BO157" s="401"/>
      <c r="BP157" s="401"/>
      <c r="BQ157" s="401"/>
      <c r="BR157" s="401"/>
      <c r="BS157" s="401"/>
      <c r="BT157" s="401"/>
      <c r="BU157" s="401"/>
      <c r="BV157" s="401"/>
      <c r="BW157" s="401"/>
      <c r="BX157" s="401"/>
      <c r="BY157" s="401"/>
      <c r="BZ157" s="401"/>
    </row>
    <row r="158" ht="15.75" customHeight="1">
      <c r="A158" s="401"/>
      <c r="B158" s="401"/>
      <c r="C158" s="401"/>
      <c r="D158" s="401"/>
      <c r="E158" s="401"/>
      <c r="F158" s="401"/>
      <c r="G158" s="401"/>
      <c r="H158" s="401"/>
      <c r="I158" s="381"/>
      <c r="J158" s="381"/>
      <c r="K158" s="381"/>
      <c r="L158" s="381"/>
      <c r="M158" s="381"/>
      <c r="N158" s="381"/>
      <c r="O158" s="381"/>
      <c r="P158" s="401"/>
      <c r="Q158" s="401"/>
      <c r="R158" s="401"/>
      <c r="S158" s="401"/>
      <c r="T158" s="401"/>
      <c r="U158" s="401"/>
      <c r="V158" s="401"/>
      <c r="W158" s="401"/>
      <c r="X158" s="401"/>
      <c r="Y158" s="401"/>
      <c r="Z158" s="401"/>
      <c r="AA158" s="401"/>
      <c r="AB158" s="401"/>
      <c r="AC158" s="401"/>
      <c r="AD158" s="401"/>
      <c r="AE158" s="401"/>
      <c r="AF158" s="401"/>
      <c r="AG158" s="401"/>
      <c r="AH158" s="401"/>
      <c r="AI158" s="401"/>
      <c r="AJ158" s="401"/>
      <c r="AK158" s="401"/>
      <c r="AL158" s="401"/>
      <c r="AM158" s="401"/>
      <c r="AN158" s="401"/>
      <c r="AO158" s="401"/>
      <c r="AP158" s="401"/>
      <c r="AQ158" s="401"/>
      <c r="AR158" s="401"/>
      <c r="AS158" s="401"/>
      <c r="AT158" s="401"/>
      <c r="AU158" s="401"/>
      <c r="AV158" s="401"/>
      <c r="AW158" s="401"/>
      <c r="AX158" s="401"/>
      <c r="AY158" s="401"/>
      <c r="AZ158" s="401"/>
      <c r="BA158" s="401"/>
      <c r="BB158" s="401"/>
      <c r="BC158" s="401"/>
      <c r="BD158" s="401"/>
      <c r="BE158" s="401"/>
      <c r="BF158" s="401"/>
      <c r="BG158" s="401"/>
      <c r="BH158" s="401"/>
      <c r="BI158" s="401"/>
      <c r="BJ158" s="401"/>
      <c r="BK158" s="401"/>
      <c r="BL158" s="401"/>
      <c r="BM158" s="401"/>
      <c r="BN158" s="401"/>
      <c r="BO158" s="401"/>
      <c r="BP158" s="401"/>
      <c r="BQ158" s="401"/>
      <c r="BR158" s="401"/>
      <c r="BS158" s="401"/>
      <c r="BT158" s="401"/>
      <c r="BU158" s="401"/>
      <c r="BV158" s="401"/>
      <c r="BW158" s="401"/>
      <c r="BX158" s="401"/>
      <c r="BY158" s="401"/>
      <c r="BZ158" s="401"/>
    </row>
    <row r="159" ht="15.75" customHeight="1">
      <c r="A159" s="401"/>
      <c r="B159" s="401"/>
      <c r="C159" s="401"/>
      <c r="D159" s="401"/>
      <c r="E159" s="401"/>
      <c r="F159" s="401"/>
      <c r="G159" s="401"/>
      <c r="H159" s="401"/>
      <c r="I159" s="381"/>
      <c r="J159" s="381"/>
      <c r="K159" s="381"/>
      <c r="L159" s="381"/>
      <c r="M159" s="381"/>
      <c r="N159" s="381"/>
      <c r="O159" s="381"/>
      <c r="P159" s="401"/>
      <c r="Q159" s="401"/>
      <c r="R159" s="401"/>
      <c r="S159" s="401"/>
      <c r="T159" s="401"/>
      <c r="U159" s="401"/>
      <c r="V159" s="401"/>
      <c r="W159" s="401"/>
      <c r="X159" s="401"/>
      <c r="Y159" s="401"/>
      <c r="Z159" s="401"/>
      <c r="AA159" s="401"/>
      <c r="AB159" s="401"/>
      <c r="AC159" s="401"/>
      <c r="AD159" s="401"/>
      <c r="AE159" s="401"/>
      <c r="AF159" s="401"/>
      <c r="AG159" s="401"/>
      <c r="AH159" s="401"/>
      <c r="AI159" s="401"/>
      <c r="AJ159" s="401"/>
      <c r="AK159" s="401"/>
      <c r="AL159" s="401"/>
      <c r="AM159" s="401"/>
      <c r="AN159" s="401"/>
      <c r="AO159" s="401"/>
      <c r="AP159" s="401"/>
      <c r="AQ159" s="401"/>
      <c r="AR159" s="401"/>
      <c r="AS159" s="401"/>
      <c r="AT159" s="401"/>
      <c r="AU159" s="401"/>
      <c r="AV159" s="401"/>
      <c r="AW159" s="401"/>
      <c r="AX159" s="401"/>
      <c r="AY159" s="401"/>
      <c r="AZ159" s="401"/>
      <c r="BA159" s="401"/>
      <c r="BB159" s="401"/>
      <c r="BC159" s="401"/>
      <c r="BD159" s="401"/>
      <c r="BE159" s="401"/>
      <c r="BF159" s="401"/>
      <c r="BG159" s="401"/>
      <c r="BH159" s="401"/>
      <c r="BI159" s="401"/>
      <c r="BJ159" s="401"/>
      <c r="BK159" s="401"/>
      <c r="BL159" s="401"/>
      <c r="BM159" s="401"/>
      <c r="BN159" s="401"/>
      <c r="BO159" s="401"/>
      <c r="BP159" s="401"/>
      <c r="BQ159" s="401"/>
      <c r="BR159" s="401"/>
      <c r="BS159" s="401"/>
      <c r="BT159" s="401"/>
      <c r="BU159" s="401"/>
      <c r="BV159" s="401"/>
      <c r="BW159" s="401"/>
      <c r="BX159" s="401"/>
      <c r="BY159" s="401"/>
      <c r="BZ159" s="401"/>
    </row>
    <row r="160" ht="15.75" customHeight="1">
      <c r="A160" s="401"/>
      <c r="B160" s="401"/>
      <c r="C160" s="401"/>
      <c r="D160" s="401"/>
      <c r="E160" s="401"/>
      <c r="F160" s="401"/>
      <c r="G160" s="401"/>
      <c r="H160" s="401"/>
      <c r="I160" s="381"/>
      <c r="J160" s="381"/>
      <c r="K160" s="381"/>
      <c r="L160" s="381"/>
      <c r="M160" s="381"/>
      <c r="N160" s="381"/>
      <c r="O160" s="381"/>
      <c r="P160" s="401"/>
      <c r="Q160" s="401"/>
      <c r="R160" s="401"/>
      <c r="S160" s="401"/>
      <c r="T160" s="401"/>
      <c r="U160" s="401"/>
      <c r="V160" s="401"/>
      <c r="W160" s="401"/>
      <c r="X160" s="401"/>
      <c r="Y160" s="401"/>
      <c r="Z160" s="401"/>
      <c r="AA160" s="401"/>
      <c r="AB160" s="401"/>
      <c r="AC160" s="401"/>
      <c r="AD160" s="401"/>
      <c r="AE160" s="401"/>
      <c r="AF160" s="401"/>
      <c r="AG160" s="401"/>
      <c r="AH160" s="401"/>
      <c r="AI160" s="401"/>
      <c r="AJ160" s="401"/>
      <c r="AK160" s="401"/>
      <c r="AL160" s="401"/>
      <c r="AM160" s="401"/>
      <c r="AN160" s="401"/>
      <c r="AO160" s="401"/>
      <c r="AP160" s="401"/>
      <c r="AQ160" s="401"/>
      <c r="AR160" s="401"/>
      <c r="AS160" s="401"/>
      <c r="AT160" s="401"/>
      <c r="AU160" s="401"/>
      <c r="AV160" s="401"/>
      <c r="AW160" s="401"/>
      <c r="AX160" s="401"/>
      <c r="AY160" s="401"/>
      <c r="AZ160" s="401"/>
      <c r="BA160" s="401"/>
      <c r="BB160" s="401"/>
      <c r="BC160" s="401"/>
      <c r="BD160" s="401"/>
      <c r="BE160" s="401"/>
      <c r="BF160" s="401"/>
      <c r="BG160" s="401"/>
      <c r="BH160" s="401"/>
      <c r="BI160" s="401"/>
      <c r="BJ160" s="401"/>
      <c r="BK160" s="401"/>
      <c r="BL160" s="401"/>
      <c r="BM160" s="401"/>
      <c r="BN160" s="401"/>
      <c r="BO160" s="401"/>
      <c r="BP160" s="401"/>
      <c r="BQ160" s="401"/>
      <c r="BR160" s="401"/>
      <c r="BS160" s="401"/>
      <c r="BT160" s="401"/>
      <c r="BU160" s="401"/>
      <c r="BV160" s="401"/>
      <c r="BW160" s="401"/>
      <c r="BX160" s="401"/>
      <c r="BY160" s="401"/>
      <c r="BZ160" s="401"/>
    </row>
    <row r="161" ht="15.75" customHeight="1">
      <c r="A161" s="401"/>
      <c r="B161" s="401"/>
      <c r="C161" s="401"/>
      <c r="D161" s="401"/>
      <c r="E161" s="401"/>
      <c r="F161" s="401"/>
      <c r="G161" s="401"/>
      <c r="H161" s="401"/>
      <c r="I161" s="381"/>
      <c r="J161" s="381"/>
      <c r="K161" s="381"/>
      <c r="L161" s="381"/>
      <c r="M161" s="381"/>
      <c r="N161" s="381"/>
      <c r="O161" s="381"/>
      <c r="P161" s="401"/>
      <c r="Q161" s="401"/>
      <c r="R161" s="401"/>
      <c r="S161" s="401"/>
      <c r="T161" s="401"/>
      <c r="U161" s="401"/>
      <c r="V161" s="401"/>
      <c r="W161" s="401"/>
      <c r="X161" s="401"/>
      <c r="Y161" s="401"/>
      <c r="Z161" s="401"/>
      <c r="AA161" s="401"/>
      <c r="AB161" s="401"/>
      <c r="AC161" s="401"/>
      <c r="AD161" s="401"/>
      <c r="AE161" s="401"/>
      <c r="AF161" s="401"/>
      <c r="AG161" s="401"/>
      <c r="AH161" s="401"/>
      <c r="AI161" s="401"/>
      <c r="AJ161" s="401"/>
      <c r="AK161" s="401"/>
      <c r="AL161" s="401"/>
      <c r="AM161" s="401"/>
      <c r="AN161" s="401"/>
      <c r="AO161" s="401"/>
      <c r="AP161" s="401"/>
      <c r="AQ161" s="401"/>
      <c r="AR161" s="401"/>
      <c r="AS161" s="401"/>
      <c r="AT161" s="401"/>
      <c r="AU161" s="401"/>
      <c r="AV161" s="401"/>
      <c r="AW161" s="401"/>
      <c r="AX161" s="401"/>
      <c r="AY161" s="401"/>
      <c r="AZ161" s="401"/>
      <c r="BA161" s="401"/>
      <c r="BB161" s="401"/>
      <c r="BC161" s="401"/>
      <c r="BD161" s="401"/>
      <c r="BE161" s="401"/>
      <c r="BF161" s="401"/>
      <c r="BG161" s="401"/>
      <c r="BH161" s="401"/>
      <c r="BI161" s="401"/>
      <c r="BJ161" s="401"/>
      <c r="BK161" s="401"/>
      <c r="BL161" s="401"/>
      <c r="BM161" s="401"/>
      <c r="BN161" s="401"/>
      <c r="BO161" s="401"/>
      <c r="BP161" s="401"/>
      <c r="BQ161" s="401"/>
      <c r="BR161" s="401"/>
      <c r="BS161" s="401"/>
      <c r="BT161" s="401"/>
      <c r="BU161" s="401"/>
      <c r="BV161" s="401"/>
      <c r="BW161" s="401"/>
      <c r="BX161" s="401"/>
      <c r="BY161" s="401"/>
      <c r="BZ161" s="401"/>
    </row>
    <row r="162" ht="15.75" customHeight="1">
      <c r="A162" s="401"/>
      <c r="B162" s="401"/>
      <c r="C162" s="401"/>
      <c r="D162" s="401"/>
      <c r="E162" s="401"/>
      <c r="F162" s="401"/>
      <c r="G162" s="401"/>
      <c r="H162" s="401"/>
      <c r="I162" s="381"/>
      <c r="J162" s="381"/>
      <c r="K162" s="381"/>
      <c r="L162" s="381"/>
      <c r="M162" s="381"/>
      <c r="N162" s="381"/>
      <c r="O162" s="381"/>
      <c r="P162" s="401"/>
      <c r="Q162" s="401"/>
      <c r="R162" s="401"/>
      <c r="S162" s="401"/>
      <c r="T162" s="401"/>
      <c r="U162" s="401"/>
      <c r="V162" s="401"/>
      <c r="W162" s="401"/>
      <c r="X162" s="401"/>
      <c r="Y162" s="401"/>
      <c r="Z162" s="401"/>
      <c r="AA162" s="401"/>
      <c r="AB162" s="401"/>
      <c r="AC162" s="401"/>
      <c r="AD162" s="401"/>
      <c r="AE162" s="401"/>
      <c r="AF162" s="401"/>
      <c r="AG162" s="401"/>
      <c r="AH162" s="401"/>
      <c r="AI162" s="401"/>
      <c r="AJ162" s="401"/>
      <c r="AK162" s="401"/>
      <c r="AL162" s="401"/>
      <c r="AM162" s="401"/>
      <c r="AN162" s="401"/>
      <c r="AO162" s="401"/>
      <c r="AP162" s="401"/>
      <c r="AQ162" s="401"/>
      <c r="AR162" s="401"/>
      <c r="AS162" s="401"/>
      <c r="AT162" s="401"/>
      <c r="AU162" s="401"/>
      <c r="AV162" s="401"/>
      <c r="AW162" s="401"/>
      <c r="AX162" s="401"/>
      <c r="AY162" s="401"/>
      <c r="AZ162" s="401"/>
      <c r="BA162" s="401"/>
      <c r="BB162" s="401"/>
      <c r="BC162" s="401"/>
      <c r="BD162" s="401"/>
      <c r="BE162" s="401"/>
      <c r="BF162" s="401"/>
      <c r="BG162" s="401"/>
      <c r="BH162" s="401"/>
      <c r="BI162" s="401"/>
      <c r="BJ162" s="401"/>
      <c r="BK162" s="401"/>
      <c r="BL162" s="401"/>
      <c r="BM162" s="401"/>
      <c r="BN162" s="401"/>
      <c r="BO162" s="401"/>
      <c r="BP162" s="401"/>
      <c r="BQ162" s="401"/>
      <c r="BR162" s="401"/>
      <c r="BS162" s="401"/>
      <c r="BT162" s="401"/>
      <c r="BU162" s="401"/>
      <c r="BV162" s="401"/>
      <c r="BW162" s="401"/>
      <c r="BX162" s="401"/>
      <c r="BY162" s="401"/>
      <c r="BZ162" s="401"/>
    </row>
    <row r="163" ht="15.75" customHeight="1">
      <c r="A163" s="401"/>
      <c r="B163" s="401"/>
      <c r="C163" s="401"/>
      <c r="D163" s="401"/>
      <c r="E163" s="401"/>
      <c r="F163" s="401"/>
      <c r="G163" s="401"/>
      <c r="H163" s="401"/>
      <c r="I163" s="381"/>
      <c r="J163" s="381"/>
      <c r="K163" s="381"/>
      <c r="L163" s="381"/>
      <c r="M163" s="381"/>
      <c r="N163" s="381"/>
      <c r="O163" s="381"/>
      <c r="P163" s="401"/>
      <c r="Q163" s="401"/>
      <c r="R163" s="401"/>
      <c r="S163" s="401"/>
      <c r="T163" s="401"/>
      <c r="U163" s="401"/>
      <c r="V163" s="401"/>
      <c r="W163" s="401"/>
      <c r="X163" s="401"/>
      <c r="Y163" s="401"/>
      <c r="Z163" s="401"/>
      <c r="AA163" s="401"/>
      <c r="AB163" s="401"/>
      <c r="AC163" s="401"/>
      <c r="AD163" s="401"/>
      <c r="AE163" s="401"/>
      <c r="AF163" s="401"/>
      <c r="AG163" s="401"/>
      <c r="AH163" s="401"/>
      <c r="AI163" s="401"/>
      <c r="AJ163" s="401"/>
      <c r="AK163" s="401"/>
      <c r="AL163" s="401"/>
      <c r="AM163" s="401"/>
      <c r="AN163" s="401"/>
      <c r="AO163" s="401"/>
      <c r="AP163" s="401"/>
      <c r="AQ163" s="401"/>
      <c r="AR163" s="401"/>
      <c r="AS163" s="401"/>
      <c r="AT163" s="401"/>
      <c r="AU163" s="401"/>
      <c r="AV163" s="401"/>
      <c r="AW163" s="401"/>
      <c r="AX163" s="401"/>
      <c r="AY163" s="401"/>
      <c r="AZ163" s="401"/>
      <c r="BA163" s="401"/>
      <c r="BB163" s="401"/>
      <c r="BC163" s="401"/>
      <c r="BD163" s="401"/>
      <c r="BE163" s="401"/>
      <c r="BF163" s="401"/>
      <c r="BG163" s="401"/>
      <c r="BH163" s="401"/>
      <c r="BI163" s="401"/>
      <c r="BJ163" s="401"/>
      <c r="BK163" s="401"/>
      <c r="BL163" s="401"/>
      <c r="BM163" s="401"/>
      <c r="BN163" s="401"/>
      <c r="BO163" s="401"/>
      <c r="BP163" s="401"/>
      <c r="BQ163" s="401"/>
      <c r="BR163" s="401"/>
      <c r="BS163" s="401"/>
      <c r="BT163" s="401"/>
      <c r="BU163" s="401"/>
      <c r="BV163" s="401"/>
      <c r="BW163" s="401"/>
      <c r="BX163" s="401"/>
      <c r="BY163" s="401"/>
      <c r="BZ163" s="401"/>
    </row>
    <row r="164" ht="15.75" customHeight="1">
      <c r="A164" s="401"/>
      <c r="B164" s="401"/>
      <c r="C164" s="401"/>
      <c r="D164" s="401"/>
      <c r="E164" s="401"/>
      <c r="F164" s="401"/>
      <c r="G164" s="401"/>
      <c r="H164" s="401"/>
      <c r="I164" s="381"/>
      <c r="J164" s="381"/>
      <c r="K164" s="381"/>
      <c r="L164" s="381"/>
      <c r="M164" s="381"/>
      <c r="N164" s="381"/>
      <c r="O164" s="381"/>
      <c r="P164" s="401"/>
      <c r="Q164" s="401"/>
      <c r="R164" s="401"/>
      <c r="S164" s="401"/>
      <c r="T164" s="401"/>
      <c r="U164" s="401"/>
      <c r="V164" s="401"/>
      <c r="W164" s="401"/>
      <c r="X164" s="401"/>
      <c r="Y164" s="401"/>
      <c r="Z164" s="401"/>
      <c r="AA164" s="401"/>
      <c r="AB164" s="401"/>
      <c r="AC164" s="401"/>
      <c r="AD164" s="401"/>
      <c r="AE164" s="401"/>
      <c r="AF164" s="401"/>
      <c r="AG164" s="401"/>
      <c r="AH164" s="401"/>
      <c r="AI164" s="401"/>
      <c r="AJ164" s="401"/>
      <c r="AK164" s="401"/>
      <c r="AL164" s="401"/>
      <c r="AM164" s="401"/>
      <c r="AN164" s="401"/>
      <c r="AO164" s="401"/>
      <c r="AP164" s="401"/>
      <c r="AQ164" s="401"/>
      <c r="AR164" s="401"/>
      <c r="AS164" s="401"/>
      <c r="AT164" s="401"/>
      <c r="AU164" s="401"/>
      <c r="AV164" s="401"/>
      <c r="AW164" s="401"/>
      <c r="AX164" s="401"/>
      <c r="AY164" s="401"/>
      <c r="AZ164" s="401"/>
      <c r="BA164" s="401"/>
      <c r="BB164" s="401"/>
      <c r="BC164" s="401"/>
      <c r="BD164" s="401"/>
      <c r="BE164" s="401"/>
      <c r="BF164" s="401"/>
      <c r="BG164" s="401"/>
      <c r="BH164" s="401"/>
      <c r="BI164" s="401"/>
      <c r="BJ164" s="401"/>
      <c r="BK164" s="401"/>
      <c r="BL164" s="401"/>
      <c r="BM164" s="401"/>
      <c r="BN164" s="401"/>
      <c r="BO164" s="401"/>
      <c r="BP164" s="401"/>
      <c r="BQ164" s="401"/>
      <c r="BR164" s="401"/>
      <c r="BS164" s="401"/>
      <c r="BT164" s="401"/>
      <c r="BU164" s="401"/>
      <c r="BV164" s="401"/>
      <c r="BW164" s="401"/>
      <c r="BX164" s="401"/>
      <c r="BY164" s="401"/>
      <c r="BZ164" s="401"/>
    </row>
    <row r="165" ht="15.75" customHeight="1">
      <c r="A165" s="401"/>
      <c r="B165" s="401"/>
      <c r="C165" s="401"/>
      <c r="D165" s="401"/>
      <c r="E165" s="401"/>
      <c r="F165" s="401"/>
      <c r="G165" s="401"/>
      <c r="H165" s="401"/>
      <c r="I165" s="381"/>
      <c r="J165" s="381"/>
      <c r="K165" s="381"/>
      <c r="L165" s="381"/>
      <c r="M165" s="381"/>
      <c r="N165" s="381"/>
      <c r="O165" s="381"/>
      <c r="P165" s="401"/>
      <c r="Q165" s="401"/>
      <c r="R165" s="401"/>
      <c r="S165" s="401"/>
      <c r="T165" s="401"/>
      <c r="U165" s="401"/>
      <c r="V165" s="401"/>
      <c r="W165" s="401"/>
      <c r="X165" s="401"/>
      <c r="Y165" s="401"/>
      <c r="Z165" s="401"/>
      <c r="AA165" s="401"/>
      <c r="AB165" s="401"/>
      <c r="AC165" s="401"/>
      <c r="AD165" s="401"/>
      <c r="AE165" s="401"/>
      <c r="AF165" s="401"/>
      <c r="AG165" s="401"/>
      <c r="AH165" s="401"/>
      <c r="AI165" s="401"/>
      <c r="AJ165" s="401"/>
      <c r="AK165" s="401"/>
      <c r="AL165" s="401"/>
      <c r="AM165" s="401"/>
      <c r="AN165" s="401"/>
      <c r="AO165" s="401"/>
      <c r="AP165" s="401"/>
      <c r="AQ165" s="401"/>
      <c r="AR165" s="401"/>
      <c r="AS165" s="401"/>
      <c r="AT165" s="401"/>
      <c r="AU165" s="401"/>
      <c r="AV165" s="401"/>
      <c r="AW165" s="401"/>
      <c r="AX165" s="401"/>
      <c r="AY165" s="401"/>
      <c r="AZ165" s="401"/>
      <c r="BA165" s="401"/>
      <c r="BB165" s="401"/>
      <c r="BC165" s="401"/>
      <c r="BD165" s="401"/>
      <c r="BE165" s="401"/>
      <c r="BF165" s="401"/>
      <c r="BG165" s="401"/>
      <c r="BH165" s="401"/>
      <c r="BI165" s="401"/>
      <c r="BJ165" s="401"/>
      <c r="BK165" s="401"/>
      <c r="BL165" s="401"/>
      <c r="BM165" s="401"/>
      <c r="BN165" s="401"/>
      <c r="BO165" s="401"/>
      <c r="BP165" s="401"/>
      <c r="BQ165" s="401"/>
      <c r="BR165" s="401"/>
      <c r="BS165" s="401"/>
      <c r="BT165" s="401"/>
      <c r="BU165" s="401"/>
      <c r="BV165" s="401"/>
      <c r="BW165" s="401"/>
      <c r="BX165" s="401"/>
      <c r="BY165" s="401"/>
      <c r="BZ165" s="401"/>
    </row>
    <row r="166" ht="15.75" customHeight="1">
      <c r="A166" s="401"/>
      <c r="B166" s="401"/>
      <c r="C166" s="401"/>
      <c r="D166" s="401"/>
      <c r="E166" s="401"/>
      <c r="F166" s="401"/>
      <c r="G166" s="401"/>
      <c r="H166" s="401"/>
      <c r="I166" s="381"/>
      <c r="J166" s="381"/>
      <c r="K166" s="381"/>
      <c r="L166" s="381"/>
      <c r="M166" s="381"/>
      <c r="N166" s="381"/>
      <c r="O166" s="381"/>
      <c r="P166" s="401"/>
      <c r="Q166" s="401"/>
      <c r="R166" s="401"/>
      <c r="S166" s="401"/>
      <c r="T166" s="401"/>
      <c r="U166" s="401"/>
      <c r="V166" s="401"/>
      <c r="W166" s="401"/>
      <c r="X166" s="401"/>
      <c r="Y166" s="401"/>
      <c r="Z166" s="401"/>
      <c r="AA166" s="401"/>
      <c r="AB166" s="401"/>
      <c r="AC166" s="401"/>
      <c r="AD166" s="401"/>
      <c r="AE166" s="401"/>
      <c r="AF166" s="401"/>
      <c r="AG166" s="401"/>
      <c r="AH166" s="401"/>
      <c r="AI166" s="401"/>
      <c r="AJ166" s="401"/>
      <c r="AK166" s="401"/>
      <c r="AL166" s="401"/>
      <c r="AM166" s="401"/>
      <c r="AN166" s="401"/>
      <c r="AO166" s="401"/>
      <c r="AP166" s="401"/>
      <c r="AQ166" s="401"/>
      <c r="AR166" s="401"/>
      <c r="AS166" s="401"/>
      <c r="AT166" s="401"/>
      <c r="AU166" s="401"/>
      <c r="AV166" s="401"/>
      <c r="AW166" s="401"/>
      <c r="AX166" s="401"/>
      <c r="AY166" s="401"/>
      <c r="AZ166" s="401"/>
      <c r="BA166" s="401"/>
      <c r="BB166" s="401"/>
      <c r="BC166" s="401"/>
      <c r="BD166" s="401"/>
      <c r="BE166" s="401"/>
      <c r="BF166" s="401"/>
      <c r="BG166" s="401"/>
      <c r="BH166" s="401"/>
      <c r="BI166" s="401"/>
      <c r="BJ166" s="401"/>
      <c r="BK166" s="401"/>
      <c r="BL166" s="401"/>
      <c r="BM166" s="401"/>
      <c r="BN166" s="401"/>
      <c r="BO166" s="401"/>
      <c r="BP166" s="401"/>
      <c r="BQ166" s="401"/>
      <c r="BR166" s="401"/>
      <c r="BS166" s="401"/>
      <c r="BT166" s="401"/>
      <c r="BU166" s="401"/>
      <c r="BV166" s="401"/>
      <c r="BW166" s="401"/>
      <c r="BX166" s="401"/>
      <c r="BY166" s="401"/>
      <c r="BZ166" s="401"/>
    </row>
    <row r="167" ht="15.75" customHeight="1">
      <c r="A167" s="401"/>
      <c r="B167" s="401"/>
      <c r="C167" s="401"/>
      <c r="D167" s="401"/>
      <c r="E167" s="401"/>
      <c r="F167" s="401"/>
      <c r="G167" s="401"/>
      <c r="H167" s="401"/>
      <c r="I167" s="381"/>
      <c r="J167" s="381"/>
      <c r="K167" s="381"/>
      <c r="L167" s="381"/>
      <c r="M167" s="381"/>
      <c r="N167" s="381"/>
      <c r="O167" s="381"/>
      <c r="P167" s="401"/>
      <c r="Q167" s="401"/>
      <c r="R167" s="401"/>
      <c r="S167" s="401"/>
      <c r="T167" s="401"/>
      <c r="U167" s="401"/>
      <c r="V167" s="401"/>
      <c r="W167" s="401"/>
      <c r="X167" s="401"/>
      <c r="Y167" s="401"/>
      <c r="Z167" s="401"/>
      <c r="AA167" s="401"/>
      <c r="AB167" s="401"/>
      <c r="AC167" s="401"/>
      <c r="AD167" s="401"/>
      <c r="AE167" s="401"/>
      <c r="AF167" s="401"/>
      <c r="AG167" s="401"/>
      <c r="AH167" s="401"/>
      <c r="AI167" s="401"/>
      <c r="AJ167" s="401"/>
      <c r="AK167" s="401"/>
      <c r="AL167" s="401"/>
      <c r="AM167" s="401"/>
      <c r="AN167" s="401"/>
      <c r="AO167" s="401"/>
      <c r="AP167" s="401"/>
      <c r="AQ167" s="401"/>
      <c r="AR167" s="401"/>
      <c r="AS167" s="401"/>
      <c r="AT167" s="401"/>
      <c r="AU167" s="401"/>
      <c r="AV167" s="401"/>
      <c r="AW167" s="401"/>
      <c r="AX167" s="401"/>
      <c r="AY167" s="401"/>
      <c r="AZ167" s="401"/>
      <c r="BA167" s="401"/>
      <c r="BB167" s="401"/>
      <c r="BC167" s="401"/>
      <c r="BD167" s="401"/>
      <c r="BE167" s="401"/>
      <c r="BF167" s="401"/>
      <c r="BG167" s="401"/>
      <c r="BH167" s="401"/>
      <c r="BI167" s="401"/>
      <c r="BJ167" s="401"/>
      <c r="BK167" s="401"/>
      <c r="BL167" s="401"/>
      <c r="BM167" s="401"/>
      <c r="BN167" s="401"/>
      <c r="BO167" s="401"/>
      <c r="BP167" s="401"/>
      <c r="BQ167" s="401"/>
      <c r="BR167" s="401"/>
      <c r="BS167" s="401"/>
      <c r="BT167" s="401"/>
      <c r="BU167" s="401"/>
      <c r="BV167" s="401"/>
      <c r="BW167" s="401"/>
      <c r="BX167" s="401"/>
      <c r="BY167" s="401"/>
      <c r="BZ167" s="401"/>
    </row>
    <row r="168" ht="15.75" customHeight="1">
      <c r="A168" s="401"/>
      <c r="B168" s="401"/>
      <c r="C168" s="401"/>
      <c r="D168" s="401"/>
      <c r="E168" s="401"/>
      <c r="F168" s="401"/>
      <c r="G168" s="401"/>
      <c r="H168" s="401"/>
      <c r="I168" s="381"/>
      <c r="J168" s="381"/>
      <c r="K168" s="381"/>
      <c r="L168" s="381"/>
      <c r="M168" s="381"/>
      <c r="N168" s="381"/>
      <c r="O168" s="381"/>
      <c r="P168" s="401"/>
      <c r="Q168" s="401"/>
      <c r="R168" s="401"/>
      <c r="S168" s="401"/>
      <c r="T168" s="401"/>
      <c r="U168" s="401"/>
      <c r="V168" s="401"/>
      <c r="W168" s="401"/>
      <c r="X168" s="401"/>
      <c r="Y168" s="401"/>
      <c r="Z168" s="401"/>
      <c r="AA168" s="401"/>
      <c r="AB168" s="401"/>
      <c r="AC168" s="401"/>
      <c r="AD168" s="401"/>
      <c r="AE168" s="401"/>
      <c r="AF168" s="401"/>
      <c r="AG168" s="401"/>
      <c r="AH168" s="401"/>
      <c r="AI168" s="401"/>
      <c r="AJ168" s="401"/>
      <c r="AK168" s="401"/>
      <c r="AL168" s="401"/>
      <c r="AM168" s="401"/>
      <c r="AN168" s="401"/>
      <c r="AO168" s="401"/>
      <c r="AP168" s="401"/>
      <c r="AQ168" s="401"/>
      <c r="AR168" s="401"/>
      <c r="AS168" s="401"/>
      <c r="AT168" s="401"/>
      <c r="AU168" s="401"/>
      <c r="AV168" s="401"/>
      <c r="AW168" s="401"/>
      <c r="AX168" s="401"/>
      <c r="AY168" s="401"/>
      <c r="AZ168" s="401"/>
      <c r="BA168" s="401"/>
      <c r="BB168" s="401"/>
      <c r="BC168" s="401"/>
      <c r="BD168" s="401"/>
      <c r="BE168" s="401"/>
      <c r="BF168" s="401"/>
      <c r="BG168" s="401"/>
      <c r="BH168" s="401"/>
      <c r="BI168" s="401"/>
      <c r="BJ168" s="401"/>
      <c r="BK168" s="401"/>
      <c r="BL168" s="401"/>
      <c r="BM168" s="401"/>
      <c r="BN168" s="401"/>
      <c r="BO168" s="401"/>
      <c r="BP168" s="401"/>
      <c r="BQ168" s="401"/>
      <c r="BR168" s="401"/>
      <c r="BS168" s="401"/>
      <c r="BT168" s="401"/>
      <c r="BU168" s="401"/>
      <c r="BV168" s="401"/>
      <c r="BW168" s="401"/>
      <c r="BX168" s="401"/>
      <c r="BY168" s="401"/>
      <c r="BZ168" s="401"/>
    </row>
    <row r="169" ht="15.75" customHeight="1">
      <c r="A169" s="401"/>
      <c r="B169" s="401"/>
      <c r="C169" s="401"/>
      <c r="D169" s="401"/>
      <c r="E169" s="401"/>
      <c r="F169" s="401"/>
      <c r="G169" s="401"/>
      <c r="H169" s="401"/>
      <c r="I169" s="381"/>
      <c r="J169" s="381"/>
      <c r="K169" s="381"/>
      <c r="L169" s="381"/>
      <c r="M169" s="381"/>
      <c r="N169" s="381"/>
      <c r="O169" s="381"/>
      <c r="P169" s="401"/>
      <c r="Q169" s="401"/>
      <c r="R169" s="401"/>
      <c r="S169" s="401"/>
      <c r="T169" s="401"/>
      <c r="U169" s="401"/>
      <c r="V169" s="401"/>
      <c r="W169" s="401"/>
      <c r="X169" s="401"/>
      <c r="Y169" s="401"/>
      <c r="Z169" s="401"/>
      <c r="AA169" s="401"/>
      <c r="AB169" s="401"/>
      <c r="AC169" s="401"/>
      <c r="AD169" s="401"/>
      <c r="AE169" s="401"/>
      <c r="AF169" s="401"/>
      <c r="AG169" s="401"/>
      <c r="AH169" s="401"/>
      <c r="AI169" s="401"/>
      <c r="AJ169" s="401"/>
      <c r="AK169" s="401"/>
      <c r="AL169" s="401"/>
      <c r="AM169" s="401"/>
      <c r="AN169" s="401"/>
      <c r="AO169" s="401"/>
      <c r="AP169" s="401"/>
      <c r="AQ169" s="401"/>
      <c r="AR169" s="401"/>
      <c r="AS169" s="401"/>
      <c r="AT169" s="401"/>
      <c r="AU169" s="401"/>
      <c r="AV169" s="401"/>
      <c r="AW169" s="401"/>
      <c r="AX169" s="401"/>
      <c r="AY169" s="401"/>
      <c r="AZ169" s="401"/>
      <c r="BA169" s="401"/>
      <c r="BB169" s="401"/>
      <c r="BC169" s="401"/>
      <c r="BD169" s="401"/>
      <c r="BE169" s="401"/>
      <c r="BF169" s="401"/>
      <c r="BG169" s="401"/>
      <c r="BH169" s="401"/>
      <c r="BI169" s="401"/>
      <c r="BJ169" s="401"/>
      <c r="BK169" s="401"/>
      <c r="BL169" s="401"/>
      <c r="BM169" s="401"/>
      <c r="BN169" s="401"/>
      <c r="BO169" s="401"/>
      <c r="BP169" s="401"/>
      <c r="BQ169" s="401"/>
      <c r="BR169" s="401"/>
      <c r="BS169" s="401"/>
      <c r="BT169" s="401"/>
      <c r="BU169" s="401"/>
      <c r="BV169" s="401"/>
      <c r="BW169" s="401"/>
      <c r="BX169" s="401"/>
      <c r="BY169" s="401"/>
      <c r="BZ169" s="401"/>
    </row>
    <row r="170" ht="15.75" customHeight="1">
      <c r="A170" s="401"/>
      <c r="B170" s="401"/>
      <c r="C170" s="401"/>
      <c r="D170" s="401"/>
      <c r="E170" s="401"/>
      <c r="F170" s="401"/>
      <c r="G170" s="401"/>
      <c r="H170" s="401"/>
      <c r="I170" s="381"/>
      <c r="J170" s="381"/>
      <c r="K170" s="381"/>
      <c r="L170" s="381"/>
      <c r="M170" s="381"/>
      <c r="N170" s="381"/>
      <c r="O170" s="381"/>
      <c r="P170" s="401"/>
      <c r="Q170" s="401"/>
      <c r="R170" s="401"/>
      <c r="S170" s="401"/>
      <c r="T170" s="401"/>
      <c r="U170" s="401"/>
      <c r="V170" s="401"/>
      <c r="W170" s="401"/>
      <c r="X170" s="401"/>
      <c r="Y170" s="401"/>
      <c r="Z170" s="401"/>
      <c r="AA170" s="401"/>
      <c r="AB170" s="401"/>
      <c r="AC170" s="401"/>
      <c r="AD170" s="401"/>
      <c r="AE170" s="401"/>
      <c r="AF170" s="401"/>
      <c r="AG170" s="401"/>
      <c r="AH170" s="401"/>
      <c r="AI170" s="401"/>
      <c r="AJ170" s="401"/>
      <c r="AK170" s="401"/>
      <c r="AL170" s="401"/>
      <c r="AM170" s="401"/>
      <c r="AN170" s="401"/>
      <c r="AO170" s="401"/>
      <c r="AP170" s="401"/>
      <c r="AQ170" s="401"/>
      <c r="AR170" s="401"/>
      <c r="AS170" s="401"/>
      <c r="AT170" s="401"/>
      <c r="AU170" s="401"/>
      <c r="AV170" s="401"/>
      <c r="AW170" s="401"/>
      <c r="AX170" s="401"/>
      <c r="AY170" s="401"/>
      <c r="AZ170" s="401"/>
      <c r="BA170" s="401"/>
      <c r="BB170" s="401"/>
      <c r="BC170" s="401"/>
      <c r="BD170" s="401"/>
      <c r="BE170" s="401"/>
      <c r="BF170" s="401"/>
      <c r="BG170" s="401"/>
      <c r="BH170" s="401"/>
      <c r="BI170" s="401"/>
      <c r="BJ170" s="401"/>
      <c r="BK170" s="401"/>
      <c r="BL170" s="401"/>
      <c r="BM170" s="401"/>
      <c r="BN170" s="401"/>
      <c r="BO170" s="401"/>
      <c r="BP170" s="401"/>
      <c r="BQ170" s="401"/>
      <c r="BR170" s="401"/>
      <c r="BS170" s="401"/>
      <c r="BT170" s="401"/>
      <c r="BU170" s="401"/>
      <c r="BV170" s="401"/>
      <c r="BW170" s="401"/>
      <c r="BX170" s="401"/>
      <c r="BY170" s="401"/>
      <c r="BZ170" s="401"/>
    </row>
    <row r="171" ht="15.75" customHeight="1">
      <c r="A171" s="401"/>
      <c r="B171" s="401"/>
      <c r="C171" s="401"/>
      <c r="D171" s="401"/>
      <c r="E171" s="401"/>
      <c r="F171" s="401"/>
      <c r="G171" s="401"/>
      <c r="H171" s="401"/>
      <c r="I171" s="381"/>
      <c r="J171" s="381"/>
      <c r="K171" s="381"/>
      <c r="L171" s="381"/>
      <c r="M171" s="381"/>
      <c r="N171" s="381"/>
      <c r="O171" s="381"/>
      <c r="P171" s="401"/>
      <c r="Q171" s="401"/>
      <c r="R171" s="401"/>
      <c r="S171" s="401"/>
      <c r="T171" s="401"/>
      <c r="U171" s="401"/>
      <c r="V171" s="401"/>
      <c r="W171" s="401"/>
      <c r="X171" s="401"/>
      <c r="Y171" s="401"/>
      <c r="Z171" s="401"/>
      <c r="AA171" s="401"/>
      <c r="AB171" s="401"/>
      <c r="AC171" s="401"/>
      <c r="AD171" s="401"/>
      <c r="AE171" s="401"/>
      <c r="AF171" s="401"/>
      <c r="AG171" s="401"/>
      <c r="AH171" s="401"/>
      <c r="AI171" s="401"/>
      <c r="AJ171" s="401"/>
      <c r="AK171" s="401"/>
      <c r="AL171" s="401"/>
      <c r="AM171" s="401"/>
      <c r="AN171" s="401"/>
      <c r="AO171" s="401"/>
      <c r="AP171" s="401"/>
      <c r="AQ171" s="401"/>
      <c r="AR171" s="401"/>
      <c r="AS171" s="401"/>
      <c r="AT171" s="401"/>
      <c r="AU171" s="401"/>
      <c r="AV171" s="401"/>
      <c r="AW171" s="401"/>
      <c r="AX171" s="401"/>
      <c r="AY171" s="401"/>
      <c r="AZ171" s="401"/>
      <c r="BA171" s="401"/>
      <c r="BB171" s="401"/>
      <c r="BC171" s="401"/>
      <c r="BD171" s="401"/>
      <c r="BE171" s="401"/>
      <c r="BF171" s="401"/>
      <c r="BG171" s="401"/>
      <c r="BH171" s="401"/>
      <c r="BI171" s="401"/>
      <c r="BJ171" s="401"/>
      <c r="BK171" s="401"/>
      <c r="BL171" s="401"/>
      <c r="BM171" s="401"/>
      <c r="BN171" s="401"/>
      <c r="BO171" s="401"/>
      <c r="BP171" s="401"/>
      <c r="BQ171" s="401"/>
      <c r="BR171" s="401"/>
      <c r="BS171" s="401"/>
      <c r="BT171" s="401"/>
      <c r="BU171" s="401"/>
      <c r="BV171" s="401"/>
      <c r="BW171" s="401"/>
      <c r="BX171" s="401"/>
      <c r="BY171" s="401"/>
      <c r="BZ171" s="401"/>
    </row>
    <row r="172" ht="15.75" customHeight="1">
      <c r="A172" s="401"/>
      <c r="B172" s="401"/>
      <c r="C172" s="401"/>
      <c r="D172" s="401"/>
      <c r="E172" s="401"/>
      <c r="F172" s="401"/>
      <c r="G172" s="401"/>
      <c r="H172" s="401"/>
      <c r="I172" s="381"/>
      <c r="J172" s="381"/>
      <c r="K172" s="381"/>
      <c r="L172" s="381"/>
      <c r="M172" s="381"/>
      <c r="N172" s="381"/>
      <c r="O172" s="381"/>
      <c r="P172" s="401"/>
      <c r="Q172" s="401"/>
      <c r="R172" s="401"/>
      <c r="S172" s="401"/>
      <c r="T172" s="401"/>
      <c r="U172" s="401"/>
      <c r="V172" s="401"/>
      <c r="W172" s="401"/>
      <c r="X172" s="401"/>
      <c r="Y172" s="401"/>
      <c r="Z172" s="401"/>
      <c r="AA172" s="401"/>
      <c r="AB172" s="401"/>
      <c r="AC172" s="401"/>
      <c r="AD172" s="401"/>
      <c r="AE172" s="401"/>
      <c r="AF172" s="401"/>
      <c r="AG172" s="401"/>
      <c r="AH172" s="401"/>
      <c r="AI172" s="401"/>
      <c r="AJ172" s="401"/>
      <c r="AK172" s="401"/>
      <c r="AL172" s="401"/>
      <c r="AM172" s="401"/>
      <c r="AN172" s="401"/>
      <c r="AO172" s="401"/>
      <c r="AP172" s="401"/>
      <c r="AQ172" s="401"/>
      <c r="AR172" s="401"/>
      <c r="AS172" s="401"/>
      <c r="AT172" s="401"/>
      <c r="AU172" s="401"/>
      <c r="AV172" s="401"/>
      <c r="AW172" s="401"/>
      <c r="AX172" s="401"/>
      <c r="AY172" s="401"/>
      <c r="AZ172" s="401"/>
      <c r="BA172" s="401"/>
      <c r="BB172" s="401"/>
      <c r="BC172" s="401"/>
      <c r="BD172" s="401"/>
      <c r="BE172" s="401"/>
      <c r="BF172" s="401"/>
      <c r="BG172" s="401"/>
      <c r="BH172" s="401"/>
      <c r="BI172" s="401"/>
      <c r="BJ172" s="401"/>
      <c r="BK172" s="401"/>
      <c r="BL172" s="401"/>
      <c r="BM172" s="401"/>
      <c r="BN172" s="401"/>
      <c r="BO172" s="401"/>
      <c r="BP172" s="401"/>
      <c r="BQ172" s="401"/>
      <c r="BR172" s="401"/>
      <c r="BS172" s="401"/>
      <c r="BT172" s="401"/>
      <c r="BU172" s="401"/>
      <c r="BV172" s="401"/>
      <c r="BW172" s="401"/>
      <c r="BX172" s="401"/>
      <c r="BY172" s="401"/>
      <c r="BZ172" s="401"/>
    </row>
    <row r="173" ht="15.75" customHeight="1">
      <c r="A173" s="401"/>
      <c r="B173" s="401"/>
      <c r="C173" s="401"/>
      <c r="D173" s="401"/>
      <c r="E173" s="401"/>
      <c r="F173" s="401"/>
      <c r="G173" s="401"/>
      <c r="H173" s="401"/>
      <c r="I173" s="381"/>
      <c r="J173" s="381"/>
      <c r="K173" s="381"/>
      <c r="L173" s="381"/>
      <c r="M173" s="381"/>
      <c r="N173" s="381"/>
      <c r="O173" s="381"/>
      <c r="P173" s="401"/>
      <c r="Q173" s="401"/>
      <c r="R173" s="401"/>
      <c r="S173" s="401"/>
      <c r="T173" s="401"/>
      <c r="U173" s="401"/>
      <c r="V173" s="401"/>
      <c r="W173" s="401"/>
      <c r="X173" s="401"/>
      <c r="Y173" s="401"/>
      <c r="Z173" s="401"/>
      <c r="AA173" s="401"/>
      <c r="AB173" s="401"/>
      <c r="AC173" s="401"/>
      <c r="AD173" s="401"/>
      <c r="AE173" s="401"/>
      <c r="AF173" s="401"/>
      <c r="AG173" s="401"/>
      <c r="AH173" s="401"/>
      <c r="AI173" s="401"/>
      <c r="AJ173" s="401"/>
      <c r="AK173" s="401"/>
      <c r="AL173" s="401"/>
      <c r="AM173" s="401"/>
      <c r="AN173" s="401"/>
      <c r="AO173" s="401"/>
      <c r="AP173" s="401"/>
      <c r="AQ173" s="401"/>
      <c r="AR173" s="401"/>
      <c r="AS173" s="401"/>
      <c r="AT173" s="401"/>
      <c r="AU173" s="401"/>
      <c r="AV173" s="401"/>
      <c r="AW173" s="401"/>
      <c r="AX173" s="401"/>
      <c r="AY173" s="401"/>
      <c r="AZ173" s="401"/>
      <c r="BA173" s="401"/>
      <c r="BB173" s="401"/>
      <c r="BC173" s="401"/>
      <c r="BD173" s="401"/>
      <c r="BE173" s="401"/>
      <c r="BF173" s="401"/>
      <c r="BG173" s="401"/>
      <c r="BH173" s="401"/>
      <c r="BI173" s="401"/>
      <c r="BJ173" s="401"/>
      <c r="BK173" s="401"/>
      <c r="BL173" s="401"/>
      <c r="BM173" s="401"/>
      <c r="BN173" s="401"/>
      <c r="BO173" s="401"/>
      <c r="BP173" s="401"/>
      <c r="BQ173" s="401"/>
      <c r="BR173" s="401"/>
      <c r="BS173" s="401"/>
      <c r="BT173" s="401"/>
      <c r="BU173" s="401"/>
      <c r="BV173" s="401"/>
      <c r="BW173" s="401"/>
      <c r="BX173" s="401"/>
      <c r="BY173" s="401"/>
      <c r="BZ173" s="401"/>
    </row>
    <row r="174" ht="15.75" customHeight="1">
      <c r="A174" s="401"/>
      <c r="B174" s="401"/>
      <c r="C174" s="401"/>
      <c r="D174" s="401"/>
      <c r="E174" s="401"/>
      <c r="F174" s="401"/>
      <c r="G174" s="401"/>
      <c r="H174" s="401"/>
      <c r="I174" s="381"/>
      <c r="J174" s="381"/>
      <c r="K174" s="381"/>
      <c r="L174" s="381"/>
      <c r="M174" s="381"/>
      <c r="N174" s="381"/>
      <c r="O174" s="381"/>
      <c r="P174" s="401"/>
      <c r="Q174" s="401"/>
      <c r="R174" s="401"/>
      <c r="S174" s="401"/>
      <c r="T174" s="401"/>
      <c r="U174" s="401"/>
      <c r="V174" s="401"/>
      <c r="W174" s="401"/>
      <c r="X174" s="401"/>
      <c r="Y174" s="401"/>
      <c r="Z174" s="401"/>
      <c r="AA174" s="401"/>
      <c r="AB174" s="401"/>
      <c r="AC174" s="401"/>
      <c r="AD174" s="401"/>
      <c r="AE174" s="401"/>
      <c r="AF174" s="401"/>
      <c r="AG174" s="401"/>
      <c r="AH174" s="401"/>
      <c r="AI174" s="401"/>
      <c r="AJ174" s="401"/>
      <c r="AK174" s="401"/>
      <c r="AL174" s="401"/>
      <c r="AM174" s="401"/>
      <c r="AN174" s="401"/>
      <c r="AO174" s="401"/>
      <c r="AP174" s="401"/>
      <c r="AQ174" s="401"/>
      <c r="AR174" s="401"/>
      <c r="AS174" s="401"/>
      <c r="AT174" s="401"/>
      <c r="AU174" s="401"/>
      <c r="AV174" s="401"/>
      <c r="AW174" s="401"/>
      <c r="AX174" s="401"/>
      <c r="AY174" s="401"/>
      <c r="AZ174" s="401"/>
      <c r="BA174" s="401"/>
      <c r="BB174" s="401"/>
      <c r="BC174" s="401"/>
      <c r="BD174" s="401"/>
      <c r="BE174" s="401"/>
      <c r="BF174" s="401"/>
      <c r="BG174" s="401"/>
      <c r="BH174" s="401"/>
      <c r="BI174" s="401"/>
      <c r="BJ174" s="401"/>
      <c r="BK174" s="401"/>
      <c r="BL174" s="401"/>
      <c r="BM174" s="401"/>
      <c r="BN174" s="401"/>
      <c r="BO174" s="401"/>
      <c r="BP174" s="401"/>
      <c r="BQ174" s="401"/>
      <c r="BR174" s="401"/>
      <c r="BS174" s="401"/>
      <c r="BT174" s="401"/>
      <c r="BU174" s="401"/>
      <c r="BV174" s="401"/>
      <c r="BW174" s="401"/>
      <c r="BX174" s="401"/>
      <c r="BY174" s="401"/>
      <c r="BZ174" s="401"/>
    </row>
    <row r="175" ht="15.75" customHeight="1">
      <c r="A175" s="401"/>
      <c r="B175" s="401"/>
      <c r="C175" s="401"/>
      <c r="D175" s="401"/>
      <c r="E175" s="401"/>
      <c r="F175" s="401"/>
      <c r="G175" s="401"/>
      <c r="H175" s="401"/>
      <c r="I175" s="381"/>
      <c r="J175" s="381"/>
      <c r="K175" s="381"/>
      <c r="L175" s="381"/>
      <c r="M175" s="381"/>
      <c r="N175" s="381"/>
      <c r="O175" s="381"/>
      <c r="P175" s="401"/>
      <c r="Q175" s="401"/>
      <c r="R175" s="401"/>
      <c r="S175" s="401"/>
      <c r="T175" s="401"/>
      <c r="U175" s="401"/>
      <c r="V175" s="401"/>
      <c r="W175" s="401"/>
      <c r="X175" s="401"/>
      <c r="Y175" s="401"/>
      <c r="Z175" s="401"/>
      <c r="AA175" s="401"/>
      <c r="AB175" s="401"/>
      <c r="AC175" s="401"/>
      <c r="AD175" s="401"/>
      <c r="AE175" s="401"/>
      <c r="AF175" s="401"/>
      <c r="AG175" s="401"/>
      <c r="AH175" s="401"/>
      <c r="AI175" s="401"/>
      <c r="AJ175" s="401"/>
      <c r="AK175" s="401"/>
      <c r="AL175" s="401"/>
      <c r="AM175" s="401"/>
      <c r="AN175" s="401"/>
      <c r="AO175" s="401"/>
      <c r="AP175" s="401"/>
      <c r="AQ175" s="401"/>
      <c r="AR175" s="401"/>
      <c r="AS175" s="401"/>
      <c r="AT175" s="401"/>
      <c r="AU175" s="401"/>
      <c r="AV175" s="401"/>
      <c r="AW175" s="401"/>
      <c r="AX175" s="401"/>
      <c r="AY175" s="401"/>
      <c r="AZ175" s="401"/>
      <c r="BA175" s="401"/>
      <c r="BB175" s="401"/>
      <c r="BC175" s="401"/>
      <c r="BD175" s="401"/>
      <c r="BE175" s="401"/>
      <c r="BF175" s="401"/>
      <c r="BG175" s="401"/>
      <c r="BH175" s="401"/>
      <c r="BI175" s="401"/>
      <c r="BJ175" s="401"/>
      <c r="BK175" s="401"/>
      <c r="BL175" s="401"/>
      <c r="BM175" s="401"/>
      <c r="BN175" s="401"/>
      <c r="BO175" s="401"/>
      <c r="BP175" s="401"/>
      <c r="BQ175" s="401"/>
      <c r="BR175" s="401"/>
      <c r="BS175" s="401"/>
      <c r="BT175" s="401"/>
      <c r="BU175" s="401"/>
      <c r="BV175" s="401"/>
      <c r="BW175" s="401"/>
      <c r="BX175" s="401"/>
      <c r="BY175" s="401"/>
      <c r="BZ175" s="401"/>
    </row>
    <row r="176" ht="15.75" customHeight="1">
      <c r="A176" s="401"/>
      <c r="B176" s="401"/>
      <c r="C176" s="401"/>
      <c r="D176" s="401"/>
      <c r="E176" s="401"/>
      <c r="F176" s="401"/>
      <c r="G176" s="401"/>
      <c r="H176" s="401"/>
      <c r="I176" s="381"/>
      <c r="J176" s="381"/>
      <c r="K176" s="381"/>
      <c r="L176" s="381"/>
      <c r="M176" s="381"/>
      <c r="N176" s="381"/>
      <c r="O176" s="381"/>
      <c r="P176" s="401"/>
      <c r="Q176" s="401"/>
      <c r="R176" s="401"/>
      <c r="S176" s="401"/>
      <c r="T176" s="401"/>
      <c r="U176" s="401"/>
      <c r="V176" s="401"/>
      <c r="W176" s="401"/>
      <c r="X176" s="401"/>
      <c r="Y176" s="401"/>
      <c r="Z176" s="401"/>
      <c r="AA176" s="401"/>
      <c r="AB176" s="401"/>
      <c r="AC176" s="401"/>
      <c r="AD176" s="401"/>
      <c r="AE176" s="401"/>
      <c r="AF176" s="401"/>
      <c r="AG176" s="401"/>
      <c r="AH176" s="401"/>
      <c r="AI176" s="401"/>
      <c r="AJ176" s="401"/>
      <c r="AK176" s="401"/>
      <c r="AL176" s="401"/>
      <c r="AM176" s="401"/>
      <c r="AN176" s="401"/>
      <c r="AO176" s="401"/>
      <c r="AP176" s="401"/>
      <c r="AQ176" s="401"/>
      <c r="AR176" s="401"/>
      <c r="AS176" s="401"/>
      <c r="AT176" s="401"/>
      <c r="AU176" s="401"/>
      <c r="AV176" s="401"/>
      <c r="AW176" s="401"/>
      <c r="AX176" s="401"/>
      <c r="AY176" s="401"/>
      <c r="AZ176" s="401"/>
      <c r="BA176" s="401"/>
      <c r="BB176" s="401"/>
      <c r="BC176" s="401"/>
      <c r="BD176" s="401"/>
      <c r="BE176" s="401"/>
      <c r="BF176" s="401"/>
      <c r="BG176" s="401"/>
      <c r="BH176" s="401"/>
      <c r="BI176" s="401"/>
      <c r="BJ176" s="401"/>
      <c r="BK176" s="401"/>
      <c r="BL176" s="401"/>
      <c r="BM176" s="401"/>
      <c r="BN176" s="401"/>
      <c r="BO176" s="401"/>
      <c r="BP176" s="401"/>
      <c r="BQ176" s="401"/>
      <c r="BR176" s="401"/>
      <c r="BS176" s="401"/>
      <c r="BT176" s="401"/>
      <c r="BU176" s="401"/>
      <c r="BV176" s="401"/>
      <c r="BW176" s="401"/>
      <c r="BX176" s="401"/>
      <c r="BY176" s="401"/>
      <c r="BZ176" s="401"/>
    </row>
    <row r="177" ht="15.75" customHeight="1">
      <c r="A177" s="401"/>
      <c r="B177" s="401"/>
      <c r="C177" s="401"/>
      <c r="D177" s="401"/>
      <c r="E177" s="401"/>
      <c r="F177" s="401"/>
      <c r="G177" s="401"/>
      <c r="H177" s="401"/>
      <c r="I177" s="381"/>
      <c r="J177" s="381"/>
      <c r="K177" s="381"/>
      <c r="L177" s="381"/>
      <c r="M177" s="381"/>
      <c r="N177" s="381"/>
      <c r="O177" s="381"/>
      <c r="P177" s="401"/>
      <c r="Q177" s="401"/>
      <c r="R177" s="401"/>
      <c r="S177" s="401"/>
      <c r="T177" s="401"/>
      <c r="U177" s="401"/>
      <c r="V177" s="401"/>
      <c r="W177" s="401"/>
      <c r="X177" s="401"/>
      <c r="Y177" s="401"/>
      <c r="Z177" s="401"/>
      <c r="AA177" s="401"/>
      <c r="AB177" s="401"/>
      <c r="AC177" s="401"/>
      <c r="AD177" s="401"/>
      <c r="AE177" s="401"/>
      <c r="AF177" s="401"/>
      <c r="AG177" s="401"/>
      <c r="AH177" s="401"/>
      <c r="AI177" s="401"/>
      <c r="AJ177" s="401"/>
      <c r="AK177" s="401"/>
      <c r="AL177" s="401"/>
      <c r="AM177" s="401"/>
      <c r="AN177" s="401"/>
      <c r="AO177" s="401"/>
      <c r="AP177" s="401"/>
      <c r="AQ177" s="401"/>
      <c r="AR177" s="401"/>
      <c r="AS177" s="401"/>
      <c r="AT177" s="401"/>
      <c r="AU177" s="401"/>
      <c r="AV177" s="401"/>
      <c r="AW177" s="401"/>
      <c r="AX177" s="401"/>
      <c r="AY177" s="401"/>
      <c r="AZ177" s="401"/>
      <c r="BA177" s="401"/>
      <c r="BB177" s="401"/>
      <c r="BC177" s="401"/>
      <c r="BD177" s="401"/>
      <c r="BE177" s="401"/>
      <c r="BF177" s="401"/>
      <c r="BG177" s="401"/>
      <c r="BH177" s="401"/>
      <c r="BI177" s="401"/>
      <c r="BJ177" s="401"/>
      <c r="BK177" s="401"/>
      <c r="BL177" s="401"/>
      <c r="BM177" s="401"/>
      <c r="BN177" s="401"/>
      <c r="BO177" s="401"/>
      <c r="BP177" s="401"/>
      <c r="BQ177" s="401"/>
      <c r="BR177" s="401"/>
      <c r="BS177" s="401"/>
      <c r="BT177" s="401"/>
      <c r="BU177" s="401"/>
      <c r="BV177" s="401"/>
      <c r="BW177" s="401"/>
      <c r="BX177" s="401"/>
      <c r="BY177" s="401"/>
      <c r="BZ177" s="401"/>
    </row>
    <row r="178" ht="15.75" customHeight="1">
      <c r="A178" s="401"/>
      <c r="B178" s="401"/>
      <c r="C178" s="401"/>
      <c r="D178" s="401"/>
      <c r="E178" s="401"/>
      <c r="F178" s="401"/>
      <c r="G178" s="401"/>
      <c r="H178" s="401"/>
      <c r="I178" s="381"/>
      <c r="J178" s="381"/>
      <c r="K178" s="381"/>
      <c r="L178" s="381"/>
      <c r="M178" s="381"/>
      <c r="N178" s="381"/>
      <c r="O178" s="381"/>
      <c r="P178" s="401"/>
      <c r="Q178" s="401"/>
      <c r="R178" s="401"/>
      <c r="S178" s="401"/>
      <c r="T178" s="401"/>
      <c r="U178" s="401"/>
      <c r="V178" s="401"/>
      <c r="W178" s="401"/>
      <c r="X178" s="401"/>
      <c r="Y178" s="401"/>
      <c r="Z178" s="401"/>
      <c r="AA178" s="401"/>
      <c r="AB178" s="401"/>
      <c r="AC178" s="401"/>
      <c r="AD178" s="401"/>
      <c r="AE178" s="401"/>
      <c r="AF178" s="401"/>
      <c r="AG178" s="401"/>
      <c r="AH178" s="401"/>
      <c r="AI178" s="401"/>
      <c r="AJ178" s="401"/>
      <c r="AK178" s="401"/>
      <c r="AL178" s="401"/>
      <c r="AM178" s="401"/>
      <c r="AN178" s="401"/>
      <c r="AO178" s="401"/>
      <c r="AP178" s="401"/>
      <c r="AQ178" s="401"/>
      <c r="AR178" s="401"/>
      <c r="AS178" s="401"/>
      <c r="AT178" s="401"/>
      <c r="AU178" s="401"/>
      <c r="AV178" s="401"/>
      <c r="AW178" s="401"/>
      <c r="AX178" s="401"/>
      <c r="AY178" s="401"/>
      <c r="AZ178" s="401"/>
      <c r="BA178" s="401"/>
      <c r="BB178" s="401"/>
      <c r="BC178" s="401"/>
      <c r="BD178" s="401"/>
      <c r="BE178" s="401"/>
      <c r="BF178" s="401"/>
      <c r="BG178" s="401"/>
      <c r="BH178" s="401"/>
      <c r="BI178" s="401"/>
      <c r="BJ178" s="401"/>
      <c r="BK178" s="401"/>
      <c r="BL178" s="401"/>
      <c r="BM178" s="401"/>
      <c r="BN178" s="401"/>
      <c r="BO178" s="401"/>
      <c r="BP178" s="401"/>
      <c r="BQ178" s="401"/>
      <c r="BR178" s="401"/>
      <c r="BS178" s="401"/>
      <c r="BT178" s="401"/>
      <c r="BU178" s="401"/>
      <c r="BV178" s="401"/>
      <c r="BW178" s="401"/>
      <c r="BX178" s="401"/>
      <c r="BY178" s="401"/>
      <c r="BZ178" s="401"/>
    </row>
    <row r="179" ht="15.75" customHeight="1">
      <c r="A179" s="401"/>
      <c r="B179" s="401"/>
      <c r="C179" s="401"/>
      <c r="D179" s="401"/>
      <c r="E179" s="401"/>
      <c r="F179" s="401"/>
      <c r="G179" s="401"/>
      <c r="H179" s="401"/>
      <c r="I179" s="381"/>
      <c r="J179" s="381"/>
      <c r="K179" s="381"/>
      <c r="L179" s="381"/>
      <c r="M179" s="381"/>
      <c r="N179" s="381"/>
      <c r="O179" s="381"/>
      <c r="P179" s="401"/>
      <c r="Q179" s="401"/>
      <c r="R179" s="401"/>
      <c r="S179" s="401"/>
      <c r="T179" s="401"/>
      <c r="U179" s="401"/>
      <c r="V179" s="401"/>
      <c r="W179" s="401"/>
      <c r="X179" s="401"/>
      <c r="Y179" s="401"/>
      <c r="Z179" s="401"/>
      <c r="AA179" s="401"/>
      <c r="AB179" s="401"/>
      <c r="AC179" s="401"/>
      <c r="AD179" s="401"/>
      <c r="AE179" s="401"/>
      <c r="AF179" s="401"/>
      <c r="AG179" s="401"/>
      <c r="AH179" s="401"/>
      <c r="AI179" s="401"/>
      <c r="AJ179" s="401"/>
      <c r="AK179" s="401"/>
      <c r="AL179" s="401"/>
      <c r="AM179" s="401"/>
      <c r="AN179" s="401"/>
      <c r="AO179" s="401"/>
      <c r="AP179" s="401"/>
      <c r="AQ179" s="401"/>
      <c r="AR179" s="401"/>
      <c r="AS179" s="401"/>
      <c r="AT179" s="401"/>
      <c r="AU179" s="401"/>
      <c r="AV179" s="401"/>
      <c r="AW179" s="401"/>
      <c r="AX179" s="401"/>
      <c r="AY179" s="401"/>
      <c r="AZ179" s="401"/>
      <c r="BA179" s="401"/>
      <c r="BB179" s="401"/>
      <c r="BC179" s="401"/>
      <c r="BD179" s="401"/>
      <c r="BE179" s="401"/>
      <c r="BF179" s="401"/>
      <c r="BG179" s="401"/>
      <c r="BH179" s="401"/>
      <c r="BI179" s="401"/>
      <c r="BJ179" s="401"/>
      <c r="BK179" s="401"/>
      <c r="BL179" s="401"/>
      <c r="BM179" s="401"/>
      <c r="BN179" s="401"/>
      <c r="BO179" s="401"/>
      <c r="BP179" s="401"/>
      <c r="BQ179" s="401"/>
      <c r="BR179" s="401"/>
      <c r="BS179" s="401"/>
      <c r="BT179" s="401"/>
      <c r="BU179" s="401"/>
      <c r="BV179" s="401"/>
      <c r="BW179" s="401"/>
      <c r="BX179" s="401"/>
      <c r="BY179" s="401"/>
      <c r="BZ179" s="401"/>
    </row>
    <row r="180" ht="15.75" customHeight="1">
      <c r="A180" s="401"/>
      <c r="B180" s="401"/>
      <c r="C180" s="401"/>
      <c r="D180" s="401"/>
      <c r="E180" s="401"/>
      <c r="F180" s="401"/>
      <c r="G180" s="401"/>
      <c r="H180" s="401"/>
      <c r="I180" s="381"/>
      <c r="J180" s="381"/>
      <c r="K180" s="381"/>
      <c r="L180" s="381"/>
      <c r="M180" s="381"/>
      <c r="N180" s="381"/>
      <c r="O180" s="381"/>
      <c r="P180" s="401"/>
      <c r="Q180" s="401"/>
      <c r="R180" s="401"/>
      <c r="S180" s="401"/>
      <c r="T180" s="401"/>
      <c r="U180" s="401"/>
      <c r="V180" s="401"/>
      <c r="W180" s="401"/>
      <c r="X180" s="401"/>
      <c r="Y180" s="401"/>
      <c r="Z180" s="401"/>
      <c r="AA180" s="401"/>
      <c r="AB180" s="401"/>
      <c r="AC180" s="401"/>
      <c r="AD180" s="401"/>
      <c r="AE180" s="401"/>
      <c r="AF180" s="401"/>
      <c r="AG180" s="401"/>
      <c r="AH180" s="401"/>
      <c r="AI180" s="401"/>
      <c r="AJ180" s="401"/>
      <c r="AK180" s="401"/>
      <c r="AL180" s="401"/>
      <c r="AM180" s="401"/>
      <c r="AN180" s="401"/>
      <c r="AO180" s="401"/>
      <c r="AP180" s="401"/>
      <c r="AQ180" s="401"/>
      <c r="AR180" s="401"/>
      <c r="AS180" s="401"/>
      <c r="AT180" s="401"/>
      <c r="AU180" s="401"/>
      <c r="AV180" s="401"/>
      <c r="AW180" s="401"/>
      <c r="AX180" s="401"/>
      <c r="AY180" s="401"/>
      <c r="AZ180" s="401"/>
      <c r="BA180" s="401"/>
      <c r="BB180" s="401"/>
      <c r="BC180" s="401"/>
      <c r="BD180" s="401"/>
      <c r="BE180" s="401"/>
      <c r="BF180" s="401"/>
      <c r="BG180" s="401"/>
      <c r="BH180" s="401"/>
      <c r="BI180" s="401"/>
      <c r="BJ180" s="401"/>
      <c r="BK180" s="401"/>
      <c r="BL180" s="401"/>
      <c r="BM180" s="401"/>
      <c r="BN180" s="401"/>
      <c r="BO180" s="401"/>
      <c r="BP180" s="401"/>
      <c r="BQ180" s="401"/>
      <c r="BR180" s="401"/>
      <c r="BS180" s="401"/>
      <c r="BT180" s="401"/>
      <c r="BU180" s="401"/>
      <c r="BV180" s="401"/>
      <c r="BW180" s="401"/>
      <c r="BX180" s="401"/>
      <c r="BY180" s="401"/>
      <c r="BZ180" s="401"/>
    </row>
    <row r="181" ht="15.75" customHeight="1">
      <c r="A181" s="401"/>
      <c r="B181" s="401"/>
      <c r="C181" s="401"/>
      <c r="D181" s="401"/>
      <c r="E181" s="401"/>
      <c r="F181" s="401"/>
      <c r="G181" s="401"/>
      <c r="H181" s="401"/>
      <c r="I181" s="381"/>
      <c r="J181" s="381"/>
      <c r="K181" s="381"/>
      <c r="L181" s="381"/>
      <c r="M181" s="381"/>
      <c r="N181" s="381"/>
      <c r="O181" s="381"/>
      <c r="P181" s="401"/>
      <c r="Q181" s="401"/>
      <c r="R181" s="401"/>
      <c r="S181" s="401"/>
      <c r="T181" s="401"/>
      <c r="U181" s="401"/>
      <c r="V181" s="401"/>
      <c r="W181" s="401"/>
      <c r="X181" s="401"/>
      <c r="Y181" s="401"/>
      <c r="Z181" s="401"/>
      <c r="AA181" s="401"/>
      <c r="AB181" s="401"/>
      <c r="AC181" s="401"/>
      <c r="AD181" s="401"/>
      <c r="AE181" s="401"/>
      <c r="AF181" s="401"/>
      <c r="AG181" s="401"/>
      <c r="AH181" s="401"/>
      <c r="AI181" s="401"/>
      <c r="AJ181" s="401"/>
      <c r="AK181" s="401"/>
      <c r="AL181" s="401"/>
      <c r="AM181" s="401"/>
      <c r="AN181" s="401"/>
      <c r="AO181" s="401"/>
      <c r="AP181" s="401"/>
      <c r="AQ181" s="401"/>
      <c r="AR181" s="401"/>
      <c r="AS181" s="401"/>
      <c r="AT181" s="401"/>
      <c r="AU181" s="401"/>
      <c r="AV181" s="401"/>
      <c r="AW181" s="401"/>
      <c r="AX181" s="401"/>
      <c r="AY181" s="401"/>
      <c r="AZ181" s="401"/>
      <c r="BA181" s="401"/>
      <c r="BB181" s="401"/>
      <c r="BC181" s="401"/>
      <c r="BD181" s="401"/>
      <c r="BE181" s="401"/>
      <c r="BF181" s="401"/>
      <c r="BG181" s="401"/>
      <c r="BH181" s="401"/>
      <c r="BI181" s="401"/>
      <c r="BJ181" s="401"/>
      <c r="BK181" s="401"/>
      <c r="BL181" s="401"/>
      <c r="BM181" s="401"/>
      <c r="BN181" s="401"/>
      <c r="BO181" s="401"/>
      <c r="BP181" s="401"/>
      <c r="BQ181" s="401"/>
      <c r="BR181" s="401"/>
      <c r="BS181" s="401"/>
      <c r="BT181" s="401"/>
      <c r="BU181" s="401"/>
      <c r="BV181" s="401"/>
      <c r="BW181" s="401"/>
      <c r="BX181" s="401"/>
      <c r="BY181" s="401"/>
      <c r="BZ181" s="401"/>
    </row>
    <row r="182" ht="15.75" customHeight="1">
      <c r="A182" s="401"/>
      <c r="B182" s="401"/>
      <c r="C182" s="401"/>
      <c r="D182" s="401"/>
      <c r="E182" s="401"/>
      <c r="F182" s="401"/>
      <c r="G182" s="401"/>
      <c r="H182" s="401"/>
      <c r="I182" s="381"/>
      <c r="J182" s="381"/>
      <c r="K182" s="381"/>
      <c r="L182" s="381"/>
      <c r="M182" s="381"/>
      <c r="N182" s="381"/>
      <c r="O182" s="381"/>
      <c r="P182" s="401"/>
      <c r="Q182" s="401"/>
      <c r="R182" s="401"/>
      <c r="S182" s="401"/>
      <c r="T182" s="401"/>
      <c r="U182" s="401"/>
      <c r="V182" s="401"/>
      <c r="W182" s="401"/>
      <c r="X182" s="401"/>
      <c r="Y182" s="401"/>
      <c r="Z182" s="401"/>
      <c r="AA182" s="401"/>
      <c r="AB182" s="401"/>
      <c r="AC182" s="401"/>
      <c r="AD182" s="401"/>
      <c r="AE182" s="401"/>
      <c r="AF182" s="401"/>
      <c r="AG182" s="401"/>
      <c r="AH182" s="401"/>
      <c r="AI182" s="401"/>
      <c r="AJ182" s="401"/>
      <c r="AK182" s="401"/>
      <c r="AL182" s="401"/>
      <c r="AM182" s="401"/>
      <c r="AN182" s="401"/>
      <c r="AO182" s="401"/>
      <c r="AP182" s="401"/>
      <c r="AQ182" s="401"/>
      <c r="AR182" s="401"/>
      <c r="AS182" s="401"/>
      <c r="AT182" s="401"/>
      <c r="AU182" s="401"/>
      <c r="AV182" s="401"/>
      <c r="AW182" s="401"/>
      <c r="AX182" s="401"/>
      <c r="AY182" s="401"/>
      <c r="AZ182" s="401"/>
      <c r="BA182" s="401"/>
      <c r="BB182" s="401"/>
      <c r="BC182" s="401"/>
      <c r="BD182" s="401"/>
      <c r="BE182" s="401"/>
      <c r="BF182" s="401"/>
      <c r="BG182" s="401"/>
      <c r="BH182" s="401"/>
      <c r="BI182" s="401"/>
      <c r="BJ182" s="401"/>
      <c r="BK182" s="401"/>
      <c r="BL182" s="401"/>
      <c r="BM182" s="401"/>
      <c r="BN182" s="401"/>
      <c r="BO182" s="401"/>
      <c r="BP182" s="401"/>
      <c r="BQ182" s="401"/>
      <c r="BR182" s="401"/>
      <c r="BS182" s="401"/>
      <c r="BT182" s="401"/>
      <c r="BU182" s="401"/>
      <c r="BV182" s="401"/>
      <c r="BW182" s="401"/>
      <c r="BX182" s="401"/>
      <c r="BY182" s="401"/>
      <c r="BZ182" s="401"/>
    </row>
    <row r="183" ht="15.75" customHeight="1">
      <c r="A183" s="401"/>
      <c r="B183" s="401"/>
      <c r="C183" s="401"/>
      <c r="D183" s="401"/>
      <c r="E183" s="401"/>
      <c r="F183" s="401"/>
      <c r="G183" s="401"/>
      <c r="H183" s="401"/>
      <c r="I183" s="381"/>
      <c r="J183" s="381"/>
      <c r="K183" s="381"/>
      <c r="L183" s="381"/>
      <c r="M183" s="381"/>
      <c r="N183" s="381"/>
      <c r="O183" s="381"/>
      <c r="P183" s="401"/>
      <c r="Q183" s="401"/>
      <c r="R183" s="401"/>
      <c r="S183" s="401"/>
      <c r="T183" s="401"/>
      <c r="U183" s="401"/>
      <c r="V183" s="401"/>
      <c r="W183" s="401"/>
      <c r="X183" s="401"/>
      <c r="Y183" s="401"/>
      <c r="Z183" s="401"/>
      <c r="AA183" s="401"/>
      <c r="AB183" s="401"/>
      <c r="AC183" s="401"/>
      <c r="AD183" s="401"/>
      <c r="AE183" s="401"/>
      <c r="AF183" s="401"/>
      <c r="AG183" s="401"/>
      <c r="AH183" s="401"/>
      <c r="AI183" s="401"/>
      <c r="AJ183" s="401"/>
      <c r="AK183" s="401"/>
      <c r="AL183" s="401"/>
      <c r="AM183" s="401"/>
      <c r="AN183" s="401"/>
      <c r="AO183" s="401"/>
      <c r="AP183" s="401"/>
      <c r="AQ183" s="401"/>
      <c r="AR183" s="401"/>
      <c r="AS183" s="401"/>
      <c r="AT183" s="401"/>
      <c r="AU183" s="401"/>
      <c r="AV183" s="401"/>
      <c r="AW183" s="401"/>
      <c r="AX183" s="401"/>
      <c r="AY183" s="401"/>
      <c r="AZ183" s="401"/>
      <c r="BA183" s="401"/>
      <c r="BB183" s="401"/>
      <c r="BC183" s="401"/>
      <c r="BD183" s="401"/>
      <c r="BE183" s="401"/>
      <c r="BF183" s="401"/>
      <c r="BG183" s="401"/>
      <c r="BH183" s="401"/>
      <c r="BI183" s="401"/>
      <c r="BJ183" s="401"/>
      <c r="BK183" s="401"/>
      <c r="BL183" s="401"/>
      <c r="BM183" s="401"/>
      <c r="BN183" s="401"/>
      <c r="BO183" s="401"/>
      <c r="BP183" s="401"/>
      <c r="BQ183" s="401"/>
      <c r="BR183" s="401"/>
      <c r="BS183" s="401"/>
      <c r="BT183" s="401"/>
      <c r="BU183" s="401"/>
      <c r="BV183" s="401"/>
      <c r="BW183" s="401"/>
      <c r="BX183" s="401"/>
      <c r="BY183" s="401"/>
      <c r="BZ183" s="401"/>
    </row>
    <row r="184" ht="15.75" customHeight="1">
      <c r="A184" s="401"/>
      <c r="B184" s="401"/>
      <c r="C184" s="401"/>
      <c r="D184" s="401"/>
      <c r="E184" s="401"/>
      <c r="F184" s="401"/>
      <c r="G184" s="401"/>
      <c r="H184" s="401"/>
      <c r="I184" s="381"/>
      <c r="J184" s="381"/>
      <c r="K184" s="381"/>
      <c r="L184" s="381"/>
      <c r="M184" s="381"/>
      <c r="N184" s="381"/>
      <c r="O184" s="381"/>
      <c r="P184" s="401"/>
      <c r="Q184" s="401"/>
      <c r="R184" s="401"/>
      <c r="S184" s="401"/>
      <c r="T184" s="401"/>
      <c r="U184" s="401"/>
      <c r="V184" s="401"/>
      <c r="W184" s="401"/>
      <c r="X184" s="401"/>
      <c r="Y184" s="401"/>
      <c r="Z184" s="401"/>
      <c r="AA184" s="401"/>
      <c r="AB184" s="401"/>
      <c r="AC184" s="401"/>
      <c r="AD184" s="401"/>
      <c r="AE184" s="401"/>
      <c r="AF184" s="401"/>
      <c r="AG184" s="401"/>
      <c r="AH184" s="401"/>
      <c r="AI184" s="401"/>
      <c r="AJ184" s="401"/>
      <c r="AK184" s="401"/>
      <c r="AL184" s="401"/>
      <c r="AM184" s="401"/>
      <c r="AN184" s="401"/>
      <c r="AO184" s="401"/>
      <c r="AP184" s="401"/>
      <c r="AQ184" s="401"/>
      <c r="AR184" s="401"/>
      <c r="AS184" s="401"/>
      <c r="AT184" s="401"/>
      <c r="AU184" s="401"/>
      <c r="AV184" s="401"/>
      <c r="AW184" s="401"/>
      <c r="AX184" s="401"/>
      <c r="AY184" s="401"/>
      <c r="AZ184" s="401"/>
      <c r="BA184" s="401"/>
      <c r="BB184" s="401"/>
      <c r="BC184" s="401"/>
      <c r="BD184" s="401"/>
      <c r="BE184" s="401"/>
      <c r="BF184" s="401"/>
      <c r="BG184" s="401"/>
      <c r="BH184" s="401"/>
      <c r="BI184" s="401"/>
      <c r="BJ184" s="401"/>
      <c r="BK184" s="401"/>
      <c r="BL184" s="401"/>
      <c r="BM184" s="401"/>
      <c r="BN184" s="401"/>
      <c r="BO184" s="401"/>
      <c r="BP184" s="401"/>
      <c r="BQ184" s="401"/>
      <c r="BR184" s="401"/>
      <c r="BS184" s="401"/>
      <c r="BT184" s="401"/>
      <c r="BU184" s="401"/>
      <c r="BV184" s="401"/>
      <c r="BW184" s="401"/>
      <c r="BX184" s="401"/>
      <c r="BY184" s="401"/>
      <c r="BZ184" s="401"/>
    </row>
    <row r="185" ht="15.75" customHeight="1">
      <c r="A185" s="401"/>
      <c r="B185" s="401"/>
      <c r="C185" s="401"/>
      <c r="D185" s="401"/>
      <c r="E185" s="401"/>
      <c r="F185" s="401"/>
      <c r="G185" s="401"/>
      <c r="H185" s="401"/>
      <c r="I185" s="381"/>
      <c r="J185" s="381"/>
      <c r="K185" s="381"/>
      <c r="L185" s="381"/>
      <c r="M185" s="381"/>
      <c r="N185" s="381"/>
      <c r="O185" s="381"/>
      <c r="P185" s="401"/>
      <c r="Q185" s="401"/>
      <c r="R185" s="401"/>
      <c r="S185" s="401"/>
      <c r="T185" s="401"/>
      <c r="U185" s="401"/>
      <c r="V185" s="401"/>
      <c r="W185" s="401"/>
      <c r="X185" s="401"/>
      <c r="Y185" s="401"/>
      <c r="Z185" s="401"/>
      <c r="AA185" s="401"/>
      <c r="AB185" s="401"/>
      <c r="AC185" s="401"/>
      <c r="AD185" s="401"/>
      <c r="AE185" s="401"/>
      <c r="AF185" s="401"/>
      <c r="AG185" s="401"/>
      <c r="AH185" s="401"/>
      <c r="AI185" s="401"/>
      <c r="AJ185" s="401"/>
      <c r="AK185" s="401"/>
      <c r="AL185" s="401"/>
      <c r="AM185" s="401"/>
      <c r="AN185" s="401"/>
      <c r="AO185" s="401"/>
      <c r="AP185" s="401"/>
      <c r="AQ185" s="401"/>
      <c r="AR185" s="401"/>
      <c r="AS185" s="401"/>
      <c r="AT185" s="401"/>
      <c r="AU185" s="401"/>
      <c r="AV185" s="401"/>
      <c r="AW185" s="401"/>
      <c r="AX185" s="401"/>
      <c r="AY185" s="401"/>
      <c r="AZ185" s="401"/>
      <c r="BA185" s="401"/>
      <c r="BB185" s="401"/>
      <c r="BC185" s="401"/>
      <c r="BD185" s="401"/>
      <c r="BE185" s="401"/>
      <c r="BF185" s="401"/>
      <c r="BG185" s="401"/>
      <c r="BH185" s="401"/>
      <c r="BI185" s="401"/>
      <c r="BJ185" s="401"/>
      <c r="BK185" s="401"/>
      <c r="BL185" s="401"/>
      <c r="BM185" s="401"/>
      <c r="BN185" s="401"/>
      <c r="BO185" s="401"/>
      <c r="BP185" s="401"/>
      <c r="BQ185" s="401"/>
      <c r="BR185" s="401"/>
      <c r="BS185" s="401"/>
      <c r="BT185" s="401"/>
      <c r="BU185" s="401"/>
      <c r="BV185" s="401"/>
      <c r="BW185" s="401"/>
      <c r="BX185" s="401"/>
      <c r="BY185" s="401"/>
      <c r="BZ185" s="401"/>
    </row>
    <row r="186" ht="15.75" customHeight="1">
      <c r="A186" s="401"/>
      <c r="B186" s="401"/>
      <c r="C186" s="401"/>
      <c r="D186" s="401"/>
      <c r="E186" s="401"/>
      <c r="F186" s="401"/>
      <c r="G186" s="401"/>
      <c r="H186" s="401"/>
      <c r="I186" s="381"/>
      <c r="J186" s="381"/>
      <c r="K186" s="381"/>
      <c r="L186" s="381"/>
      <c r="M186" s="381"/>
      <c r="N186" s="381"/>
      <c r="O186" s="381"/>
      <c r="P186" s="401"/>
      <c r="Q186" s="401"/>
      <c r="R186" s="401"/>
      <c r="S186" s="401"/>
      <c r="T186" s="401"/>
      <c r="U186" s="401"/>
      <c r="V186" s="401"/>
      <c r="W186" s="401"/>
      <c r="X186" s="401"/>
      <c r="Y186" s="401"/>
      <c r="Z186" s="401"/>
      <c r="AA186" s="401"/>
      <c r="AB186" s="401"/>
      <c r="AC186" s="401"/>
      <c r="AD186" s="401"/>
      <c r="AE186" s="401"/>
      <c r="AF186" s="401"/>
      <c r="AG186" s="401"/>
      <c r="AH186" s="401"/>
      <c r="AI186" s="401"/>
      <c r="AJ186" s="401"/>
      <c r="AK186" s="401"/>
      <c r="AL186" s="401"/>
      <c r="AM186" s="401"/>
      <c r="AN186" s="401"/>
      <c r="AO186" s="401"/>
      <c r="AP186" s="401"/>
      <c r="AQ186" s="401"/>
      <c r="AR186" s="401"/>
      <c r="AS186" s="401"/>
      <c r="AT186" s="401"/>
      <c r="AU186" s="401"/>
      <c r="AV186" s="401"/>
      <c r="AW186" s="401"/>
      <c r="AX186" s="401"/>
      <c r="AY186" s="401"/>
      <c r="AZ186" s="401"/>
      <c r="BA186" s="401"/>
      <c r="BB186" s="401"/>
      <c r="BC186" s="401"/>
      <c r="BD186" s="401"/>
      <c r="BE186" s="401"/>
      <c r="BF186" s="401"/>
      <c r="BG186" s="401"/>
      <c r="BH186" s="401"/>
      <c r="BI186" s="401"/>
      <c r="BJ186" s="401"/>
      <c r="BK186" s="401"/>
      <c r="BL186" s="401"/>
      <c r="BM186" s="401"/>
      <c r="BN186" s="401"/>
      <c r="BO186" s="401"/>
      <c r="BP186" s="401"/>
      <c r="BQ186" s="401"/>
      <c r="BR186" s="401"/>
      <c r="BS186" s="401"/>
      <c r="BT186" s="401"/>
      <c r="BU186" s="401"/>
      <c r="BV186" s="401"/>
      <c r="BW186" s="401"/>
      <c r="BX186" s="401"/>
      <c r="BY186" s="401"/>
      <c r="BZ186" s="401"/>
    </row>
    <row r="187" ht="15.75" customHeight="1">
      <c r="A187" s="401"/>
      <c r="B187" s="401"/>
      <c r="C187" s="401"/>
      <c r="D187" s="401"/>
      <c r="E187" s="401"/>
      <c r="F187" s="401"/>
      <c r="G187" s="401"/>
      <c r="H187" s="401"/>
      <c r="I187" s="381"/>
      <c r="J187" s="381"/>
      <c r="K187" s="381"/>
      <c r="L187" s="381"/>
      <c r="M187" s="381"/>
      <c r="N187" s="381"/>
      <c r="O187" s="381"/>
      <c r="P187" s="401"/>
      <c r="Q187" s="401"/>
      <c r="R187" s="401"/>
      <c r="S187" s="401"/>
      <c r="T187" s="401"/>
      <c r="U187" s="401"/>
      <c r="V187" s="401"/>
      <c r="W187" s="401"/>
      <c r="X187" s="401"/>
      <c r="Y187" s="401"/>
      <c r="Z187" s="401"/>
      <c r="AA187" s="401"/>
      <c r="AB187" s="401"/>
      <c r="AC187" s="401"/>
      <c r="AD187" s="401"/>
      <c r="AE187" s="401"/>
      <c r="AF187" s="401"/>
      <c r="AG187" s="401"/>
      <c r="AH187" s="401"/>
      <c r="AI187" s="401"/>
      <c r="AJ187" s="401"/>
      <c r="AK187" s="401"/>
      <c r="AL187" s="401"/>
      <c r="AM187" s="401"/>
      <c r="AN187" s="401"/>
      <c r="AO187" s="401"/>
      <c r="AP187" s="401"/>
      <c r="AQ187" s="401"/>
      <c r="AR187" s="401"/>
      <c r="AS187" s="401"/>
      <c r="AT187" s="401"/>
      <c r="AU187" s="401"/>
      <c r="AV187" s="401"/>
      <c r="AW187" s="401"/>
      <c r="AX187" s="401"/>
      <c r="AY187" s="401"/>
      <c r="AZ187" s="401"/>
      <c r="BA187" s="401"/>
      <c r="BB187" s="401"/>
      <c r="BC187" s="401"/>
      <c r="BD187" s="401"/>
      <c r="BE187" s="401"/>
      <c r="BF187" s="401"/>
      <c r="BG187" s="401"/>
      <c r="BH187" s="401"/>
      <c r="BI187" s="401"/>
      <c r="BJ187" s="401"/>
      <c r="BK187" s="401"/>
      <c r="BL187" s="401"/>
      <c r="BM187" s="401"/>
      <c r="BN187" s="401"/>
      <c r="BO187" s="401"/>
      <c r="BP187" s="401"/>
      <c r="BQ187" s="401"/>
      <c r="BR187" s="401"/>
      <c r="BS187" s="401"/>
      <c r="BT187" s="401"/>
      <c r="BU187" s="401"/>
      <c r="BV187" s="401"/>
      <c r="BW187" s="401"/>
      <c r="BX187" s="401"/>
      <c r="BY187" s="401"/>
      <c r="BZ187" s="401"/>
    </row>
    <row r="188" ht="15.75" customHeight="1">
      <c r="A188" s="401"/>
      <c r="B188" s="401"/>
      <c r="C188" s="401"/>
      <c r="D188" s="401"/>
      <c r="E188" s="401"/>
      <c r="F188" s="401"/>
      <c r="G188" s="401"/>
      <c r="H188" s="401"/>
      <c r="I188" s="381"/>
      <c r="J188" s="381"/>
      <c r="K188" s="381"/>
      <c r="L188" s="381"/>
      <c r="M188" s="381"/>
      <c r="N188" s="381"/>
      <c r="O188" s="381"/>
      <c r="P188" s="401"/>
      <c r="Q188" s="401"/>
      <c r="R188" s="401"/>
      <c r="S188" s="401"/>
      <c r="T188" s="401"/>
      <c r="U188" s="401"/>
      <c r="V188" s="401"/>
      <c r="W188" s="401"/>
      <c r="X188" s="401"/>
      <c r="Y188" s="401"/>
      <c r="Z188" s="401"/>
      <c r="AA188" s="401"/>
      <c r="AB188" s="401"/>
      <c r="AC188" s="401"/>
      <c r="AD188" s="401"/>
      <c r="AE188" s="401"/>
      <c r="AF188" s="401"/>
      <c r="AG188" s="401"/>
      <c r="AH188" s="401"/>
      <c r="AI188" s="401"/>
      <c r="AJ188" s="401"/>
      <c r="AK188" s="401"/>
      <c r="AL188" s="401"/>
      <c r="AM188" s="401"/>
      <c r="AN188" s="401"/>
      <c r="AO188" s="401"/>
      <c r="AP188" s="401"/>
      <c r="AQ188" s="401"/>
      <c r="AR188" s="401"/>
      <c r="AS188" s="401"/>
      <c r="AT188" s="401"/>
      <c r="AU188" s="401"/>
      <c r="AV188" s="401"/>
      <c r="AW188" s="401"/>
      <c r="AX188" s="401"/>
      <c r="AY188" s="401"/>
      <c r="AZ188" s="401"/>
      <c r="BA188" s="401"/>
      <c r="BB188" s="401"/>
      <c r="BC188" s="401"/>
      <c r="BD188" s="401"/>
      <c r="BE188" s="401"/>
      <c r="BF188" s="401"/>
      <c r="BG188" s="401"/>
      <c r="BH188" s="401"/>
      <c r="BI188" s="401"/>
      <c r="BJ188" s="401"/>
      <c r="BK188" s="401"/>
      <c r="BL188" s="401"/>
      <c r="BM188" s="401"/>
      <c r="BN188" s="401"/>
      <c r="BO188" s="401"/>
      <c r="BP188" s="401"/>
      <c r="BQ188" s="401"/>
      <c r="BR188" s="401"/>
      <c r="BS188" s="401"/>
      <c r="BT188" s="401"/>
      <c r="BU188" s="401"/>
      <c r="BV188" s="401"/>
      <c r="BW188" s="401"/>
      <c r="BX188" s="401"/>
      <c r="BY188" s="401"/>
      <c r="BZ188" s="401"/>
    </row>
    <row r="189" ht="15.75" customHeight="1">
      <c r="A189" s="401"/>
      <c r="B189" s="401"/>
      <c r="C189" s="401"/>
      <c r="D189" s="401"/>
      <c r="E189" s="401"/>
      <c r="F189" s="401"/>
      <c r="G189" s="401"/>
      <c r="H189" s="401"/>
      <c r="I189" s="381"/>
      <c r="J189" s="381"/>
      <c r="K189" s="381"/>
      <c r="L189" s="381"/>
      <c r="M189" s="381"/>
      <c r="N189" s="381"/>
      <c r="O189" s="381"/>
      <c r="P189" s="401"/>
      <c r="Q189" s="401"/>
      <c r="R189" s="401"/>
      <c r="S189" s="401"/>
      <c r="T189" s="401"/>
      <c r="U189" s="401"/>
      <c r="V189" s="401"/>
      <c r="W189" s="401"/>
      <c r="X189" s="401"/>
      <c r="Y189" s="401"/>
      <c r="Z189" s="401"/>
      <c r="AA189" s="401"/>
      <c r="AB189" s="401"/>
      <c r="AC189" s="401"/>
      <c r="AD189" s="401"/>
      <c r="AE189" s="401"/>
      <c r="AF189" s="401"/>
      <c r="AG189" s="401"/>
      <c r="AH189" s="401"/>
      <c r="AI189" s="401"/>
      <c r="AJ189" s="401"/>
      <c r="AK189" s="401"/>
      <c r="AL189" s="401"/>
      <c r="AM189" s="401"/>
      <c r="AN189" s="401"/>
      <c r="AO189" s="401"/>
      <c r="AP189" s="401"/>
      <c r="AQ189" s="401"/>
      <c r="AR189" s="401"/>
      <c r="AS189" s="401"/>
      <c r="AT189" s="401"/>
      <c r="AU189" s="401"/>
      <c r="AV189" s="401"/>
      <c r="AW189" s="401"/>
      <c r="AX189" s="401"/>
      <c r="AY189" s="401"/>
      <c r="AZ189" s="401"/>
      <c r="BA189" s="401"/>
      <c r="BB189" s="401"/>
      <c r="BC189" s="401"/>
      <c r="BD189" s="401"/>
      <c r="BE189" s="401"/>
      <c r="BF189" s="401"/>
      <c r="BG189" s="401"/>
      <c r="BH189" s="401"/>
      <c r="BI189" s="401"/>
      <c r="BJ189" s="401"/>
      <c r="BK189" s="401"/>
      <c r="BL189" s="401"/>
      <c r="BM189" s="401"/>
      <c r="BN189" s="401"/>
      <c r="BO189" s="401"/>
      <c r="BP189" s="401"/>
      <c r="BQ189" s="401"/>
      <c r="BR189" s="401"/>
      <c r="BS189" s="401"/>
      <c r="BT189" s="401"/>
      <c r="BU189" s="401"/>
      <c r="BV189" s="401"/>
      <c r="BW189" s="401"/>
      <c r="BX189" s="401"/>
      <c r="BY189" s="401"/>
      <c r="BZ189" s="401"/>
    </row>
    <row r="190" ht="15.75" customHeight="1">
      <c r="A190" s="401"/>
      <c r="B190" s="401"/>
      <c r="C190" s="401"/>
      <c r="D190" s="401"/>
      <c r="E190" s="401"/>
      <c r="F190" s="401"/>
      <c r="G190" s="401"/>
      <c r="H190" s="401"/>
      <c r="I190" s="381"/>
      <c r="J190" s="381"/>
      <c r="K190" s="381"/>
      <c r="L190" s="381"/>
      <c r="M190" s="381"/>
      <c r="N190" s="381"/>
      <c r="O190" s="381"/>
      <c r="P190" s="401"/>
      <c r="Q190" s="401"/>
      <c r="R190" s="401"/>
      <c r="S190" s="401"/>
      <c r="T190" s="401"/>
      <c r="U190" s="401"/>
      <c r="V190" s="401"/>
      <c r="W190" s="401"/>
      <c r="X190" s="401"/>
      <c r="Y190" s="401"/>
      <c r="Z190" s="401"/>
      <c r="AA190" s="401"/>
      <c r="AB190" s="401"/>
      <c r="AC190" s="401"/>
      <c r="AD190" s="401"/>
      <c r="AE190" s="401"/>
      <c r="AF190" s="401"/>
      <c r="AG190" s="401"/>
      <c r="AH190" s="401"/>
      <c r="AI190" s="401"/>
      <c r="AJ190" s="401"/>
      <c r="AK190" s="401"/>
      <c r="AL190" s="401"/>
      <c r="AM190" s="401"/>
      <c r="AN190" s="401"/>
      <c r="AO190" s="401"/>
      <c r="AP190" s="401"/>
      <c r="AQ190" s="401"/>
      <c r="AR190" s="401"/>
      <c r="AS190" s="401"/>
      <c r="AT190" s="401"/>
      <c r="AU190" s="401"/>
      <c r="AV190" s="401"/>
      <c r="AW190" s="401"/>
      <c r="AX190" s="401"/>
      <c r="AY190" s="401"/>
      <c r="AZ190" s="401"/>
      <c r="BA190" s="401"/>
      <c r="BB190" s="401"/>
      <c r="BC190" s="401"/>
      <c r="BD190" s="401"/>
      <c r="BE190" s="401"/>
      <c r="BF190" s="401"/>
      <c r="BG190" s="401"/>
      <c r="BH190" s="401"/>
      <c r="BI190" s="401"/>
      <c r="BJ190" s="401"/>
      <c r="BK190" s="401"/>
      <c r="BL190" s="401"/>
      <c r="BM190" s="401"/>
      <c r="BN190" s="401"/>
      <c r="BO190" s="401"/>
      <c r="BP190" s="401"/>
      <c r="BQ190" s="401"/>
      <c r="BR190" s="401"/>
      <c r="BS190" s="401"/>
      <c r="BT190" s="401"/>
      <c r="BU190" s="401"/>
      <c r="BV190" s="401"/>
      <c r="BW190" s="401"/>
      <c r="BX190" s="401"/>
      <c r="BY190" s="401"/>
      <c r="BZ190" s="401"/>
    </row>
    <row r="191" ht="15.75" customHeight="1">
      <c r="A191" s="401"/>
      <c r="B191" s="401"/>
      <c r="C191" s="401"/>
      <c r="D191" s="401"/>
      <c r="E191" s="401"/>
      <c r="F191" s="401"/>
      <c r="G191" s="401"/>
      <c r="H191" s="401"/>
      <c r="I191" s="381"/>
      <c r="J191" s="381"/>
      <c r="K191" s="381"/>
      <c r="L191" s="381"/>
      <c r="M191" s="381"/>
      <c r="N191" s="381"/>
      <c r="O191" s="381"/>
      <c r="P191" s="401"/>
      <c r="Q191" s="401"/>
      <c r="R191" s="401"/>
      <c r="S191" s="401"/>
      <c r="T191" s="401"/>
      <c r="U191" s="401"/>
      <c r="V191" s="401"/>
      <c r="W191" s="401"/>
      <c r="X191" s="401"/>
      <c r="Y191" s="401"/>
      <c r="Z191" s="401"/>
      <c r="AA191" s="401"/>
      <c r="AB191" s="401"/>
      <c r="AC191" s="401"/>
      <c r="AD191" s="401"/>
      <c r="AE191" s="401"/>
      <c r="AF191" s="401"/>
      <c r="AG191" s="401"/>
      <c r="AH191" s="401"/>
      <c r="AI191" s="401"/>
      <c r="AJ191" s="401"/>
      <c r="AK191" s="401"/>
      <c r="AL191" s="401"/>
      <c r="AM191" s="401"/>
      <c r="AN191" s="401"/>
      <c r="AO191" s="401"/>
      <c r="AP191" s="401"/>
      <c r="AQ191" s="401"/>
      <c r="AR191" s="401"/>
      <c r="AS191" s="401"/>
      <c r="AT191" s="401"/>
      <c r="AU191" s="401"/>
      <c r="AV191" s="401"/>
      <c r="AW191" s="401"/>
      <c r="AX191" s="401"/>
      <c r="AY191" s="401"/>
      <c r="AZ191" s="401"/>
      <c r="BA191" s="401"/>
      <c r="BB191" s="401"/>
      <c r="BC191" s="401"/>
      <c r="BD191" s="401"/>
      <c r="BE191" s="401"/>
      <c r="BF191" s="401"/>
      <c r="BG191" s="401"/>
      <c r="BH191" s="401"/>
      <c r="BI191" s="401"/>
      <c r="BJ191" s="401"/>
      <c r="BK191" s="401"/>
      <c r="BL191" s="401"/>
      <c r="BM191" s="401"/>
      <c r="BN191" s="401"/>
      <c r="BO191" s="401"/>
      <c r="BP191" s="401"/>
      <c r="BQ191" s="401"/>
      <c r="BR191" s="401"/>
      <c r="BS191" s="401"/>
      <c r="BT191" s="401"/>
      <c r="BU191" s="401"/>
      <c r="BV191" s="401"/>
      <c r="BW191" s="401"/>
      <c r="BX191" s="401"/>
      <c r="BY191" s="401"/>
      <c r="BZ191" s="401"/>
    </row>
    <row r="192" ht="15.75" customHeight="1">
      <c r="A192" s="401"/>
      <c r="B192" s="401"/>
      <c r="C192" s="401"/>
      <c r="D192" s="401"/>
      <c r="E192" s="401"/>
      <c r="F192" s="401"/>
      <c r="G192" s="401"/>
      <c r="H192" s="401"/>
      <c r="I192" s="381"/>
      <c r="J192" s="381"/>
      <c r="K192" s="381"/>
      <c r="L192" s="381"/>
      <c r="M192" s="381"/>
      <c r="N192" s="381"/>
      <c r="O192" s="381"/>
      <c r="P192" s="401"/>
      <c r="Q192" s="401"/>
      <c r="R192" s="401"/>
      <c r="S192" s="401"/>
      <c r="T192" s="401"/>
      <c r="U192" s="401"/>
      <c r="V192" s="401"/>
      <c r="W192" s="401"/>
      <c r="X192" s="401"/>
      <c r="Y192" s="401"/>
      <c r="Z192" s="401"/>
      <c r="AA192" s="401"/>
      <c r="AB192" s="401"/>
      <c r="AC192" s="401"/>
      <c r="AD192" s="401"/>
      <c r="AE192" s="401"/>
      <c r="AF192" s="401"/>
      <c r="AG192" s="401"/>
      <c r="AH192" s="401"/>
      <c r="AI192" s="401"/>
      <c r="AJ192" s="401"/>
      <c r="AK192" s="401"/>
      <c r="AL192" s="401"/>
      <c r="AM192" s="401"/>
      <c r="AN192" s="401"/>
      <c r="AO192" s="401"/>
      <c r="AP192" s="401"/>
      <c r="AQ192" s="401"/>
      <c r="AR192" s="401"/>
      <c r="AS192" s="401"/>
      <c r="AT192" s="401"/>
      <c r="AU192" s="401"/>
      <c r="AV192" s="401"/>
      <c r="AW192" s="401"/>
      <c r="AX192" s="401"/>
      <c r="AY192" s="401"/>
      <c r="AZ192" s="401"/>
      <c r="BA192" s="401"/>
      <c r="BB192" s="401"/>
      <c r="BC192" s="401"/>
      <c r="BD192" s="401"/>
      <c r="BE192" s="401"/>
      <c r="BF192" s="401"/>
      <c r="BG192" s="401"/>
      <c r="BH192" s="401"/>
      <c r="BI192" s="401"/>
      <c r="BJ192" s="401"/>
      <c r="BK192" s="401"/>
      <c r="BL192" s="401"/>
      <c r="BM192" s="401"/>
      <c r="BN192" s="401"/>
      <c r="BO192" s="401"/>
      <c r="BP192" s="401"/>
      <c r="BQ192" s="401"/>
      <c r="BR192" s="401"/>
      <c r="BS192" s="401"/>
      <c r="BT192" s="401"/>
      <c r="BU192" s="401"/>
      <c r="BV192" s="401"/>
      <c r="BW192" s="401"/>
      <c r="BX192" s="401"/>
      <c r="BY192" s="401"/>
      <c r="BZ192" s="401"/>
    </row>
    <row r="193" ht="15.75" customHeight="1">
      <c r="A193" s="401"/>
      <c r="B193" s="401"/>
      <c r="C193" s="401"/>
      <c r="D193" s="401"/>
      <c r="E193" s="401"/>
      <c r="F193" s="401"/>
      <c r="G193" s="401"/>
      <c r="H193" s="401"/>
      <c r="I193" s="381"/>
      <c r="J193" s="381"/>
      <c r="K193" s="381"/>
      <c r="L193" s="381"/>
      <c r="M193" s="381"/>
      <c r="N193" s="381"/>
      <c r="O193" s="381"/>
      <c r="P193" s="401"/>
      <c r="Q193" s="401"/>
      <c r="R193" s="401"/>
      <c r="S193" s="401"/>
      <c r="T193" s="401"/>
      <c r="U193" s="401"/>
      <c r="V193" s="401"/>
      <c r="W193" s="401"/>
      <c r="X193" s="401"/>
      <c r="Y193" s="401"/>
      <c r="Z193" s="401"/>
      <c r="AA193" s="401"/>
      <c r="AB193" s="401"/>
      <c r="AC193" s="401"/>
      <c r="AD193" s="401"/>
      <c r="AE193" s="401"/>
      <c r="AF193" s="401"/>
      <c r="AG193" s="401"/>
      <c r="AH193" s="401"/>
      <c r="AI193" s="401"/>
      <c r="AJ193" s="401"/>
      <c r="AK193" s="401"/>
      <c r="AL193" s="401"/>
      <c r="AM193" s="401"/>
      <c r="AN193" s="401"/>
      <c r="AO193" s="401"/>
      <c r="AP193" s="401"/>
      <c r="AQ193" s="401"/>
      <c r="AR193" s="401"/>
      <c r="AS193" s="401"/>
      <c r="AT193" s="401"/>
      <c r="AU193" s="401"/>
      <c r="AV193" s="401"/>
      <c r="AW193" s="401"/>
      <c r="AX193" s="401"/>
      <c r="AY193" s="401"/>
      <c r="AZ193" s="401"/>
      <c r="BA193" s="401"/>
      <c r="BB193" s="401"/>
      <c r="BC193" s="401"/>
      <c r="BD193" s="401"/>
      <c r="BE193" s="401"/>
      <c r="BF193" s="401"/>
      <c r="BG193" s="401"/>
      <c r="BH193" s="401"/>
      <c r="BI193" s="401"/>
      <c r="BJ193" s="401"/>
      <c r="BK193" s="401"/>
      <c r="BL193" s="401"/>
      <c r="BM193" s="401"/>
      <c r="BN193" s="401"/>
      <c r="BO193" s="401"/>
      <c r="BP193" s="401"/>
      <c r="BQ193" s="401"/>
      <c r="BR193" s="401"/>
      <c r="BS193" s="401"/>
      <c r="BT193" s="401"/>
      <c r="BU193" s="401"/>
      <c r="BV193" s="401"/>
      <c r="BW193" s="401"/>
      <c r="BX193" s="401"/>
      <c r="BY193" s="401"/>
      <c r="BZ193" s="401"/>
    </row>
    <row r="194" ht="15.75" customHeight="1">
      <c r="A194" s="401"/>
      <c r="B194" s="401"/>
      <c r="C194" s="401"/>
      <c r="D194" s="401"/>
      <c r="E194" s="401"/>
      <c r="F194" s="401"/>
      <c r="G194" s="401"/>
      <c r="H194" s="401"/>
      <c r="I194" s="381"/>
      <c r="J194" s="381"/>
      <c r="K194" s="381"/>
      <c r="L194" s="381"/>
      <c r="M194" s="381"/>
      <c r="N194" s="381"/>
      <c r="O194" s="381"/>
      <c r="P194" s="401"/>
      <c r="Q194" s="401"/>
      <c r="R194" s="401"/>
      <c r="S194" s="401"/>
      <c r="T194" s="401"/>
      <c r="U194" s="401"/>
      <c r="V194" s="401"/>
      <c r="W194" s="401"/>
      <c r="X194" s="401"/>
      <c r="Y194" s="401"/>
      <c r="Z194" s="401"/>
      <c r="AA194" s="401"/>
      <c r="AB194" s="401"/>
      <c r="AC194" s="401"/>
      <c r="AD194" s="401"/>
      <c r="AE194" s="401"/>
      <c r="AF194" s="401"/>
      <c r="AG194" s="401"/>
      <c r="AH194" s="401"/>
      <c r="AI194" s="401"/>
      <c r="AJ194" s="401"/>
      <c r="AK194" s="401"/>
      <c r="AL194" s="401"/>
      <c r="AM194" s="401"/>
      <c r="AN194" s="401"/>
      <c r="AO194" s="401"/>
      <c r="AP194" s="401"/>
      <c r="AQ194" s="401"/>
      <c r="AR194" s="401"/>
      <c r="AS194" s="401"/>
      <c r="AT194" s="401"/>
      <c r="AU194" s="401"/>
      <c r="AV194" s="401"/>
      <c r="AW194" s="401"/>
      <c r="AX194" s="401"/>
      <c r="AY194" s="401"/>
      <c r="AZ194" s="401"/>
      <c r="BA194" s="401"/>
      <c r="BB194" s="401"/>
      <c r="BC194" s="401"/>
      <c r="BD194" s="401"/>
      <c r="BE194" s="401"/>
      <c r="BF194" s="401"/>
      <c r="BG194" s="401"/>
      <c r="BH194" s="401"/>
      <c r="BI194" s="401"/>
      <c r="BJ194" s="401"/>
      <c r="BK194" s="401"/>
      <c r="BL194" s="401"/>
      <c r="BM194" s="401"/>
      <c r="BN194" s="401"/>
      <c r="BO194" s="401"/>
      <c r="BP194" s="401"/>
      <c r="BQ194" s="401"/>
      <c r="BR194" s="401"/>
      <c r="BS194" s="401"/>
      <c r="BT194" s="401"/>
      <c r="BU194" s="401"/>
      <c r="BV194" s="401"/>
      <c r="BW194" s="401"/>
      <c r="BX194" s="401"/>
      <c r="BY194" s="401"/>
      <c r="BZ194" s="401"/>
    </row>
    <row r="195" ht="15.75" customHeight="1">
      <c r="A195" s="401"/>
      <c r="B195" s="401"/>
      <c r="C195" s="401"/>
      <c r="D195" s="401"/>
      <c r="E195" s="401"/>
      <c r="F195" s="401"/>
      <c r="G195" s="401"/>
      <c r="H195" s="401"/>
      <c r="I195" s="381"/>
      <c r="J195" s="381"/>
      <c r="K195" s="381"/>
      <c r="L195" s="381"/>
      <c r="M195" s="381"/>
      <c r="N195" s="381"/>
      <c r="O195" s="381"/>
      <c r="P195" s="401"/>
      <c r="Q195" s="401"/>
      <c r="R195" s="401"/>
      <c r="S195" s="401"/>
      <c r="T195" s="401"/>
      <c r="U195" s="401"/>
      <c r="V195" s="401"/>
      <c r="W195" s="401"/>
      <c r="X195" s="401"/>
      <c r="Y195" s="401"/>
      <c r="Z195" s="401"/>
      <c r="AA195" s="401"/>
      <c r="AB195" s="401"/>
      <c r="AC195" s="401"/>
      <c r="AD195" s="401"/>
      <c r="AE195" s="401"/>
      <c r="AF195" s="401"/>
      <c r="AG195" s="401"/>
      <c r="AH195" s="401"/>
      <c r="AI195" s="401"/>
      <c r="AJ195" s="401"/>
      <c r="AK195" s="401"/>
      <c r="AL195" s="401"/>
      <c r="AM195" s="401"/>
      <c r="AN195" s="401"/>
      <c r="AO195" s="401"/>
      <c r="AP195" s="401"/>
      <c r="AQ195" s="401"/>
      <c r="AR195" s="401"/>
      <c r="AS195" s="401"/>
      <c r="AT195" s="401"/>
      <c r="AU195" s="401"/>
      <c r="AV195" s="401"/>
      <c r="AW195" s="401"/>
      <c r="AX195" s="401"/>
      <c r="AY195" s="401"/>
      <c r="AZ195" s="401"/>
      <c r="BA195" s="401"/>
      <c r="BB195" s="401"/>
      <c r="BC195" s="401"/>
      <c r="BD195" s="401"/>
      <c r="BE195" s="401"/>
      <c r="BF195" s="401"/>
      <c r="BG195" s="401"/>
      <c r="BH195" s="401"/>
      <c r="BI195" s="401"/>
      <c r="BJ195" s="401"/>
      <c r="BK195" s="401"/>
      <c r="BL195" s="401"/>
      <c r="BM195" s="401"/>
      <c r="BN195" s="401"/>
      <c r="BO195" s="401"/>
      <c r="BP195" s="401"/>
      <c r="BQ195" s="401"/>
      <c r="BR195" s="401"/>
      <c r="BS195" s="401"/>
      <c r="BT195" s="401"/>
      <c r="BU195" s="401"/>
      <c r="BV195" s="401"/>
      <c r="BW195" s="401"/>
      <c r="BX195" s="401"/>
      <c r="BY195" s="401"/>
      <c r="BZ195" s="401"/>
    </row>
    <row r="196" ht="15.75" customHeight="1">
      <c r="A196" s="401"/>
      <c r="B196" s="401"/>
      <c r="C196" s="401"/>
      <c r="D196" s="401"/>
      <c r="E196" s="401"/>
      <c r="F196" s="401"/>
      <c r="G196" s="401"/>
      <c r="H196" s="401"/>
      <c r="I196" s="381"/>
      <c r="J196" s="381"/>
      <c r="K196" s="381"/>
      <c r="L196" s="381"/>
      <c r="M196" s="381"/>
      <c r="N196" s="381"/>
      <c r="O196" s="381"/>
      <c r="P196" s="401"/>
      <c r="Q196" s="401"/>
      <c r="R196" s="401"/>
      <c r="S196" s="401"/>
      <c r="T196" s="401"/>
      <c r="U196" s="401"/>
      <c r="V196" s="401"/>
      <c r="W196" s="401"/>
      <c r="X196" s="401"/>
      <c r="Y196" s="401"/>
      <c r="Z196" s="401"/>
      <c r="AA196" s="401"/>
      <c r="AB196" s="401"/>
      <c r="AC196" s="401"/>
      <c r="AD196" s="401"/>
      <c r="AE196" s="401"/>
      <c r="AF196" s="401"/>
      <c r="AG196" s="401"/>
      <c r="AH196" s="401"/>
      <c r="AI196" s="401"/>
      <c r="AJ196" s="401"/>
      <c r="AK196" s="401"/>
      <c r="AL196" s="401"/>
      <c r="AM196" s="401"/>
      <c r="AN196" s="401"/>
      <c r="AO196" s="401"/>
      <c r="AP196" s="401"/>
      <c r="AQ196" s="401"/>
      <c r="AR196" s="401"/>
      <c r="AS196" s="401"/>
      <c r="AT196" s="401"/>
      <c r="AU196" s="401"/>
      <c r="AV196" s="401"/>
      <c r="AW196" s="401"/>
      <c r="AX196" s="401"/>
      <c r="AY196" s="401"/>
      <c r="AZ196" s="401"/>
      <c r="BA196" s="401"/>
      <c r="BB196" s="401"/>
      <c r="BC196" s="401"/>
      <c r="BD196" s="401"/>
      <c r="BE196" s="401"/>
      <c r="BF196" s="401"/>
      <c r="BG196" s="401"/>
      <c r="BH196" s="401"/>
      <c r="BI196" s="401"/>
      <c r="BJ196" s="401"/>
      <c r="BK196" s="401"/>
      <c r="BL196" s="401"/>
      <c r="BM196" s="401"/>
      <c r="BN196" s="401"/>
      <c r="BO196" s="401"/>
      <c r="BP196" s="401"/>
      <c r="BQ196" s="401"/>
      <c r="BR196" s="401"/>
      <c r="BS196" s="401"/>
      <c r="BT196" s="401"/>
      <c r="BU196" s="401"/>
      <c r="BV196" s="401"/>
      <c r="BW196" s="401"/>
      <c r="BX196" s="401"/>
      <c r="BY196" s="401"/>
      <c r="BZ196" s="401"/>
    </row>
    <row r="197" ht="15.75" customHeight="1">
      <c r="A197" s="401"/>
      <c r="B197" s="401"/>
      <c r="C197" s="401"/>
      <c r="D197" s="401"/>
      <c r="E197" s="401"/>
      <c r="F197" s="401"/>
      <c r="G197" s="401"/>
      <c r="H197" s="401"/>
      <c r="I197" s="381"/>
      <c r="J197" s="381"/>
      <c r="K197" s="381"/>
      <c r="L197" s="381"/>
      <c r="M197" s="381"/>
      <c r="N197" s="381"/>
      <c r="O197" s="381"/>
      <c r="P197" s="401"/>
      <c r="Q197" s="401"/>
      <c r="R197" s="401"/>
      <c r="S197" s="401"/>
      <c r="T197" s="401"/>
      <c r="U197" s="401"/>
      <c r="V197" s="401"/>
      <c r="W197" s="401"/>
      <c r="X197" s="401"/>
      <c r="Y197" s="401"/>
      <c r="Z197" s="401"/>
      <c r="AA197" s="401"/>
      <c r="AB197" s="401"/>
      <c r="AC197" s="401"/>
      <c r="AD197" s="401"/>
      <c r="AE197" s="401"/>
      <c r="AF197" s="401"/>
      <c r="AG197" s="401"/>
      <c r="AH197" s="401"/>
      <c r="AI197" s="401"/>
      <c r="AJ197" s="401"/>
      <c r="AK197" s="401"/>
      <c r="AL197" s="401"/>
      <c r="AM197" s="401"/>
      <c r="AN197" s="401"/>
      <c r="AO197" s="401"/>
      <c r="AP197" s="401"/>
      <c r="AQ197" s="401"/>
      <c r="AR197" s="401"/>
      <c r="AS197" s="401"/>
      <c r="AT197" s="401"/>
      <c r="AU197" s="401"/>
      <c r="AV197" s="401"/>
      <c r="AW197" s="401"/>
      <c r="AX197" s="401"/>
      <c r="AY197" s="401"/>
      <c r="AZ197" s="401"/>
      <c r="BA197" s="401"/>
      <c r="BB197" s="401"/>
      <c r="BC197" s="401"/>
      <c r="BD197" s="401"/>
      <c r="BE197" s="401"/>
      <c r="BF197" s="401"/>
      <c r="BG197" s="401"/>
      <c r="BH197" s="401"/>
      <c r="BI197" s="401"/>
      <c r="BJ197" s="401"/>
      <c r="BK197" s="401"/>
      <c r="BL197" s="401"/>
      <c r="BM197" s="401"/>
      <c r="BN197" s="401"/>
      <c r="BO197" s="401"/>
      <c r="BP197" s="401"/>
      <c r="BQ197" s="401"/>
      <c r="BR197" s="401"/>
      <c r="BS197" s="401"/>
      <c r="BT197" s="401"/>
      <c r="BU197" s="401"/>
      <c r="BV197" s="401"/>
      <c r="BW197" s="401"/>
      <c r="BX197" s="401"/>
      <c r="BY197" s="401"/>
      <c r="BZ197" s="401"/>
    </row>
    <row r="198" ht="15.75" customHeight="1">
      <c r="A198" s="401"/>
      <c r="B198" s="401"/>
      <c r="C198" s="401"/>
      <c r="D198" s="401"/>
      <c r="E198" s="401"/>
      <c r="F198" s="401"/>
      <c r="G198" s="401"/>
      <c r="H198" s="401"/>
      <c r="I198" s="381"/>
      <c r="J198" s="381"/>
      <c r="K198" s="381"/>
      <c r="L198" s="381"/>
      <c r="M198" s="381"/>
      <c r="N198" s="381"/>
      <c r="O198" s="381"/>
      <c r="P198" s="401"/>
      <c r="Q198" s="401"/>
      <c r="R198" s="401"/>
      <c r="S198" s="401"/>
      <c r="T198" s="401"/>
      <c r="U198" s="401"/>
      <c r="V198" s="401"/>
      <c r="W198" s="401"/>
      <c r="X198" s="401"/>
      <c r="Y198" s="401"/>
      <c r="Z198" s="401"/>
      <c r="AA198" s="401"/>
      <c r="AB198" s="401"/>
      <c r="AC198" s="401"/>
      <c r="AD198" s="401"/>
      <c r="AE198" s="401"/>
      <c r="AF198" s="401"/>
      <c r="AG198" s="401"/>
      <c r="AH198" s="401"/>
      <c r="AI198" s="401"/>
      <c r="AJ198" s="401"/>
      <c r="AK198" s="401"/>
      <c r="AL198" s="401"/>
      <c r="AM198" s="401"/>
      <c r="AN198" s="401"/>
      <c r="AO198" s="401"/>
      <c r="AP198" s="401"/>
      <c r="AQ198" s="401"/>
      <c r="AR198" s="401"/>
      <c r="AS198" s="401"/>
      <c r="AT198" s="401"/>
      <c r="AU198" s="401"/>
      <c r="AV198" s="401"/>
      <c r="AW198" s="401"/>
      <c r="AX198" s="401"/>
      <c r="AY198" s="401"/>
      <c r="AZ198" s="401"/>
      <c r="BA198" s="401"/>
      <c r="BB198" s="401"/>
      <c r="BC198" s="401"/>
      <c r="BD198" s="401"/>
      <c r="BE198" s="401"/>
      <c r="BF198" s="401"/>
      <c r="BG198" s="401"/>
      <c r="BH198" s="401"/>
      <c r="BI198" s="401"/>
      <c r="BJ198" s="401"/>
      <c r="BK198" s="401"/>
      <c r="BL198" s="401"/>
      <c r="BM198" s="401"/>
      <c r="BN198" s="401"/>
      <c r="BO198" s="401"/>
      <c r="BP198" s="401"/>
      <c r="BQ198" s="401"/>
      <c r="BR198" s="401"/>
      <c r="BS198" s="401"/>
      <c r="BT198" s="401"/>
      <c r="BU198" s="401"/>
      <c r="BV198" s="401"/>
      <c r="BW198" s="401"/>
      <c r="BX198" s="401"/>
      <c r="BY198" s="401"/>
      <c r="BZ198" s="401"/>
    </row>
    <row r="199" ht="15.75" customHeight="1">
      <c r="A199" s="401"/>
      <c r="B199" s="401"/>
      <c r="C199" s="401"/>
      <c r="D199" s="401"/>
      <c r="E199" s="401"/>
      <c r="F199" s="401"/>
      <c r="G199" s="401"/>
      <c r="H199" s="401"/>
      <c r="I199" s="381"/>
      <c r="J199" s="381"/>
      <c r="K199" s="381"/>
      <c r="L199" s="381"/>
      <c r="M199" s="381"/>
      <c r="N199" s="381"/>
      <c r="O199" s="381"/>
      <c r="P199" s="401"/>
      <c r="Q199" s="401"/>
      <c r="R199" s="401"/>
      <c r="S199" s="401"/>
      <c r="T199" s="401"/>
      <c r="U199" s="401"/>
      <c r="V199" s="401"/>
      <c r="W199" s="401"/>
      <c r="X199" s="401"/>
      <c r="Y199" s="401"/>
      <c r="Z199" s="401"/>
      <c r="AA199" s="401"/>
      <c r="AB199" s="401"/>
      <c r="AC199" s="401"/>
      <c r="AD199" s="401"/>
      <c r="AE199" s="401"/>
      <c r="AF199" s="401"/>
      <c r="AG199" s="401"/>
      <c r="AH199" s="401"/>
      <c r="AI199" s="401"/>
      <c r="AJ199" s="401"/>
      <c r="AK199" s="401"/>
      <c r="AL199" s="401"/>
      <c r="AM199" s="401"/>
      <c r="AN199" s="401"/>
      <c r="AO199" s="401"/>
      <c r="AP199" s="401"/>
      <c r="AQ199" s="401"/>
      <c r="AR199" s="401"/>
      <c r="AS199" s="401"/>
      <c r="AT199" s="401"/>
      <c r="AU199" s="401"/>
      <c r="AV199" s="401"/>
      <c r="AW199" s="401"/>
      <c r="AX199" s="401"/>
      <c r="AY199" s="401"/>
      <c r="AZ199" s="401"/>
      <c r="BA199" s="401"/>
      <c r="BB199" s="401"/>
      <c r="BC199" s="401"/>
      <c r="BD199" s="401"/>
      <c r="BE199" s="401"/>
      <c r="BF199" s="401"/>
      <c r="BG199" s="401"/>
      <c r="BH199" s="401"/>
      <c r="BI199" s="401"/>
      <c r="BJ199" s="401"/>
      <c r="BK199" s="401"/>
      <c r="BL199" s="401"/>
      <c r="BM199" s="401"/>
      <c r="BN199" s="401"/>
      <c r="BO199" s="401"/>
      <c r="BP199" s="401"/>
      <c r="BQ199" s="401"/>
      <c r="BR199" s="401"/>
      <c r="BS199" s="401"/>
      <c r="BT199" s="401"/>
      <c r="BU199" s="401"/>
      <c r="BV199" s="401"/>
      <c r="BW199" s="401"/>
      <c r="BX199" s="401"/>
      <c r="BY199" s="401"/>
      <c r="BZ199" s="401"/>
    </row>
    <row r="200" ht="15.75" customHeight="1">
      <c r="A200" s="401"/>
      <c r="B200" s="401"/>
      <c r="C200" s="401"/>
      <c r="D200" s="401"/>
      <c r="E200" s="401"/>
      <c r="F200" s="401"/>
      <c r="G200" s="401"/>
      <c r="H200" s="401"/>
      <c r="I200" s="381"/>
      <c r="J200" s="381"/>
      <c r="K200" s="381"/>
      <c r="L200" s="381"/>
      <c r="M200" s="381"/>
      <c r="N200" s="381"/>
      <c r="O200" s="381"/>
      <c r="P200" s="401"/>
      <c r="Q200" s="401"/>
      <c r="R200" s="401"/>
      <c r="S200" s="401"/>
      <c r="T200" s="401"/>
      <c r="U200" s="401"/>
      <c r="V200" s="401"/>
      <c r="W200" s="401"/>
      <c r="X200" s="401"/>
      <c r="Y200" s="401"/>
      <c r="Z200" s="401"/>
      <c r="AA200" s="401"/>
      <c r="AB200" s="401"/>
      <c r="AC200" s="401"/>
      <c r="AD200" s="401"/>
      <c r="AE200" s="401"/>
      <c r="AF200" s="401"/>
      <c r="AG200" s="401"/>
      <c r="AH200" s="401"/>
      <c r="AI200" s="401"/>
      <c r="AJ200" s="401"/>
      <c r="AK200" s="401"/>
      <c r="AL200" s="401"/>
      <c r="AM200" s="401"/>
      <c r="AN200" s="401"/>
      <c r="AO200" s="401"/>
      <c r="AP200" s="401"/>
      <c r="AQ200" s="401"/>
      <c r="AR200" s="401"/>
      <c r="AS200" s="401"/>
      <c r="AT200" s="401"/>
      <c r="AU200" s="401"/>
      <c r="AV200" s="401"/>
      <c r="AW200" s="401"/>
      <c r="AX200" s="401"/>
      <c r="AY200" s="401"/>
      <c r="AZ200" s="401"/>
      <c r="BA200" s="401"/>
      <c r="BB200" s="401"/>
      <c r="BC200" s="401"/>
      <c r="BD200" s="401"/>
      <c r="BE200" s="401"/>
      <c r="BF200" s="401"/>
      <c r="BG200" s="401"/>
      <c r="BH200" s="401"/>
      <c r="BI200" s="401"/>
      <c r="BJ200" s="401"/>
      <c r="BK200" s="401"/>
      <c r="BL200" s="401"/>
      <c r="BM200" s="401"/>
      <c r="BN200" s="401"/>
      <c r="BO200" s="401"/>
      <c r="BP200" s="401"/>
      <c r="BQ200" s="401"/>
      <c r="BR200" s="401"/>
      <c r="BS200" s="401"/>
      <c r="BT200" s="401"/>
      <c r="BU200" s="401"/>
      <c r="BV200" s="401"/>
      <c r="BW200" s="401"/>
      <c r="BX200" s="401"/>
      <c r="BY200" s="401"/>
      <c r="BZ200" s="401"/>
    </row>
    <row r="201" ht="15.75" customHeight="1">
      <c r="A201" s="401"/>
      <c r="B201" s="401"/>
      <c r="C201" s="401"/>
      <c r="D201" s="401"/>
      <c r="E201" s="401"/>
      <c r="F201" s="401"/>
      <c r="G201" s="401"/>
      <c r="H201" s="401"/>
      <c r="I201" s="381"/>
      <c r="J201" s="381"/>
      <c r="K201" s="381"/>
      <c r="L201" s="381"/>
      <c r="M201" s="381"/>
      <c r="N201" s="381"/>
      <c r="O201" s="381"/>
      <c r="P201" s="401"/>
      <c r="Q201" s="401"/>
      <c r="R201" s="401"/>
      <c r="S201" s="401"/>
      <c r="T201" s="401"/>
      <c r="U201" s="401"/>
      <c r="V201" s="401"/>
      <c r="W201" s="401"/>
      <c r="X201" s="401"/>
      <c r="Y201" s="401"/>
      <c r="Z201" s="401"/>
      <c r="AA201" s="401"/>
      <c r="AB201" s="401"/>
      <c r="AC201" s="401"/>
      <c r="AD201" s="401"/>
      <c r="AE201" s="401"/>
      <c r="AF201" s="401"/>
      <c r="AG201" s="401"/>
      <c r="AH201" s="401"/>
      <c r="AI201" s="401"/>
      <c r="AJ201" s="401"/>
      <c r="AK201" s="401"/>
      <c r="AL201" s="401"/>
      <c r="AM201" s="401"/>
      <c r="AN201" s="401"/>
      <c r="AO201" s="401"/>
      <c r="AP201" s="401"/>
      <c r="AQ201" s="401"/>
      <c r="AR201" s="401"/>
      <c r="AS201" s="401"/>
      <c r="AT201" s="401"/>
      <c r="AU201" s="401"/>
      <c r="AV201" s="401"/>
      <c r="AW201" s="401"/>
      <c r="AX201" s="401"/>
      <c r="AY201" s="401"/>
      <c r="AZ201" s="401"/>
      <c r="BA201" s="401"/>
      <c r="BB201" s="401"/>
      <c r="BC201" s="401"/>
      <c r="BD201" s="401"/>
      <c r="BE201" s="401"/>
      <c r="BF201" s="401"/>
      <c r="BG201" s="401"/>
      <c r="BH201" s="401"/>
      <c r="BI201" s="401"/>
      <c r="BJ201" s="401"/>
      <c r="BK201" s="401"/>
      <c r="BL201" s="401"/>
      <c r="BM201" s="401"/>
      <c r="BN201" s="401"/>
      <c r="BO201" s="401"/>
      <c r="BP201" s="401"/>
      <c r="BQ201" s="401"/>
      <c r="BR201" s="401"/>
      <c r="BS201" s="401"/>
      <c r="BT201" s="401"/>
      <c r="BU201" s="401"/>
      <c r="BV201" s="401"/>
      <c r="BW201" s="401"/>
      <c r="BX201" s="401"/>
      <c r="BY201" s="401"/>
      <c r="BZ201" s="401"/>
    </row>
    <row r="202" ht="15.75" customHeight="1">
      <c r="A202" s="401"/>
      <c r="B202" s="401"/>
      <c r="C202" s="401"/>
      <c r="D202" s="401"/>
      <c r="E202" s="401"/>
      <c r="F202" s="401"/>
      <c r="G202" s="401"/>
      <c r="H202" s="401"/>
      <c r="I202" s="381"/>
      <c r="J202" s="381"/>
      <c r="K202" s="381"/>
      <c r="L202" s="381"/>
      <c r="M202" s="381"/>
      <c r="N202" s="381"/>
      <c r="O202" s="381"/>
      <c r="P202" s="401"/>
      <c r="Q202" s="401"/>
      <c r="R202" s="401"/>
      <c r="S202" s="401"/>
      <c r="T202" s="401"/>
      <c r="U202" s="401"/>
      <c r="V202" s="401"/>
      <c r="W202" s="401"/>
      <c r="X202" s="401"/>
      <c r="Y202" s="401"/>
      <c r="Z202" s="401"/>
      <c r="AA202" s="401"/>
      <c r="AB202" s="401"/>
      <c r="AC202" s="401"/>
      <c r="AD202" s="401"/>
      <c r="AE202" s="401"/>
      <c r="AF202" s="401"/>
      <c r="AG202" s="401"/>
      <c r="AH202" s="401"/>
      <c r="AI202" s="401"/>
      <c r="AJ202" s="401"/>
      <c r="AK202" s="401"/>
      <c r="AL202" s="401"/>
      <c r="AM202" s="401"/>
      <c r="AN202" s="401"/>
      <c r="AO202" s="401"/>
      <c r="AP202" s="401"/>
      <c r="AQ202" s="401"/>
      <c r="AR202" s="401"/>
      <c r="AS202" s="401"/>
      <c r="AT202" s="401"/>
      <c r="AU202" s="401"/>
      <c r="AV202" s="401"/>
      <c r="AW202" s="401"/>
      <c r="AX202" s="401"/>
      <c r="AY202" s="401"/>
      <c r="AZ202" s="401"/>
      <c r="BA202" s="401"/>
      <c r="BB202" s="401"/>
      <c r="BC202" s="401"/>
      <c r="BD202" s="401"/>
      <c r="BE202" s="401"/>
      <c r="BF202" s="401"/>
      <c r="BG202" s="401"/>
      <c r="BH202" s="401"/>
      <c r="BI202" s="401"/>
      <c r="BJ202" s="401"/>
      <c r="BK202" s="401"/>
      <c r="BL202" s="401"/>
      <c r="BM202" s="401"/>
      <c r="BN202" s="401"/>
      <c r="BO202" s="401"/>
      <c r="BP202" s="401"/>
      <c r="BQ202" s="401"/>
      <c r="BR202" s="401"/>
      <c r="BS202" s="401"/>
      <c r="BT202" s="401"/>
      <c r="BU202" s="401"/>
      <c r="BV202" s="401"/>
      <c r="BW202" s="401"/>
      <c r="BX202" s="401"/>
      <c r="BY202" s="401"/>
      <c r="BZ202" s="401"/>
    </row>
    <row r="203" ht="15.75" customHeight="1">
      <c r="A203" s="401"/>
      <c r="B203" s="401"/>
      <c r="C203" s="401"/>
      <c r="D203" s="401"/>
      <c r="E203" s="401"/>
      <c r="F203" s="401"/>
      <c r="G203" s="401"/>
      <c r="H203" s="401"/>
      <c r="I203" s="381"/>
      <c r="J203" s="381"/>
      <c r="K203" s="381"/>
      <c r="L203" s="381"/>
      <c r="M203" s="381"/>
      <c r="N203" s="381"/>
      <c r="O203" s="381"/>
      <c r="P203" s="401"/>
      <c r="Q203" s="401"/>
      <c r="R203" s="401"/>
      <c r="S203" s="401"/>
      <c r="T203" s="401"/>
      <c r="U203" s="401"/>
      <c r="V203" s="401"/>
      <c r="W203" s="401"/>
      <c r="X203" s="401"/>
      <c r="Y203" s="401"/>
      <c r="Z203" s="401"/>
      <c r="AA203" s="401"/>
      <c r="AB203" s="401"/>
      <c r="AC203" s="401"/>
      <c r="AD203" s="401"/>
      <c r="AE203" s="401"/>
      <c r="AF203" s="401"/>
      <c r="AG203" s="401"/>
      <c r="AH203" s="401"/>
      <c r="AI203" s="401"/>
      <c r="AJ203" s="401"/>
      <c r="AK203" s="401"/>
      <c r="AL203" s="401"/>
      <c r="AM203" s="401"/>
      <c r="AN203" s="401"/>
      <c r="AO203" s="401"/>
      <c r="AP203" s="401"/>
      <c r="AQ203" s="401"/>
      <c r="AR203" s="401"/>
      <c r="AS203" s="401"/>
      <c r="AT203" s="401"/>
      <c r="AU203" s="401"/>
      <c r="AV203" s="401"/>
      <c r="AW203" s="401"/>
      <c r="AX203" s="401"/>
      <c r="AY203" s="401"/>
      <c r="AZ203" s="401"/>
      <c r="BA203" s="401"/>
      <c r="BB203" s="401"/>
      <c r="BC203" s="401"/>
      <c r="BD203" s="401"/>
      <c r="BE203" s="401"/>
      <c r="BF203" s="401"/>
      <c r="BG203" s="401"/>
      <c r="BH203" s="401"/>
      <c r="BI203" s="401"/>
      <c r="BJ203" s="401"/>
      <c r="BK203" s="401"/>
      <c r="BL203" s="401"/>
      <c r="BM203" s="401"/>
      <c r="BN203" s="401"/>
      <c r="BO203" s="401"/>
      <c r="BP203" s="401"/>
      <c r="BQ203" s="401"/>
      <c r="BR203" s="401"/>
      <c r="BS203" s="401"/>
      <c r="BT203" s="401"/>
      <c r="BU203" s="401"/>
      <c r="BV203" s="401"/>
      <c r="BW203" s="401"/>
      <c r="BX203" s="401"/>
      <c r="BY203" s="401"/>
      <c r="BZ203" s="401"/>
    </row>
    <row r="204" ht="15.75" customHeight="1">
      <c r="A204" s="401"/>
      <c r="B204" s="401"/>
      <c r="C204" s="401"/>
      <c r="D204" s="401"/>
      <c r="E204" s="401"/>
      <c r="F204" s="401"/>
      <c r="G204" s="401"/>
      <c r="H204" s="401"/>
      <c r="I204" s="381"/>
      <c r="J204" s="381"/>
      <c r="K204" s="381"/>
      <c r="L204" s="381"/>
      <c r="M204" s="381"/>
      <c r="N204" s="381"/>
      <c r="O204" s="381"/>
      <c r="P204" s="401"/>
      <c r="Q204" s="401"/>
      <c r="R204" s="401"/>
      <c r="S204" s="401"/>
      <c r="T204" s="401"/>
      <c r="U204" s="401"/>
      <c r="V204" s="401"/>
      <c r="W204" s="401"/>
      <c r="X204" s="401"/>
      <c r="Y204" s="401"/>
      <c r="Z204" s="401"/>
      <c r="AA204" s="401"/>
      <c r="AB204" s="401"/>
      <c r="AC204" s="401"/>
      <c r="AD204" s="401"/>
      <c r="AE204" s="401"/>
      <c r="AF204" s="401"/>
      <c r="AG204" s="401"/>
      <c r="AH204" s="401"/>
      <c r="AI204" s="401"/>
      <c r="AJ204" s="401"/>
      <c r="AK204" s="401"/>
      <c r="AL204" s="401"/>
      <c r="AM204" s="401"/>
      <c r="AN204" s="401"/>
      <c r="AO204" s="401"/>
      <c r="AP204" s="401"/>
      <c r="AQ204" s="401"/>
      <c r="AR204" s="401"/>
      <c r="AS204" s="401"/>
      <c r="AT204" s="401"/>
      <c r="AU204" s="401"/>
      <c r="AV204" s="401"/>
      <c r="AW204" s="401"/>
      <c r="AX204" s="401"/>
      <c r="AY204" s="401"/>
      <c r="AZ204" s="401"/>
      <c r="BA204" s="401"/>
      <c r="BB204" s="401"/>
      <c r="BC204" s="401"/>
      <c r="BD204" s="401"/>
      <c r="BE204" s="401"/>
      <c r="BF204" s="401"/>
      <c r="BG204" s="401"/>
      <c r="BH204" s="401"/>
      <c r="BI204" s="401"/>
      <c r="BJ204" s="401"/>
      <c r="BK204" s="401"/>
      <c r="BL204" s="401"/>
      <c r="BM204" s="401"/>
      <c r="BN204" s="401"/>
      <c r="BO204" s="401"/>
      <c r="BP204" s="401"/>
      <c r="BQ204" s="401"/>
      <c r="BR204" s="401"/>
      <c r="BS204" s="401"/>
      <c r="BT204" s="401"/>
      <c r="BU204" s="401"/>
      <c r="BV204" s="401"/>
      <c r="BW204" s="401"/>
      <c r="BX204" s="401"/>
      <c r="BY204" s="401"/>
      <c r="BZ204" s="401"/>
    </row>
    <row r="205" ht="15.75" customHeight="1">
      <c r="A205" s="401"/>
      <c r="B205" s="401"/>
      <c r="C205" s="401"/>
      <c r="D205" s="401"/>
      <c r="E205" s="401"/>
      <c r="F205" s="401"/>
      <c r="G205" s="401"/>
      <c r="H205" s="401"/>
      <c r="I205" s="381"/>
      <c r="J205" s="381"/>
      <c r="K205" s="381"/>
      <c r="L205" s="381"/>
      <c r="M205" s="381"/>
      <c r="N205" s="381"/>
      <c r="O205" s="381"/>
      <c r="P205" s="401"/>
      <c r="Q205" s="401"/>
      <c r="R205" s="401"/>
      <c r="S205" s="401"/>
      <c r="T205" s="401"/>
      <c r="U205" s="401"/>
      <c r="V205" s="401"/>
      <c r="W205" s="401"/>
      <c r="X205" s="401"/>
      <c r="Y205" s="401"/>
      <c r="Z205" s="401"/>
      <c r="AA205" s="401"/>
      <c r="AB205" s="401"/>
      <c r="AC205" s="401"/>
      <c r="AD205" s="401"/>
      <c r="AE205" s="401"/>
      <c r="AF205" s="401"/>
      <c r="AG205" s="401"/>
      <c r="AH205" s="401"/>
      <c r="AI205" s="401"/>
      <c r="AJ205" s="401"/>
      <c r="AK205" s="401"/>
      <c r="AL205" s="401"/>
      <c r="AM205" s="401"/>
      <c r="AN205" s="401"/>
      <c r="AO205" s="401"/>
      <c r="AP205" s="401"/>
      <c r="AQ205" s="401"/>
      <c r="AR205" s="401"/>
      <c r="AS205" s="401"/>
      <c r="AT205" s="401"/>
      <c r="AU205" s="401"/>
      <c r="AV205" s="401"/>
      <c r="AW205" s="401"/>
      <c r="AX205" s="401"/>
      <c r="AY205" s="401"/>
      <c r="AZ205" s="401"/>
      <c r="BA205" s="401"/>
      <c r="BB205" s="401"/>
      <c r="BC205" s="401"/>
      <c r="BD205" s="401"/>
      <c r="BE205" s="401"/>
      <c r="BF205" s="401"/>
      <c r="BG205" s="401"/>
      <c r="BH205" s="401"/>
      <c r="BI205" s="401"/>
      <c r="BJ205" s="401"/>
      <c r="BK205" s="401"/>
      <c r="BL205" s="401"/>
      <c r="BM205" s="401"/>
      <c r="BN205" s="401"/>
      <c r="BO205" s="401"/>
      <c r="BP205" s="401"/>
      <c r="BQ205" s="401"/>
      <c r="BR205" s="401"/>
      <c r="BS205" s="401"/>
      <c r="BT205" s="401"/>
      <c r="BU205" s="401"/>
      <c r="BV205" s="401"/>
      <c r="BW205" s="401"/>
      <c r="BX205" s="401"/>
      <c r="BY205" s="401"/>
      <c r="BZ205" s="401"/>
    </row>
    <row r="206" ht="15.75" customHeight="1">
      <c r="A206" s="401"/>
      <c r="B206" s="401"/>
      <c r="C206" s="401"/>
      <c r="D206" s="401"/>
      <c r="E206" s="401"/>
      <c r="F206" s="401"/>
      <c r="G206" s="401"/>
      <c r="H206" s="401"/>
      <c r="I206" s="381"/>
      <c r="J206" s="381"/>
      <c r="K206" s="381"/>
      <c r="L206" s="381"/>
      <c r="M206" s="381"/>
      <c r="N206" s="381"/>
      <c r="O206" s="381"/>
      <c r="P206" s="401"/>
      <c r="Q206" s="401"/>
      <c r="R206" s="401"/>
      <c r="S206" s="401"/>
      <c r="T206" s="401"/>
      <c r="U206" s="401"/>
      <c r="V206" s="401"/>
      <c r="W206" s="401"/>
      <c r="X206" s="401"/>
      <c r="Y206" s="401"/>
      <c r="Z206" s="401"/>
      <c r="AA206" s="401"/>
      <c r="AB206" s="401"/>
      <c r="AC206" s="401"/>
      <c r="AD206" s="401"/>
      <c r="AE206" s="401"/>
      <c r="AF206" s="401"/>
      <c r="AG206" s="401"/>
      <c r="AH206" s="401"/>
      <c r="AI206" s="401"/>
      <c r="AJ206" s="401"/>
      <c r="AK206" s="401"/>
      <c r="AL206" s="401"/>
      <c r="AM206" s="401"/>
      <c r="AN206" s="401"/>
      <c r="AO206" s="401"/>
      <c r="AP206" s="401"/>
      <c r="AQ206" s="401"/>
      <c r="AR206" s="401"/>
      <c r="AS206" s="401"/>
      <c r="AT206" s="401"/>
      <c r="AU206" s="401"/>
      <c r="AV206" s="401"/>
      <c r="AW206" s="401"/>
      <c r="AX206" s="401"/>
      <c r="AY206" s="401"/>
      <c r="AZ206" s="401"/>
      <c r="BA206" s="401"/>
      <c r="BB206" s="401"/>
      <c r="BC206" s="401"/>
      <c r="BD206" s="401"/>
      <c r="BE206" s="401"/>
      <c r="BF206" s="401"/>
      <c r="BG206" s="401"/>
      <c r="BH206" s="401"/>
      <c r="BI206" s="401"/>
      <c r="BJ206" s="401"/>
      <c r="BK206" s="401"/>
      <c r="BL206" s="401"/>
      <c r="BM206" s="401"/>
      <c r="BN206" s="401"/>
      <c r="BO206" s="401"/>
      <c r="BP206" s="401"/>
      <c r="BQ206" s="401"/>
      <c r="BR206" s="401"/>
      <c r="BS206" s="401"/>
      <c r="BT206" s="401"/>
      <c r="BU206" s="401"/>
      <c r="BV206" s="401"/>
      <c r="BW206" s="401"/>
      <c r="BX206" s="401"/>
      <c r="BY206" s="401"/>
      <c r="BZ206" s="401"/>
    </row>
    <row r="207" ht="15.75" customHeight="1">
      <c r="A207" s="401"/>
      <c r="B207" s="401"/>
      <c r="C207" s="401"/>
      <c r="D207" s="401"/>
      <c r="E207" s="401"/>
      <c r="F207" s="401"/>
      <c r="G207" s="401"/>
      <c r="H207" s="401"/>
      <c r="I207" s="381"/>
      <c r="J207" s="381"/>
      <c r="K207" s="381"/>
      <c r="L207" s="381"/>
      <c r="M207" s="381"/>
      <c r="N207" s="381"/>
      <c r="O207" s="381"/>
      <c r="P207" s="401"/>
      <c r="Q207" s="401"/>
      <c r="R207" s="401"/>
      <c r="S207" s="401"/>
      <c r="T207" s="401"/>
      <c r="U207" s="401"/>
      <c r="V207" s="401"/>
      <c r="W207" s="401"/>
      <c r="X207" s="401"/>
      <c r="Y207" s="401"/>
      <c r="Z207" s="401"/>
      <c r="AA207" s="401"/>
      <c r="AB207" s="401"/>
      <c r="AC207" s="401"/>
      <c r="AD207" s="401"/>
      <c r="AE207" s="401"/>
      <c r="AF207" s="401"/>
      <c r="AG207" s="401"/>
      <c r="AH207" s="401"/>
      <c r="AI207" s="401"/>
      <c r="AJ207" s="401"/>
      <c r="AK207" s="401"/>
      <c r="AL207" s="401"/>
      <c r="AM207" s="401"/>
      <c r="AN207" s="401"/>
      <c r="AO207" s="401"/>
      <c r="AP207" s="401"/>
      <c r="AQ207" s="401"/>
      <c r="AR207" s="401"/>
      <c r="AS207" s="401"/>
      <c r="AT207" s="401"/>
      <c r="AU207" s="401"/>
      <c r="AV207" s="401"/>
      <c r="AW207" s="401"/>
      <c r="AX207" s="401"/>
      <c r="AY207" s="401"/>
      <c r="AZ207" s="401"/>
      <c r="BA207" s="401"/>
      <c r="BB207" s="401"/>
      <c r="BC207" s="401"/>
      <c r="BD207" s="401"/>
      <c r="BE207" s="401"/>
      <c r="BF207" s="401"/>
      <c r="BG207" s="401"/>
      <c r="BH207" s="401"/>
      <c r="BI207" s="401"/>
      <c r="BJ207" s="401"/>
      <c r="BK207" s="401"/>
      <c r="BL207" s="401"/>
      <c r="BM207" s="401"/>
      <c r="BN207" s="401"/>
      <c r="BO207" s="401"/>
      <c r="BP207" s="401"/>
      <c r="BQ207" s="401"/>
      <c r="BR207" s="401"/>
      <c r="BS207" s="401"/>
      <c r="BT207" s="401"/>
      <c r="BU207" s="401"/>
      <c r="BV207" s="401"/>
      <c r="BW207" s="401"/>
      <c r="BX207" s="401"/>
      <c r="BY207" s="401"/>
      <c r="BZ207" s="401"/>
    </row>
    <row r="208" ht="15.75" customHeight="1">
      <c r="A208" s="401"/>
      <c r="B208" s="401"/>
      <c r="C208" s="401"/>
      <c r="D208" s="401"/>
      <c r="E208" s="401"/>
      <c r="F208" s="401"/>
      <c r="G208" s="401"/>
      <c r="H208" s="401"/>
      <c r="I208" s="381"/>
      <c r="J208" s="381"/>
      <c r="K208" s="381"/>
      <c r="L208" s="381"/>
      <c r="M208" s="381"/>
      <c r="N208" s="381"/>
      <c r="O208" s="381"/>
      <c r="P208" s="401"/>
      <c r="Q208" s="401"/>
      <c r="R208" s="401"/>
      <c r="S208" s="401"/>
      <c r="T208" s="401"/>
      <c r="U208" s="401"/>
      <c r="V208" s="401"/>
      <c r="W208" s="401"/>
      <c r="X208" s="401"/>
      <c r="Y208" s="401"/>
      <c r="Z208" s="401"/>
      <c r="AA208" s="401"/>
      <c r="AB208" s="401"/>
      <c r="AC208" s="401"/>
      <c r="AD208" s="401"/>
      <c r="AE208" s="401"/>
      <c r="AF208" s="401"/>
      <c r="AG208" s="401"/>
      <c r="AH208" s="401"/>
      <c r="AI208" s="401"/>
      <c r="AJ208" s="401"/>
      <c r="AK208" s="401"/>
      <c r="AL208" s="401"/>
      <c r="AM208" s="401"/>
      <c r="AN208" s="401"/>
      <c r="AO208" s="401"/>
      <c r="AP208" s="401"/>
      <c r="AQ208" s="401"/>
      <c r="AR208" s="401"/>
      <c r="AS208" s="401"/>
      <c r="AT208" s="401"/>
      <c r="AU208" s="401"/>
      <c r="AV208" s="401"/>
      <c r="AW208" s="401"/>
      <c r="AX208" s="401"/>
      <c r="AY208" s="401"/>
      <c r="AZ208" s="401"/>
      <c r="BA208" s="401"/>
      <c r="BB208" s="401"/>
      <c r="BC208" s="401"/>
      <c r="BD208" s="401"/>
      <c r="BE208" s="401"/>
      <c r="BF208" s="401"/>
      <c r="BG208" s="401"/>
      <c r="BH208" s="401"/>
      <c r="BI208" s="401"/>
      <c r="BJ208" s="401"/>
      <c r="BK208" s="401"/>
      <c r="BL208" s="401"/>
      <c r="BM208" s="401"/>
      <c r="BN208" s="401"/>
      <c r="BO208" s="401"/>
      <c r="BP208" s="401"/>
      <c r="BQ208" s="401"/>
      <c r="BR208" s="401"/>
      <c r="BS208" s="401"/>
      <c r="BT208" s="401"/>
      <c r="BU208" s="401"/>
      <c r="BV208" s="401"/>
      <c r="BW208" s="401"/>
      <c r="BX208" s="401"/>
      <c r="BY208" s="401"/>
      <c r="BZ208" s="401"/>
    </row>
    <row r="209" ht="15.75" customHeight="1">
      <c r="A209" s="401"/>
      <c r="B209" s="401"/>
      <c r="C209" s="401"/>
      <c r="D209" s="401"/>
      <c r="E209" s="401"/>
      <c r="F209" s="401"/>
      <c r="G209" s="401"/>
      <c r="H209" s="401"/>
      <c r="I209" s="381"/>
      <c r="J209" s="381"/>
      <c r="K209" s="381"/>
      <c r="L209" s="381"/>
      <c r="M209" s="381"/>
      <c r="N209" s="381"/>
      <c r="O209" s="381"/>
      <c r="P209" s="401"/>
      <c r="Q209" s="401"/>
      <c r="R209" s="401"/>
      <c r="S209" s="401"/>
      <c r="T209" s="401"/>
      <c r="U209" s="401"/>
      <c r="V209" s="401"/>
      <c r="W209" s="401"/>
      <c r="X209" s="401"/>
      <c r="Y209" s="401"/>
      <c r="Z209" s="401"/>
      <c r="AA209" s="401"/>
      <c r="AB209" s="401"/>
      <c r="AC209" s="401"/>
      <c r="AD209" s="401"/>
      <c r="AE209" s="401"/>
      <c r="AF209" s="401"/>
      <c r="AG209" s="401"/>
      <c r="AH209" s="401"/>
      <c r="AI209" s="401"/>
      <c r="AJ209" s="401"/>
      <c r="AK209" s="401"/>
      <c r="AL209" s="401"/>
      <c r="AM209" s="401"/>
      <c r="AN209" s="401"/>
      <c r="AO209" s="401"/>
      <c r="AP209" s="401"/>
      <c r="AQ209" s="401"/>
      <c r="AR209" s="401"/>
      <c r="AS209" s="401"/>
      <c r="AT209" s="401"/>
      <c r="AU209" s="401"/>
      <c r="AV209" s="401"/>
      <c r="AW209" s="401"/>
      <c r="AX209" s="401"/>
      <c r="AY209" s="401"/>
      <c r="AZ209" s="401"/>
      <c r="BA209" s="401"/>
      <c r="BB209" s="401"/>
      <c r="BC209" s="401"/>
      <c r="BD209" s="401"/>
      <c r="BE209" s="401"/>
      <c r="BF209" s="401"/>
      <c r="BG209" s="401"/>
      <c r="BH209" s="401"/>
      <c r="BI209" s="401"/>
      <c r="BJ209" s="401"/>
      <c r="BK209" s="401"/>
      <c r="BL209" s="401"/>
      <c r="BM209" s="401"/>
      <c r="BN209" s="401"/>
      <c r="BO209" s="401"/>
      <c r="BP209" s="401"/>
      <c r="BQ209" s="401"/>
      <c r="BR209" s="401"/>
      <c r="BS209" s="401"/>
      <c r="BT209" s="401"/>
      <c r="BU209" s="401"/>
      <c r="BV209" s="401"/>
      <c r="BW209" s="401"/>
      <c r="BX209" s="401"/>
      <c r="BY209" s="401"/>
      <c r="BZ209" s="401"/>
    </row>
    <row r="210" ht="15.75" customHeight="1">
      <c r="A210" s="401"/>
      <c r="B210" s="401"/>
      <c r="C210" s="401"/>
      <c r="D210" s="401"/>
      <c r="E210" s="401"/>
      <c r="F210" s="401"/>
      <c r="G210" s="401"/>
      <c r="H210" s="401"/>
      <c r="I210" s="381"/>
      <c r="J210" s="381"/>
      <c r="K210" s="381"/>
      <c r="L210" s="381"/>
      <c r="M210" s="381"/>
      <c r="N210" s="381"/>
      <c r="O210" s="381"/>
      <c r="P210" s="401"/>
      <c r="Q210" s="401"/>
      <c r="R210" s="401"/>
      <c r="S210" s="401"/>
      <c r="T210" s="401"/>
      <c r="U210" s="401"/>
      <c r="V210" s="401"/>
      <c r="W210" s="401"/>
      <c r="X210" s="401"/>
      <c r="Y210" s="401"/>
      <c r="Z210" s="401"/>
      <c r="AA210" s="401"/>
      <c r="AB210" s="401"/>
      <c r="AC210" s="401"/>
      <c r="AD210" s="401"/>
      <c r="AE210" s="401"/>
      <c r="AF210" s="401"/>
      <c r="AG210" s="401"/>
      <c r="AH210" s="401"/>
      <c r="AI210" s="401"/>
      <c r="AJ210" s="401"/>
      <c r="AK210" s="401"/>
      <c r="AL210" s="401"/>
      <c r="AM210" s="401"/>
      <c r="AN210" s="401"/>
      <c r="AO210" s="401"/>
      <c r="AP210" s="401"/>
      <c r="AQ210" s="401"/>
      <c r="AR210" s="401"/>
      <c r="AS210" s="401"/>
      <c r="AT210" s="401"/>
      <c r="AU210" s="401"/>
      <c r="AV210" s="401"/>
      <c r="AW210" s="401"/>
      <c r="AX210" s="401"/>
      <c r="AY210" s="401"/>
      <c r="AZ210" s="401"/>
      <c r="BA210" s="401"/>
      <c r="BB210" s="401"/>
      <c r="BC210" s="401"/>
      <c r="BD210" s="401"/>
      <c r="BE210" s="401"/>
      <c r="BF210" s="401"/>
      <c r="BG210" s="401"/>
      <c r="BH210" s="401"/>
      <c r="BI210" s="401"/>
      <c r="BJ210" s="401"/>
      <c r="BK210" s="401"/>
      <c r="BL210" s="401"/>
      <c r="BM210" s="401"/>
      <c r="BN210" s="401"/>
      <c r="BO210" s="401"/>
      <c r="BP210" s="401"/>
      <c r="BQ210" s="401"/>
      <c r="BR210" s="401"/>
      <c r="BS210" s="401"/>
      <c r="BT210" s="401"/>
      <c r="BU210" s="401"/>
      <c r="BV210" s="401"/>
      <c r="BW210" s="401"/>
      <c r="BX210" s="401"/>
      <c r="BY210" s="401"/>
      <c r="BZ210" s="401"/>
    </row>
    <row r="211" ht="15.75" customHeight="1">
      <c r="A211" s="401"/>
      <c r="B211" s="401"/>
      <c r="C211" s="401"/>
      <c r="D211" s="401"/>
      <c r="E211" s="401"/>
      <c r="F211" s="401"/>
      <c r="G211" s="401"/>
      <c r="H211" s="401"/>
      <c r="I211" s="381"/>
      <c r="J211" s="381"/>
      <c r="K211" s="381"/>
      <c r="L211" s="381"/>
      <c r="M211" s="381"/>
      <c r="N211" s="381"/>
      <c r="O211" s="381"/>
      <c r="P211" s="401"/>
      <c r="Q211" s="401"/>
      <c r="R211" s="401"/>
      <c r="S211" s="401"/>
      <c r="T211" s="401"/>
      <c r="U211" s="401"/>
      <c r="V211" s="401"/>
      <c r="W211" s="401"/>
      <c r="X211" s="401"/>
      <c r="Y211" s="401"/>
      <c r="Z211" s="401"/>
      <c r="AA211" s="401"/>
      <c r="AB211" s="401"/>
      <c r="AC211" s="401"/>
      <c r="AD211" s="401"/>
      <c r="AE211" s="401"/>
      <c r="AF211" s="401"/>
      <c r="AG211" s="401"/>
      <c r="AH211" s="401"/>
      <c r="AI211" s="401"/>
      <c r="AJ211" s="401"/>
      <c r="AK211" s="401"/>
      <c r="AL211" s="401"/>
      <c r="AM211" s="401"/>
      <c r="AN211" s="401"/>
      <c r="AO211" s="401"/>
      <c r="AP211" s="401"/>
      <c r="AQ211" s="401"/>
      <c r="AR211" s="401"/>
      <c r="AS211" s="401"/>
      <c r="AT211" s="401"/>
      <c r="AU211" s="401"/>
      <c r="AV211" s="401"/>
      <c r="AW211" s="401"/>
      <c r="AX211" s="401"/>
      <c r="AY211" s="401"/>
      <c r="AZ211" s="401"/>
      <c r="BA211" s="401"/>
      <c r="BB211" s="401"/>
      <c r="BC211" s="401"/>
      <c r="BD211" s="401"/>
      <c r="BE211" s="401"/>
      <c r="BF211" s="401"/>
      <c r="BG211" s="401"/>
      <c r="BH211" s="401"/>
      <c r="BI211" s="401"/>
      <c r="BJ211" s="401"/>
      <c r="BK211" s="401"/>
      <c r="BL211" s="401"/>
      <c r="BM211" s="401"/>
      <c r="BN211" s="401"/>
      <c r="BO211" s="401"/>
      <c r="BP211" s="401"/>
      <c r="BQ211" s="401"/>
      <c r="BR211" s="401"/>
      <c r="BS211" s="401"/>
      <c r="BT211" s="401"/>
      <c r="BU211" s="401"/>
      <c r="BV211" s="401"/>
      <c r="BW211" s="401"/>
      <c r="BX211" s="401"/>
      <c r="BY211" s="401"/>
      <c r="BZ211" s="401"/>
    </row>
    <row r="212" ht="15.75" customHeight="1">
      <c r="A212" s="401"/>
      <c r="B212" s="401"/>
      <c r="C212" s="401"/>
      <c r="D212" s="401"/>
      <c r="E212" s="401"/>
      <c r="F212" s="401"/>
      <c r="G212" s="401"/>
      <c r="H212" s="401"/>
      <c r="I212" s="381"/>
      <c r="J212" s="381"/>
      <c r="K212" s="381"/>
      <c r="L212" s="381"/>
      <c r="M212" s="381"/>
      <c r="N212" s="381"/>
      <c r="O212" s="381"/>
      <c r="P212" s="401"/>
      <c r="Q212" s="401"/>
      <c r="R212" s="401"/>
      <c r="S212" s="401"/>
      <c r="T212" s="401"/>
      <c r="U212" s="401"/>
      <c r="V212" s="401"/>
      <c r="W212" s="401"/>
      <c r="X212" s="401"/>
      <c r="Y212" s="401"/>
      <c r="Z212" s="401"/>
      <c r="AA212" s="401"/>
      <c r="AB212" s="401"/>
      <c r="AC212" s="401"/>
      <c r="AD212" s="401"/>
      <c r="AE212" s="401"/>
      <c r="AF212" s="401"/>
      <c r="AG212" s="401"/>
      <c r="AH212" s="401"/>
      <c r="AI212" s="401"/>
      <c r="AJ212" s="401"/>
      <c r="AK212" s="401"/>
      <c r="AL212" s="401"/>
      <c r="AM212" s="401"/>
      <c r="AN212" s="401"/>
      <c r="AO212" s="401"/>
      <c r="AP212" s="401"/>
      <c r="AQ212" s="401"/>
      <c r="AR212" s="401"/>
      <c r="AS212" s="401"/>
      <c r="AT212" s="401"/>
      <c r="AU212" s="401"/>
      <c r="AV212" s="401"/>
      <c r="AW212" s="401"/>
      <c r="AX212" s="401"/>
      <c r="AY212" s="401"/>
      <c r="AZ212" s="401"/>
      <c r="BA212" s="401"/>
      <c r="BB212" s="401"/>
      <c r="BC212" s="401"/>
      <c r="BD212" s="401"/>
      <c r="BE212" s="401"/>
      <c r="BF212" s="401"/>
      <c r="BG212" s="401"/>
      <c r="BH212" s="401"/>
      <c r="BI212" s="401"/>
      <c r="BJ212" s="401"/>
      <c r="BK212" s="401"/>
      <c r="BL212" s="401"/>
      <c r="BM212" s="401"/>
      <c r="BN212" s="401"/>
      <c r="BO212" s="401"/>
      <c r="BP212" s="401"/>
      <c r="BQ212" s="401"/>
      <c r="BR212" s="401"/>
      <c r="BS212" s="401"/>
      <c r="BT212" s="401"/>
      <c r="BU212" s="401"/>
      <c r="BV212" s="401"/>
      <c r="BW212" s="401"/>
      <c r="BX212" s="401"/>
      <c r="BY212" s="401"/>
      <c r="BZ212" s="401"/>
    </row>
    <row r="213" ht="15.75" customHeight="1">
      <c r="A213" s="401"/>
      <c r="B213" s="401"/>
      <c r="C213" s="401"/>
      <c r="D213" s="401"/>
      <c r="E213" s="401"/>
      <c r="F213" s="401"/>
      <c r="G213" s="401"/>
      <c r="H213" s="401"/>
      <c r="I213" s="381"/>
      <c r="J213" s="381"/>
      <c r="K213" s="381"/>
      <c r="L213" s="381"/>
      <c r="M213" s="381"/>
      <c r="N213" s="381"/>
      <c r="O213" s="381"/>
      <c r="P213" s="401"/>
      <c r="Q213" s="401"/>
      <c r="R213" s="401"/>
      <c r="S213" s="401"/>
      <c r="T213" s="401"/>
      <c r="U213" s="401"/>
      <c r="V213" s="401"/>
      <c r="W213" s="401"/>
      <c r="X213" s="401"/>
      <c r="Y213" s="401"/>
      <c r="Z213" s="401"/>
      <c r="AA213" s="401"/>
      <c r="AB213" s="401"/>
      <c r="AC213" s="401"/>
      <c r="AD213" s="401"/>
      <c r="AE213" s="401"/>
      <c r="AF213" s="401"/>
      <c r="AG213" s="401"/>
      <c r="AH213" s="401"/>
      <c r="AI213" s="401"/>
      <c r="AJ213" s="401"/>
      <c r="AK213" s="401"/>
      <c r="AL213" s="401"/>
      <c r="AM213" s="401"/>
      <c r="AN213" s="401"/>
      <c r="AO213" s="401"/>
      <c r="AP213" s="401"/>
      <c r="AQ213" s="401"/>
      <c r="AR213" s="401"/>
      <c r="AS213" s="401"/>
      <c r="AT213" s="401"/>
      <c r="AU213" s="401"/>
      <c r="AV213" s="401"/>
      <c r="AW213" s="401"/>
      <c r="AX213" s="401"/>
      <c r="AY213" s="401"/>
      <c r="AZ213" s="401"/>
      <c r="BA213" s="401"/>
      <c r="BB213" s="401"/>
      <c r="BC213" s="401"/>
      <c r="BD213" s="401"/>
      <c r="BE213" s="401"/>
      <c r="BF213" s="401"/>
      <c r="BG213" s="401"/>
      <c r="BH213" s="401"/>
      <c r="BI213" s="401"/>
      <c r="BJ213" s="401"/>
      <c r="BK213" s="401"/>
      <c r="BL213" s="401"/>
      <c r="BM213" s="401"/>
      <c r="BN213" s="401"/>
      <c r="BO213" s="401"/>
      <c r="BP213" s="401"/>
      <c r="BQ213" s="401"/>
      <c r="BR213" s="401"/>
      <c r="BS213" s="401"/>
      <c r="BT213" s="401"/>
      <c r="BU213" s="401"/>
      <c r="BV213" s="401"/>
      <c r="BW213" s="401"/>
      <c r="BX213" s="401"/>
      <c r="BY213" s="401"/>
      <c r="BZ213" s="401"/>
    </row>
    <row r="214" ht="15.75" customHeight="1">
      <c r="A214" s="401"/>
      <c r="B214" s="401"/>
      <c r="C214" s="401"/>
      <c r="D214" s="401"/>
      <c r="E214" s="401"/>
      <c r="F214" s="401"/>
      <c r="G214" s="401"/>
      <c r="H214" s="401"/>
      <c r="I214" s="381"/>
      <c r="J214" s="381"/>
      <c r="K214" s="381"/>
      <c r="L214" s="381"/>
      <c r="M214" s="381"/>
      <c r="N214" s="381"/>
      <c r="O214" s="381"/>
      <c r="P214" s="401"/>
      <c r="Q214" s="401"/>
      <c r="R214" s="401"/>
      <c r="S214" s="401"/>
      <c r="T214" s="401"/>
      <c r="U214" s="401"/>
      <c r="V214" s="401"/>
      <c r="W214" s="401"/>
      <c r="X214" s="401"/>
      <c r="Y214" s="401"/>
      <c r="Z214" s="401"/>
      <c r="AA214" s="401"/>
      <c r="AB214" s="401"/>
      <c r="AC214" s="401"/>
      <c r="AD214" s="401"/>
      <c r="AE214" s="401"/>
      <c r="AF214" s="401"/>
      <c r="AG214" s="401"/>
      <c r="AH214" s="401"/>
      <c r="AI214" s="401"/>
      <c r="AJ214" s="401"/>
      <c r="AK214" s="401"/>
      <c r="AL214" s="401"/>
      <c r="AM214" s="401"/>
      <c r="AN214" s="401"/>
      <c r="AO214" s="401"/>
      <c r="AP214" s="401"/>
      <c r="AQ214" s="401"/>
      <c r="AR214" s="401"/>
      <c r="AS214" s="401"/>
      <c r="AT214" s="401"/>
      <c r="AU214" s="401"/>
      <c r="AV214" s="401"/>
      <c r="AW214" s="401"/>
      <c r="AX214" s="401"/>
      <c r="AY214" s="401"/>
      <c r="AZ214" s="401"/>
      <c r="BA214" s="401"/>
      <c r="BB214" s="401"/>
      <c r="BC214" s="401"/>
      <c r="BD214" s="401"/>
      <c r="BE214" s="401"/>
      <c r="BF214" s="401"/>
      <c r="BG214" s="401"/>
      <c r="BH214" s="401"/>
      <c r="BI214" s="401"/>
      <c r="BJ214" s="401"/>
      <c r="BK214" s="401"/>
      <c r="BL214" s="401"/>
      <c r="BM214" s="401"/>
      <c r="BN214" s="401"/>
      <c r="BO214" s="401"/>
      <c r="BP214" s="401"/>
      <c r="BQ214" s="401"/>
      <c r="BR214" s="401"/>
      <c r="BS214" s="401"/>
      <c r="BT214" s="401"/>
      <c r="BU214" s="401"/>
      <c r="BV214" s="401"/>
      <c r="BW214" s="401"/>
      <c r="BX214" s="401"/>
      <c r="BY214" s="401"/>
      <c r="BZ214" s="401"/>
    </row>
    <row r="215" ht="15.75" customHeight="1">
      <c r="A215" s="401"/>
      <c r="B215" s="401"/>
      <c r="C215" s="401"/>
      <c r="D215" s="401"/>
      <c r="E215" s="401"/>
      <c r="F215" s="401"/>
      <c r="G215" s="401"/>
      <c r="H215" s="401"/>
      <c r="I215" s="381"/>
      <c r="J215" s="381"/>
      <c r="K215" s="381"/>
      <c r="L215" s="381"/>
      <c r="M215" s="381"/>
      <c r="N215" s="381"/>
      <c r="O215" s="381"/>
      <c r="P215" s="401"/>
      <c r="Q215" s="401"/>
      <c r="R215" s="401"/>
      <c r="S215" s="401"/>
      <c r="T215" s="401"/>
      <c r="U215" s="401"/>
      <c r="V215" s="401"/>
      <c r="W215" s="401"/>
      <c r="X215" s="401"/>
      <c r="Y215" s="401"/>
      <c r="Z215" s="401"/>
      <c r="AA215" s="401"/>
      <c r="AB215" s="401"/>
      <c r="AC215" s="401"/>
      <c r="AD215" s="401"/>
      <c r="AE215" s="401"/>
      <c r="AF215" s="401"/>
      <c r="AG215" s="401"/>
      <c r="AH215" s="401"/>
      <c r="AI215" s="401"/>
      <c r="AJ215" s="401"/>
      <c r="AK215" s="401"/>
      <c r="AL215" s="401"/>
      <c r="AM215" s="401"/>
      <c r="AN215" s="401"/>
      <c r="AO215" s="401"/>
      <c r="AP215" s="401"/>
      <c r="AQ215" s="401"/>
      <c r="AR215" s="401"/>
      <c r="AS215" s="401"/>
      <c r="AT215" s="401"/>
      <c r="AU215" s="401"/>
      <c r="AV215" s="401"/>
      <c r="AW215" s="401"/>
      <c r="AX215" s="401"/>
      <c r="AY215" s="401"/>
      <c r="AZ215" s="401"/>
      <c r="BA215" s="401"/>
      <c r="BB215" s="401"/>
      <c r="BC215" s="401"/>
      <c r="BD215" s="401"/>
      <c r="BE215" s="401"/>
      <c r="BF215" s="401"/>
      <c r="BG215" s="401"/>
      <c r="BH215" s="401"/>
      <c r="BI215" s="401"/>
      <c r="BJ215" s="401"/>
      <c r="BK215" s="401"/>
      <c r="BL215" s="401"/>
      <c r="BM215" s="401"/>
      <c r="BN215" s="401"/>
      <c r="BO215" s="401"/>
      <c r="BP215" s="401"/>
      <c r="BQ215" s="401"/>
      <c r="BR215" s="401"/>
      <c r="BS215" s="401"/>
      <c r="BT215" s="401"/>
      <c r="BU215" s="401"/>
      <c r="BV215" s="401"/>
      <c r="BW215" s="401"/>
      <c r="BX215" s="401"/>
      <c r="BY215" s="401"/>
      <c r="BZ215" s="401"/>
    </row>
    <row r="216" ht="15.75" customHeight="1">
      <c r="A216" s="401"/>
      <c r="B216" s="401"/>
      <c r="C216" s="401"/>
      <c r="D216" s="401"/>
      <c r="E216" s="401"/>
      <c r="F216" s="401"/>
      <c r="G216" s="401"/>
      <c r="H216" s="401"/>
      <c r="I216" s="381"/>
      <c r="J216" s="381"/>
      <c r="K216" s="381"/>
      <c r="L216" s="381"/>
      <c r="M216" s="381"/>
      <c r="N216" s="381"/>
      <c r="O216" s="381"/>
      <c r="P216" s="401"/>
      <c r="Q216" s="401"/>
      <c r="R216" s="401"/>
      <c r="S216" s="401"/>
      <c r="T216" s="401"/>
      <c r="U216" s="401"/>
      <c r="V216" s="401"/>
      <c r="W216" s="401"/>
      <c r="X216" s="401"/>
      <c r="Y216" s="401"/>
      <c r="Z216" s="401"/>
      <c r="AA216" s="401"/>
      <c r="AB216" s="401"/>
      <c r="AC216" s="401"/>
      <c r="AD216" s="401"/>
      <c r="AE216" s="401"/>
      <c r="AF216" s="401"/>
      <c r="AG216" s="401"/>
      <c r="AH216" s="401"/>
      <c r="AI216" s="401"/>
      <c r="AJ216" s="401"/>
      <c r="AK216" s="401"/>
      <c r="AL216" s="401"/>
      <c r="AM216" s="401"/>
      <c r="AN216" s="401"/>
      <c r="AO216" s="401"/>
      <c r="AP216" s="401"/>
      <c r="AQ216" s="401"/>
      <c r="AR216" s="401"/>
      <c r="AS216" s="401"/>
      <c r="AT216" s="401"/>
      <c r="AU216" s="401"/>
      <c r="AV216" s="401"/>
      <c r="AW216" s="401"/>
      <c r="AX216" s="401"/>
      <c r="AY216" s="401"/>
      <c r="AZ216" s="401"/>
      <c r="BA216" s="401"/>
      <c r="BB216" s="401"/>
      <c r="BC216" s="401"/>
      <c r="BD216" s="401"/>
      <c r="BE216" s="401"/>
      <c r="BF216" s="401"/>
      <c r="BG216" s="401"/>
      <c r="BH216" s="401"/>
      <c r="BI216" s="401"/>
      <c r="BJ216" s="401"/>
      <c r="BK216" s="401"/>
      <c r="BL216" s="401"/>
      <c r="BM216" s="401"/>
      <c r="BN216" s="401"/>
      <c r="BO216" s="401"/>
      <c r="BP216" s="401"/>
      <c r="BQ216" s="401"/>
      <c r="BR216" s="401"/>
      <c r="BS216" s="401"/>
      <c r="BT216" s="401"/>
      <c r="BU216" s="401"/>
      <c r="BV216" s="401"/>
      <c r="BW216" s="401"/>
      <c r="BX216" s="401"/>
      <c r="BY216" s="401"/>
      <c r="BZ216" s="401"/>
    </row>
    <row r="217" ht="15.75" customHeight="1">
      <c r="A217" s="401"/>
      <c r="B217" s="401"/>
      <c r="C217" s="401"/>
      <c r="D217" s="401"/>
      <c r="E217" s="401"/>
      <c r="F217" s="401"/>
      <c r="G217" s="401"/>
      <c r="H217" s="401"/>
      <c r="I217" s="381"/>
      <c r="J217" s="381"/>
      <c r="K217" s="381"/>
      <c r="L217" s="381"/>
      <c r="M217" s="381"/>
      <c r="N217" s="381"/>
      <c r="O217" s="381"/>
      <c r="P217" s="401"/>
      <c r="Q217" s="401"/>
      <c r="R217" s="401"/>
      <c r="S217" s="401"/>
      <c r="T217" s="401"/>
      <c r="U217" s="401"/>
      <c r="V217" s="401"/>
      <c r="W217" s="401"/>
      <c r="X217" s="401"/>
      <c r="Y217" s="401"/>
      <c r="Z217" s="401"/>
      <c r="AA217" s="401"/>
      <c r="AB217" s="401"/>
      <c r="AC217" s="401"/>
      <c r="AD217" s="401"/>
      <c r="AE217" s="401"/>
      <c r="AF217" s="401"/>
      <c r="AG217" s="401"/>
      <c r="AH217" s="401"/>
      <c r="AI217" s="401"/>
      <c r="AJ217" s="401"/>
      <c r="AK217" s="401"/>
      <c r="AL217" s="401"/>
      <c r="AM217" s="401"/>
      <c r="AN217" s="401"/>
      <c r="AO217" s="401"/>
      <c r="AP217" s="401"/>
      <c r="AQ217" s="401"/>
      <c r="AR217" s="401"/>
      <c r="AS217" s="401"/>
      <c r="AT217" s="401"/>
      <c r="AU217" s="401"/>
      <c r="AV217" s="401"/>
      <c r="AW217" s="401"/>
      <c r="AX217" s="401"/>
      <c r="AY217" s="401"/>
      <c r="AZ217" s="401"/>
      <c r="BA217" s="401"/>
      <c r="BB217" s="401"/>
      <c r="BC217" s="401"/>
      <c r="BD217" s="401"/>
      <c r="BE217" s="401"/>
      <c r="BF217" s="401"/>
      <c r="BG217" s="401"/>
      <c r="BH217" s="401"/>
      <c r="BI217" s="401"/>
      <c r="BJ217" s="401"/>
      <c r="BK217" s="401"/>
      <c r="BL217" s="401"/>
      <c r="BM217" s="401"/>
      <c r="BN217" s="401"/>
      <c r="BO217" s="401"/>
      <c r="BP217" s="401"/>
      <c r="BQ217" s="401"/>
      <c r="BR217" s="401"/>
      <c r="BS217" s="401"/>
      <c r="BT217" s="401"/>
      <c r="BU217" s="401"/>
      <c r="BV217" s="401"/>
      <c r="BW217" s="401"/>
      <c r="BX217" s="401"/>
      <c r="BY217" s="401"/>
      <c r="BZ217" s="401"/>
    </row>
    <row r="218" ht="15.75" customHeight="1">
      <c r="A218" s="401"/>
      <c r="B218" s="401"/>
      <c r="C218" s="401"/>
      <c r="D218" s="401"/>
      <c r="E218" s="401"/>
      <c r="F218" s="401"/>
      <c r="G218" s="401"/>
      <c r="H218" s="401"/>
      <c r="I218" s="381"/>
      <c r="J218" s="381"/>
      <c r="K218" s="381"/>
      <c r="L218" s="381"/>
      <c r="M218" s="381"/>
      <c r="N218" s="381"/>
      <c r="O218" s="381"/>
      <c r="P218" s="401"/>
      <c r="Q218" s="401"/>
      <c r="R218" s="401"/>
      <c r="S218" s="401"/>
      <c r="T218" s="401"/>
      <c r="U218" s="401"/>
      <c r="V218" s="401"/>
      <c r="W218" s="401"/>
      <c r="X218" s="401"/>
      <c r="Y218" s="401"/>
      <c r="Z218" s="401"/>
      <c r="AA218" s="401"/>
      <c r="AB218" s="401"/>
      <c r="AC218" s="401"/>
      <c r="AD218" s="401"/>
      <c r="AE218" s="401"/>
      <c r="AF218" s="401"/>
      <c r="AG218" s="401"/>
      <c r="AH218" s="401"/>
      <c r="AI218" s="401"/>
      <c r="AJ218" s="401"/>
      <c r="AK218" s="401"/>
      <c r="AL218" s="401"/>
      <c r="AM218" s="401"/>
      <c r="AN218" s="401"/>
      <c r="AO218" s="401"/>
      <c r="AP218" s="401"/>
      <c r="AQ218" s="401"/>
      <c r="AR218" s="401"/>
      <c r="AS218" s="401"/>
      <c r="AT218" s="401"/>
      <c r="AU218" s="401"/>
      <c r="AV218" s="401"/>
      <c r="AW218" s="401"/>
      <c r="AX218" s="401"/>
      <c r="AY218" s="401"/>
      <c r="AZ218" s="401"/>
      <c r="BA218" s="401"/>
      <c r="BB218" s="401"/>
      <c r="BC218" s="401"/>
      <c r="BD218" s="401"/>
      <c r="BE218" s="401"/>
      <c r="BF218" s="401"/>
      <c r="BG218" s="401"/>
      <c r="BH218" s="401"/>
      <c r="BI218" s="401"/>
      <c r="BJ218" s="401"/>
      <c r="BK218" s="401"/>
      <c r="BL218" s="401"/>
      <c r="BM218" s="401"/>
      <c r="BN218" s="401"/>
      <c r="BO218" s="401"/>
      <c r="BP218" s="401"/>
      <c r="BQ218" s="401"/>
      <c r="BR218" s="401"/>
      <c r="BS218" s="401"/>
      <c r="BT218" s="401"/>
      <c r="BU218" s="401"/>
      <c r="BV218" s="401"/>
      <c r="BW218" s="401"/>
      <c r="BX218" s="401"/>
      <c r="BY218" s="401"/>
      <c r="BZ218" s="401"/>
    </row>
    <row r="219" ht="15.75" customHeight="1">
      <c r="A219" s="401"/>
      <c r="B219" s="401"/>
      <c r="C219" s="401"/>
      <c r="D219" s="401"/>
      <c r="E219" s="401"/>
      <c r="F219" s="401"/>
      <c r="G219" s="401"/>
      <c r="H219" s="401"/>
      <c r="I219" s="381"/>
      <c r="J219" s="381"/>
      <c r="K219" s="381"/>
      <c r="L219" s="381"/>
      <c r="M219" s="381"/>
      <c r="N219" s="381"/>
      <c r="O219" s="381"/>
      <c r="P219" s="401"/>
      <c r="Q219" s="401"/>
      <c r="R219" s="401"/>
      <c r="S219" s="401"/>
      <c r="T219" s="401"/>
      <c r="U219" s="401"/>
      <c r="V219" s="401"/>
      <c r="W219" s="401"/>
      <c r="X219" s="401"/>
      <c r="Y219" s="401"/>
      <c r="Z219" s="401"/>
      <c r="AA219" s="401"/>
      <c r="AB219" s="401"/>
      <c r="AC219" s="401"/>
      <c r="AD219" s="401"/>
      <c r="AE219" s="401"/>
      <c r="AF219" s="401"/>
      <c r="AG219" s="401"/>
      <c r="AH219" s="401"/>
      <c r="AI219" s="401"/>
      <c r="AJ219" s="401"/>
      <c r="AK219" s="401"/>
      <c r="AL219" s="401"/>
      <c r="AM219" s="401"/>
      <c r="AN219" s="401"/>
      <c r="AO219" s="401"/>
      <c r="AP219" s="401"/>
      <c r="AQ219" s="401"/>
      <c r="AR219" s="401"/>
      <c r="AS219" s="401"/>
      <c r="AT219" s="401"/>
      <c r="AU219" s="401"/>
      <c r="AV219" s="401"/>
      <c r="AW219" s="401"/>
      <c r="AX219" s="401"/>
      <c r="AY219" s="401"/>
      <c r="AZ219" s="401"/>
      <c r="BA219" s="401"/>
      <c r="BB219" s="401"/>
      <c r="BC219" s="401"/>
      <c r="BD219" s="401"/>
      <c r="BE219" s="401"/>
      <c r="BF219" s="401"/>
      <c r="BG219" s="401"/>
      <c r="BH219" s="401"/>
      <c r="BI219" s="401"/>
      <c r="BJ219" s="401"/>
      <c r="BK219" s="401"/>
      <c r="BL219" s="401"/>
      <c r="BM219" s="401"/>
      <c r="BN219" s="401"/>
      <c r="BO219" s="401"/>
      <c r="BP219" s="401"/>
      <c r="BQ219" s="401"/>
      <c r="BR219" s="401"/>
      <c r="BS219" s="401"/>
      <c r="BT219" s="401"/>
      <c r="BU219" s="401"/>
      <c r="BV219" s="401"/>
      <c r="BW219" s="401"/>
      <c r="BX219" s="401"/>
      <c r="BY219" s="401"/>
      <c r="BZ219" s="401"/>
    </row>
    <row r="220" ht="15.75" customHeight="1">
      <c r="A220" s="401"/>
      <c r="B220" s="401"/>
      <c r="C220" s="401"/>
      <c r="D220" s="401"/>
      <c r="E220" s="401"/>
      <c r="F220" s="401"/>
      <c r="G220" s="401"/>
      <c r="H220" s="401"/>
      <c r="I220" s="381"/>
      <c r="J220" s="381"/>
      <c r="K220" s="381"/>
      <c r="L220" s="381"/>
      <c r="M220" s="381"/>
      <c r="N220" s="381"/>
      <c r="O220" s="381"/>
      <c r="P220" s="401"/>
      <c r="Q220" s="401"/>
      <c r="R220" s="401"/>
      <c r="S220" s="401"/>
      <c r="T220" s="401"/>
      <c r="U220" s="401"/>
      <c r="V220" s="401"/>
      <c r="W220" s="401"/>
      <c r="X220" s="401"/>
      <c r="Y220" s="401"/>
      <c r="Z220" s="401"/>
      <c r="AA220" s="401"/>
      <c r="AB220" s="401"/>
      <c r="AC220" s="401"/>
      <c r="AD220" s="401"/>
      <c r="AE220" s="401"/>
      <c r="AF220" s="401"/>
      <c r="AG220" s="401"/>
      <c r="AH220" s="401"/>
      <c r="AI220" s="401"/>
      <c r="AJ220" s="401"/>
      <c r="AK220" s="401"/>
      <c r="AL220" s="401"/>
      <c r="AM220" s="401"/>
      <c r="AN220" s="401"/>
      <c r="AO220" s="401"/>
      <c r="AP220" s="401"/>
      <c r="AQ220" s="401"/>
      <c r="AR220" s="401"/>
      <c r="AS220" s="401"/>
      <c r="AT220" s="401"/>
      <c r="AU220" s="401"/>
      <c r="AV220" s="401"/>
      <c r="AW220" s="401"/>
      <c r="AX220" s="401"/>
      <c r="AY220" s="401"/>
      <c r="AZ220" s="401"/>
      <c r="BA220" s="401"/>
      <c r="BB220" s="401"/>
      <c r="BC220" s="401"/>
      <c r="BD220" s="401"/>
      <c r="BE220" s="401"/>
      <c r="BF220" s="401"/>
      <c r="BG220" s="401"/>
      <c r="BH220" s="401"/>
      <c r="BI220" s="401"/>
      <c r="BJ220" s="401"/>
      <c r="BK220" s="401"/>
      <c r="BL220" s="401"/>
      <c r="BM220" s="401"/>
      <c r="BN220" s="401"/>
      <c r="BO220" s="401"/>
      <c r="BP220" s="401"/>
      <c r="BQ220" s="401"/>
      <c r="BR220" s="401"/>
      <c r="BS220" s="401"/>
      <c r="BT220" s="401"/>
      <c r="BU220" s="401"/>
      <c r="BV220" s="401"/>
      <c r="BW220" s="401"/>
      <c r="BX220" s="401"/>
      <c r="BY220" s="401"/>
      <c r="BZ220" s="401"/>
    </row>
    <row r="221" ht="15.75" customHeight="1">
      <c r="A221" s="401"/>
      <c r="B221" s="401"/>
      <c r="C221" s="401"/>
      <c r="D221" s="401"/>
      <c r="E221" s="401"/>
      <c r="F221" s="401"/>
      <c r="G221" s="401"/>
      <c r="H221" s="401"/>
      <c r="I221" s="381"/>
      <c r="J221" s="381"/>
      <c r="K221" s="381"/>
      <c r="L221" s="381"/>
      <c r="M221" s="381"/>
      <c r="N221" s="381"/>
      <c r="O221" s="381"/>
      <c r="P221" s="401"/>
      <c r="Q221" s="401"/>
      <c r="R221" s="401"/>
      <c r="S221" s="401"/>
      <c r="T221" s="401"/>
      <c r="U221" s="401"/>
      <c r="V221" s="401"/>
      <c r="W221" s="401"/>
      <c r="X221" s="401"/>
      <c r="Y221" s="401"/>
      <c r="Z221" s="401"/>
      <c r="AA221" s="401"/>
      <c r="AB221" s="401"/>
      <c r="AC221" s="401"/>
      <c r="AD221" s="401"/>
      <c r="AE221" s="401"/>
      <c r="AF221" s="401"/>
      <c r="AG221" s="401"/>
      <c r="AH221" s="401"/>
      <c r="AI221" s="401"/>
      <c r="AJ221" s="401"/>
      <c r="AK221" s="401"/>
      <c r="AL221" s="401"/>
      <c r="AM221" s="401"/>
      <c r="AN221" s="401"/>
      <c r="AO221" s="401"/>
      <c r="AP221" s="401"/>
      <c r="AQ221" s="401"/>
      <c r="AR221" s="401"/>
      <c r="AS221" s="401"/>
      <c r="AT221" s="401"/>
      <c r="AU221" s="401"/>
      <c r="AV221" s="401"/>
      <c r="AW221" s="401"/>
      <c r="AX221" s="401"/>
      <c r="AY221" s="401"/>
      <c r="AZ221" s="401"/>
      <c r="BA221" s="401"/>
      <c r="BB221" s="401"/>
      <c r="BC221" s="401"/>
      <c r="BD221" s="401"/>
      <c r="BE221" s="401"/>
      <c r="BF221" s="401"/>
      <c r="BG221" s="401"/>
      <c r="BH221" s="401"/>
      <c r="BI221" s="401"/>
      <c r="BJ221" s="401"/>
      <c r="BK221" s="401"/>
      <c r="BL221" s="401"/>
      <c r="BM221" s="401"/>
      <c r="BN221" s="401"/>
      <c r="BO221" s="401"/>
      <c r="BP221" s="401"/>
      <c r="BQ221" s="401"/>
      <c r="BR221" s="401"/>
      <c r="BS221" s="401"/>
      <c r="BT221" s="401"/>
      <c r="BU221" s="401"/>
      <c r="BV221" s="401"/>
      <c r="BW221" s="401"/>
      <c r="BX221" s="401"/>
      <c r="BY221" s="401"/>
      <c r="BZ221" s="401"/>
    </row>
    <row r="222" ht="15.75" customHeight="1">
      <c r="A222" s="401"/>
      <c r="B222" s="401"/>
      <c r="C222" s="401"/>
      <c r="D222" s="401"/>
      <c r="E222" s="401"/>
      <c r="F222" s="401"/>
      <c r="G222" s="401"/>
      <c r="H222" s="401"/>
      <c r="I222" s="381"/>
      <c r="J222" s="381"/>
      <c r="K222" s="381"/>
      <c r="L222" s="381"/>
      <c r="M222" s="381"/>
      <c r="N222" s="381"/>
      <c r="O222" s="381"/>
      <c r="P222" s="401"/>
      <c r="Q222" s="401"/>
      <c r="R222" s="401"/>
      <c r="S222" s="401"/>
      <c r="T222" s="401"/>
      <c r="U222" s="401"/>
      <c r="V222" s="401"/>
      <c r="W222" s="401"/>
      <c r="X222" s="401"/>
      <c r="Y222" s="401"/>
      <c r="Z222" s="401"/>
      <c r="AA222" s="401"/>
      <c r="AB222" s="401"/>
      <c r="AC222" s="401"/>
      <c r="AD222" s="401"/>
      <c r="AE222" s="401"/>
      <c r="AF222" s="401"/>
      <c r="AG222" s="401"/>
      <c r="AH222" s="401"/>
      <c r="AI222" s="401"/>
      <c r="AJ222" s="401"/>
      <c r="AK222" s="401"/>
      <c r="AL222" s="401"/>
      <c r="AM222" s="401"/>
      <c r="AN222" s="401"/>
      <c r="AO222" s="401"/>
      <c r="AP222" s="401"/>
      <c r="AQ222" s="401"/>
      <c r="AR222" s="401"/>
      <c r="AS222" s="401"/>
      <c r="AT222" s="401"/>
      <c r="AU222" s="401"/>
      <c r="AV222" s="401"/>
      <c r="AW222" s="401"/>
      <c r="AX222" s="401"/>
      <c r="AY222" s="401"/>
      <c r="AZ222" s="401"/>
      <c r="BA222" s="401"/>
      <c r="BB222" s="401"/>
      <c r="BC222" s="401"/>
      <c r="BD222" s="401"/>
      <c r="BE222" s="401"/>
      <c r="BF222" s="401"/>
      <c r="BG222" s="401"/>
      <c r="BH222" s="401"/>
      <c r="BI222" s="401"/>
      <c r="BJ222" s="401"/>
      <c r="BK222" s="401"/>
      <c r="BL222" s="401"/>
      <c r="BM222" s="401"/>
      <c r="BN222" s="401"/>
      <c r="BO222" s="401"/>
      <c r="BP222" s="401"/>
      <c r="BQ222" s="401"/>
      <c r="BR222" s="401"/>
      <c r="BS222" s="401"/>
      <c r="BT222" s="401"/>
      <c r="BU222" s="401"/>
      <c r="BV222" s="401"/>
      <c r="BW222" s="401"/>
      <c r="BX222" s="401"/>
      <c r="BY222" s="401"/>
      <c r="BZ222" s="401"/>
    </row>
    <row r="223" ht="15.75" customHeight="1">
      <c r="A223" s="401"/>
      <c r="B223" s="401"/>
      <c r="C223" s="401"/>
      <c r="D223" s="401"/>
      <c r="E223" s="401"/>
      <c r="F223" s="401"/>
      <c r="G223" s="401"/>
      <c r="H223" s="401"/>
      <c r="I223" s="381"/>
      <c r="J223" s="381"/>
      <c r="K223" s="381"/>
      <c r="L223" s="381"/>
      <c r="M223" s="381"/>
      <c r="N223" s="381"/>
      <c r="O223" s="381"/>
      <c r="P223" s="401"/>
      <c r="Q223" s="401"/>
      <c r="R223" s="401"/>
      <c r="S223" s="401"/>
      <c r="T223" s="401"/>
      <c r="U223" s="401"/>
      <c r="V223" s="401"/>
      <c r="W223" s="401"/>
      <c r="X223" s="401"/>
      <c r="Y223" s="401"/>
      <c r="Z223" s="401"/>
      <c r="AA223" s="401"/>
      <c r="AB223" s="401"/>
      <c r="AC223" s="401"/>
      <c r="AD223" s="401"/>
      <c r="AE223" s="401"/>
      <c r="AF223" s="401"/>
      <c r="AG223" s="401"/>
      <c r="AH223" s="401"/>
      <c r="AI223" s="401"/>
      <c r="AJ223" s="401"/>
      <c r="AK223" s="401"/>
      <c r="AL223" s="401"/>
      <c r="AM223" s="401"/>
      <c r="AN223" s="401"/>
      <c r="AO223" s="401"/>
      <c r="AP223" s="401"/>
      <c r="AQ223" s="401"/>
      <c r="AR223" s="401"/>
      <c r="AS223" s="401"/>
      <c r="AT223" s="401"/>
      <c r="AU223" s="401"/>
      <c r="AV223" s="401"/>
      <c r="AW223" s="401"/>
      <c r="AX223" s="401"/>
      <c r="AY223" s="401"/>
      <c r="AZ223" s="401"/>
      <c r="BA223" s="401"/>
      <c r="BB223" s="401"/>
      <c r="BC223" s="401"/>
      <c r="BD223" s="401"/>
      <c r="BE223" s="401"/>
      <c r="BF223" s="401"/>
      <c r="BG223" s="401"/>
      <c r="BH223" s="401"/>
      <c r="BI223" s="401"/>
      <c r="BJ223" s="401"/>
      <c r="BK223" s="401"/>
      <c r="BL223" s="401"/>
      <c r="BM223" s="401"/>
      <c r="BN223" s="401"/>
      <c r="BO223" s="401"/>
      <c r="BP223" s="401"/>
      <c r="BQ223" s="401"/>
      <c r="BR223" s="401"/>
      <c r="BS223" s="401"/>
      <c r="BT223" s="401"/>
      <c r="BU223" s="401"/>
      <c r="BV223" s="401"/>
      <c r="BW223" s="401"/>
      <c r="BX223" s="401"/>
      <c r="BY223" s="401"/>
      <c r="BZ223" s="401"/>
    </row>
    <row r="224" ht="15.75" customHeight="1">
      <c r="A224" s="401"/>
      <c r="B224" s="401"/>
      <c r="C224" s="401"/>
      <c r="D224" s="401"/>
      <c r="E224" s="401"/>
      <c r="F224" s="401"/>
      <c r="G224" s="401"/>
      <c r="H224" s="401"/>
      <c r="I224" s="381"/>
      <c r="J224" s="381"/>
      <c r="K224" s="381"/>
      <c r="L224" s="381"/>
      <c r="M224" s="381"/>
      <c r="N224" s="381"/>
      <c r="O224" s="381"/>
      <c r="P224" s="401"/>
      <c r="Q224" s="401"/>
      <c r="R224" s="401"/>
      <c r="S224" s="401"/>
      <c r="T224" s="401"/>
      <c r="U224" s="401"/>
      <c r="V224" s="401"/>
      <c r="W224" s="401"/>
      <c r="X224" s="401"/>
      <c r="Y224" s="401"/>
      <c r="Z224" s="401"/>
      <c r="AA224" s="401"/>
      <c r="AB224" s="401"/>
      <c r="AC224" s="401"/>
      <c r="AD224" s="401"/>
      <c r="AE224" s="401"/>
      <c r="AF224" s="401"/>
      <c r="AG224" s="401"/>
      <c r="AH224" s="401"/>
      <c r="AI224" s="401"/>
      <c r="AJ224" s="401"/>
      <c r="AK224" s="401"/>
      <c r="AL224" s="401"/>
      <c r="AM224" s="401"/>
      <c r="AN224" s="401"/>
      <c r="AO224" s="401"/>
      <c r="AP224" s="401"/>
      <c r="AQ224" s="401"/>
      <c r="AR224" s="401"/>
      <c r="AS224" s="401"/>
      <c r="AT224" s="401"/>
      <c r="AU224" s="401"/>
      <c r="AV224" s="401"/>
      <c r="AW224" s="401"/>
      <c r="AX224" s="401"/>
      <c r="AY224" s="401"/>
      <c r="AZ224" s="401"/>
      <c r="BA224" s="401"/>
      <c r="BB224" s="401"/>
      <c r="BC224" s="401"/>
      <c r="BD224" s="401"/>
      <c r="BE224" s="401"/>
      <c r="BF224" s="401"/>
      <c r="BG224" s="401"/>
      <c r="BH224" s="401"/>
      <c r="BI224" s="401"/>
      <c r="BJ224" s="401"/>
      <c r="BK224" s="401"/>
      <c r="BL224" s="401"/>
      <c r="BM224" s="401"/>
      <c r="BN224" s="401"/>
      <c r="BO224" s="401"/>
      <c r="BP224" s="401"/>
      <c r="BQ224" s="401"/>
      <c r="BR224" s="401"/>
      <c r="BS224" s="401"/>
      <c r="BT224" s="401"/>
      <c r="BU224" s="401"/>
      <c r="BV224" s="401"/>
      <c r="BW224" s="401"/>
      <c r="BX224" s="401"/>
      <c r="BY224" s="401"/>
      <c r="BZ224" s="401"/>
    </row>
    <row r="225" ht="15.75" customHeight="1">
      <c r="A225" s="401"/>
      <c r="B225" s="401"/>
      <c r="C225" s="401"/>
      <c r="D225" s="401"/>
      <c r="E225" s="401"/>
      <c r="F225" s="401"/>
      <c r="G225" s="401"/>
      <c r="H225" s="401"/>
      <c r="I225" s="381"/>
      <c r="J225" s="381"/>
      <c r="K225" s="381"/>
      <c r="L225" s="381"/>
      <c r="M225" s="381"/>
      <c r="N225" s="381"/>
      <c r="O225" s="381"/>
      <c r="P225" s="401"/>
      <c r="Q225" s="401"/>
      <c r="R225" s="401"/>
      <c r="S225" s="401"/>
      <c r="T225" s="401"/>
      <c r="U225" s="401"/>
      <c r="V225" s="401"/>
      <c r="W225" s="401"/>
      <c r="X225" s="401"/>
      <c r="Y225" s="401"/>
      <c r="Z225" s="401"/>
      <c r="AA225" s="401"/>
      <c r="AB225" s="401"/>
      <c r="AC225" s="401"/>
      <c r="AD225" s="401"/>
      <c r="AE225" s="401"/>
      <c r="AF225" s="401"/>
      <c r="AG225" s="401"/>
      <c r="AH225" s="401"/>
      <c r="AI225" s="401"/>
      <c r="AJ225" s="401"/>
      <c r="AK225" s="401"/>
      <c r="AL225" s="401"/>
      <c r="AM225" s="401"/>
      <c r="AN225" s="401"/>
      <c r="AO225" s="401"/>
      <c r="AP225" s="401"/>
      <c r="AQ225" s="401"/>
      <c r="AR225" s="401"/>
      <c r="AS225" s="401"/>
      <c r="AT225" s="401"/>
      <c r="AU225" s="401"/>
      <c r="AV225" s="401"/>
      <c r="AW225" s="401"/>
      <c r="AX225" s="401"/>
      <c r="AY225" s="401"/>
      <c r="AZ225" s="401"/>
      <c r="BA225" s="401"/>
      <c r="BB225" s="401"/>
      <c r="BC225" s="401"/>
      <c r="BD225" s="401"/>
      <c r="BE225" s="401"/>
      <c r="BF225" s="401"/>
      <c r="BG225" s="401"/>
      <c r="BH225" s="401"/>
      <c r="BI225" s="401"/>
      <c r="BJ225" s="401"/>
      <c r="BK225" s="401"/>
      <c r="BL225" s="401"/>
      <c r="BM225" s="401"/>
      <c r="BN225" s="401"/>
      <c r="BO225" s="401"/>
      <c r="BP225" s="401"/>
      <c r="BQ225" s="401"/>
      <c r="BR225" s="401"/>
      <c r="BS225" s="401"/>
      <c r="BT225" s="401"/>
      <c r="BU225" s="401"/>
      <c r="BV225" s="401"/>
      <c r="BW225" s="401"/>
      <c r="BX225" s="401"/>
      <c r="BY225" s="401"/>
      <c r="BZ225" s="401"/>
    </row>
    <row r="226" ht="15.75" customHeight="1">
      <c r="A226" s="401"/>
      <c r="B226" s="401"/>
      <c r="C226" s="401"/>
      <c r="D226" s="401"/>
      <c r="E226" s="401"/>
      <c r="F226" s="401"/>
      <c r="G226" s="401"/>
      <c r="H226" s="401"/>
      <c r="I226" s="381"/>
      <c r="J226" s="381"/>
      <c r="K226" s="381"/>
      <c r="L226" s="381"/>
      <c r="M226" s="381"/>
      <c r="N226" s="381"/>
      <c r="O226" s="381"/>
      <c r="P226" s="401"/>
      <c r="Q226" s="401"/>
      <c r="R226" s="401"/>
      <c r="S226" s="401"/>
      <c r="T226" s="401"/>
      <c r="U226" s="401"/>
      <c r="V226" s="401"/>
      <c r="W226" s="401"/>
      <c r="X226" s="401"/>
      <c r="Y226" s="401"/>
      <c r="Z226" s="401"/>
      <c r="AA226" s="401"/>
      <c r="AB226" s="401"/>
      <c r="AC226" s="401"/>
      <c r="AD226" s="401"/>
      <c r="AE226" s="401"/>
      <c r="AF226" s="401"/>
      <c r="AG226" s="401"/>
      <c r="AH226" s="401"/>
      <c r="AI226" s="401"/>
      <c r="AJ226" s="401"/>
      <c r="AK226" s="401"/>
      <c r="AL226" s="401"/>
      <c r="AM226" s="401"/>
      <c r="AN226" s="401"/>
      <c r="AO226" s="401"/>
      <c r="AP226" s="401"/>
      <c r="AQ226" s="401"/>
      <c r="AR226" s="401"/>
      <c r="AS226" s="401"/>
      <c r="AT226" s="401"/>
      <c r="AU226" s="401"/>
      <c r="AV226" s="401"/>
      <c r="AW226" s="401"/>
      <c r="AX226" s="401"/>
      <c r="AY226" s="401"/>
      <c r="AZ226" s="401"/>
      <c r="BA226" s="401"/>
      <c r="BB226" s="401"/>
      <c r="BC226" s="401"/>
      <c r="BD226" s="401"/>
      <c r="BE226" s="401"/>
      <c r="BF226" s="401"/>
      <c r="BG226" s="401"/>
      <c r="BH226" s="401"/>
      <c r="BI226" s="401"/>
      <c r="BJ226" s="401"/>
      <c r="BK226" s="401"/>
      <c r="BL226" s="401"/>
      <c r="BM226" s="401"/>
      <c r="BN226" s="401"/>
      <c r="BO226" s="401"/>
      <c r="BP226" s="401"/>
      <c r="BQ226" s="401"/>
      <c r="BR226" s="401"/>
      <c r="BS226" s="401"/>
      <c r="BT226" s="401"/>
      <c r="BU226" s="401"/>
      <c r="BV226" s="401"/>
      <c r="BW226" s="401"/>
      <c r="BX226" s="401"/>
      <c r="BY226" s="401"/>
      <c r="BZ226" s="401"/>
    </row>
    <row r="227" ht="15.75" customHeight="1">
      <c r="A227" s="401"/>
      <c r="B227" s="401"/>
      <c r="C227" s="401"/>
      <c r="D227" s="401"/>
      <c r="E227" s="401"/>
      <c r="F227" s="401"/>
      <c r="G227" s="401"/>
      <c r="H227" s="401"/>
      <c r="I227" s="381"/>
      <c r="J227" s="381"/>
      <c r="K227" s="381"/>
      <c r="L227" s="381"/>
      <c r="M227" s="381"/>
      <c r="N227" s="381"/>
      <c r="O227" s="381"/>
      <c r="P227" s="401"/>
      <c r="Q227" s="401"/>
      <c r="R227" s="401"/>
      <c r="S227" s="401"/>
      <c r="T227" s="401"/>
      <c r="U227" s="401"/>
      <c r="V227" s="401"/>
      <c r="W227" s="401"/>
      <c r="X227" s="401"/>
      <c r="Y227" s="401"/>
      <c r="Z227" s="401"/>
      <c r="AA227" s="401"/>
      <c r="AB227" s="401"/>
      <c r="AC227" s="401"/>
      <c r="AD227" s="401"/>
      <c r="AE227" s="401"/>
      <c r="AF227" s="401"/>
      <c r="AG227" s="401"/>
      <c r="AH227" s="401"/>
      <c r="AI227" s="401"/>
      <c r="AJ227" s="401"/>
      <c r="AK227" s="401"/>
      <c r="AL227" s="401"/>
      <c r="AM227" s="401"/>
      <c r="AN227" s="401"/>
      <c r="AO227" s="401"/>
      <c r="AP227" s="401"/>
      <c r="AQ227" s="401"/>
      <c r="AR227" s="401"/>
      <c r="AS227" s="401"/>
      <c r="AT227" s="401"/>
      <c r="AU227" s="401"/>
      <c r="AV227" s="401"/>
      <c r="AW227" s="401"/>
      <c r="AX227" s="401"/>
      <c r="AY227" s="401"/>
      <c r="AZ227" s="401"/>
      <c r="BA227" s="401"/>
      <c r="BB227" s="401"/>
      <c r="BC227" s="401"/>
      <c r="BD227" s="401"/>
      <c r="BE227" s="401"/>
      <c r="BF227" s="401"/>
      <c r="BG227" s="401"/>
      <c r="BH227" s="401"/>
      <c r="BI227" s="401"/>
      <c r="BJ227" s="401"/>
      <c r="BK227" s="401"/>
      <c r="BL227" s="401"/>
      <c r="BM227" s="401"/>
      <c r="BN227" s="401"/>
      <c r="BO227" s="401"/>
      <c r="BP227" s="401"/>
      <c r="BQ227" s="401"/>
      <c r="BR227" s="401"/>
      <c r="BS227" s="401"/>
      <c r="BT227" s="401"/>
      <c r="BU227" s="401"/>
      <c r="BV227" s="401"/>
      <c r="BW227" s="401"/>
      <c r="BX227" s="401"/>
      <c r="BY227" s="401"/>
      <c r="BZ227" s="401"/>
    </row>
    <row r="228" ht="15.75" customHeight="1">
      <c r="A228" s="401"/>
      <c r="B228" s="401"/>
      <c r="C228" s="401"/>
      <c r="D228" s="401"/>
      <c r="E228" s="401"/>
      <c r="F228" s="401"/>
      <c r="G228" s="401"/>
      <c r="H228" s="401"/>
      <c r="I228" s="381"/>
      <c r="J228" s="381"/>
      <c r="K228" s="381"/>
      <c r="L228" s="381"/>
      <c r="M228" s="381"/>
      <c r="N228" s="381"/>
      <c r="O228" s="381"/>
      <c r="P228" s="401"/>
      <c r="Q228" s="401"/>
      <c r="R228" s="401"/>
      <c r="S228" s="401"/>
      <c r="T228" s="401"/>
      <c r="U228" s="401"/>
      <c r="V228" s="401"/>
      <c r="W228" s="401"/>
      <c r="X228" s="401"/>
      <c r="Y228" s="401"/>
      <c r="Z228" s="401"/>
      <c r="AA228" s="401"/>
      <c r="AB228" s="401"/>
      <c r="AC228" s="401"/>
      <c r="AD228" s="401"/>
      <c r="AE228" s="401"/>
      <c r="AF228" s="401"/>
      <c r="AG228" s="401"/>
      <c r="AH228" s="401"/>
      <c r="AI228" s="401"/>
      <c r="AJ228" s="401"/>
      <c r="AK228" s="401"/>
      <c r="AL228" s="401"/>
      <c r="AM228" s="401"/>
      <c r="AN228" s="401"/>
      <c r="AO228" s="401"/>
      <c r="AP228" s="401"/>
      <c r="AQ228" s="401"/>
      <c r="AR228" s="401"/>
      <c r="AS228" s="401"/>
      <c r="AT228" s="401"/>
      <c r="AU228" s="401"/>
      <c r="AV228" s="401"/>
      <c r="AW228" s="401"/>
      <c r="AX228" s="401"/>
      <c r="AY228" s="401"/>
      <c r="AZ228" s="401"/>
      <c r="BA228" s="401"/>
      <c r="BB228" s="401"/>
      <c r="BC228" s="401"/>
      <c r="BD228" s="401"/>
      <c r="BE228" s="401"/>
      <c r="BF228" s="401"/>
      <c r="BG228" s="401"/>
      <c r="BH228" s="401"/>
      <c r="BI228" s="401"/>
      <c r="BJ228" s="401"/>
      <c r="BK228" s="401"/>
      <c r="BL228" s="401"/>
      <c r="BM228" s="401"/>
      <c r="BN228" s="401"/>
      <c r="BO228" s="401"/>
      <c r="BP228" s="401"/>
      <c r="BQ228" s="401"/>
      <c r="BR228" s="401"/>
      <c r="BS228" s="401"/>
      <c r="BT228" s="401"/>
      <c r="BU228" s="401"/>
      <c r="BV228" s="401"/>
      <c r="BW228" s="401"/>
      <c r="BX228" s="401"/>
      <c r="BY228" s="401"/>
      <c r="BZ228" s="401"/>
    </row>
    <row r="229" ht="15.75" customHeight="1">
      <c r="A229" s="401"/>
      <c r="B229" s="401"/>
      <c r="C229" s="401"/>
      <c r="D229" s="401"/>
      <c r="E229" s="401"/>
      <c r="F229" s="401"/>
      <c r="G229" s="401"/>
      <c r="H229" s="401"/>
      <c r="I229" s="381"/>
      <c r="J229" s="381"/>
      <c r="K229" s="381"/>
      <c r="L229" s="381"/>
      <c r="M229" s="381"/>
      <c r="N229" s="381"/>
      <c r="O229" s="381"/>
      <c r="P229" s="401"/>
      <c r="Q229" s="401"/>
      <c r="R229" s="401"/>
      <c r="S229" s="401"/>
      <c r="T229" s="401"/>
      <c r="U229" s="401"/>
      <c r="V229" s="401"/>
      <c r="W229" s="401"/>
      <c r="X229" s="401"/>
      <c r="Y229" s="401"/>
      <c r="Z229" s="401"/>
      <c r="AA229" s="401"/>
      <c r="AB229" s="401"/>
      <c r="AC229" s="401"/>
      <c r="AD229" s="401"/>
      <c r="AE229" s="401"/>
      <c r="AF229" s="401"/>
      <c r="AG229" s="401"/>
      <c r="AH229" s="401"/>
      <c r="AI229" s="401"/>
      <c r="AJ229" s="401"/>
      <c r="AK229" s="401"/>
      <c r="AL229" s="401"/>
      <c r="AM229" s="401"/>
      <c r="AN229" s="401"/>
      <c r="AO229" s="401"/>
      <c r="AP229" s="401"/>
      <c r="AQ229" s="401"/>
      <c r="AR229" s="401"/>
      <c r="AS229" s="401"/>
      <c r="AT229" s="401"/>
      <c r="AU229" s="401"/>
      <c r="AV229" s="401"/>
      <c r="AW229" s="401"/>
      <c r="AX229" s="401"/>
      <c r="AY229" s="401"/>
      <c r="AZ229" s="401"/>
      <c r="BA229" s="401"/>
      <c r="BB229" s="401"/>
      <c r="BC229" s="401"/>
      <c r="BD229" s="401"/>
      <c r="BE229" s="401"/>
      <c r="BF229" s="401"/>
      <c r="BG229" s="401"/>
      <c r="BH229" s="401"/>
      <c r="BI229" s="401"/>
      <c r="BJ229" s="401"/>
      <c r="BK229" s="401"/>
      <c r="BL229" s="401"/>
      <c r="BM229" s="401"/>
      <c r="BN229" s="401"/>
      <c r="BO229" s="401"/>
      <c r="BP229" s="401"/>
      <c r="BQ229" s="401"/>
      <c r="BR229" s="401"/>
      <c r="BS229" s="401"/>
      <c r="BT229" s="401"/>
      <c r="BU229" s="401"/>
      <c r="BV229" s="401"/>
      <c r="BW229" s="401"/>
      <c r="BX229" s="401"/>
      <c r="BY229" s="401"/>
      <c r="BZ229" s="401"/>
    </row>
    <row r="230" ht="15.75" customHeight="1">
      <c r="A230" s="401"/>
      <c r="B230" s="401"/>
      <c r="C230" s="401"/>
      <c r="D230" s="401"/>
      <c r="E230" s="401"/>
      <c r="F230" s="401"/>
      <c r="G230" s="401"/>
      <c r="H230" s="401"/>
      <c r="I230" s="381"/>
      <c r="J230" s="381"/>
      <c r="K230" s="381"/>
      <c r="L230" s="381"/>
      <c r="M230" s="381"/>
      <c r="N230" s="381"/>
      <c r="O230" s="381"/>
      <c r="P230" s="401"/>
      <c r="Q230" s="401"/>
      <c r="R230" s="401"/>
      <c r="S230" s="401"/>
      <c r="T230" s="401"/>
      <c r="U230" s="401"/>
      <c r="V230" s="401"/>
      <c r="W230" s="401"/>
      <c r="X230" s="401"/>
      <c r="Y230" s="401"/>
      <c r="Z230" s="401"/>
      <c r="AA230" s="401"/>
      <c r="AB230" s="401"/>
      <c r="AC230" s="401"/>
      <c r="AD230" s="401"/>
      <c r="AE230" s="401"/>
      <c r="AF230" s="401"/>
      <c r="AG230" s="401"/>
      <c r="AH230" s="401"/>
      <c r="AI230" s="401"/>
      <c r="AJ230" s="401"/>
      <c r="AK230" s="401"/>
      <c r="AL230" s="401"/>
      <c r="AM230" s="401"/>
      <c r="AN230" s="401"/>
      <c r="AO230" s="401"/>
      <c r="AP230" s="401"/>
      <c r="AQ230" s="401"/>
      <c r="AR230" s="401"/>
      <c r="AS230" s="401"/>
      <c r="AT230" s="401"/>
      <c r="AU230" s="401"/>
      <c r="AV230" s="401"/>
      <c r="AW230" s="401"/>
      <c r="AX230" s="401"/>
      <c r="AY230" s="401"/>
      <c r="AZ230" s="401"/>
      <c r="BA230" s="401"/>
      <c r="BB230" s="401"/>
      <c r="BC230" s="401"/>
      <c r="BD230" s="401"/>
      <c r="BE230" s="401"/>
      <c r="BF230" s="401"/>
      <c r="BG230" s="401"/>
      <c r="BH230" s="401"/>
      <c r="BI230" s="401"/>
      <c r="BJ230" s="401"/>
      <c r="BK230" s="401"/>
      <c r="BL230" s="401"/>
      <c r="BM230" s="401"/>
      <c r="BN230" s="401"/>
      <c r="BO230" s="401"/>
      <c r="BP230" s="401"/>
      <c r="BQ230" s="401"/>
      <c r="BR230" s="401"/>
      <c r="BS230" s="401"/>
      <c r="BT230" s="401"/>
      <c r="BU230" s="401"/>
      <c r="BV230" s="401"/>
      <c r="BW230" s="401"/>
      <c r="BX230" s="401"/>
      <c r="BY230" s="401"/>
      <c r="BZ230" s="401"/>
    </row>
    <row r="231" ht="15.75" customHeight="1">
      <c r="A231" s="401"/>
      <c r="B231" s="401"/>
      <c r="C231" s="401"/>
      <c r="D231" s="401"/>
      <c r="E231" s="401"/>
      <c r="F231" s="401"/>
      <c r="G231" s="401"/>
      <c r="H231" s="401"/>
      <c r="I231" s="381"/>
      <c r="J231" s="381"/>
      <c r="K231" s="381"/>
      <c r="L231" s="381"/>
      <c r="M231" s="381"/>
      <c r="N231" s="381"/>
      <c r="O231" s="381"/>
      <c r="P231" s="401"/>
      <c r="Q231" s="401"/>
      <c r="R231" s="401"/>
      <c r="S231" s="401"/>
      <c r="T231" s="401"/>
      <c r="U231" s="401"/>
      <c r="V231" s="401"/>
      <c r="W231" s="401"/>
      <c r="X231" s="401"/>
      <c r="Y231" s="401"/>
      <c r="Z231" s="401"/>
      <c r="AA231" s="401"/>
      <c r="AB231" s="401"/>
      <c r="AC231" s="401"/>
      <c r="AD231" s="401"/>
      <c r="AE231" s="401"/>
      <c r="AF231" s="401"/>
      <c r="AG231" s="401"/>
      <c r="AH231" s="401"/>
      <c r="AI231" s="401"/>
      <c r="AJ231" s="401"/>
      <c r="AK231" s="401"/>
      <c r="AL231" s="401"/>
      <c r="AM231" s="401"/>
      <c r="AN231" s="401"/>
      <c r="AO231" s="401"/>
      <c r="AP231" s="401"/>
      <c r="AQ231" s="401"/>
      <c r="AR231" s="401"/>
      <c r="AS231" s="401"/>
      <c r="AT231" s="401"/>
      <c r="AU231" s="401"/>
      <c r="AV231" s="401"/>
      <c r="AW231" s="401"/>
      <c r="AX231" s="401"/>
      <c r="AY231" s="401"/>
      <c r="AZ231" s="401"/>
      <c r="BA231" s="401"/>
      <c r="BB231" s="401"/>
      <c r="BC231" s="401"/>
      <c r="BD231" s="401"/>
      <c r="BE231" s="401"/>
      <c r="BF231" s="401"/>
      <c r="BG231" s="401"/>
      <c r="BH231" s="401"/>
      <c r="BI231" s="401"/>
      <c r="BJ231" s="401"/>
      <c r="BK231" s="401"/>
      <c r="BL231" s="401"/>
      <c r="BM231" s="401"/>
      <c r="BN231" s="401"/>
      <c r="BO231" s="401"/>
      <c r="BP231" s="401"/>
      <c r="BQ231" s="401"/>
      <c r="BR231" s="401"/>
      <c r="BS231" s="401"/>
      <c r="BT231" s="401"/>
      <c r="BU231" s="401"/>
      <c r="BV231" s="401"/>
      <c r="BW231" s="401"/>
      <c r="BX231" s="401"/>
      <c r="BY231" s="401"/>
      <c r="BZ231" s="401"/>
    </row>
    <row r="232" ht="15.75" customHeight="1">
      <c r="A232" s="401"/>
      <c r="B232" s="401"/>
      <c r="C232" s="401"/>
      <c r="D232" s="401"/>
      <c r="E232" s="401"/>
      <c r="F232" s="401"/>
      <c r="G232" s="401"/>
      <c r="H232" s="401"/>
      <c r="I232" s="381"/>
      <c r="J232" s="381"/>
      <c r="K232" s="381"/>
      <c r="L232" s="381"/>
      <c r="M232" s="381"/>
      <c r="N232" s="381"/>
      <c r="O232" s="381"/>
      <c r="P232" s="401"/>
      <c r="Q232" s="401"/>
      <c r="R232" s="401"/>
      <c r="S232" s="401"/>
      <c r="T232" s="401"/>
      <c r="U232" s="401"/>
      <c r="V232" s="401"/>
      <c r="W232" s="401"/>
      <c r="X232" s="401"/>
      <c r="Y232" s="401"/>
      <c r="Z232" s="401"/>
      <c r="AA232" s="401"/>
      <c r="AB232" s="401"/>
      <c r="AC232" s="401"/>
      <c r="AD232" s="401"/>
      <c r="AE232" s="401"/>
      <c r="AF232" s="401"/>
      <c r="AG232" s="401"/>
      <c r="AH232" s="401"/>
      <c r="AI232" s="401"/>
      <c r="AJ232" s="401"/>
      <c r="AK232" s="401"/>
      <c r="AL232" s="401"/>
      <c r="AM232" s="401"/>
      <c r="AN232" s="401"/>
      <c r="AO232" s="401"/>
      <c r="AP232" s="401"/>
      <c r="AQ232" s="401"/>
      <c r="AR232" s="401"/>
      <c r="AS232" s="401"/>
      <c r="AT232" s="401"/>
      <c r="AU232" s="401"/>
      <c r="AV232" s="401"/>
      <c r="AW232" s="401"/>
      <c r="AX232" s="401"/>
      <c r="AY232" s="401"/>
      <c r="AZ232" s="401"/>
      <c r="BA232" s="401"/>
      <c r="BB232" s="401"/>
      <c r="BC232" s="401"/>
      <c r="BD232" s="401"/>
      <c r="BE232" s="401"/>
      <c r="BF232" s="401"/>
      <c r="BG232" s="401"/>
      <c r="BH232" s="401"/>
      <c r="BI232" s="401"/>
      <c r="BJ232" s="401"/>
      <c r="BK232" s="401"/>
      <c r="BL232" s="401"/>
      <c r="BM232" s="401"/>
      <c r="BN232" s="401"/>
      <c r="BO232" s="401"/>
      <c r="BP232" s="401"/>
      <c r="BQ232" s="401"/>
      <c r="BR232" s="401"/>
      <c r="BS232" s="401"/>
      <c r="BT232" s="401"/>
      <c r="BU232" s="401"/>
      <c r="BV232" s="401"/>
      <c r="BW232" s="401"/>
      <c r="BX232" s="401"/>
      <c r="BY232" s="401"/>
      <c r="BZ232" s="401"/>
    </row>
    <row r="233" ht="15.75" customHeight="1">
      <c r="A233" s="401"/>
      <c r="B233" s="401"/>
      <c r="C233" s="401"/>
      <c r="D233" s="401"/>
      <c r="E233" s="401"/>
      <c r="F233" s="401"/>
      <c r="G233" s="401"/>
      <c r="H233" s="401"/>
      <c r="I233" s="381"/>
      <c r="J233" s="381"/>
      <c r="K233" s="381"/>
      <c r="L233" s="381"/>
      <c r="M233" s="381"/>
      <c r="N233" s="381"/>
      <c r="O233" s="381"/>
      <c r="P233" s="401"/>
      <c r="Q233" s="401"/>
      <c r="R233" s="401"/>
      <c r="S233" s="401"/>
      <c r="T233" s="401"/>
      <c r="U233" s="401"/>
      <c r="V233" s="401"/>
      <c r="W233" s="401"/>
      <c r="X233" s="401"/>
      <c r="Y233" s="401"/>
      <c r="Z233" s="401"/>
      <c r="AA233" s="401"/>
      <c r="AB233" s="401"/>
      <c r="AC233" s="401"/>
      <c r="AD233" s="401"/>
      <c r="AE233" s="401"/>
      <c r="AF233" s="401"/>
      <c r="AG233" s="401"/>
      <c r="AH233" s="401"/>
      <c r="AI233" s="401"/>
      <c r="AJ233" s="401"/>
      <c r="AK233" s="401"/>
      <c r="AL233" s="401"/>
      <c r="AM233" s="401"/>
      <c r="AN233" s="401"/>
      <c r="AO233" s="401"/>
      <c r="AP233" s="401"/>
      <c r="AQ233" s="401"/>
      <c r="AR233" s="401"/>
      <c r="AS233" s="401"/>
      <c r="AT233" s="401"/>
      <c r="AU233" s="401"/>
      <c r="AV233" s="401"/>
      <c r="AW233" s="401"/>
      <c r="AX233" s="401"/>
      <c r="AY233" s="401"/>
      <c r="AZ233" s="401"/>
      <c r="BA233" s="401"/>
      <c r="BB233" s="401"/>
      <c r="BC233" s="401"/>
      <c r="BD233" s="401"/>
      <c r="BE233" s="401"/>
      <c r="BF233" s="401"/>
      <c r="BG233" s="401"/>
      <c r="BH233" s="401"/>
      <c r="BI233" s="401"/>
      <c r="BJ233" s="401"/>
      <c r="BK233" s="401"/>
      <c r="BL233" s="401"/>
      <c r="BM233" s="401"/>
      <c r="BN233" s="401"/>
      <c r="BO233" s="401"/>
      <c r="BP233" s="401"/>
      <c r="BQ233" s="401"/>
      <c r="BR233" s="401"/>
      <c r="BS233" s="401"/>
      <c r="BT233" s="401"/>
      <c r="BU233" s="401"/>
      <c r="BV233" s="401"/>
      <c r="BW233" s="401"/>
      <c r="BX233" s="401"/>
      <c r="BY233" s="401"/>
      <c r="BZ233" s="401"/>
    </row>
    <row r="234" ht="15.75" customHeight="1">
      <c r="A234" s="401"/>
      <c r="B234" s="401"/>
      <c r="C234" s="401"/>
      <c r="D234" s="401"/>
      <c r="E234" s="401"/>
      <c r="F234" s="401"/>
      <c r="G234" s="401"/>
      <c r="H234" s="401"/>
      <c r="I234" s="381"/>
      <c r="J234" s="381"/>
      <c r="K234" s="381"/>
      <c r="L234" s="381"/>
      <c r="M234" s="381"/>
      <c r="N234" s="381"/>
      <c r="O234" s="381"/>
      <c r="P234" s="401"/>
      <c r="Q234" s="401"/>
      <c r="R234" s="401"/>
      <c r="S234" s="401"/>
      <c r="T234" s="401"/>
      <c r="U234" s="401"/>
      <c r="V234" s="401"/>
      <c r="W234" s="401"/>
      <c r="X234" s="401"/>
      <c r="Y234" s="401"/>
      <c r="Z234" s="401"/>
      <c r="AA234" s="401"/>
      <c r="AB234" s="401"/>
      <c r="AC234" s="401"/>
      <c r="AD234" s="401"/>
      <c r="AE234" s="401"/>
      <c r="AF234" s="401"/>
      <c r="AG234" s="401"/>
      <c r="AH234" s="401"/>
      <c r="AI234" s="401"/>
      <c r="AJ234" s="401"/>
      <c r="AK234" s="401"/>
      <c r="AL234" s="401"/>
      <c r="AM234" s="401"/>
      <c r="AN234" s="401"/>
      <c r="AO234" s="401"/>
      <c r="AP234" s="401"/>
      <c r="AQ234" s="401"/>
      <c r="AR234" s="401"/>
      <c r="AS234" s="401"/>
      <c r="AT234" s="401"/>
      <c r="AU234" s="401"/>
      <c r="AV234" s="401"/>
      <c r="AW234" s="401"/>
      <c r="AX234" s="401"/>
      <c r="AY234" s="401"/>
      <c r="AZ234" s="401"/>
      <c r="BA234" s="401"/>
      <c r="BB234" s="401"/>
      <c r="BC234" s="401"/>
      <c r="BD234" s="401"/>
      <c r="BE234" s="401"/>
      <c r="BF234" s="401"/>
      <c r="BG234" s="401"/>
      <c r="BH234" s="401"/>
      <c r="BI234" s="401"/>
      <c r="BJ234" s="401"/>
      <c r="BK234" s="401"/>
      <c r="BL234" s="401"/>
      <c r="BM234" s="401"/>
      <c r="BN234" s="401"/>
      <c r="BO234" s="401"/>
      <c r="BP234" s="401"/>
      <c r="BQ234" s="401"/>
      <c r="BR234" s="401"/>
      <c r="BS234" s="401"/>
      <c r="BT234" s="401"/>
      <c r="BU234" s="401"/>
      <c r="BV234" s="401"/>
      <c r="BW234" s="401"/>
      <c r="BX234" s="401"/>
      <c r="BY234" s="401"/>
      <c r="BZ234" s="401"/>
    </row>
    <row r="235" ht="15.75" customHeight="1">
      <c r="A235" s="401"/>
      <c r="B235" s="401"/>
      <c r="C235" s="401"/>
      <c r="D235" s="401"/>
      <c r="E235" s="401"/>
      <c r="F235" s="401"/>
      <c r="G235" s="401"/>
      <c r="H235" s="401"/>
      <c r="I235" s="381"/>
      <c r="J235" s="381"/>
      <c r="K235" s="381"/>
      <c r="L235" s="381"/>
      <c r="M235" s="381"/>
      <c r="N235" s="381"/>
      <c r="O235" s="381"/>
      <c r="P235" s="401"/>
      <c r="Q235" s="401"/>
      <c r="R235" s="401"/>
      <c r="S235" s="401"/>
      <c r="T235" s="401"/>
      <c r="U235" s="401"/>
      <c r="V235" s="401"/>
      <c r="W235" s="401"/>
      <c r="X235" s="401"/>
      <c r="Y235" s="401"/>
      <c r="Z235" s="401"/>
      <c r="AA235" s="401"/>
      <c r="AB235" s="401"/>
      <c r="AC235" s="401"/>
      <c r="AD235" s="401"/>
      <c r="AE235" s="401"/>
      <c r="AF235" s="401"/>
      <c r="AG235" s="401"/>
      <c r="AH235" s="401"/>
      <c r="AI235" s="401"/>
      <c r="AJ235" s="401"/>
      <c r="AK235" s="401"/>
      <c r="AL235" s="401"/>
      <c r="AM235" s="401"/>
      <c r="AN235" s="401"/>
      <c r="AO235" s="401"/>
      <c r="AP235" s="401"/>
      <c r="AQ235" s="401"/>
      <c r="AR235" s="401"/>
      <c r="AS235" s="401"/>
      <c r="AT235" s="401"/>
      <c r="AU235" s="401"/>
      <c r="AV235" s="401"/>
      <c r="AW235" s="401"/>
      <c r="AX235" s="401"/>
      <c r="AY235" s="401"/>
      <c r="AZ235" s="401"/>
      <c r="BA235" s="401"/>
      <c r="BB235" s="401"/>
      <c r="BC235" s="401"/>
      <c r="BD235" s="401"/>
      <c r="BE235" s="401"/>
      <c r="BF235" s="401"/>
      <c r="BG235" s="401"/>
      <c r="BH235" s="401"/>
      <c r="BI235" s="401"/>
      <c r="BJ235" s="401"/>
      <c r="BK235" s="401"/>
      <c r="BL235" s="401"/>
      <c r="BM235" s="401"/>
      <c r="BN235" s="401"/>
      <c r="BO235" s="401"/>
      <c r="BP235" s="401"/>
      <c r="BQ235" s="401"/>
      <c r="BR235" s="401"/>
      <c r="BS235" s="401"/>
      <c r="BT235" s="401"/>
      <c r="BU235" s="401"/>
      <c r="BV235" s="401"/>
      <c r="BW235" s="401"/>
      <c r="BX235" s="401"/>
      <c r="BY235" s="401"/>
      <c r="BZ235" s="401"/>
    </row>
    <row r="236" ht="15.75" customHeight="1">
      <c r="A236" s="401"/>
      <c r="B236" s="401"/>
      <c r="C236" s="401"/>
      <c r="D236" s="401"/>
      <c r="E236" s="401"/>
      <c r="F236" s="401"/>
      <c r="G236" s="401"/>
      <c r="H236" s="401"/>
      <c r="I236" s="381"/>
      <c r="J236" s="381"/>
      <c r="K236" s="381"/>
      <c r="L236" s="381"/>
      <c r="M236" s="381"/>
      <c r="N236" s="381"/>
      <c r="O236" s="381"/>
      <c r="P236" s="401"/>
      <c r="Q236" s="401"/>
      <c r="R236" s="401"/>
      <c r="S236" s="401"/>
      <c r="T236" s="401"/>
      <c r="U236" s="401"/>
      <c r="V236" s="401"/>
      <c r="W236" s="401"/>
      <c r="X236" s="401"/>
      <c r="Y236" s="401"/>
      <c r="Z236" s="401"/>
      <c r="AA236" s="401"/>
      <c r="AB236" s="401"/>
      <c r="AC236" s="401"/>
      <c r="AD236" s="401"/>
      <c r="AE236" s="401"/>
      <c r="AF236" s="401"/>
      <c r="AG236" s="401"/>
      <c r="AH236" s="401"/>
      <c r="AI236" s="401"/>
      <c r="AJ236" s="401"/>
      <c r="AK236" s="401"/>
      <c r="AL236" s="401"/>
      <c r="AM236" s="401"/>
      <c r="AN236" s="401"/>
      <c r="AO236" s="401"/>
      <c r="AP236" s="401"/>
      <c r="AQ236" s="401"/>
      <c r="AR236" s="401"/>
      <c r="AS236" s="401"/>
      <c r="AT236" s="401"/>
      <c r="AU236" s="401"/>
      <c r="AV236" s="401"/>
      <c r="AW236" s="401"/>
      <c r="AX236" s="401"/>
      <c r="AY236" s="401"/>
      <c r="AZ236" s="401"/>
      <c r="BA236" s="401"/>
      <c r="BB236" s="401"/>
      <c r="BC236" s="401"/>
      <c r="BD236" s="401"/>
      <c r="BE236" s="401"/>
      <c r="BF236" s="401"/>
      <c r="BG236" s="401"/>
      <c r="BH236" s="401"/>
      <c r="BI236" s="401"/>
      <c r="BJ236" s="401"/>
      <c r="BK236" s="401"/>
      <c r="BL236" s="401"/>
      <c r="BM236" s="401"/>
      <c r="BN236" s="401"/>
      <c r="BO236" s="401"/>
      <c r="BP236" s="401"/>
      <c r="BQ236" s="401"/>
      <c r="BR236" s="401"/>
      <c r="BS236" s="401"/>
      <c r="BT236" s="401"/>
      <c r="BU236" s="401"/>
      <c r="BV236" s="401"/>
      <c r="BW236" s="401"/>
      <c r="BX236" s="401"/>
      <c r="BY236" s="401"/>
      <c r="BZ236" s="401"/>
    </row>
    <row r="237" ht="15.75" customHeight="1">
      <c r="A237" s="401"/>
      <c r="B237" s="401"/>
      <c r="C237" s="401"/>
      <c r="D237" s="401"/>
      <c r="E237" s="401"/>
      <c r="F237" s="401"/>
      <c r="G237" s="401"/>
      <c r="H237" s="401"/>
      <c r="I237" s="381"/>
      <c r="J237" s="381"/>
      <c r="K237" s="381"/>
      <c r="L237" s="381"/>
      <c r="M237" s="381"/>
      <c r="N237" s="381"/>
      <c r="O237" s="381"/>
      <c r="P237" s="401"/>
      <c r="Q237" s="401"/>
      <c r="R237" s="401"/>
      <c r="S237" s="401"/>
      <c r="T237" s="401"/>
      <c r="U237" s="401"/>
      <c r="V237" s="401"/>
      <c r="W237" s="401"/>
      <c r="X237" s="401"/>
      <c r="Y237" s="401"/>
      <c r="Z237" s="401"/>
      <c r="AA237" s="401"/>
      <c r="AB237" s="401"/>
      <c r="AC237" s="401"/>
      <c r="AD237" s="401"/>
      <c r="AE237" s="401"/>
      <c r="AF237" s="401"/>
      <c r="AG237" s="401"/>
      <c r="AH237" s="401"/>
      <c r="AI237" s="401"/>
      <c r="AJ237" s="401"/>
      <c r="AK237" s="401"/>
      <c r="AL237" s="401"/>
      <c r="AM237" s="401"/>
      <c r="AN237" s="401"/>
      <c r="AO237" s="401"/>
      <c r="AP237" s="401"/>
      <c r="AQ237" s="401"/>
      <c r="AR237" s="401"/>
      <c r="AS237" s="401"/>
      <c r="AT237" s="401"/>
      <c r="AU237" s="401"/>
      <c r="AV237" s="401"/>
      <c r="AW237" s="401"/>
      <c r="AX237" s="401"/>
      <c r="AY237" s="401"/>
      <c r="AZ237" s="401"/>
      <c r="BA237" s="401"/>
      <c r="BB237" s="401"/>
      <c r="BC237" s="401"/>
      <c r="BD237" s="401"/>
      <c r="BE237" s="401"/>
      <c r="BF237" s="401"/>
      <c r="BG237" s="401"/>
      <c r="BH237" s="401"/>
      <c r="BI237" s="401"/>
      <c r="BJ237" s="401"/>
      <c r="BK237" s="401"/>
      <c r="BL237" s="401"/>
      <c r="BM237" s="401"/>
      <c r="BN237" s="401"/>
      <c r="BO237" s="401"/>
      <c r="BP237" s="401"/>
      <c r="BQ237" s="401"/>
      <c r="BR237" s="401"/>
      <c r="BS237" s="401"/>
      <c r="BT237" s="401"/>
      <c r="BU237" s="401"/>
      <c r="BV237" s="401"/>
      <c r="BW237" s="401"/>
      <c r="BX237" s="401"/>
      <c r="BY237" s="401"/>
      <c r="BZ237" s="401"/>
    </row>
    <row r="238" ht="15.75" customHeight="1">
      <c r="A238" s="401"/>
      <c r="B238" s="401"/>
      <c r="C238" s="401"/>
      <c r="D238" s="401"/>
      <c r="E238" s="401"/>
      <c r="F238" s="401"/>
      <c r="G238" s="401"/>
      <c r="H238" s="401"/>
      <c r="I238" s="381"/>
      <c r="J238" s="381"/>
      <c r="K238" s="381"/>
      <c r="L238" s="381"/>
      <c r="M238" s="381"/>
      <c r="N238" s="381"/>
      <c r="O238" s="381"/>
      <c r="P238" s="401"/>
      <c r="Q238" s="401"/>
      <c r="R238" s="401"/>
      <c r="S238" s="401"/>
      <c r="T238" s="401"/>
      <c r="U238" s="401"/>
      <c r="V238" s="401"/>
      <c r="W238" s="401"/>
      <c r="X238" s="401"/>
      <c r="Y238" s="401"/>
      <c r="Z238" s="401"/>
      <c r="AA238" s="401"/>
      <c r="AB238" s="401"/>
      <c r="AC238" s="401"/>
      <c r="AD238" s="401"/>
      <c r="AE238" s="401"/>
      <c r="AF238" s="401"/>
      <c r="AG238" s="401"/>
      <c r="AH238" s="401"/>
      <c r="AI238" s="401"/>
      <c r="AJ238" s="401"/>
      <c r="AK238" s="401"/>
      <c r="AL238" s="401"/>
      <c r="AM238" s="401"/>
      <c r="AN238" s="401"/>
      <c r="AO238" s="401"/>
      <c r="AP238" s="401"/>
      <c r="AQ238" s="401"/>
      <c r="AR238" s="401"/>
      <c r="AS238" s="401"/>
      <c r="AT238" s="401"/>
      <c r="AU238" s="401"/>
      <c r="AV238" s="401"/>
      <c r="AW238" s="401"/>
      <c r="AX238" s="401"/>
      <c r="AY238" s="401"/>
      <c r="AZ238" s="401"/>
      <c r="BA238" s="401"/>
      <c r="BB238" s="401"/>
      <c r="BC238" s="401"/>
      <c r="BD238" s="401"/>
      <c r="BE238" s="401"/>
      <c r="BF238" s="401"/>
      <c r="BG238" s="401"/>
      <c r="BH238" s="401"/>
      <c r="BI238" s="401"/>
      <c r="BJ238" s="401"/>
      <c r="BK238" s="401"/>
      <c r="BL238" s="401"/>
      <c r="BM238" s="401"/>
      <c r="BN238" s="401"/>
      <c r="BO238" s="401"/>
      <c r="BP238" s="401"/>
      <c r="BQ238" s="401"/>
      <c r="BR238" s="401"/>
      <c r="BS238" s="401"/>
      <c r="BT238" s="401"/>
      <c r="BU238" s="401"/>
      <c r="BV238" s="401"/>
      <c r="BW238" s="401"/>
      <c r="BX238" s="401"/>
      <c r="BY238" s="401"/>
      <c r="BZ238" s="401"/>
    </row>
    <row r="239" ht="15.75" customHeight="1">
      <c r="A239" s="401"/>
      <c r="B239" s="401"/>
      <c r="C239" s="401"/>
      <c r="D239" s="401"/>
      <c r="E239" s="401"/>
      <c r="F239" s="401"/>
      <c r="G239" s="401"/>
      <c r="H239" s="401"/>
      <c r="I239" s="381"/>
      <c r="J239" s="381"/>
      <c r="K239" s="381"/>
      <c r="L239" s="381"/>
      <c r="M239" s="381"/>
      <c r="N239" s="381"/>
      <c r="O239" s="381"/>
      <c r="P239" s="401"/>
      <c r="Q239" s="401"/>
      <c r="R239" s="401"/>
      <c r="S239" s="401"/>
      <c r="T239" s="401"/>
      <c r="U239" s="401"/>
      <c r="V239" s="401"/>
      <c r="W239" s="401"/>
      <c r="X239" s="401"/>
      <c r="Y239" s="401"/>
      <c r="Z239" s="401"/>
      <c r="AA239" s="401"/>
      <c r="AB239" s="401"/>
      <c r="AC239" s="401"/>
      <c r="AD239" s="401"/>
      <c r="AE239" s="401"/>
      <c r="AF239" s="401"/>
      <c r="AG239" s="401"/>
      <c r="AH239" s="401"/>
      <c r="AI239" s="401"/>
      <c r="AJ239" s="401"/>
      <c r="AK239" s="401"/>
      <c r="AL239" s="401"/>
      <c r="AM239" s="401"/>
      <c r="AN239" s="401"/>
      <c r="AO239" s="401"/>
      <c r="AP239" s="401"/>
      <c r="AQ239" s="401"/>
      <c r="AR239" s="401"/>
      <c r="AS239" s="401"/>
      <c r="AT239" s="401"/>
      <c r="AU239" s="401"/>
      <c r="AV239" s="401"/>
      <c r="AW239" s="401"/>
      <c r="AX239" s="401"/>
      <c r="AY239" s="401"/>
      <c r="AZ239" s="401"/>
      <c r="BA239" s="401"/>
      <c r="BB239" s="401"/>
      <c r="BC239" s="401"/>
      <c r="BD239" s="401"/>
      <c r="BE239" s="401"/>
      <c r="BF239" s="401"/>
      <c r="BG239" s="401"/>
      <c r="BH239" s="401"/>
      <c r="BI239" s="401"/>
      <c r="BJ239" s="401"/>
      <c r="BK239" s="401"/>
      <c r="BL239" s="401"/>
      <c r="BM239" s="401"/>
      <c r="BN239" s="401"/>
      <c r="BO239" s="401"/>
      <c r="BP239" s="401"/>
      <c r="BQ239" s="401"/>
      <c r="BR239" s="401"/>
      <c r="BS239" s="401"/>
      <c r="BT239" s="401"/>
      <c r="BU239" s="401"/>
      <c r="BV239" s="401"/>
      <c r="BW239" s="401"/>
      <c r="BX239" s="401"/>
      <c r="BY239" s="401"/>
      <c r="BZ239" s="401"/>
    </row>
    <row r="240" ht="15.75" customHeight="1">
      <c r="A240" s="401"/>
      <c r="B240" s="401"/>
      <c r="C240" s="401"/>
      <c r="D240" s="401"/>
      <c r="E240" s="401"/>
      <c r="F240" s="401"/>
      <c r="G240" s="401"/>
      <c r="H240" s="401"/>
      <c r="I240" s="381"/>
      <c r="J240" s="381"/>
      <c r="K240" s="381"/>
      <c r="L240" s="381"/>
      <c r="M240" s="381"/>
      <c r="N240" s="381"/>
      <c r="O240" s="381"/>
      <c r="P240" s="401"/>
      <c r="Q240" s="401"/>
      <c r="R240" s="401"/>
      <c r="S240" s="401"/>
      <c r="T240" s="401"/>
      <c r="U240" s="401"/>
      <c r="V240" s="401"/>
      <c r="W240" s="401"/>
      <c r="X240" s="401"/>
      <c r="Y240" s="401"/>
      <c r="Z240" s="401"/>
      <c r="AA240" s="401"/>
      <c r="AB240" s="401"/>
      <c r="AC240" s="401"/>
      <c r="AD240" s="401"/>
      <c r="AE240" s="401"/>
      <c r="AF240" s="401"/>
      <c r="AG240" s="401"/>
      <c r="AH240" s="401"/>
      <c r="AI240" s="401"/>
      <c r="AJ240" s="401"/>
      <c r="AK240" s="401"/>
      <c r="AL240" s="401"/>
      <c r="AM240" s="401"/>
      <c r="AN240" s="401"/>
      <c r="AO240" s="401"/>
      <c r="AP240" s="401"/>
      <c r="AQ240" s="401"/>
      <c r="AR240" s="401"/>
      <c r="AS240" s="401"/>
      <c r="AT240" s="401"/>
      <c r="AU240" s="401"/>
      <c r="AV240" s="401"/>
      <c r="AW240" s="401"/>
      <c r="AX240" s="401"/>
      <c r="AY240" s="401"/>
      <c r="AZ240" s="401"/>
      <c r="BA240" s="401"/>
      <c r="BB240" s="401"/>
      <c r="BC240" s="401"/>
      <c r="BD240" s="401"/>
      <c r="BE240" s="401"/>
      <c r="BF240" s="401"/>
      <c r="BG240" s="401"/>
      <c r="BH240" s="401"/>
      <c r="BI240" s="401"/>
      <c r="BJ240" s="401"/>
      <c r="BK240" s="401"/>
      <c r="BL240" s="401"/>
      <c r="BM240" s="401"/>
      <c r="BN240" s="401"/>
      <c r="BO240" s="401"/>
      <c r="BP240" s="401"/>
      <c r="BQ240" s="401"/>
      <c r="BR240" s="401"/>
      <c r="BS240" s="401"/>
      <c r="BT240" s="401"/>
      <c r="BU240" s="401"/>
      <c r="BV240" s="401"/>
      <c r="BW240" s="401"/>
      <c r="BX240" s="401"/>
      <c r="BY240" s="401"/>
      <c r="BZ240" s="401"/>
    </row>
    <row r="241" ht="15.75" customHeight="1">
      <c r="A241" s="401"/>
      <c r="B241" s="401"/>
      <c r="C241" s="401"/>
      <c r="D241" s="401"/>
      <c r="E241" s="401"/>
      <c r="F241" s="401"/>
      <c r="G241" s="401"/>
      <c r="H241" s="401"/>
      <c r="I241" s="381"/>
      <c r="J241" s="381"/>
      <c r="K241" s="381"/>
      <c r="L241" s="381"/>
      <c r="M241" s="381"/>
      <c r="N241" s="381"/>
      <c r="O241" s="381"/>
      <c r="P241" s="401"/>
      <c r="Q241" s="401"/>
      <c r="R241" s="401"/>
      <c r="S241" s="401"/>
      <c r="T241" s="401"/>
      <c r="U241" s="401"/>
      <c r="V241" s="401"/>
      <c r="W241" s="401"/>
      <c r="X241" s="401"/>
      <c r="Y241" s="401"/>
      <c r="Z241" s="401"/>
      <c r="AA241" s="401"/>
      <c r="AB241" s="401"/>
      <c r="AC241" s="401"/>
      <c r="AD241" s="401"/>
      <c r="AE241" s="401"/>
      <c r="AF241" s="401"/>
      <c r="AG241" s="401"/>
      <c r="AH241" s="401"/>
      <c r="AI241" s="401"/>
      <c r="AJ241" s="401"/>
      <c r="AK241" s="401"/>
      <c r="AL241" s="401"/>
      <c r="AM241" s="401"/>
      <c r="AN241" s="401"/>
      <c r="AO241" s="401"/>
      <c r="AP241" s="401"/>
      <c r="AQ241" s="401"/>
      <c r="AR241" s="401"/>
      <c r="AS241" s="401"/>
      <c r="AT241" s="401"/>
      <c r="AU241" s="401"/>
      <c r="AV241" s="401"/>
      <c r="AW241" s="401"/>
      <c r="AX241" s="401"/>
      <c r="AY241" s="401"/>
      <c r="AZ241" s="401"/>
      <c r="BA241" s="401"/>
      <c r="BB241" s="401"/>
      <c r="BC241" s="401"/>
      <c r="BD241" s="401"/>
      <c r="BE241" s="401"/>
      <c r="BF241" s="401"/>
      <c r="BG241" s="401"/>
      <c r="BH241" s="401"/>
      <c r="BI241" s="401"/>
      <c r="BJ241" s="401"/>
      <c r="BK241" s="401"/>
      <c r="BL241" s="401"/>
      <c r="BM241" s="401"/>
      <c r="BN241" s="401"/>
      <c r="BO241" s="401"/>
      <c r="BP241" s="401"/>
      <c r="BQ241" s="401"/>
      <c r="BR241" s="401"/>
      <c r="BS241" s="401"/>
      <c r="BT241" s="401"/>
      <c r="BU241" s="401"/>
      <c r="BV241" s="401"/>
      <c r="BW241" s="401"/>
      <c r="BX241" s="401"/>
      <c r="BY241" s="401"/>
      <c r="BZ241" s="401"/>
    </row>
    <row r="242" ht="15.75" customHeight="1">
      <c r="A242" s="401"/>
      <c r="B242" s="401"/>
      <c r="C242" s="401"/>
      <c r="D242" s="401"/>
      <c r="E242" s="401"/>
      <c r="F242" s="401"/>
      <c r="G242" s="401"/>
      <c r="H242" s="401"/>
      <c r="I242" s="381"/>
      <c r="J242" s="381"/>
      <c r="K242" s="381"/>
      <c r="L242" s="381"/>
      <c r="M242" s="381"/>
      <c r="N242" s="381"/>
      <c r="O242" s="381"/>
      <c r="P242" s="401"/>
      <c r="Q242" s="401"/>
      <c r="R242" s="401"/>
      <c r="S242" s="401"/>
      <c r="T242" s="401"/>
      <c r="U242" s="401"/>
      <c r="V242" s="401"/>
      <c r="W242" s="401"/>
      <c r="X242" s="401"/>
      <c r="Y242" s="401"/>
      <c r="Z242" s="401"/>
      <c r="AA242" s="401"/>
      <c r="AB242" s="401"/>
      <c r="AC242" s="401"/>
      <c r="AD242" s="401"/>
      <c r="AE242" s="401"/>
      <c r="AF242" s="401"/>
      <c r="AG242" s="401"/>
      <c r="AH242" s="401"/>
      <c r="AI242" s="401"/>
      <c r="AJ242" s="401"/>
      <c r="AK242" s="401"/>
      <c r="AL242" s="401"/>
      <c r="AM242" s="401"/>
      <c r="AN242" s="401"/>
      <c r="AO242" s="401"/>
      <c r="AP242" s="401"/>
      <c r="AQ242" s="401"/>
      <c r="AR242" s="401"/>
      <c r="AS242" s="401"/>
      <c r="AT242" s="401"/>
      <c r="AU242" s="401"/>
      <c r="AV242" s="401"/>
      <c r="AW242" s="401"/>
      <c r="AX242" s="401"/>
      <c r="AY242" s="401"/>
      <c r="AZ242" s="401"/>
      <c r="BA242" s="401"/>
      <c r="BB242" s="401"/>
      <c r="BC242" s="401"/>
      <c r="BD242" s="401"/>
      <c r="BE242" s="401"/>
      <c r="BF242" s="401"/>
      <c r="BG242" s="401"/>
      <c r="BH242" s="401"/>
      <c r="BI242" s="401"/>
      <c r="BJ242" s="401"/>
      <c r="BK242" s="401"/>
      <c r="BL242" s="401"/>
      <c r="BM242" s="401"/>
      <c r="BN242" s="401"/>
      <c r="BO242" s="401"/>
      <c r="BP242" s="401"/>
      <c r="BQ242" s="401"/>
      <c r="BR242" s="401"/>
      <c r="BS242" s="401"/>
      <c r="BT242" s="401"/>
      <c r="BU242" s="401"/>
      <c r="BV242" s="401"/>
      <c r="BW242" s="401"/>
      <c r="BX242" s="401"/>
      <c r="BY242" s="401"/>
      <c r="BZ242" s="401"/>
    </row>
    <row r="243" ht="15.75" customHeight="1">
      <c r="A243" s="401"/>
      <c r="B243" s="401"/>
      <c r="C243" s="401"/>
      <c r="D243" s="401"/>
      <c r="E243" s="401"/>
      <c r="F243" s="401"/>
      <c r="G243" s="401"/>
      <c r="H243" s="401"/>
      <c r="I243" s="381"/>
      <c r="J243" s="381"/>
      <c r="K243" s="381"/>
      <c r="L243" s="381"/>
      <c r="M243" s="381"/>
      <c r="N243" s="381"/>
      <c r="O243" s="381"/>
      <c r="P243" s="401"/>
      <c r="Q243" s="401"/>
      <c r="R243" s="401"/>
      <c r="S243" s="401"/>
      <c r="T243" s="401"/>
      <c r="U243" s="401"/>
      <c r="V243" s="401"/>
      <c r="W243" s="401"/>
      <c r="X243" s="401"/>
      <c r="Y243" s="401"/>
      <c r="Z243" s="401"/>
      <c r="AA243" s="401"/>
      <c r="AB243" s="401"/>
      <c r="AC243" s="401"/>
      <c r="AD243" s="401"/>
      <c r="AE243" s="401"/>
      <c r="AF243" s="401"/>
      <c r="AG243" s="401"/>
      <c r="AH243" s="401"/>
      <c r="AI243" s="401"/>
      <c r="AJ243" s="401"/>
      <c r="AK243" s="401"/>
      <c r="AL243" s="401"/>
      <c r="AM243" s="401"/>
      <c r="AN243" s="401"/>
      <c r="AO243" s="401"/>
      <c r="AP243" s="401"/>
      <c r="AQ243" s="401"/>
      <c r="AR243" s="401"/>
      <c r="AS243" s="401"/>
      <c r="AT243" s="401"/>
      <c r="AU243" s="401"/>
      <c r="AV243" s="401"/>
      <c r="AW243" s="401"/>
      <c r="AX243" s="401"/>
      <c r="AY243" s="401"/>
      <c r="AZ243" s="401"/>
      <c r="BA243" s="401"/>
      <c r="BB243" s="401"/>
      <c r="BC243" s="401"/>
      <c r="BD243" s="401"/>
      <c r="BE243" s="401"/>
      <c r="BF243" s="401"/>
      <c r="BG243" s="401"/>
      <c r="BH243" s="401"/>
      <c r="BI243" s="401"/>
      <c r="BJ243" s="401"/>
      <c r="BK243" s="401"/>
      <c r="BL243" s="401"/>
      <c r="BM243" s="401"/>
      <c r="BN243" s="401"/>
      <c r="BO243" s="401"/>
      <c r="BP243" s="401"/>
      <c r="BQ243" s="401"/>
      <c r="BR243" s="401"/>
      <c r="BS243" s="401"/>
      <c r="BT243" s="401"/>
      <c r="BU243" s="401"/>
      <c r="BV243" s="401"/>
      <c r="BW243" s="401"/>
      <c r="BX243" s="401"/>
      <c r="BY243" s="401"/>
      <c r="BZ243" s="401"/>
    </row>
    <row r="244" ht="15.75" customHeight="1">
      <c r="A244" s="401"/>
      <c r="B244" s="401"/>
      <c r="C244" s="401"/>
      <c r="D244" s="401"/>
      <c r="E244" s="401"/>
      <c r="F244" s="401"/>
      <c r="G244" s="401"/>
      <c r="H244" s="401"/>
      <c r="I244" s="381"/>
      <c r="J244" s="381"/>
      <c r="K244" s="381"/>
      <c r="L244" s="381"/>
      <c r="M244" s="381"/>
      <c r="N244" s="381"/>
      <c r="O244" s="381"/>
      <c r="P244" s="401"/>
      <c r="Q244" s="401"/>
      <c r="R244" s="401"/>
      <c r="S244" s="401"/>
      <c r="T244" s="401"/>
      <c r="U244" s="401"/>
      <c r="V244" s="401"/>
      <c r="W244" s="401"/>
      <c r="X244" s="401"/>
      <c r="Y244" s="401"/>
      <c r="Z244" s="401"/>
      <c r="AA244" s="401"/>
      <c r="AB244" s="401"/>
      <c r="AC244" s="401"/>
      <c r="AD244" s="401"/>
      <c r="AE244" s="401"/>
      <c r="AF244" s="401"/>
      <c r="AG244" s="401"/>
      <c r="AH244" s="401"/>
      <c r="AI244" s="401"/>
      <c r="AJ244" s="401"/>
      <c r="AK244" s="401"/>
      <c r="AL244" s="401"/>
      <c r="AM244" s="401"/>
      <c r="AN244" s="401"/>
      <c r="AO244" s="401"/>
      <c r="AP244" s="401"/>
      <c r="AQ244" s="401"/>
      <c r="AR244" s="401"/>
      <c r="AS244" s="401"/>
      <c r="AT244" s="401"/>
      <c r="AU244" s="401"/>
      <c r="AV244" s="401"/>
      <c r="AW244" s="401"/>
      <c r="AX244" s="401"/>
      <c r="AY244" s="401"/>
      <c r="AZ244" s="401"/>
      <c r="BA244" s="401"/>
      <c r="BB244" s="401"/>
      <c r="BC244" s="401"/>
      <c r="BD244" s="401"/>
      <c r="BE244" s="401"/>
      <c r="BF244" s="401"/>
      <c r="BG244" s="401"/>
      <c r="BH244" s="401"/>
      <c r="BI244" s="401"/>
      <c r="BJ244" s="401"/>
      <c r="BK244" s="401"/>
      <c r="BL244" s="401"/>
      <c r="BM244" s="401"/>
      <c r="BN244" s="401"/>
      <c r="BO244" s="401"/>
      <c r="BP244" s="401"/>
      <c r="BQ244" s="401"/>
      <c r="BR244" s="401"/>
      <c r="BS244" s="401"/>
      <c r="BT244" s="401"/>
      <c r="BU244" s="401"/>
      <c r="BV244" s="401"/>
      <c r="BW244" s="401"/>
      <c r="BX244" s="401"/>
      <c r="BY244" s="401"/>
      <c r="BZ244" s="401"/>
    </row>
    <row r="245" ht="15.75" customHeight="1">
      <c r="A245" s="401"/>
      <c r="B245" s="401"/>
      <c r="C245" s="401"/>
      <c r="D245" s="401"/>
      <c r="E245" s="401"/>
      <c r="F245" s="401"/>
      <c r="G245" s="401"/>
      <c r="H245" s="401"/>
      <c r="I245" s="381"/>
      <c r="J245" s="381"/>
      <c r="K245" s="381"/>
      <c r="L245" s="381"/>
      <c r="M245" s="381"/>
      <c r="N245" s="381"/>
      <c r="O245" s="381"/>
      <c r="P245" s="401"/>
      <c r="Q245" s="401"/>
      <c r="R245" s="401"/>
      <c r="S245" s="401"/>
      <c r="T245" s="401"/>
      <c r="U245" s="401"/>
      <c r="V245" s="401"/>
      <c r="W245" s="401"/>
      <c r="X245" s="401"/>
      <c r="Y245" s="401"/>
      <c r="Z245" s="401"/>
      <c r="AA245" s="401"/>
      <c r="AB245" s="401"/>
      <c r="AC245" s="401"/>
      <c r="AD245" s="401"/>
      <c r="AE245" s="401"/>
      <c r="AF245" s="401"/>
      <c r="AG245" s="401"/>
      <c r="AH245" s="401"/>
      <c r="AI245" s="401"/>
      <c r="AJ245" s="401"/>
      <c r="AK245" s="401"/>
      <c r="AL245" s="401"/>
      <c r="AM245" s="401"/>
      <c r="AN245" s="401"/>
      <c r="AO245" s="401"/>
      <c r="AP245" s="401"/>
      <c r="AQ245" s="401"/>
      <c r="AR245" s="401"/>
      <c r="AS245" s="401"/>
      <c r="AT245" s="401"/>
      <c r="AU245" s="401"/>
      <c r="AV245" s="401"/>
      <c r="AW245" s="401"/>
      <c r="AX245" s="401"/>
      <c r="AY245" s="401"/>
      <c r="AZ245" s="401"/>
      <c r="BA245" s="401"/>
      <c r="BB245" s="401"/>
      <c r="BC245" s="401"/>
      <c r="BD245" s="401"/>
      <c r="BE245" s="401"/>
      <c r="BF245" s="401"/>
      <c r="BG245" s="401"/>
      <c r="BH245" s="401"/>
      <c r="BI245" s="401"/>
      <c r="BJ245" s="401"/>
      <c r="BK245" s="401"/>
      <c r="BL245" s="401"/>
      <c r="BM245" s="401"/>
      <c r="BN245" s="401"/>
      <c r="BO245" s="401"/>
      <c r="BP245" s="401"/>
      <c r="BQ245" s="401"/>
      <c r="BR245" s="401"/>
      <c r="BS245" s="401"/>
      <c r="BT245" s="401"/>
      <c r="BU245" s="401"/>
      <c r="BV245" s="401"/>
      <c r="BW245" s="401"/>
      <c r="BX245" s="401"/>
      <c r="BY245" s="401"/>
      <c r="BZ245" s="401"/>
    </row>
    <row r="246" ht="15.75" customHeight="1">
      <c r="A246" s="401"/>
      <c r="B246" s="401"/>
      <c r="C246" s="401"/>
      <c r="D246" s="401"/>
      <c r="E246" s="401"/>
      <c r="F246" s="401"/>
      <c r="G246" s="401"/>
      <c r="H246" s="401"/>
      <c r="I246" s="381"/>
      <c r="J246" s="381"/>
      <c r="K246" s="381"/>
      <c r="L246" s="381"/>
      <c r="M246" s="381"/>
      <c r="N246" s="381"/>
      <c r="O246" s="381"/>
      <c r="P246" s="401"/>
      <c r="Q246" s="401"/>
      <c r="R246" s="401"/>
      <c r="S246" s="401"/>
      <c r="T246" s="401"/>
      <c r="U246" s="401"/>
      <c r="V246" s="401"/>
      <c r="W246" s="401"/>
      <c r="X246" s="401"/>
      <c r="Y246" s="401"/>
      <c r="Z246" s="401"/>
      <c r="AA246" s="401"/>
      <c r="AB246" s="401"/>
      <c r="AC246" s="401"/>
      <c r="AD246" s="401"/>
      <c r="AE246" s="401"/>
      <c r="AF246" s="401"/>
      <c r="AG246" s="401"/>
      <c r="AH246" s="401"/>
      <c r="AI246" s="401"/>
      <c r="AJ246" s="401"/>
      <c r="AK246" s="401"/>
      <c r="AL246" s="401"/>
      <c r="AM246" s="401"/>
      <c r="AN246" s="401"/>
      <c r="AO246" s="401"/>
      <c r="AP246" s="401"/>
      <c r="AQ246" s="401"/>
      <c r="AR246" s="401"/>
      <c r="AS246" s="401"/>
      <c r="AT246" s="401"/>
      <c r="AU246" s="401"/>
      <c r="AV246" s="401"/>
      <c r="AW246" s="401"/>
      <c r="AX246" s="401"/>
      <c r="AY246" s="401"/>
      <c r="AZ246" s="401"/>
      <c r="BA246" s="401"/>
      <c r="BB246" s="401"/>
      <c r="BC246" s="401"/>
      <c r="BD246" s="401"/>
      <c r="BE246" s="401"/>
      <c r="BF246" s="401"/>
      <c r="BG246" s="401"/>
      <c r="BH246" s="401"/>
      <c r="BI246" s="401"/>
      <c r="BJ246" s="401"/>
      <c r="BK246" s="401"/>
      <c r="BL246" s="401"/>
      <c r="BM246" s="401"/>
      <c r="BN246" s="401"/>
      <c r="BO246" s="401"/>
      <c r="BP246" s="401"/>
      <c r="BQ246" s="401"/>
      <c r="BR246" s="401"/>
      <c r="BS246" s="401"/>
      <c r="BT246" s="401"/>
      <c r="BU246" s="401"/>
      <c r="BV246" s="401"/>
      <c r="BW246" s="401"/>
      <c r="BX246" s="401"/>
      <c r="BY246" s="401"/>
      <c r="BZ246" s="401"/>
    </row>
    <row r="247" ht="15.75" customHeight="1">
      <c r="A247" s="401"/>
      <c r="B247" s="401"/>
      <c r="C247" s="401"/>
      <c r="D247" s="401"/>
      <c r="E247" s="401"/>
      <c r="F247" s="401"/>
      <c r="G247" s="401"/>
      <c r="H247" s="401"/>
      <c r="I247" s="381"/>
      <c r="J247" s="381"/>
      <c r="K247" s="381"/>
      <c r="L247" s="381"/>
      <c r="M247" s="381"/>
      <c r="N247" s="381"/>
      <c r="O247" s="381"/>
      <c r="P247" s="401"/>
      <c r="Q247" s="401"/>
      <c r="R247" s="401"/>
      <c r="S247" s="401"/>
      <c r="T247" s="401"/>
      <c r="U247" s="401"/>
      <c r="V247" s="401"/>
      <c r="W247" s="401"/>
      <c r="X247" s="401"/>
      <c r="Y247" s="401"/>
      <c r="Z247" s="401"/>
      <c r="AA247" s="401"/>
      <c r="AB247" s="401"/>
      <c r="AC247" s="401"/>
      <c r="AD247" s="401"/>
      <c r="AE247" s="401"/>
      <c r="AF247" s="401"/>
      <c r="AG247" s="401"/>
      <c r="AH247" s="401"/>
      <c r="AI247" s="401"/>
      <c r="AJ247" s="401"/>
      <c r="AK247" s="401"/>
      <c r="AL247" s="401"/>
      <c r="AM247" s="401"/>
      <c r="AN247" s="401"/>
      <c r="AO247" s="401"/>
      <c r="AP247" s="401"/>
      <c r="AQ247" s="401"/>
      <c r="AR247" s="401"/>
      <c r="AS247" s="401"/>
      <c r="AT247" s="401"/>
      <c r="AU247" s="401"/>
      <c r="AV247" s="401"/>
      <c r="AW247" s="401"/>
      <c r="AX247" s="401"/>
      <c r="AY247" s="401"/>
      <c r="AZ247" s="401"/>
      <c r="BA247" s="401"/>
      <c r="BB247" s="401"/>
      <c r="BC247" s="401"/>
      <c r="BD247" s="401"/>
      <c r="BE247" s="401"/>
      <c r="BF247" s="401"/>
      <c r="BG247" s="401"/>
      <c r="BH247" s="401"/>
      <c r="BI247" s="401"/>
      <c r="BJ247" s="401"/>
      <c r="BK247" s="401"/>
      <c r="BL247" s="401"/>
      <c r="BM247" s="401"/>
      <c r="BN247" s="401"/>
      <c r="BO247" s="401"/>
      <c r="BP247" s="401"/>
      <c r="BQ247" s="401"/>
      <c r="BR247" s="401"/>
      <c r="BS247" s="401"/>
      <c r="BT247" s="401"/>
      <c r="BU247" s="401"/>
      <c r="BV247" s="401"/>
      <c r="BW247" s="401"/>
      <c r="BX247" s="401"/>
      <c r="BY247" s="401"/>
      <c r="BZ247" s="401"/>
    </row>
    <row r="248" ht="15.75" customHeight="1">
      <c r="A248" s="401"/>
      <c r="B248" s="401"/>
      <c r="C248" s="401"/>
      <c r="D248" s="401"/>
      <c r="E248" s="401"/>
      <c r="F248" s="401"/>
      <c r="G248" s="401"/>
      <c r="H248" s="401"/>
      <c r="I248" s="381"/>
      <c r="J248" s="381"/>
      <c r="K248" s="381"/>
      <c r="L248" s="381"/>
      <c r="M248" s="381"/>
      <c r="N248" s="381"/>
      <c r="O248" s="381"/>
      <c r="P248" s="401"/>
      <c r="Q248" s="401"/>
      <c r="R248" s="401"/>
      <c r="S248" s="401"/>
      <c r="T248" s="401"/>
      <c r="U248" s="401"/>
      <c r="V248" s="401"/>
      <c r="W248" s="401"/>
      <c r="X248" s="401"/>
      <c r="Y248" s="401"/>
      <c r="Z248" s="401"/>
      <c r="AA248" s="401"/>
      <c r="AB248" s="401"/>
      <c r="AC248" s="401"/>
      <c r="AD248" s="401"/>
      <c r="AE248" s="401"/>
      <c r="AF248" s="401"/>
      <c r="AG248" s="401"/>
      <c r="AH248" s="401"/>
      <c r="AI248" s="401"/>
      <c r="AJ248" s="401"/>
      <c r="AK248" s="401"/>
      <c r="AL248" s="401"/>
      <c r="AM248" s="401"/>
      <c r="AN248" s="401"/>
      <c r="AO248" s="401"/>
      <c r="AP248" s="401"/>
      <c r="AQ248" s="401"/>
      <c r="AR248" s="401"/>
      <c r="AS248" s="401"/>
      <c r="AT248" s="401"/>
      <c r="AU248" s="401"/>
      <c r="AV248" s="401"/>
      <c r="AW248" s="401"/>
      <c r="AX248" s="401"/>
      <c r="AY248" s="401"/>
      <c r="AZ248" s="401"/>
      <c r="BA248" s="401"/>
      <c r="BB248" s="401"/>
      <c r="BC248" s="401"/>
      <c r="BD248" s="401"/>
      <c r="BE248" s="401"/>
      <c r="BF248" s="401"/>
      <c r="BG248" s="401"/>
      <c r="BH248" s="401"/>
      <c r="BI248" s="401"/>
      <c r="BJ248" s="401"/>
      <c r="BK248" s="401"/>
      <c r="BL248" s="401"/>
      <c r="BM248" s="401"/>
      <c r="BN248" s="401"/>
      <c r="BO248" s="401"/>
      <c r="BP248" s="401"/>
      <c r="BQ248" s="401"/>
      <c r="BR248" s="401"/>
      <c r="BS248" s="401"/>
      <c r="BT248" s="401"/>
      <c r="BU248" s="401"/>
      <c r="BV248" s="401"/>
      <c r="BW248" s="401"/>
      <c r="BX248" s="401"/>
      <c r="BY248" s="401"/>
      <c r="BZ248" s="401"/>
    </row>
    <row r="249" ht="15.75" customHeight="1">
      <c r="A249" s="401"/>
      <c r="B249" s="401"/>
      <c r="C249" s="401"/>
      <c r="D249" s="401"/>
      <c r="E249" s="401"/>
      <c r="F249" s="401"/>
      <c r="G249" s="401"/>
      <c r="H249" s="401"/>
      <c r="I249" s="381"/>
      <c r="J249" s="381"/>
      <c r="K249" s="381"/>
      <c r="L249" s="381"/>
      <c r="M249" s="381"/>
      <c r="N249" s="381"/>
      <c r="O249" s="381"/>
      <c r="P249" s="401"/>
      <c r="Q249" s="401"/>
      <c r="R249" s="401"/>
      <c r="S249" s="401"/>
      <c r="T249" s="401"/>
      <c r="U249" s="401"/>
      <c r="V249" s="401"/>
      <c r="W249" s="401"/>
      <c r="X249" s="401"/>
      <c r="Y249" s="401"/>
      <c r="Z249" s="401"/>
      <c r="AA249" s="401"/>
      <c r="AB249" s="401"/>
      <c r="AC249" s="401"/>
      <c r="AD249" s="401"/>
      <c r="AE249" s="401"/>
      <c r="AF249" s="401"/>
      <c r="AG249" s="401"/>
      <c r="AH249" s="401"/>
      <c r="AI249" s="401"/>
      <c r="AJ249" s="401"/>
      <c r="AK249" s="401"/>
      <c r="AL249" s="401"/>
      <c r="AM249" s="401"/>
      <c r="AN249" s="401"/>
      <c r="AO249" s="401"/>
      <c r="AP249" s="401"/>
      <c r="AQ249" s="401"/>
      <c r="AR249" s="401"/>
      <c r="AS249" s="401"/>
      <c r="AT249" s="401"/>
      <c r="AU249" s="401"/>
      <c r="AV249" s="401"/>
      <c r="AW249" s="401"/>
      <c r="AX249" s="401"/>
      <c r="AY249" s="401"/>
      <c r="AZ249" s="401"/>
      <c r="BA249" s="401"/>
      <c r="BB249" s="401"/>
      <c r="BC249" s="401"/>
      <c r="BD249" s="401"/>
      <c r="BE249" s="401"/>
      <c r="BF249" s="401"/>
      <c r="BG249" s="401"/>
      <c r="BH249" s="401"/>
      <c r="BI249" s="401"/>
      <c r="BJ249" s="401"/>
      <c r="BK249" s="401"/>
      <c r="BL249" s="401"/>
      <c r="BM249" s="401"/>
      <c r="BN249" s="401"/>
      <c r="BO249" s="401"/>
      <c r="BP249" s="401"/>
      <c r="BQ249" s="401"/>
      <c r="BR249" s="401"/>
      <c r="BS249" s="401"/>
      <c r="BT249" s="401"/>
      <c r="BU249" s="401"/>
      <c r="BV249" s="401"/>
      <c r="BW249" s="401"/>
      <c r="BX249" s="401"/>
      <c r="BY249" s="401"/>
      <c r="BZ249" s="401"/>
    </row>
    <row r="250" ht="15.75" customHeight="1">
      <c r="A250" s="401"/>
      <c r="B250" s="401"/>
      <c r="C250" s="401"/>
      <c r="D250" s="401"/>
      <c r="E250" s="401"/>
      <c r="F250" s="401"/>
      <c r="G250" s="401"/>
      <c r="H250" s="401"/>
      <c r="I250" s="381"/>
      <c r="J250" s="381"/>
      <c r="K250" s="381"/>
      <c r="L250" s="381"/>
      <c r="M250" s="381"/>
      <c r="N250" s="381"/>
      <c r="O250" s="381"/>
      <c r="P250" s="401"/>
      <c r="Q250" s="401"/>
      <c r="R250" s="401"/>
      <c r="S250" s="401"/>
      <c r="T250" s="401"/>
      <c r="U250" s="401"/>
      <c r="V250" s="401"/>
      <c r="W250" s="401"/>
      <c r="X250" s="401"/>
      <c r="Y250" s="401"/>
      <c r="Z250" s="401"/>
      <c r="AA250" s="401"/>
      <c r="AB250" s="401"/>
      <c r="AC250" s="401"/>
      <c r="AD250" s="401"/>
      <c r="AE250" s="401"/>
      <c r="AF250" s="401"/>
      <c r="AG250" s="401"/>
      <c r="AH250" s="401"/>
      <c r="AI250" s="401"/>
      <c r="AJ250" s="401"/>
      <c r="AK250" s="401"/>
      <c r="AL250" s="401"/>
      <c r="AM250" s="401"/>
      <c r="AN250" s="401"/>
      <c r="AO250" s="401"/>
      <c r="AP250" s="401"/>
      <c r="AQ250" s="401"/>
      <c r="AR250" s="401"/>
      <c r="AS250" s="401"/>
      <c r="AT250" s="401"/>
      <c r="AU250" s="401"/>
      <c r="AV250" s="401"/>
      <c r="AW250" s="401"/>
      <c r="AX250" s="401"/>
      <c r="AY250" s="401"/>
      <c r="AZ250" s="401"/>
      <c r="BA250" s="401"/>
      <c r="BB250" s="401"/>
      <c r="BC250" s="401"/>
      <c r="BD250" s="401"/>
      <c r="BE250" s="401"/>
      <c r="BF250" s="401"/>
      <c r="BG250" s="401"/>
      <c r="BH250" s="401"/>
      <c r="BI250" s="401"/>
      <c r="BJ250" s="401"/>
      <c r="BK250" s="401"/>
      <c r="BL250" s="401"/>
      <c r="BM250" s="401"/>
      <c r="BN250" s="401"/>
      <c r="BO250" s="401"/>
      <c r="BP250" s="401"/>
      <c r="BQ250" s="401"/>
      <c r="BR250" s="401"/>
      <c r="BS250" s="401"/>
      <c r="BT250" s="401"/>
      <c r="BU250" s="401"/>
      <c r="BV250" s="401"/>
      <c r="BW250" s="401"/>
      <c r="BX250" s="401"/>
      <c r="BY250" s="401"/>
      <c r="BZ250" s="401"/>
    </row>
    <row r="251" ht="15.75" customHeight="1">
      <c r="A251" s="401"/>
      <c r="B251" s="401"/>
      <c r="C251" s="401"/>
      <c r="D251" s="401"/>
      <c r="E251" s="401"/>
      <c r="F251" s="401"/>
      <c r="G251" s="401"/>
      <c r="H251" s="401"/>
      <c r="I251" s="381"/>
      <c r="J251" s="381"/>
      <c r="K251" s="381"/>
      <c r="L251" s="381"/>
      <c r="M251" s="381"/>
      <c r="N251" s="381"/>
      <c r="O251" s="381"/>
      <c r="P251" s="401"/>
      <c r="Q251" s="401"/>
      <c r="R251" s="401"/>
      <c r="S251" s="401"/>
      <c r="T251" s="401"/>
      <c r="U251" s="401"/>
      <c r="V251" s="401"/>
      <c r="W251" s="401"/>
      <c r="X251" s="401"/>
      <c r="Y251" s="401"/>
      <c r="Z251" s="401"/>
      <c r="AA251" s="401"/>
      <c r="AB251" s="401"/>
      <c r="AC251" s="401"/>
      <c r="AD251" s="401"/>
      <c r="AE251" s="401"/>
      <c r="AF251" s="401"/>
      <c r="AG251" s="401"/>
      <c r="AH251" s="401"/>
      <c r="AI251" s="401"/>
      <c r="AJ251" s="401"/>
      <c r="AK251" s="401"/>
      <c r="AL251" s="401"/>
      <c r="AM251" s="401"/>
      <c r="AN251" s="401"/>
      <c r="AO251" s="401"/>
      <c r="AP251" s="401"/>
      <c r="AQ251" s="401"/>
      <c r="AR251" s="401"/>
      <c r="AS251" s="401"/>
      <c r="AT251" s="401"/>
      <c r="AU251" s="401"/>
      <c r="AV251" s="401"/>
      <c r="AW251" s="401"/>
      <c r="AX251" s="401"/>
      <c r="AY251" s="401"/>
      <c r="AZ251" s="401"/>
      <c r="BA251" s="401"/>
      <c r="BB251" s="401"/>
      <c r="BC251" s="401"/>
      <c r="BD251" s="401"/>
      <c r="BE251" s="401"/>
      <c r="BF251" s="401"/>
      <c r="BG251" s="401"/>
      <c r="BH251" s="401"/>
      <c r="BI251" s="401"/>
      <c r="BJ251" s="401"/>
      <c r="BK251" s="401"/>
      <c r="BL251" s="401"/>
      <c r="BM251" s="401"/>
      <c r="BN251" s="401"/>
      <c r="BO251" s="401"/>
      <c r="BP251" s="401"/>
      <c r="BQ251" s="401"/>
      <c r="BR251" s="401"/>
      <c r="BS251" s="401"/>
      <c r="BT251" s="401"/>
      <c r="BU251" s="401"/>
      <c r="BV251" s="401"/>
      <c r="BW251" s="401"/>
      <c r="BX251" s="401"/>
      <c r="BY251" s="401"/>
      <c r="BZ251" s="401"/>
    </row>
    <row r="252" ht="15.75" customHeight="1">
      <c r="A252" s="401"/>
      <c r="B252" s="401"/>
      <c r="C252" s="401"/>
      <c r="D252" s="401"/>
      <c r="E252" s="401"/>
      <c r="F252" s="401"/>
      <c r="G252" s="401"/>
      <c r="H252" s="401"/>
      <c r="I252" s="381"/>
      <c r="J252" s="381"/>
      <c r="K252" s="381"/>
      <c r="L252" s="381"/>
      <c r="M252" s="381"/>
      <c r="N252" s="381"/>
      <c r="O252" s="381"/>
      <c r="P252" s="401"/>
      <c r="Q252" s="401"/>
      <c r="R252" s="401"/>
      <c r="S252" s="401"/>
      <c r="T252" s="401"/>
      <c r="U252" s="401"/>
      <c r="V252" s="401"/>
      <c r="W252" s="401"/>
      <c r="X252" s="401"/>
      <c r="Y252" s="401"/>
      <c r="Z252" s="401"/>
      <c r="AA252" s="401"/>
      <c r="AB252" s="401"/>
      <c r="AC252" s="401"/>
      <c r="AD252" s="401"/>
      <c r="AE252" s="401"/>
      <c r="AF252" s="401"/>
      <c r="AG252" s="401"/>
      <c r="AH252" s="401"/>
      <c r="AI252" s="401"/>
      <c r="AJ252" s="401"/>
      <c r="AK252" s="401"/>
      <c r="AL252" s="401"/>
      <c r="AM252" s="401"/>
      <c r="AN252" s="401"/>
      <c r="AO252" s="401"/>
      <c r="AP252" s="401"/>
      <c r="AQ252" s="401"/>
      <c r="AR252" s="401"/>
      <c r="AS252" s="401"/>
      <c r="AT252" s="401"/>
      <c r="AU252" s="401"/>
      <c r="AV252" s="401"/>
      <c r="AW252" s="401"/>
      <c r="AX252" s="401"/>
      <c r="AY252" s="401"/>
      <c r="AZ252" s="401"/>
      <c r="BA252" s="401"/>
      <c r="BB252" s="401"/>
      <c r="BC252" s="401"/>
      <c r="BD252" s="401"/>
      <c r="BE252" s="401"/>
      <c r="BF252" s="401"/>
      <c r="BG252" s="401"/>
      <c r="BH252" s="401"/>
      <c r="BI252" s="401"/>
      <c r="BJ252" s="401"/>
      <c r="BK252" s="401"/>
      <c r="BL252" s="401"/>
      <c r="BM252" s="401"/>
      <c r="BN252" s="401"/>
      <c r="BO252" s="401"/>
      <c r="BP252" s="401"/>
      <c r="BQ252" s="401"/>
      <c r="BR252" s="401"/>
      <c r="BS252" s="401"/>
      <c r="BT252" s="401"/>
      <c r="BU252" s="401"/>
      <c r="BV252" s="401"/>
      <c r="BW252" s="401"/>
      <c r="BX252" s="401"/>
      <c r="BY252" s="401"/>
      <c r="BZ252" s="401"/>
    </row>
    <row r="253" ht="15.75" customHeight="1">
      <c r="A253" s="401"/>
      <c r="B253" s="401"/>
      <c r="C253" s="401"/>
      <c r="D253" s="401"/>
      <c r="E253" s="401"/>
      <c r="F253" s="401"/>
      <c r="G253" s="401"/>
      <c r="H253" s="401"/>
      <c r="I253" s="381"/>
      <c r="J253" s="381"/>
      <c r="K253" s="381"/>
      <c r="L253" s="381"/>
      <c r="M253" s="381"/>
      <c r="N253" s="381"/>
      <c r="O253" s="381"/>
      <c r="P253" s="401"/>
      <c r="Q253" s="401"/>
      <c r="R253" s="401"/>
      <c r="S253" s="401"/>
      <c r="T253" s="401"/>
      <c r="U253" s="401"/>
      <c r="V253" s="401"/>
      <c r="W253" s="401"/>
      <c r="X253" s="401"/>
      <c r="Y253" s="401"/>
      <c r="Z253" s="401"/>
      <c r="AA253" s="401"/>
      <c r="AB253" s="401"/>
      <c r="AC253" s="401"/>
      <c r="AD253" s="401"/>
      <c r="AE253" s="401"/>
      <c r="AF253" s="401"/>
      <c r="AG253" s="401"/>
      <c r="AH253" s="401"/>
      <c r="AI253" s="401"/>
      <c r="AJ253" s="401"/>
      <c r="AK253" s="401"/>
      <c r="AL253" s="401"/>
      <c r="AM253" s="401"/>
      <c r="AN253" s="401"/>
      <c r="AO253" s="401"/>
      <c r="AP253" s="401"/>
      <c r="AQ253" s="401"/>
      <c r="AR253" s="401"/>
      <c r="AS253" s="401"/>
      <c r="AT253" s="401"/>
      <c r="AU253" s="401"/>
      <c r="AV253" s="401"/>
      <c r="AW253" s="401"/>
      <c r="AX253" s="401"/>
      <c r="AY253" s="401"/>
      <c r="AZ253" s="401"/>
      <c r="BA253" s="401"/>
      <c r="BB253" s="401"/>
      <c r="BC253" s="401"/>
      <c r="BD253" s="401"/>
      <c r="BE253" s="401"/>
      <c r="BF253" s="401"/>
      <c r="BG253" s="401"/>
      <c r="BH253" s="401"/>
      <c r="BI253" s="401"/>
      <c r="BJ253" s="401"/>
      <c r="BK253" s="401"/>
      <c r="BL253" s="401"/>
      <c r="BM253" s="401"/>
      <c r="BN253" s="401"/>
      <c r="BO253" s="401"/>
      <c r="BP253" s="401"/>
      <c r="BQ253" s="401"/>
      <c r="BR253" s="401"/>
      <c r="BS253" s="401"/>
      <c r="BT253" s="401"/>
      <c r="BU253" s="401"/>
      <c r="BV253" s="401"/>
      <c r="BW253" s="401"/>
      <c r="BX253" s="401"/>
      <c r="BY253" s="401"/>
      <c r="BZ253" s="401"/>
    </row>
    <row r="254" ht="15.75" customHeight="1">
      <c r="A254" s="401"/>
      <c r="B254" s="401"/>
      <c r="C254" s="401"/>
      <c r="D254" s="401"/>
      <c r="E254" s="401"/>
      <c r="F254" s="401"/>
      <c r="G254" s="401"/>
      <c r="H254" s="401"/>
      <c r="I254" s="381"/>
      <c r="J254" s="381"/>
      <c r="K254" s="381"/>
      <c r="L254" s="381"/>
      <c r="M254" s="381"/>
      <c r="N254" s="381"/>
      <c r="O254" s="381"/>
      <c r="P254" s="401"/>
      <c r="Q254" s="401"/>
      <c r="R254" s="401"/>
      <c r="S254" s="401"/>
      <c r="T254" s="401"/>
      <c r="U254" s="401"/>
      <c r="V254" s="401"/>
      <c r="W254" s="401"/>
      <c r="X254" s="401"/>
      <c r="Y254" s="401"/>
      <c r="Z254" s="401"/>
      <c r="AA254" s="401"/>
      <c r="AB254" s="401"/>
      <c r="AC254" s="401"/>
      <c r="AD254" s="401"/>
      <c r="AE254" s="401"/>
      <c r="AF254" s="401"/>
      <c r="AG254" s="401"/>
      <c r="AH254" s="401"/>
      <c r="AI254" s="401"/>
      <c r="AJ254" s="401"/>
      <c r="AK254" s="401"/>
      <c r="AL254" s="401"/>
      <c r="AM254" s="401"/>
      <c r="AN254" s="401"/>
      <c r="AO254" s="401"/>
      <c r="AP254" s="401"/>
      <c r="AQ254" s="401"/>
      <c r="AR254" s="401"/>
      <c r="AS254" s="401"/>
      <c r="AT254" s="401"/>
      <c r="AU254" s="401"/>
      <c r="AV254" s="401"/>
      <c r="AW254" s="401"/>
      <c r="AX254" s="401"/>
      <c r="AY254" s="401"/>
      <c r="AZ254" s="401"/>
      <c r="BA254" s="401"/>
      <c r="BB254" s="401"/>
      <c r="BC254" s="401"/>
      <c r="BD254" s="401"/>
      <c r="BE254" s="401"/>
      <c r="BF254" s="401"/>
      <c r="BG254" s="401"/>
      <c r="BH254" s="401"/>
      <c r="BI254" s="401"/>
      <c r="BJ254" s="401"/>
      <c r="BK254" s="401"/>
      <c r="BL254" s="401"/>
      <c r="BM254" s="401"/>
      <c r="BN254" s="401"/>
      <c r="BO254" s="401"/>
      <c r="BP254" s="401"/>
      <c r="BQ254" s="401"/>
      <c r="BR254" s="401"/>
      <c r="BS254" s="401"/>
      <c r="BT254" s="401"/>
      <c r="BU254" s="401"/>
      <c r="BV254" s="401"/>
      <c r="BW254" s="401"/>
      <c r="BX254" s="401"/>
      <c r="BY254" s="401"/>
      <c r="BZ254" s="401"/>
    </row>
    <row r="255" ht="15.75" customHeight="1">
      <c r="A255" s="401"/>
      <c r="B255" s="401"/>
      <c r="C255" s="401"/>
      <c r="D255" s="401"/>
      <c r="E255" s="401"/>
      <c r="F255" s="401"/>
      <c r="G255" s="401"/>
      <c r="H255" s="401"/>
      <c r="I255" s="381"/>
      <c r="J255" s="381"/>
      <c r="K255" s="381"/>
      <c r="L255" s="381"/>
      <c r="M255" s="381"/>
      <c r="N255" s="381"/>
      <c r="O255" s="381"/>
      <c r="P255" s="401"/>
      <c r="Q255" s="401"/>
      <c r="R255" s="401"/>
      <c r="S255" s="401"/>
      <c r="T255" s="401"/>
      <c r="U255" s="401"/>
      <c r="V255" s="401"/>
      <c r="W255" s="401"/>
      <c r="X255" s="401"/>
      <c r="Y255" s="401"/>
      <c r="Z255" s="401"/>
      <c r="AA255" s="401"/>
      <c r="AB255" s="401"/>
      <c r="AC255" s="401"/>
      <c r="AD255" s="401"/>
      <c r="AE255" s="401"/>
      <c r="AF255" s="401"/>
      <c r="AG255" s="401"/>
      <c r="AH255" s="401"/>
      <c r="AI255" s="401"/>
      <c r="AJ255" s="401"/>
      <c r="AK255" s="401"/>
      <c r="AL255" s="401"/>
      <c r="AM255" s="401"/>
      <c r="AN255" s="401"/>
      <c r="AO255" s="401"/>
      <c r="AP255" s="401"/>
      <c r="AQ255" s="401"/>
      <c r="AR255" s="401"/>
      <c r="AS255" s="401"/>
      <c r="AT255" s="401"/>
      <c r="AU255" s="401"/>
      <c r="AV255" s="401"/>
      <c r="AW255" s="401"/>
      <c r="AX255" s="401"/>
      <c r="AY255" s="401"/>
      <c r="AZ255" s="401"/>
      <c r="BA255" s="401"/>
      <c r="BB255" s="401"/>
      <c r="BC255" s="401"/>
      <c r="BD255" s="401"/>
      <c r="BE255" s="401"/>
      <c r="BF255" s="401"/>
      <c r="BG255" s="401"/>
      <c r="BH255" s="401"/>
      <c r="BI255" s="401"/>
      <c r="BJ255" s="401"/>
      <c r="BK255" s="401"/>
      <c r="BL255" s="401"/>
      <c r="BM255" s="401"/>
      <c r="BN255" s="401"/>
      <c r="BO255" s="401"/>
      <c r="BP255" s="401"/>
      <c r="BQ255" s="401"/>
      <c r="BR255" s="401"/>
      <c r="BS255" s="401"/>
      <c r="BT255" s="401"/>
      <c r="BU255" s="401"/>
      <c r="BV255" s="401"/>
      <c r="BW255" s="401"/>
      <c r="BX255" s="401"/>
      <c r="BY255" s="401"/>
      <c r="BZ255" s="401"/>
    </row>
    <row r="256" ht="15.75" customHeight="1">
      <c r="A256" s="401"/>
      <c r="B256" s="401"/>
      <c r="C256" s="401"/>
      <c r="D256" s="401"/>
      <c r="E256" s="401"/>
      <c r="F256" s="401"/>
      <c r="G256" s="401"/>
      <c r="H256" s="401"/>
      <c r="I256" s="381"/>
      <c r="J256" s="381"/>
      <c r="K256" s="381"/>
      <c r="L256" s="381"/>
      <c r="M256" s="381"/>
      <c r="N256" s="381"/>
      <c r="O256" s="381"/>
      <c r="P256" s="401"/>
      <c r="Q256" s="401"/>
      <c r="R256" s="401"/>
      <c r="S256" s="401"/>
      <c r="T256" s="401"/>
      <c r="U256" s="401"/>
      <c r="V256" s="401"/>
      <c r="W256" s="401"/>
      <c r="X256" s="401"/>
      <c r="Y256" s="401"/>
      <c r="Z256" s="401"/>
      <c r="AA256" s="401"/>
      <c r="AB256" s="401"/>
      <c r="AC256" s="401"/>
      <c r="AD256" s="401"/>
      <c r="AE256" s="401"/>
      <c r="AF256" s="401"/>
      <c r="AG256" s="401"/>
      <c r="AH256" s="401"/>
      <c r="AI256" s="401"/>
      <c r="AJ256" s="401"/>
      <c r="AK256" s="401"/>
      <c r="AL256" s="401"/>
      <c r="AM256" s="401"/>
      <c r="AN256" s="401"/>
      <c r="AO256" s="401"/>
      <c r="AP256" s="401"/>
      <c r="AQ256" s="401"/>
      <c r="AR256" s="401"/>
      <c r="AS256" s="401"/>
      <c r="AT256" s="401"/>
      <c r="AU256" s="401"/>
      <c r="AV256" s="401"/>
      <c r="AW256" s="401"/>
      <c r="AX256" s="401"/>
      <c r="AY256" s="401"/>
      <c r="AZ256" s="401"/>
      <c r="BA256" s="401"/>
      <c r="BB256" s="401"/>
      <c r="BC256" s="401"/>
      <c r="BD256" s="401"/>
      <c r="BE256" s="401"/>
      <c r="BF256" s="401"/>
      <c r="BG256" s="401"/>
      <c r="BH256" s="401"/>
      <c r="BI256" s="401"/>
      <c r="BJ256" s="401"/>
      <c r="BK256" s="401"/>
      <c r="BL256" s="401"/>
      <c r="BM256" s="401"/>
      <c r="BN256" s="401"/>
      <c r="BO256" s="401"/>
      <c r="BP256" s="401"/>
      <c r="BQ256" s="401"/>
      <c r="BR256" s="401"/>
      <c r="BS256" s="401"/>
      <c r="BT256" s="401"/>
      <c r="BU256" s="401"/>
      <c r="BV256" s="401"/>
      <c r="BW256" s="401"/>
      <c r="BX256" s="401"/>
      <c r="BY256" s="401"/>
      <c r="BZ256" s="401"/>
    </row>
    <row r="257" ht="15.75" customHeight="1">
      <c r="A257" s="401"/>
      <c r="B257" s="401"/>
      <c r="C257" s="401"/>
      <c r="D257" s="401"/>
      <c r="E257" s="401"/>
      <c r="F257" s="401"/>
      <c r="G257" s="401"/>
      <c r="H257" s="401"/>
      <c r="I257" s="381"/>
      <c r="J257" s="381"/>
      <c r="K257" s="381"/>
      <c r="L257" s="381"/>
      <c r="M257" s="381"/>
      <c r="N257" s="381"/>
      <c r="O257" s="381"/>
      <c r="P257" s="401"/>
      <c r="Q257" s="401"/>
      <c r="R257" s="401"/>
      <c r="S257" s="401"/>
      <c r="T257" s="401"/>
      <c r="U257" s="401"/>
      <c r="V257" s="401"/>
      <c r="W257" s="401"/>
      <c r="X257" s="401"/>
      <c r="Y257" s="401"/>
      <c r="Z257" s="401"/>
      <c r="AA257" s="401"/>
      <c r="AB257" s="401"/>
      <c r="AC257" s="401"/>
      <c r="AD257" s="401"/>
      <c r="AE257" s="401"/>
      <c r="AF257" s="401"/>
      <c r="AG257" s="401"/>
      <c r="AH257" s="401"/>
      <c r="AI257" s="401"/>
      <c r="AJ257" s="401"/>
      <c r="AK257" s="401"/>
      <c r="AL257" s="401"/>
      <c r="AM257" s="401"/>
      <c r="AN257" s="401"/>
      <c r="AO257" s="401"/>
      <c r="AP257" s="401"/>
      <c r="AQ257" s="401"/>
      <c r="AR257" s="401"/>
      <c r="AS257" s="401"/>
      <c r="AT257" s="401"/>
      <c r="AU257" s="401"/>
      <c r="AV257" s="401"/>
      <c r="AW257" s="401"/>
      <c r="AX257" s="401"/>
      <c r="AY257" s="401"/>
      <c r="AZ257" s="401"/>
      <c r="BA257" s="401"/>
      <c r="BB257" s="401"/>
      <c r="BC257" s="401"/>
      <c r="BD257" s="401"/>
      <c r="BE257" s="401"/>
      <c r="BF257" s="401"/>
      <c r="BG257" s="401"/>
      <c r="BH257" s="401"/>
      <c r="BI257" s="401"/>
      <c r="BJ257" s="401"/>
      <c r="BK257" s="401"/>
      <c r="BL257" s="401"/>
      <c r="BM257" s="401"/>
      <c r="BN257" s="401"/>
      <c r="BO257" s="401"/>
      <c r="BP257" s="401"/>
      <c r="BQ257" s="401"/>
      <c r="BR257" s="401"/>
      <c r="BS257" s="401"/>
      <c r="BT257" s="401"/>
      <c r="BU257" s="401"/>
      <c r="BV257" s="401"/>
      <c r="BW257" s="401"/>
      <c r="BX257" s="401"/>
      <c r="BY257" s="401"/>
      <c r="BZ257" s="401"/>
    </row>
    <row r="258" ht="15.75" customHeight="1">
      <c r="A258" s="401"/>
      <c r="B258" s="401"/>
      <c r="C258" s="401"/>
      <c r="D258" s="401"/>
      <c r="E258" s="401"/>
      <c r="F258" s="401"/>
      <c r="G258" s="401"/>
      <c r="H258" s="401"/>
      <c r="I258" s="381"/>
      <c r="J258" s="381"/>
      <c r="K258" s="381"/>
      <c r="L258" s="381"/>
      <c r="M258" s="381"/>
      <c r="N258" s="381"/>
      <c r="O258" s="381"/>
      <c r="P258" s="401"/>
      <c r="Q258" s="401"/>
      <c r="R258" s="401"/>
      <c r="S258" s="401"/>
      <c r="T258" s="401"/>
      <c r="U258" s="401"/>
      <c r="V258" s="401"/>
      <c r="W258" s="401"/>
      <c r="X258" s="401"/>
      <c r="Y258" s="401"/>
      <c r="Z258" s="401"/>
      <c r="AA258" s="401"/>
      <c r="AB258" s="401"/>
      <c r="AC258" s="401"/>
      <c r="AD258" s="401"/>
      <c r="AE258" s="401"/>
      <c r="AF258" s="401"/>
      <c r="AG258" s="401"/>
      <c r="AH258" s="401"/>
      <c r="AI258" s="401"/>
      <c r="AJ258" s="401"/>
      <c r="AK258" s="401"/>
      <c r="AL258" s="401"/>
      <c r="AM258" s="401"/>
      <c r="AN258" s="401"/>
      <c r="AO258" s="401"/>
      <c r="AP258" s="401"/>
      <c r="AQ258" s="401"/>
      <c r="AR258" s="401"/>
      <c r="AS258" s="401"/>
      <c r="AT258" s="401"/>
      <c r="AU258" s="401"/>
      <c r="AV258" s="401"/>
      <c r="AW258" s="401"/>
      <c r="AX258" s="401"/>
      <c r="AY258" s="401"/>
      <c r="AZ258" s="401"/>
      <c r="BA258" s="401"/>
      <c r="BB258" s="401"/>
      <c r="BC258" s="401"/>
      <c r="BD258" s="401"/>
      <c r="BE258" s="401"/>
      <c r="BF258" s="401"/>
      <c r="BG258" s="401"/>
      <c r="BH258" s="401"/>
      <c r="BI258" s="401"/>
      <c r="BJ258" s="401"/>
      <c r="BK258" s="401"/>
      <c r="BL258" s="401"/>
      <c r="BM258" s="401"/>
      <c r="BN258" s="401"/>
      <c r="BO258" s="401"/>
      <c r="BP258" s="401"/>
      <c r="BQ258" s="401"/>
      <c r="BR258" s="401"/>
      <c r="BS258" s="401"/>
      <c r="BT258" s="401"/>
      <c r="BU258" s="401"/>
      <c r="BV258" s="401"/>
      <c r="BW258" s="401"/>
      <c r="BX258" s="401"/>
      <c r="BY258" s="401"/>
      <c r="BZ258" s="401"/>
    </row>
    <row r="259" ht="15.75" customHeight="1">
      <c r="A259" s="401"/>
      <c r="B259" s="401"/>
      <c r="C259" s="401"/>
      <c r="D259" s="401"/>
      <c r="E259" s="401"/>
      <c r="F259" s="401"/>
      <c r="G259" s="401"/>
      <c r="H259" s="401"/>
      <c r="I259" s="381"/>
      <c r="J259" s="381"/>
      <c r="K259" s="381"/>
      <c r="L259" s="381"/>
      <c r="M259" s="381"/>
      <c r="N259" s="381"/>
      <c r="O259" s="381"/>
      <c r="P259" s="401"/>
      <c r="Q259" s="401"/>
      <c r="R259" s="401"/>
      <c r="S259" s="401"/>
      <c r="T259" s="401"/>
      <c r="U259" s="401"/>
      <c r="V259" s="401"/>
      <c r="W259" s="401"/>
      <c r="X259" s="401"/>
      <c r="Y259" s="401"/>
      <c r="Z259" s="401"/>
      <c r="AA259" s="401"/>
      <c r="AB259" s="401"/>
      <c r="AC259" s="401"/>
      <c r="AD259" s="401"/>
      <c r="AE259" s="401"/>
      <c r="AF259" s="401"/>
      <c r="AG259" s="401"/>
      <c r="AH259" s="401"/>
      <c r="AI259" s="401"/>
      <c r="AJ259" s="401"/>
      <c r="AK259" s="401"/>
      <c r="AL259" s="401"/>
      <c r="AM259" s="401"/>
      <c r="AN259" s="401"/>
      <c r="AO259" s="401"/>
      <c r="AP259" s="401"/>
      <c r="AQ259" s="401"/>
      <c r="AR259" s="401"/>
      <c r="AS259" s="401"/>
      <c r="AT259" s="401"/>
      <c r="AU259" s="401"/>
      <c r="AV259" s="401"/>
      <c r="AW259" s="401"/>
      <c r="AX259" s="401"/>
      <c r="AY259" s="401"/>
      <c r="AZ259" s="401"/>
      <c r="BA259" s="401"/>
      <c r="BB259" s="401"/>
      <c r="BC259" s="401"/>
      <c r="BD259" s="401"/>
      <c r="BE259" s="401"/>
      <c r="BF259" s="401"/>
      <c r="BG259" s="401"/>
      <c r="BH259" s="401"/>
      <c r="BI259" s="401"/>
      <c r="BJ259" s="401"/>
      <c r="BK259" s="401"/>
      <c r="BL259" s="401"/>
      <c r="BM259" s="401"/>
      <c r="BN259" s="401"/>
      <c r="BO259" s="401"/>
      <c r="BP259" s="401"/>
      <c r="BQ259" s="401"/>
      <c r="BR259" s="401"/>
      <c r="BS259" s="401"/>
      <c r="BT259" s="401"/>
      <c r="BU259" s="401"/>
      <c r="BV259" s="401"/>
      <c r="BW259" s="401"/>
      <c r="BX259" s="401"/>
      <c r="BY259" s="401"/>
      <c r="BZ259" s="401"/>
    </row>
    <row r="260" ht="15.75" customHeight="1">
      <c r="A260" s="401"/>
      <c r="B260" s="401"/>
      <c r="C260" s="401"/>
      <c r="D260" s="401"/>
      <c r="E260" s="401"/>
      <c r="F260" s="401"/>
      <c r="G260" s="401"/>
      <c r="H260" s="401"/>
      <c r="I260" s="381"/>
      <c r="J260" s="381"/>
      <c r="K260" s="381"/>
      <c r="L260" s="381"/>
      <c r="M260" s="381"/>
      <c r="N260" s="381"/>
      <c r="O260" s="381"/>
      <c r="P260" s="401"/>
      <c r="Q260" s="401"/>
      <c r="R260" s="401"/>
      <c r="S260" s="401"/>
      <c r="T260" s="401"/>
      <c r="U260" s="401"/>
      <c r="V260" s="401"/>
      <c r="W260" s="401"/>
      <c r="X260" s="401"/>
      <c r="Y260" s="401"/>
      <c r="Z260" s="401"/>
      <c r="AA260" s="401"/>
      <c r="AB260" s="401"/>
      <c r="AC260" s="401"/>
      <c r="AD260" s="401"/>
      <c r="AE260" s="401"/>
      <c r="AF260" s="401"/>
      <c r="AG260" s="401"/>
      <c r="AH260" s="401"/>
      <c r="AI260" s="401"/>
      <c r="AJ260" s="401"/>
      <c r="AK260" s="401"/>
      <c r="AL260" s="401"/>
      <c r="AM260" s="401"/>
      <c r="AN260" s="401"/>
      <c r="AO260" s="401"/>
      <c r="AP260" s="401"/>
      <c r="AQ260" s="401"/>
      <c r="AR260" s="401"/>
      <c r="AS260" s="401"/>
      <c r="AT260" s="401"/>
      <c r="AU260" s="401"/>
      <c r="AV260" s="401"/>
      <c r="AW260" s="401"/>
      <c r="AX260" s="401"/>
      <c r="AY260" s="401"/>
      <c r="AZ260" s="401"/>
      <c r="BA260" s="401"/>
      <c r="BB260" s="401"/>
      <c r="BC260" s="401"/>
      <c r="BD260" s="401"/>
      <c r="BE260" s="401"/>
      <c r="BF260" s="401"/>
      <c r="BG260" s="401"/>
      <c r="BH260" s="401"/>
      <c r="BI260" s="401"/>
      <c r="BJ260" s="401"/>
      <c r="BK260" s="401"/>
      <c r="BL260" s="401"/>
      <c r="BM260" s="401"/>
      <c r="BN260" s="401"/>
      <c r="BO260" s="401"/>
      <c r="BP260" s="401"/>
      <c r="BQ260" s="401"/>
      <c r="BR260" s="401"/>
      <c r="BS260" s="401"/>
      <c r="BT260" s="401"/>
      <c r="BU260" s="401"/>
      <c r="BV260" s="401"/>
      <c r="BW260" s="401"/>
      <c r="BX260" s="401"/>
      <c r="BY260" s="401"/>
      <c r="BZ260" s="401"/>
    </row>
    <row r="261" ht="15.75" customHeight="1">
      <c r="A261" s="401"/>
      <c r="B261" s="401"/>
      <c r="C261" s="401"/>
      <c r="D261" s="401"/>
      <c r="E261" s="401"/>
      <c r="F261" s="401"/>
      <c r="G261" s="401"/>
      <c r="H261" s="401"/>
      <c r="I261" s="381"/>
      <c r="J261" s="381"/>
      <c r="K261" s="381"/>
      <c r="L261" s="381"/>
      <c r="M261" s="381"/>
      <c r="N261" s="381"/>
      <c r="O261" s="381"/>
      <c r="P261" s="401"/>
      <c r="Q261" s="401"/>
      <c r="R261" s="401"/>
      <c r="S261" s="401"/>
      <c r="T261" s="401"/>
      <c r="U261" s="401"/>
      <c r="V261" s="401"/>
      <c r="W261" s="401"/>
      <c r="X261" s="401"/>
      <c r="Y261" s="401"/>
      <c r="Z261" s="401"/>
      <c r="AA261" s="401"/>
      <c r="AB261" s="401"/>
      <c r="AC261" s="401"/>
      <c r="AD261" s="401"/>
      <c r="AE261" s="401"/>
      <c r="AF261" s="401"/>
      <c r="AG261" s="401"/>
      <c r="AH261" s="401"/>
      <c r="AI261" s="401"/>
      <c r="AJ261" s="401"/>
      <c r="AK261" s="401"/>
      <c r="AL261" s="401"/>
      <c r="AM261" s="401"/>
      <c r="AN261" s="401"/>
      <c r="AO261" s="401"/>
      <c r="AP261" s="401"/>
      <c r="AQ261" s="401"/>
      <c r="AR261" s="401"/>
      <c r="AS261" s="401"/>
      <c r="AT261" s="401"/>
      <c r="AU261" s="401"/>
      <c r="AV261" s="401"/>
      <c r="AW261" s="401"/>
      <c r="AX261" s="401"/>
      <c r="AY261" s="401"/>
      <c r="AZ261" s="401"/>
      <c r="BA261" s="401"/>
      <c r="BB261" s="401"/>
      <c r="BC261" s="401"/>
      <c r="BD261" s="401"/>
      <c r="BE261" s="401"/>
      <c r="BF261" s="401"/>
      <c r="BG261" s="401"/>
      <c r="BH261" s="401"/>
      <c r="BI261" s="401"/>
      <c r="BJ261" s="401"/>
      <c r="BK261" s="401"/>
      <c r="BL261" s="401"/>
      <c r="BM261" s="401"/>
      <c r="BN261" s="401"/>
      <c r="BO261" s="401"/>
      <c r="BP261" s="401"/>
      <c r="BQ261" s="401"/>
      <c r="BR261" s="401"/>
      <c r="BS261" s="401"/>
      <c r="BT261" s="401"/>
      <c r="BU261" s="401"/>
      <c r="BV261" s="401"/>
      <c r="BW261" s="401"/>
      <c r="BX261" s="401"/>
      <c r="BY261" s="401"/>
      <c r="BZ261" s="401"/>
    </row>
    <row r="262" ht="15.75" customHeight="1">
      <c r="A262" s="401"/>
      <c r="B262" s="401"/>
      <c r="C262" s="401"/>
      <c r="D262" s="401"/>
      <c r="E262" s="401"/>
      <c r="F262" s="401"/>
      <c r="G262" s="401"/>
      <c r="H262" s="401"/>
      <c r="I262" s="381"/>
      <c r="J262" s="381"/>
      <c r="K262" s="381"/>
      <c r="L262" s="381"/>
      <c r="M262" s="381"/>
      <c r="N262" s="381"/>
      <c r="O262" s="381"/>
      <c r="P262" s="401"/>
      <c r="Q262" s="401"/>
      <c r="R262" s="401"/>
      <c r="S262" s="401"/>
      <c r="T262" s="401"/>
      <c r="U262" s="401"/>
      <c r="V262" s="401"/>
      <c r="W262" s="401"/>
      <c r="X262" s="401"/>
      <c r="Y262" s="401"/>
      <c r="Z262" s="401"/>
      <c r="AA262" s="401"/>
      <c r="AB262" s="401"/>
      <c r="AC262" s="401"/>
      <c r="AD262" s="401"/>
      <c r="AE262" s="401"/>
      <c r="AF262" s="401"/>
      <c r="AG262" s="401"/>
      <c r="AH262" s="401"/>
      <c r="AI262" s="401"/>
      <c r="AJ262" s="401"/>
      <c r="AK262" s="401"/>
      <c r="AL262" s="401"/>
      <c r="AM262" s="401"/>
      <c r="AN262" s="401"/>
      <c r="AO262" s="401"/>
      <c r="AP262" s="401"/>
      <c r="AQ262" s="401"/>
      <c r="AR262" s="401"/>
      <c r="AS262" s="401"/>
      <c r="AT262" s="401"/>
      <c r="AU262" s="401"/>
      <c r="AV262" s="401"/>
      <c r="AW262" s="401"/>
      <c r="AX262" s="401"/>
      <c r="AY262" s="401"/>
      <c r="AZ262" s="401"/>
      <c r="BA262" s="401"/>
      <c r="BB262" s="401"/>
      <c r="BC262" s="401"/>
      <c r="BD262" s="401"/>
      <c r="BE262" s="401"/>
      <c r="BF262" s="401"/>
      <c r="BG262" s="401"/>
      <c r="BH262" s="401"/>
      <c r="BI262" s="401"/>
      <c r="BJ262" s="401"/>
      <c r="BK262" s="401"/>
      <c r="BL262" s="401"/>
      <c r="BM262" s="401"/>
      <c r="BN262" s="401"/>
      <c r="BO262" s="401"/>
      <c r="BP262" s="401"/>
      <c r="BQ262" s="401"/>
      <c r="BR262" s="401"/>
      <c r="BS262" s="401"/>
      <c r="BT262" s="401"/>
      <c r="BU262" s="401"/>
      <c r="BV262" s="401"/>
      <c r="BW262" s="401"/>
      <c r="BX262" s="401"/>
      <c r="BY262" s="401"/>
      <c r="BZ262" s="401"/>
    </row>
    <row r="263" ht="15.75" customHeight="1">
      <c r="A263" s="401"/>
      <c r="B263" s="401"/>
      <c r="C263" s="401"/>
      <c r="D263" s="401"/>
      <c r="E263" s="401"/>
      <c r="F263" s="401"/>
      <c r="G263" s="401"/>
      <c r="H263" s="401"/>
      <c r="I263" s="381"/>
      <c r="J263" s="381"/>
      <c r="K263" s="381"/>
      <c r="L263" s="381"/>
      <c r="M263" s="381"/>
      <c r="N263" s="381"/>
      <c r="O263" s="381"/>
      <c r="P263" s="401"/>
      <c r="Q263" s="401"/>
      <c r="R263" s="401"/>
      <c r="S263" s="401"/>
      <c r="T263" s="401"/>
      <c r="U263" s="401"/>
      <c r="V263" s="401"/>
      <c r="W263" s="401"/>
      <c r="X263" s="401"/>
      <c r="Y263" s="401"/>
      <c r="Z263" s="401"/>
      <c r="AA263" s="401"/>
      <c r="AB263" s="401"/>
      <c r="AC263" s="401"/>
      <c r="AD263" s="401"/>
      <c r="AE263" s="401"/>
      <c r="AF263" s="401"/>
      <c r="AG263" s="401"/>
      <c r="AH263" s="401"/>
      <c r="AI263" s="401"/>
      <c r="AJ263" s="401"/>
      <c r="AK263" s="401"/>
      <c r="AL263" s="401"/>
      <c r="AM263" s="401"/>
      <c r="AN263" s="401"/>
      <c r="AO263" s="401"/>
      <c r="AP263" s="401"/>
      <c r="AQ263" s="401"/>
      <c r="AR263" s="401"/>
      <c r="AS263" s="401"/>
      <c r="AT263" s="401"/>
      <c r="AU263" s="401"/>
      <c r="AV263" s="401"/>
      <c r="AW263" s="401"/>
      <c r="AX263" s="401"/>
      <c r="AY263" s="401"/>
      <c r="AZ263" s="401"/>
      <c r="BA263" s="401"/>
      <c r="BB263" s="401"/>
      <c r="BC263" s="401"/>
      <c r="BD263" s="401"/>
      <c r="BE263" s="401"/>
      <c r="BF263" s="401"/>
      <c r="BG263" s="401"/>
      <c r="BH263" s="401"/>
      <c r="BI263" s="401"/>
      <c r="BJ263" s="401"/>
      <c r="BK263" s="401"/>
      <c r="BL263" s="401"/>
      <c r="BM263" s="401"/>
      <c r="BN263" s="401"/>
      <c r="BO263" s="401"/>
      <c r="BP263" s="401"/>
      <c r="BQ263" s="401"/>
      <c r="BR263" s="401"/>
      <c r="BS263" s="401"/>
      <c r="BT263" s="401"/>
      <c r="BU263" s="401"/>
      <c r="BV263" s="401"/>
      <c r="BW263" s="401"/>
      <c r="BX263" s="401"/>
      <c r="BY263" s="401"/>
      <c r="BZ263" s="401"/>
    </row>
    <row r="264" ht="15.75" customHeight="1">
      <c r="A264" s="401"/>
      <c r="B264" s="401"/>
      <c r="C264" s="401"/>
      <c r="D264" s="401"/>
      <c r="E264" s="401"/>
      <c r="F264" s="401"/>
      <c r="G264" s="401"/>
      <c r="H264" s="401"/>
      <c r="I264" s="381"/>
      <c r="J264" s="381"/>
      <c r="K264" s="381"/>
      <c r="L264" s="381"/>
      <c r="M264" s="381"/>
      <c r="N264" s="381"/>
      <c r="O264" s="381"/>
      <c r="P264" s="401"/>
      <c r="Q264" s="401"/>
      <c r="R264" s="401"/>
      <c r="S264" s="401"/>
      <c r="T264" s="401"/>
      <c r="U264" s="401"/>
      <c r="V264" s="401"/>
      <c r="W264" s="401"/>
      <c r="X264" s="401"/>
      <c r="Y264" s="401"/>
      <c r="Z264" s="401"/>
      <c r="AA264" s="401"/>
      <c r="AB264" s="401"/>
      <c r="AC264" s="401"/>
      <c r="AD264" s="401"/>
      <c r="AE264" s="401"/>
      <c r="AF264" s="401"/>
      <c r="AG264" s="401"/>
      <c r="AH264" s="401"/>
      <c r="AI264" s="401"/>
      <c r="AJ264" s="401"/>
      <c r="AK264" s="401"/>
      <c r="AL264" s="401"/>
      <c r="AM264" s="401"/>
      <c r="AN264" s="401"/>
      <c r="AO264" s="401"/>
      <c r="AP264" s="401"/>
      <c r="AQ264" s="401"/>
      <c r="AR264" s="401"/>
      <c r="AS264" s="401"/>
      <c r="AT264" s="401"/>
      <c r="AU264" s="401"/>
      <c r="AV264" s="401"/>
      <c r="AW264" s="401"/>
      <c r="AX264" s="401"/>
      <c r="AY264" s="401"/>
      <c r="AZ264" s="401"/>
      <c r="BA264" s="401"/>
      <c r="BB264" s="401"/>
      <c r="BC264" s="401"/>
      <c r="BD264" s="401"/>
      <c r="BE264" s="401"/>
      <c r="BF264" s="401"/>
      <c r="BG264" s="401"/>
      <c r="BH264" s="401"/>
      <c r="BI264" s="401"/>
      <c r="BJ264" s="401"/>
      <c r="BK264" s="401"/>
      <c r="BL264" s="401"/>
      <c r="BM264" s="401"/>
      <c r="BN264" s="401"/>
      <c r="BO264" s="401"/>
      <c r="BP264" s="401"/>
      <c r="BQ264" s="401"/>
      <c r="BR264" s="401"/>
      <c r="BS264" s="401"/>
      <c r="BT264" s="401"/>
      <c r="BU264" s="401"/>
      <c r="BV264" s="401"/>
      <c r="BW264" s="401"/>
      <c r="BX264" s="401"/>
      <c r="BY264" s="401"/>
      <c r="BZ264" s="401"/>
    </row>
    <row r="265" ht="15.75" customHeight="1">
      <c r="A265" s="401"/>
      <c r="B265" s="401"/>
      <c r="C265" s="401"/>
      <c r="D265" s="401"/>
      <c r="E265" s="401"/>
      <c r="F265" s="401"/>
      <c r="G265" s="401"/>
      <c r="H265" s="401"/>
      <c r="I265" s="381"/>
      <c r="J265" s="381"/>
      <c r="K265" s="381"/>
      <c r="L265" s="381"/>
      <c r="M265" s="381"/>
      <c r="N265" s="381"/>
      <c r="O265" s="381"/>
      <c r="P265" s="401"/>
      <c r="Q265" s="401"/>
      <c r="R265" s="401"/>
      <c r="S265" s="401"/>
      <c r="T265" s="401"/>
      <c r="U265" s="401"/>
      <c r="V265" s="401"/>
      <c r="W265" s="401"/>
      <c r="X265" s="401"/>
      <c r="Y265" s="401"/>
      <c r="Z265" s="401"/>
      <c r="AA265" s="401"/>
      <c r="AB265" s="401"/>
      <c r="AC265" s="401"/>
      <c r="AD265" s="401"/>
      <c r="AE265" s="401"/>
      <c r="AF265" s="401"/>
      <c r="AG265" s="401"/>
      <c r="AH265" s="401"/>
      <c r="AI265" s="401"/>
      <c r="AJ265" s="401"/>
      <c r="AK265" s="401"/>
      <c r="AL265" s="401"/>
      <c r="AM265" s="401"/>
      <c r="AN265" s="401"/>
      <c r="AO265" s="401"/>
      <c r="AP265" s="401"/>
      <c r="AQ265" s="401"/>
      <c r="AR265" s="401"/>
      <c r="AS265" s="401"/>
      <c r="AT265" s="401"/>
      <c r="AU265" s="401"/>
      <c r="AV265" s="401"/>
      <c r="AW265" s="401"/>
      <c r="AX265" s="401"/>
      <c r="AY265" s="401"/>
      <c r="AZ265" s="401"/>
      <c r="BA265" s="401"/>
      <c r="BB265" s="401"/>
      <c r="BC265" s="401"/>
      <c r="BD265" s="401"/>
      <c r="BE265" s="401"/>
      <c r="BF265" s="401"/>
      <c r="BG265" s="401"/>
      <c r="BH265" s="401"/>
      <c r="BI265" s="401"/>
      <c r="BJ265" s="401"/>
      <c r="BK265" s="401"/>
      <c r="BL265" s="401"/>
      <c r="BM265" s="401"/>
      <c r="BN265" s="401"/>
      <c r="BO265" s="401"/>
      <c r="BP265" s="401"/>
      <c r="BQ265" s="401"/>
      <c r="BR265" s="401"/>
      <c r="BS265" s="401"/>
      <c r="BT265" s="401"/>
      <c r="BU265" s="401"/>
      <c r="BV265" s="401"/>
      <c r="BW265" s="401"/>
      <c r="BX265" s="401"/>
      <c r="BY265" s="401"/>
      <c r="BZ265" s="401"/>
    </row>
    <row r="266" ht="15.75" customHeight="1">
      <c r="A266" s="401"/>
      <c r="B266" s="401"/>
      <c r="C266" s="401"/>
      <c r="D266" s="401"/>
      <c r="E266" s="401"/>
      <c r="F266" s="401"/>
      <c r="G266" s="401"/>
      <c r="H266" s="401"/>
      <c r="I266" s="381"/>
      <c r="J266" s="381"/>
      <c r="K266" s="381"/>
      <c r="L266" s="381"/>
      <c r="M266" s="381"/>
      <c r="N266" s="381"/>
      <c r="O266" s="381"/>
      <c r="P266" s="401"/>
      <c r="Q266" s="401"/>
      <c r="R266" s="401"/>
      <c r="S266" s="401"/>
      <c r="T266" s="401"/>
      <c r="U266" s="401"/>
      <c r="V266" s="401"/>
      <c r="W266" s="401"/>
      <c r="X266" s="401"/>
      <c r="Y266" s="401"/>
      <c r="Z266" s="401"/>
      <c r="AA266" s="401"/>
      <c r="AB266" s="401"/>
      <c r="AC266" s="401"/>
      <c r="AD266" s="401"/>
      <c r="AE266" s="401"/>
      <c r="AF266" s="401"/>
      <c r="AG266" s="401"/>
      <c r="AH266" s="401"/>
      <c r="AI266" s="401"/>
      <c r="AJ266" s="401"/>
      <c r="AK266" s="401"/>
      <c r="AL266" s="401"/>
      <c r="AM266" s="401"/>
      <c r="AN266" s="401"/>
      <c r="AO266" s="401"/>
      <c r="AP266" s="401"/>
      <c r="AQ266" s="401"/>
      <c r="AR266" s="401"/>
      <c r="AS266" s="401"/>
      <c r="AT266" s="401"/>
      <c r="AU266" s="401"/>
      <c r="AV266" s="401"/>
      <c r="AW266" s="401"/>
      <c r="AX266" s="401"/>
      <c r="AY266" s="401"/>
      <c r="AZ266" s="401"/>
      <c r="BA266" s="401"/>
      <c r="BB266" s="401"/>
      <c r="BC266" s="401"/>
      <c r="BD266" s="401"/>
      <c r="BE266" s="401"/>
      <c r="BF266" s="401"/>
      <c r="BG266" s="401"/>
      <c r="BH266" s="401"/>
      <c r="BI266" s="401"/>
      <c r="BJ266" s="401"/>
      <c r="BK266" s="401"/>
      <c r="BL266" s="401"/>
      <c r="BM266" s="401"/>
      <c r="BN266" s="401"/>
      <c r="BO266" s="401"/>
      <c r="BP266" s="401"/>
      <c r="BQ266" s="401"/>
      <c r="BR266" s="401"/>
      <c r="BS266" s="401"/>
      <c r="BT266" s="401"/>
      <c r="BU266" s="401"/>
      <c r="BV266" s="401"/>
      <c r="BW266" s="401"/>
      <c r="BX266" s="401"/>
      <c r="BY266" s="401"/>
      <c r="BZ266" s="401"/>
    </row>
    <row r="267" ht="15.75" customHeight="1">
      <c r="A267" s="401"/>
      <c r="B267" s="401"/>
      <c r="C267" s="401"/>
      <c r="D267" s="401"/>
      <c r="E267" s="401"/>
      <c r="F267" s="401"/>
      <c r="G267" s="401"/>
      <c r="H267" s="401"/>
      <c r="I267" s="381"/>
      <c r="J267" s="381"/>
      <c r="K267" s="381"/>
      <c r="L267" s="381"/>
      <c r="M267" s="381"/>
      <c r="N267" s="381"/>
      <c r="O267" s="381"/>
      <c r="P267" s="401"/>
      <c r="Q267" s="401"/>
      <c r="R267" s="401"/>
      <c r="S267" s="401"/>
      <c r="T267" s="401"/>
      <c r="U267" s="401"/>
      <c r="V267" s="401"/>
      <c r="W267" s="401"/>
      <c r="X267" s="401"/>
      <c r="Y267" s="401"/>
      <c r="Z267" s="401"/>
      <c r="AA267" s="401"/>
      <c r="AB267" s="401"/>
      <c r="AC267" s="401"/>
      <c r="AD267" s="401"/>
      <c r="AE267" s="401"/>
      <c r="AF267" s="401"/>
      <c r="AG267" s="401"/>
      <c r="AH267" s="401"/>
      <c r="AI267" s="401"/>
      <c r="AJ267" s="401"/>
      <c r="AK267" s="401"/>
      <c r="AL267" s="401"/>
      <c r="AM267" s="401"/>
      <c r="AN267" s="401"/>
      <c r="AO267" s="401"/>
      <c r="AP267" s="401"/>
      <c r="AQ267" s="401"/>
      <c r="AR267" s="401"/>
      <c r="AS267" s="401"/>
      <c r="AT267" s="401"/>
      <c r="AU267" s="401"/>
      <c r="AV267" s="401"/>
      <c r="AW267" s="401"/>
      <c r="AX267" s="401"/>
      <c r="AY267" s="401"/>
      <c r="AZ267" s="401"/>
      <c r="BA267" s="401"/>
      <c r="BB267" s="401"/>
      <c r="BC267" s="401"/>
      <c r="BD267" s="401"/>
      <c r="BE267" s="401"/>
      <c r="BF267" s="401"/>
      <c r="BG267" s="401"/>
      <c r="BH267" s="401"/>
      <c r="BI267" s="401"/>
      <c r="BJ267" s="401"/>
      <c r="BK267" s="401"/>
      <c r="BL267" s="401"/>
      <c r="BM267" s="401"/>
      <c r="BN267" s="401"/>
      <c r="BO267" s="401"/>
      <c r="BP267" s="401"/>
      <c r="BQ267" s="401"/>
      <c r="BR267" s="401"/>
      <c r="BS267" s="401"/>
      <c r="BT267" s="401"/>
      <c r="BU267" s="401"/>
      <c r="BV267" s="401"/>
      <c r="BW267" s="401"/>
      <c r="BX267" s="401"/>
      <c r="BY267" s="401"/>
      <c r="BZ267" s="401"/>
    </row>
    <row r="268" ht="15.75" customHeight="1">
      <c r="A268" s="401"/>
      <c r="B268" s="401"/>
      <c r="C268" s="401"/>
      <c r="D268" s="401"/>
      <c r="E268" s="401"/>
      <c r="F268" s="401"/>
      <c r="G268" s="401"/>
      <c r="H268" s="401"/>
      <c r="I268" s="381"/>
      <c r="J268" s="381"/>
      <c r="K268" s="381"/>
      <c r="L268" s="381"/>
      <c r="M268" s="381"/>
      <c r="N268" s="381"/>
      <c r="O268" s="381"/>
      <c r="P268" s="401"/>
      <c r="Q268" s="401"/>
      <c r="R268" s="401"/>
      <c r="S268" s="401"/>
      <c r="T268" s="401"/>
      <c r="U268" s="401"/>
      <c r="V268" s="401"/>
      <c r="W268" s="401"/>
      <c r="X268" s="401"/>
      <c r="Y268" s="401"/>
      <c r="Z268" s="401"/>
      <c r="AA268" s="401"/>
      <c r="AB268" s="401"/>
      <c r="AC268" s="401"/>
      <c r="AD268" s="401"/>
      <c r="AE268" s="401"/>
      <c r="AF268" s="401"/>
      <c r="AG268" s="401"/>
      <c r="AH268" s="401"/>
      <c r="AI268" s="401"/>
      <c r="AJ268" s="401"/>
      <c r="AK268" s="401"/>
      <c r="AL268" s="401"/>
      <c r="AM268" s="401"/>
      <c r="AN268" s="401"/>
      <c r="AO268" s="401"/>
      <c r="AP268" s="401"/>
      <c r="AQ268" s="401"/>
      <c r="AR268" s="401"/>
      <c r="AS268" s="401"/>
      <c r="AT268" s="401"/>
      <c r="AU268" s="401"/>
      <c r="AV268" s="401"/>
      <c r="AW268" s="401"/>
      <c r="AX268" s="401"/>
      <c r="AY268" s="401"/>
      <c r="AZ268" s="401"/>
      <c r="BA268" s="401"/>
      <c r="BB268" s="401"/>
      <c r="BC268" s="401"/>
      <c r="BD268" s="401"/>
      <c r="BE268" s="401"/>
      <c r="BF268" s="401"/>
      <c r="BG268" s="401"/>
      <c r="BH268" s="401"/>
      <c r="BI268" s="401"/>
      <c r="BJ268" s="401"/>
      <c r="BK268" s="401"/>
      <c r="BL268" s="401"/>
      <c r="BM268" s="401"/>
      <c r="BN268" s="401"/>
      <c r="BO268" s="401"/>
      <c r="BP268" s="401"/>
      <c r="BQ268" s="401"/>
      <c r="BR268" s="401"/>
      <c r="BS268" s="401"/>
      <c r="BT268" s="401"/>
      <c r="BU268" s="401"/>
      <c r="BV268" s="401"/>
      <c r="BW268" s="401"/>
      <c r="BX268" s="401"/>
      <c r="BY268" s="401"/>
      <c r="BZ268" s="401"/>
    </row>
    <row r="269" ht="15.75" customHeight="1">
      <c r="A269" s="401"/>
      <c r="B269" s="401"/>
      <c r="C269" s="401"/>
      <c r="D269" s="401"/>
      <c r="E269" s="401"/>
      <c r="F269" s="401"/>
      <c r="G269" s="401"/>
      <c r="H269" s="401"/>
      <c r="I269" s="381"/>
      <c r="J269" s="381"/>
      <c r="K269" s="381"/>
      <c r="L269" s="381"/>
      <c r="M269" s="381"/>
      <c r="N269" s="381"/>
      <c r="O269" s="381"/>
      <c r="P269" s="401"/>
      <c r="Q269" s="401"/>
      <c r="R269" s="401"/>
      <c r="S269" s="401"/>
      <c r="T269" s="401"/>
      <c r="U269" s="401"/>
      <c r="V269" s="401"/>
      <c r="W269" s="401"/>
      <c r="X269" s="401"/>
      <c r="Y269" s="401"/>
      <c r="Z269" s="401"/>
      <c r="AA269" s="401"/>
      <c r="AB269" s="401"/>
      <c r="AC269" s="401"/>
      <c r="AD269" s="401"/>
      <c r="AE269" s="401"/>
      <c r="AF269" s="401"/>
      <c r="AG269" s="401"/>
      <c r="AH269" s="401"/>
      <c r="AI269" s="401"/>
      <c r="AJ269" s="401"/>
      <c r="AK269" s="401"/>
      <c r="AL269" s="401"/>
      <c r="AM269" s="401"/>
      <c r="AN269" s="401"/>
      <c r="AO269" s="401"/>
      <c r="AP269" s="401"/>
      <c r="AQ269" s="401"/>
      <c r="AR269" s="401"/>
      <c r="AS269" s="401"/>
      <c r="AT269" s="401"/>
      <c r="AU269" s="401"/>
      <c r="AV269" s="401"/>
      <c r="AW269" s="401"/>
      <c r="AX269" s="401"/>
      <c r="AY269" s="401"/>
      <c r="AZ269" s="401"/>
      <c r="BA269" s="401"/>
      <c r="BB269" s="401"/>
      <c r="BC269" s="401"/>
      <c r="BD269" s="401"/>
      <c r="BE269" s="401"/>
      <c r="BF269" s="401"/>
      <c r="BG269" s="401"/>
      <c r="BH269" s="401"/>
      <c r="BI269" s="401"/>
      <c r="BJ269" s="401"/>
      <c r="BK269" s="401"/>
      <c r="BL269" s="401"/>
      <c r="BM269" s="401"/>
      <c r="BN269" s="401"/>
      <c r="BO269" s="401"/>
      <c r="BP269" s="401"/>
      <c r="BQ269" s="401"/>
      <c r="BR269" s="401"/>
      <c r="BS269" s="401"/>
      <c r="BT269" s="401"/>
      <c r="BU269" s="401"/>
      <c r="BV269" s="401"/>
      <c r="BW269" s="401"/>
      <c r="BX269" s="401"/>
      <c r="BY269" s="401"/>
      <c r="BZ269" s="401"/>
    </row>
    <row r="270" ht="15.75" customHeight="1">
      <c r="A270" s="401"/>
      <c r="B270" s="401"/>
      <c r="C270" s="401"/>
      <c r="D270" s="401"/>
      <c r="E270" s="401"/>
      <c r="F270" s="401"/>
      <c r="G270" s="401"/>
      <c r="H270" s="401"/>
      <c r="I270" s="381"/>
      <c r="J270" s="381"/>
      <c r="K270" s="381"/>
      <c r="L270" s="381"/>
      <c r="M270" s="381"/>
      <c r="N270" s="381"/>
      <c r="O270" s="381"/>
      <c r="P270" s="401"/>
      <c r="Q270" s="401"/>
      <c r="R270" s="401"/>
      <c r="S270" s="401"/>
      <c r="T270" s="401"/>
      <c r="U270" s="401"/>
      <c r="V270" s="401"/>
      <c r="W270" s="401"/>
      <c r="X270" s="401"/>
      <c r="Y270" s="401"/>
      <c r="Z270" s="401"/>
      <c r="AA270" s="401"/>
      <c r="AB270" s="401"/>
      <c r="AC270" s="401"/>
      <c r="AD270" s="401"/>
      <c r="AE270" s="401"/>
      <c r="AF270" s="401"/>
      <c r="AG270" s="401"/>
      <c r="AH270" s="401"/>
      <c r="AI270" s="401"/>
      <c r="AJ270" s="401"/>
      <c r="AK270" s="401"/>
      <c r="AL270" s="401"/>
      <c r="AM270" s="401"/>
      <c r="AN270" s="401"/>
      <c r="AO270" s="401"/>
      <c r="AP270" s="401"/>
      <c r="AQ270" s="401"/>
      <c r="AR270" s="401"/>
      <c r="AS270" s="401"/>
      <c r="AT270" s="401"/>
      <c r="AU270" s="401"/>
      <c r="AV270" s="401"/>
      <c r="AW270" s="401"/>
      <c r="AX270" s="401"/>
      <c r="AY270" s="401"/>
      <c r="AZ270" s="401"/>
      <c r="BA270" s="401"/>
      <c r="BB270" s="401"/>
      <c r="BC270" s="401"/>
      <c r="BD270" s="401"/>
      <c r="BE270" s="401"/>
      <c r="BF270" s="401"/>
      <c r="BG270" s="401"/>
      <c r="BH270" s="401"/>
      <c r="BI270" s="401"/>
      <c r="BJ270" s="401"/>
      <c r="BK270" s="401"/>
      <c r="BL270" s="401"/>
      <c r="BM270" s="401"/>
      <c r="BN270" s="401"/>
      <c r="BO270" s="401"/>
      <c r="BP270" s="401"/>
      <c r="BQ270" s="401"/>
      <c r="BR270" s="401"/>
      <c r="BS270" s="401"/>
      <c r="BT270" s="401"/>
      <c r="BU270" s="401"/>
      <c r="BV270" s="401"/>
      <c r="BW270" s="401"/>
      <c r="BX270" s="401"/>
      <c r="BY270" s="401"/>
      <c r="BZ270" s="401"/>
    </row>
    <row r="271" ht="15.75" customHeight="1">
      <c r="A271" s="401"/>
      <c r="B271" s="401"/>
      <c r="C271" s="401"/>
      <c r="D271" s="401"/>
      <c r="E271" s="401"/>
      <c r="F271" s="401"/>
      <c r="G271" s="401"/>
      <c r="H271" s="401"/>
      <c r="I271" s="381"/>
      <c r="J271" s="381"/>
      <c r="K271" s="381"/>
      <c r="L271" s="381"/>
      <c r="M271" s="381"/>
      <c r="N271" s="381"/>
      <c r="O271" s="381"/>
      <c r="P271" s="401"/>
      <c r="Q271" s="401"/>
      <c r="R271" s="401"/>
      <c r="S271" s="401"/>
      <c r="T271" s="401"/>
      <c r="U271" s="401"/>
      <c r="V271" s="401"/>
      <c r="W271" s="401"/>
      <c r="X271" s="401"/>
      <c r="Y271" s="401"/>
      <c r="Z271" s="401"/>
      <c r="AA271" s="401"/>
      <c r="AB271" s="401"/>
      <c r="AC271" s="401"/>
      <c r="AD271" s="401"/>
      <c r="AE271" s="401"/>
      <c r="AF271" s="401"/>
      <c r="AG271" s="401"/>
      <c r="AH271" s="401"/>
      <c r="AI271" s="401"/>
      <c r="AJ271" s="401"/>
      <c r="AK271" s="401"/>
      <c r="AL271" s="401"/>
      <c r="AM271" s="401"/>
      <c r="AN271" s="401"/>
      <c r="AO271" s="401"/>
      <c r="AP271" s="401"/>
      <c r="AQ271" s="401"/>
      <c r="AR271" s="401"/>
      <c r="AS271" s="401"/>
      <c r="AT271" s="401"/>
      <c r="AU271" s="401"/>
      <c r="AV271" s="401"/>
      <c r="AW271" s="401"/>
      <c r="AX271" s="401"/>
      <c r="AY271" s="401"/>
      <c r="AZ271" s="401"/>
      <c r="BA271" s="401"/>
      <c r="BB271" s="401"/>
      <c r="BC271" s="401"/>
      <c r="BD271" s="401"/>
      <c r="BE271" s="401"/>
      <c r="BF271" s="401"/>
      <c r="BG271" s="401"/>
      <c r="BH271" s="401"/>
      <c r="BI271" s="401"/>
      <c r="BJ271" s="401"/>
      <c r="BK271" s="401"/>
      <c r="BL271" s="401"/>
      <c r="BM271" s="401"/>
      <c r="BN271" s="401"/>
      <c r="BO271" s="401"/>
      <c r="BP271" s="401"/>
      <c r="BQ271" s="401"/>
      <c r="BR271" s="401"/>
      <c r="BS271" s="401"/>
      <c r="BT271" s="401"/>
      <c r="BU271" s="401"/>
      <c r="BV271" s="401"/>
      <c r="BW271" s="401"/>
      <c r="BX271" s="401"/>
      <c r="BY271" s="401"/>
      <c r="BZ271" s="401"/>
    </row>
    <row r="272" ht="15.75" customHeight="1">
      <c r="A272" s="401"/>
      <c r="B272" s="401"/>
      <c r="C272" s="401"/>
      <c r="D272" s="401"/>
      <c r="E272" s="401"/>
      <c r="F272" s="401"/>
      <c r="G272" s="401"/>
      <c r="H272" s="401"/>
      <c r="I272" s="381"/>
      <c r="J272" s="381"/>
      <c r="K272" s="381"/>
      <c r="L272" s="381"/>
      <c r="M272" s="381"/>
      <c r="N272" s="381"/>
      <c r="O272" s="381"/>
      <c r="P272" s="401"/>
      <c r="Q272" s="401"/>
      <c r="R272" s="401"/>
      <c r="S272" s="401"/>
      <c r="T272" s="401"/>
      <c r="U272" s="401"/>
      <c r="V272" s="401"/>
      <c r="W272" s="401"/>
      <c r="X272" s="401"/>
      <c r="Y272" s="401"/>
      <c r="Z272" s="401"/>
      <c r="AA272" s="401"/>
      <c r="AB272" s="401"/>
      <c r="AC272" s="401"/>
      <c r="AD272" s="401"/>
      <c r="AE272" s="401"/>
      <c r="AF272" s="401"/>
      <c r="AG272" s="401"/>
      <c r="AH272" s="401"/>
      <c r="AI272" s="401"/>
      <c r="AJ272" s="401"/>
      <c r="AK272" s="401"/>
      <c r="AL272" s="401"/>
      <c r="AM272" s="401"/>
      <c r="AN272" s="401"/>
      <c r="AO272" s="401"/>
      <c r="AP272" s="401"/>
      <c r="AQ272" s="401"/>
      <c r="AR272" s="401"/>
      <c r="AS272" s="401"/>
      <c r="AT272" s="401"/>
      <c r="AU272" s="401"/>
      <c r="AV272" s="401"/>
      <c r="AW272" s="401"/>
      <c r="AX272" s="401"/>
      <c r="AY272" s="401"/>
      <c r="AZ272" s="401"/>
      <c r="BA272" s="401"/>
      <c r="BB272" s="401"/>
      <c r="BC272" s="401"/>
      <c r="BD272" s="401"/>
      <c r="BE272" s="401"/>
      <c r="BF272" s="401"/>
      <c r="BG272" s="401"/>
      <c r="BH272" s="401"/>
      <c r="BI272" s="401"/>
      <c r="BJ272" s="401"/>
      <c r="BK272" s="401"/>
      <c r="BL272" s="401"/>
      <c r="BM272" s="401"/>
      <c r="BN272" s="401"/>
      <c r="BO272" s="401"/>
      <c r="BP272" s="401"/>
      <c r="BQ272" s="401"/>
      <c r="BR272" s="401"/>
      <c r="BS272" s="401"/>
      <c r="BT272" s="401"/>
      <c r="BU272" s="401"/>
      <c r="BV272" s="401"/>
      <c r="BW272" s="401"/>
      <c r="BX272" s="401"/>
      <c r="BY272" s="401"/>
      <c r="BZ272" s="401"/>
    </row>
    <row r="273" ht="15.75" customHeight="1">
      <c r="A273" s="401"/>
      <c r="B273" s="401"/>
      <c r="C273" s="401"/>
      <c r="D273" s="401"/>
      <c r="E273" s="401"/>
      <c r="F273" s="401"/>
      <c r="G273" s="401"/>
      <c r="H273" s="401"/>
      <c r="I273" s="381"/>
      <c r="J273" s="381"/>
      <c r="K273" s="381"/>
      <c r="L273" s="381"/>
      <c r="M273" s="381"/>
      <c r="N273" s="381"/>
      <c r="O273" s="381"/>
      <c r="P273" s="401"/>
      <c r="Q273" s="401"/>
      <c r="R273" s="401"/>
      <c r="S273" s="401"/>
      <c r="T273" s="401"/>
      <c r="U273" s="401"/>
      <c r="V273" s="401"/>
      <c r="W273" s="401"/>
      <c r="X273" s="401"/>
      <c r="Y273" s="401"/>
      <c r="Z273" s="401"/>
      <c r="AA273" s="401"/>
      <c r="AB273" s="401"/>
      <c r="AC273" s="401"/>
      <c r="AD273" s="401"/>
      <c r="AE273" s="401"/>
      <c r="AF273" s="401"/>
      <c r="AG273" s="401"/>
      <c r="AH273" s="401"/>
      <c r="AI273" s="401"/>
      <c r="AJ273" s="401"/>
      <c r="AK273" s="401"/>
      <c r="AL273" s="401"/>
      <c r="AM273" s="401"/>
      <c r="AN273" s="401"/>
      <c r="AO273" s="401"/>
      <c r="AP273" s="401"/>
      <c r="AQ273" s="401"/>
      <c r="AR273" s="401"/>
      <c r="AS273" s="401"/>
      <c r="AT273" s="401"/>
      <c r="AU273" s="401"/>
      <c r="AV273" s="401"/>
      <c r="AW273" s="401"/>
      <c r="AX273" s="401"/>
      <c r="AY273" s="401"/>
      <c r="AZ273" s="401"/>
      <c r="BA273" s="401"/>
      <c r="BB273" s="401"/>
      <c r="BC273" s="401"/>
      <c r="BD273" s="401"/>
      <c r="BE273" s="401"/>
      <c r="BF273" s="401"/>
      <c r="BG273" s="401"/>
      <c r="BH273" s="401"/>
      <c r="BI273" s="401"/>
      <c r="BJ273" s="401"/>
      <c r="BK273" s="401"/>
      <c r="BL273" s="401"/>
      <c r="BM273" s="401"/>
      <c r="BN273" s="401"/>
      <c r="BO273" s="401"/>
      <c r="BP273" s="401"/>
      <c r="BQ273" s="401"/>
      <c r="BR273" s="401"/>
      <c r="BS273" s="401"/>
      <c r="BT273" s="401"/>
      <c r="BU273" s="401"/>
      <c r="BV273" s="401"/>
      <c r="BW273" s="401"/>
      <c r="BX273" s="401"/>
      <c r="BY273" s="401"/>
      <c r="BZ273" s="401"/>
    </row>
    <row r="274" ht="15.75" customHeight="1">
      <c r="A274" s="401"/>
      <c r="B274" s="401"/>
      <c r="C274" s="401"/>
      <c r="D274" s="401"/>
      <c r="E274" s="401"/>
      <c r="F274" s="401"/>
      <c r="G274" s="401"/>
      <c r="H274" s="401"/>
      <c r="I274" s="381"/>
      <c r="J274" s="381"/>
      <c r="K274" s="381"/>
      <c r="L274" s="381"/>
      <c r="M274" s="381"/>
      <c r="N274" s="381"/>
      <c r="O274" s="381"/>
      <c r="P274" s="401"/>
      <c r="Q274" s="401"/>
      <c r="R274" s="401"/>
      <c r="S274" s="401"/>
      <c r="T274" s="401"/>
      <c r="U274" s="401"/>
      <c r="V274" s="401"/>
      <c r="W274" s="401"/>
      <c r="X274" s="401"/>
      <c r="Y274" s="401"/>
      <c r="Z274" s="401"/>
      <c r="AA274" s="401"/>
      <c r="AB274" s="401"/>
      <c r="AC274" s="401"/>
      <c r="AD274" s="401"/>
      <c r="AE274" s="401"/>
      <c r="AF274" s="401"/>
      <c r="AG274" s="401"/>
      <c r="AH274" s="401"/>
      <c r="AI274" s="401"/>
      <c r="AJ274" s="401"/>
      <c r="AK274" s="401"/>
      <c r="AL274" s="401"/>
      <c r="AM274" s="401"/>
      <c r="AN274" s="401"/>
      <c r="AO274" s="401"/>
      <c r="AP274" s="401"/>
      <c r="AQ274" s="401"/>
      <c r="AR274" s="401"/>
      <c r="AS274" s="401"/>
      <c r="AT274" s="401"/>
      <c r="AU274" s="401"/>
      <c r="AV274" s="401"/>
      <c r="AW274" s="401"/>
      <c r="AX274" s="401"/>
      <c r="AY274" s="401"/>
      <c r="AZ274" s="401"/>
      <c r="BA274" s="401"/>
      <c r="BB274" s="401"/>
      <c r="BC274" s="401"/>
      <c r="BD274" s="401"/>
      <c r="BE274" s="401"/>
      <c r="BF274" s="401"/>
      <c r="BG274" s="401"/>
      <c r="BH274" s="401"/>
      <c r="BI274" s="401"/>
      <c r="BJ274" s="401"/>
      <c r="BK274" s="401"/>
      <c r="BL274" s="401"/>
      <c r="BM274" s="401"/>
      <c r="BN274" s="401"/>
      <c r="BO274" s="401"/>
      <c r="BP274" s="401"/>
      <c r="BQ274" s="401"/>
      <c r="BR274" s="401"/>
      <c r="BS274" s="401"/>
      <c r="BT274" s="401"/>
      <c r="BU274" s="401"/>
      <c r="BV274" s="401"/>
      <c r="BW274" s="401"/>
      <c r="BX274" s="401"/>
      <c r="BY274" s="401"/>
      <c r="BZ274" s="401"/>
    </row>
    <row r="275" ht="15.75" customHeight="1">
      <c r="A275" s="401"/>
      <c r="B275" s="401"/>
      <c r="C275" s="401"/>
      <c r="D275" s="401"/>
      <c r="E275" s="401"/>
      <c r="F275" s="401"/>
      <c r="G275" s="401"/>
      <c r="H275" s="401"/>
      <c r="I275" s="381"/>
      <c r="J275" s="381"/>
      <c r="K275" s="381"/>
      <c r="L275" s="381"/>
      <c r="M275" s="381"/>
      <c r="N275" s="381"/>
      <c r="O275" s="381"/>
      <c r="P275" s="401"/>
      <c r="Q275" s="401"/>
      <c r="R275" s="401"/>
      <c r="S275" s="401"/>
      <c r="T275" s="401"/>
      <c r="U275" s="401"/>
      <c r="V275" s="401"/>
      <c r="W275" s="401"/>
      <c r="X275" s="401"/>
      <c r="Y275" s="401"/>
      <c r="Z275" s="401"/>
      <c r="AA275" s="401"/>
      <c r="AB275" s="401"/>
      <c r="AC275" s="401"/>
      <c r="AD275" s="401"/>
      <c r="AE275" s="401"/>
      <c r="AF275" s="401"/>
      <c r="AG275" s="401"/>
      <c r="AH275" s="401"/>
      <c r="AI275" s="401"/>
      <c r="AJ275" s="401"/>
      <c r="AK275" s="401"/>
      <c r="AL275" s="401"/>
      <c r="AM275" s="401"/>
      <c r="AN275" s="401"/>
      <c r="AO275" s="401"/>
      <c r="AP275" s="401"/>
      <c r="AQ275" s="401"/>
      <c r="AR275" s="401"/>
      <c r="AS275" s="401"/>
      <c r="AT275" s="401"/>
      <c r="AU275" s="401"/>
      <c r="AV275" s="401"/>
      <c r="AW275" s="401"/>
      <c r="AX275" s="401"/>
      <c r="AY275" s="401"/>
      <c r="AZ275" s="401"/>
      <c r="BA275" s="401"/>
      <c r="BB275" s="401"/>
      <c r="BC275" s="401"/>
      <c r="BD275" s="401"/>
      <c r="BE275" s="401"/>
      <c r="BF275" s="401"/>
      <c r="BG275" s="401"/>
      <c r="BH275" s="401"/>
      <c r="BI275" s="401"/>
      <c r="BJ275" s="401"/>
      <c r="BK275" s="401"/>
      <c r="BL275" s="401"/>
      <c r="BM275" s="401"/>
      <c r="BN275" s="401"/>
      <c r="BO275" s="401"/>
      <c r="BP275" s="401"/>
      <c r="BQ275" s="401"/>
      <c r="BR275" s="401"/>
      <c r="BS275" s="401"/>
      <c r="BT275" s="401"/>
      <c r="BU275" s="401"/>
      <c r="BV275" s="401"/>
      <c r="BW275" s="401"/>
      <c r="BX275" s="401"/>
      <c r="BY275" s="401"/>
      <c r="BZ275" s="401"/>
    </row>
    <row r="276" ht="15.75" customHeight="1">
      <c r="A276" s="401"/>
      <c r="B276" s="401"/>
      <c r="C276" s="401"/>
      <c r="D276" s="401"/>
      <c r="E276" s="401"/>
      <c r="F276" s="401"/>
      <c r="G276" s="401"/>
      <c r="H276" s="401"/>
      <c r="I276" s="381"/>
      <c r="J276" s="381"/>
      <c r="K276" s="381"/>
      <c r="L276" s="381"/>
      <c r="M276" s="381"/>
      <c r="N276" s="381"/>
      <c r="O276" s="381"/>
      <c r="P276" s="401"/>
      <c r="Q276" s="401"/>
      <c r="R276" s="401"/>
      <c r="S276" s="401"/>
      <c r="T276" s="401"/>
      <c r="U276" s="401"/>
      <c r="V276" s="401"/>
      <c r="W276" s="401"/>
      <c r="X276" s="401"/>
      <c r="Y276" s="401"/>
      <c r="Z276" s="401"/>
      <c r="AA276" s="401"/>
      <c r="AB276" s="401"/>
      <c r="AC276" s="401"/>
      <c r="AD276" s="401"/>
      <c r="AE276" s="401"/>
      <c r="AF276" s="401"/>
      <c r="AG276" s="401"/>
      <c r="AH276" s="401"/>
      <c r="AI276" s="401"/>
      <c r="AJ276" s="401"/>
      <c r="AK276" s="401"/>
      <c r="AL276" s="401"/>
      <c r="AM276" s="401"/>
      <c r="AN276" s="401"/>
      <c r="AO276" s="401"/>
      <c r="AP276" s="401"/>
      <c r="AQ276" s="401"/>
      <c r="AR276" s="401"/>
      <c r="AS276" s="401"/>
      <c r="AT276" s="401"/>
      <c r="AU276" s="401"/>
      <c r="AV276" s="401"/>
      <c r="AW276" s="401"/>
      <c r="AX276" s="401"/>
      <c r="AY276" s="401"/>
      <c r="AZ276" s="401"/>
      <c r="BA276" s="401"/>
      <c r="BB276" s="401"/>
      <c r="BC276" s="401"/>
      <c r="BD276" s="401"/>
      <c r="BE276" s="401"/>
      <c r="BF276" s="401"/>
      <c r="BG276" s="401"/>
      <c r="BH276" s="401"/>
      <c r="BI276" s="401"/>
      <c r="BJ276" s="401"/>
      <c r="BK276" s="401"/>
      <c r="BL276" s="401"/>
      <c r="BM276" s="401"/>
      <c r="BN276" s="401"/>
      <c r="BO276" s="401"/>
      <c r="BP276" s="401"/>
      <c r="BQ276" s="401"/>
      <c r="BR276" s="401"/>
      <c r="BS276" s="401"/>
      <c r="BT276" s="401"/>
      <c r="BU276" s="401"/>
      <c r="BV276" s="401"/>
      <c r="BW276" s="401"/>
      <c r="BX276" s="401"/>
      <c r="BY276" s="401"/>
      <c r="BZ276" s="401"/>
    </row>
    <row r="277" ht="15.75" customHeight="1">
      <c r="A277" s="401"/>
      <c r="B277" s="401"/>
      <c r="C277" s="401"/>
      <c r="D277" s="401"/>
      <c r="E277" s="401"/>
      <c r="F277" s="401"/>
      <c r="G277" s="401"/>
      <c r="H277" s="401"/>
      <c r="I277" s="381"/>
      <c r="J277" s="381"/>
      <c r="K277" s="381"/>
      <c r="L277" s="381"/>
      <c r="M277" s="381"/>
      <c r="N277" s="381"/>
      <c r="O277" s="381"/>
      <c r="P277" s="401"/>
      <c r="Q277" s="401"/>
      <c r="R277" s="401"/>
      <c r="S277" s="401"/>
      <c r="T277" s="401"/>
      <c r="U277" s="401"/>
      <c r="V277" s="401"/>
      <c r="W277" s="401"/>
      <c r="X277" s="401"/>
      <c r="Y277" s="401"/>
      <c r="Z277" s="401"/>
      <c r="AA277" s="401"/>
      <c r="AB277" s="401"/>
      <c r="AC277" s="401"/>
      <c r="AD277" s="401"/>
      <c r="AE277" s="401"/>
      <c r="AF277" s="401"/>
      <c r="AG277" s="401"/>
      <c r="AH277" s="401"/>
      <c r="AI277" s="401"/>
      <c r="AJ277" s="401"/>
      <c r="AK277" s="401"/>
      <c r="AL277" s="401"/>
      <c r="AM277" s="401"/>
      <c r="AN277" s="401"/>
      <c r="AO277" s="401"/>
      <c r="AP277" s="401"/>
      <c r="AQ277" s="401"/>
      <c r="AR277" s="401"/>
      <c r="AS277" s="401"/>
      <c r="AT277" s="401"/>
      <c r="AU277" s="401"/>
      <c r="AV277" s="401"/>
      <c r="AW277" s="401"/>
      <c r="AX277" s="401"/>
      <c r="AY277" s="401"/>
      <c r="AZ277" s="401"/>
      <c r="BA277" s="401"/>
      <c r="BB277" s="401"/>
      <c r="BC277" s="401"/>
      <c r="BD277" s="401"/>
      <c r="BE277" s="401"/>
      <c r="BF277" s="401"/>
      <c r="BG277" s="401"/>
      <c r="BH277" s="401"/>
      <c r="BI277" s="401"/>
      <c r="BJ277" s="401"/>
      <c r="BK277" s="401"/>
      <c r="BL277" s="401"/>
      <c r="BM277" s="401"/>
      <c r="BN277" s="401"/>
      <c r="BO277" s="401"/>
      <c r="BP277" s="401"/>
      <c r="BQ277" s="401"/>
      <c r="BR277" s="401"/>
      <c r="BS277" s="401"/>
      <c r="BT277" s="401"/>
      <c r="BU277" s="401"/>
      <c r="BV277" s="401"/>
      <c r="BW277" s="401"/>
      <c r="BX277" s="401"/>
      <c r="BY277" s="401"/>
      <c r="BZ277" s="401"/>
    </row>
    <row r="278" ht="15.75" customHeight="1">
      <c r="A278" s="401"/>
      <c r="B278" s="401"/>
      <c r="C278" s="401"/>
      <c r="D278" s="401"/>
      <c r="E278" s="401"/>
      <c r="F278" s="401"/>
      <c r="G278" s="401"/>
      <c r="H278" s="401"/>
      <c r="I278" s="381"/>
      <c r="J278" s="381"/>
      <c r="K278" s="381"/>
      <c r="L278" s="381"/>
      <c r="M278" s="381"/>
      <c r="N278" s="381"/>
      <c r="O278" s="381"/>
      <c r="P278" s="401"/>
      <c r="Q278" s="401"/>
      <c r="R278" s="401"/>
      <c r="S278" s="401"/>
      <c r="T278" s="401"/>
      <c r="U278" s="401"/>
      <c r="V278" s="401"/>
      <c r="W278" s="401"/>
      <c r="X278" s="401"/>
      <c r="Y278" s="401"/>
      <c r="Z278" s="401"/>
      <c r="AA278" s="401"/>
      <c r="AB278" s="401"/>
      <c r="AC278" s="401"/>
      <c r="AD278" s="401"/>
      <c r="AE278" s="401"/>
      <c r="AF278" s="401"/>
      <c r="AG278" s="401"/>
      <c r="AH278" s="401"/>
      <c r="AI278" s="401"/>
      <c r="AJ278" s="401"/>
      <c r="AK278" s="401"/>
      <c r="AL278" s="401"/>
      <c r="AM278" s="401"/>
      <c r="AN278" s="401"/>
      <c r="AO278" s="401"/>
      <c r="AP278" s="401"/>
      <c r="AQ278" s="401"/>
      <c r="AR278" s="401"/>
      <c r="AS278" s="401"/>
      <c r="AT278" s="401"/>
      <c r="AU278" s="401"/>
      <c r="AV278" s="401"/>
      <c r="AW278" s="401"/>
      <c r="AX278" s="401"/>
      <c r="AY278" s="401"/>
      <c r="AZ278" s="401"/>
      <c r="BA278" s="401"/>
      <c r="BB278" s="401"/>
      <c r="BC278" s="401"/>
      <c r="BD278" s="401"/>
      <c r="BE278" s="401"/>
      <c r="BF278" s="401"/>
      <c r="BG278" s="401"/>
      <c r="BH278" s="401"/>
      <c r="BI278" s="401"/>
      <c r="BJ278" s="401"/>
      <c r="BK278" s="401"/>
      <c r="BL278" s="401"/>
      <c r="BM278" s="401"/>
      <c r="BN278" s="401"/>
      <c r="BO278" s="401"/>
      <c r="BP278" s="401"/>
      <c r="BQ278" s="401"/>
      <c r="BR278" s="401"/>
      <c r="BS278" s="401"/>
      <c r="BT278" s="401"/>
      <c r="BU278" s="401"/>
      <c r="BV278" s="401"/>
      <c r="BW278" s="401"/>
      <c r="BX278" s="401"/>
      <c r="BY278" s="401"/>
      <c r="BZ278" s="401"/>
    </row>
    <row r="279" ht="15.75" customHeight="1">
      <c r="A279" s="401"/>
      <c r="B279" s="401"/>
      <c r="C279" s="401"/>
      <c r="D279" s="401"/>
      <c r="E279" s="401"/>
      <c r="F279" s="401"/>
      <c r="G279" s="401"/>
      <c r="H279" s="401"/>
      <c r="I279" s="381"/>
      <c r="J279" s="381"/>
      <c r="K279" s="381"/>
      <c r="L279" s="381"/>
      <c r="M279" s="381"/>
      <c r="N279" s="381"/>
      <c r="O279" s="381"/>
      <c r="P279" s="401"/>
      <c r="Q279" s="401"/>
      <c r="R279" s="401"/>
      <c r="S279" s="401"/>
      <c r="T279" s="401"/>
      <c r="U279" s="401"/>
      <c r="V279" s="401"/>
      <c r="W279" s="401"/>
      <c r="X279" s="401"/>
      <c r="Y279" s="401"/>
      <c r="Z279" s="401"/>
      <c r="AA279" s="401"/>
      <c r="AB279" s="401"/>
      <c r="AC279" s="401"/>
      <c r="AD279" s="401"/>
      <c r="AE279" s="401"/>
      <c r="AF279" s="401"/>
      <c r="AG279" s="401"/>
      <c r="AH279" s="401"/>
      <c r="AI279" s="401"/>
      <c r="AJ279" s="401"/>
      <c r="AK279" s="401"/>
      <c r="AL279" s="401"/>
      <c r="AM279" s="401"/>
      <c r="AN279" s="401"/>
      <c r="AO279" s="401"/>
      <c r="AP279" s="401"/>
      <c r="AQ279" s="401"/>
      <c r="AR279" s="401"/>
      <c r="AS279" s="401"/>
      <c r="AT279" s="401"/>
      <c r="AU279" s="401"/>
      <c r="AV279" s="401"/>
      <c r="AW279" s="401"/>
      <c r="AX279" s="401"/>
      <c r="AY279" s="401"/>
      <c r="AZ279" s="401"/>
      <c r="BA279" s="401"/>
      <c r="BB279" s="401"/>
      <c r="BC279" s="401"/>
      <c r="BD279" s="401"/>
      <c r="BE279" s="401"/>
      <c r="BF279" s="401"/>
      <c r="BG279" s="401"/>
      <c r="BH279" s="401"/>
      <c r="BI279" s="401"/>
      <c r="BJ279" s="401"/>
      <c r="BK279" s="401"/>
      <c r="BL279" s="401"/>
      <c r="BM279" s="401"/>
      <c r="BN279" s="401"/>
      <c r="BO279" s="401"/>
      <c r="BP279" s="401"/>
      <c r="BQ279" s="401"/>
      <c r="BR279" s="401"/>
      <c r="BS279" s="401"/>
      <c r="BT279" s="401"/>
      <c r="BU279" s="401"/>
      <c r="BV279" s="401"/>
      <c r="BW279" s="401"/>
      <c r="BX279" s="401"/>
      <c r="BY279" s="401"/>
      <c r="BZ279" s="401"/>
    </row>
    <row r="280" ht="15.75" customHeight="1">
      <c r="A280" s="401"/>
      <c r="B280" s="401"/>
      <c r="C280" s="401"/>
      <c r="D280" s="401"/>
      <c r="E280" s="401"/>
      <c r="F280" s="401"/>
      <c r="G280" s="401"/>
      <c r="H280" s="401"/>
      <c r="I280" s="381"/>
      <c r="J280" s="381"/>
      <c r="K280" s="381"/>
      <c r="L280" s="381"/>
      <c r="M280" s="381"/>
      <c r="N280" s="381"/>
      <c r="O280" s="381"/>
      <c r="P280" s="401"/>
      <c r="Q280" s="401"/>
      <c r="R280" s="401"/>
      <c r="S280" s="401"/>
      <c r="T280" s="401"/>
      <c r="U280" s="401"/>
      <c r="V280" s="401"/>
      <c r="W280" s="401"/>
      <c r="X280" s="401"/>
      <c r="Y280" s="401"/>
      <c r="Z280" s="401"/>
      <c r="AA280" s="401"/>
      <c r="AB280" s="401"/>
      <c r="AC280" s="401"/>
      <c r="AD280" s="401"/>
      <c r="AE280" s="401"/>
      <c r="AF280" s="401"/>
      <c r="AG280" s="401"/>
      <c r="AH280" s="401"/>
      <c r="AI280" s="401"/>
      <c r="AJ280" s="401"/>
      <c r="AK280" s="401"/>
      <c r="AL280" s="401"/>
      <c r="AM280" s="401"/>
      <c r="AN280" s="401"/>
      <c r="AO280" s="401"/>
      <c r="AP280" s="401"/>
      <c r="AQ280" s="401"/>
      <c r="AR280" s="401"/>
      <c r="AS280" s="401"/>
      <c r="AT280" s="401"/>
      <c r="AU280" s="401"/>
      <c r="AV280" s="401"/>
      <c r="AW280" s="401"/>
      <c r="AX280" s="401"/>
      <c r="AY280" s="401"/>
      <c r="AZ280" s="401"/>
      <c r="BA280" s="401"/>
      <c r="BB280" s="401"/>
      <c r="BC280" s="401"/>
      <c r="BD280" s="401"/>
      <c r="BE280" s="401"/>
      <c r="BF280" s="401"/>
      <c r="BG280" s="401"/>
      <c r="BH280" s="401"/>
      <c r="BI280" s="401"/>
      <c r="BJ280" s="401"/>
      <c r="BK280" s="401"/>
      <c r="BL280" s="401"/>
      <c r="BM280" s="401"/>
      <c r="BN280" s="401"/>
      <c r="BO280" s="401"/>
      <c r="BP280" s="401"/>
      <c r="BQ280" s="401"/>
      <c r="BR280" s="401"/>
      <c r="BS280" s="401"/>
      <c r="BT280" s="401"/>
      <c r="BU280" s="401"/>
      <c r="BV280" s="401"/>
      <c r="BW280" s="401"/>
      <c r="BX280" s="401"/>
      <c r="BY280" s="401"/>
      <c r="BZ280" s="401"/>
    </row>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1">
    <mergeCell ref="O29:O30"/>
    <mergeCell ref="I40:O40"/>
    <mergeCell ref="J41:J42"/>
    <mergeCell ref="K41:K42"/>
    <mergeCell ref="L41:L42"/>
    <mergeCell ref="M41:M42"/>
    <mergeCell ref="I53:O53"/>
    <mergeCell ref="A29:E29"/>
    <mergeCell ref="A30:A39"/>
    <mergeCell ref="A41:E41"/>
    <mergeCell ref="F41:H41"/>
    <mergeCell ref="A42:A51"/>
    <mergeCell ref="A54:E54"/>
    <mergeCell ref="F54:H54"/>
    <mergeCell ref="P70:P71"/>
    <mergeCell ref="Q70:Q71"/>
    <mergeCell ref="R70:Z70"/>
    <mergeCell ref="AB70:AB71"/>
    <mergeCell ref="AC70:AC71"/>
    <mergeCell ref="AD70:AD71"/>
    <mergeCell ref="AE70:AM70"/>
    <mergeCell ref="BE70:BM70"/>
    <mergeCell ref="BO70:BO71"/>
    <mergeCell ref="BP70:BP71"/>
    <mergeCell ref="BQ70:BQ71"/>
    <mergeCell ref="BR70:BZ70"/>
    <mergeCell ref="AO70:AO71"/>
    <mergeCell ref="AP70:AP71"/>
    <mergeCell ref="AQ70:AQ71"/>
    <mergeCell ref="AR70:AZ70"/>
    <mergeCell ref="BB70:BB71"/>
    <mergeCell ref="BC70:BC71"/>
    <mergeCell ref="BD70:BD71"/>
    <mergeCell ref="B3:G3"/>
    <mergeCell ref="J3:Q3"/>
    <mergeCell ref="B4:B5"/>
    <mergeCell ref="C4:C5"/>
    <mergeCell ref="D4:D5"/>
    <mergeCell ref="E4:E5"/>
    <mergeCell ref="F4:F5"/>
    <mergeCell ref="G4:G5"/>
    <mergeCell ref="J4:J5"/>
    <mergeCell ref="A15:E15"/>
    <mergeCell ref="F15:H15"/>
    <mergeCell ref="F29:H29"/>
    <mergeCell ref="I29:I30"/>
    <mergeCell ref="J29:J30"/>
    <mergeCell ref="K4:M4"/>
    <mergeCell ref="N4:Q4"/>
    <mergeCell ref="I28:O28"/>
    <mergeCell ref="K29:K30"/>
    <mergeCell ref="L29:L30"/>
    <mergeCell ref="M29:M30"/>
    <mergeCell ref="N29:N30"/>
    <mergeCell ref="N41:N42"/>
    <mergeCell ref="O41:O42"/>
    <mergeCell ref="I41:I42"/>
    <mergeCell ref="I54:I55"/>
    <mergeCell ref="J54:J55"/>
    <mergeCell ref="K54:K55"/>
    <mergeCell ref="L54:L55"/>
    <mergeCell ref="M54:M55"/>
    <mergeCell ref="N54:N55"/>
    <mergeCell ref="O54:O55"/>
    <mergeCell ref="A55:A64"/>
    <mergeCell ref="B69:I69"/>
    <mergeCell ref="B70:B71"/>
    <mergeCell ref="C70:C71"/>
    <mergeCell ref="D70:D71"/>
    <mergeCell ref="E70:M70"/>
    <mergeCell ref="O70:O71"/>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 width="11.0"/>
    <col customWidth="1" min="3" max="3" width="19.25"/>
    <col customWidth="1" min="4" max="6" width="11.0"/>
    <col customWidth="1" min="7" max="7" width="28.0"/>
    <col customWidth="1" min="8" max="26" width="11.0"/>
  </cols>
  <sheetData>
    <row r="1" ht="15.75" customHeight="1">
      <c r="A1" s="478" t="s">
        <v>2991</v>
      </c>
      <c r="B1" s="5"/>
      <c r="C1" s="5"/>
      <c r="D1" s="5"/>
      <c r="E1" s="5"/>
      <c r="F1" s="6"/>
      <c r="G1" s="479"/>
      <c r="H1" s="479"/>
      <c r="I1" s="479"/>
    </row>
    <row r="2" ht="15.75" customHeight="1">
      <c r="A2" s="480" t="s">
        <v>901</v>
      </c>
      <c r="B2" s="480" t="s">
        <v>2992</v>
      </c>
      <c r="C2" s="480" t="s">
        <v>2993</v>
      </c>
      <c r="D2" s="481" t="s">
        <v>2994</v>
      </c>
      <c r="E2" s="5"/>
      <c r="F2" s="6"/>
      <c r="G2" s="480" t="s">
        <v>501</v>
      </c>
      <c r="H2" s="480" t="s">
        <v>2995</v>
      </c>
      <c r="I2" s="480" t="s">
        <v>2996</v>
      </c>
      <c r="J2" s="338"/>
      <c r="K2" s="338"/>
      <c r="L2" s="338"/>
      <c r="M2" s="338"/>
    </row>
    <row r="3" ht="48.75" customHeight="1">
      <c r="A3" s="16"/>
      <c r="B3" s="16"/>
      <c r="C3" s="16"/>
      <c r="D3" s="482" t="s">
        <v>2994</v>
      </c>
      <c r="E3" s="482" t="s">
        <v>2997</v>
      </c>
      <c r="F3" s="482" t="s">
        <v>2998</v>
      </c>
      <c r="G3" s="16"/>
      <c r="H3" s="16"/>
      <c r="I3" s="16"/>
      <c r="J3" s="338"/>
      <c r="K3" s="338"/>
      <c r="L3" s="338"/>
      <c r="M3" s="338"/>
    </row>
    <row r="4" ht="15.75" customHeight="1">
      <c r="A4" s="483"/>
      <c r="B4" s="484" t="s">
        <v>2999</v>
      </c>
      <c r="C4" s="484"/>
      <c r="D4" s="484"/>
      <c r="E4" s="484"/>
      <c r="F4" s="484"/>
      <c r="G4" s="484"/>
      <c r="H4" s="484"/>
      <c r="I4" s="484"/>
    </row>
    <row r="5" ht="15.75" customHeight="1">
      <c r="A5" s="485">
        <v>1.0</v>
      </c>
      <c r="B5" s="486">
        <v>58517.0</v>
      </c>
      <c r="C5" s="485" t="s">
        <v>969</v>
      </c>
      <c r="D5" s="485" t="s">
        <v>3000</v>
      </c>
      <c r="E5" s="485" t="s">
        <v>3001</v>
      </c>
      <c r="F5" s="487" t="s">
        <v>3002</v>
      </c>
      <c r="G5" s="488" t="s">
        <v>3003</v>
      </c>
      <c r="H5" s="489">
        <v>45261.0</v>
      </c>
      <c r="I5" s="490">
        <v>45323.0</v>
      </c>
    </row>
    <row r="6" ht="15.75" customHeight="1">
      <c r="A6" s="485">
        <v>2.0</v>
      </c>
      <c r="B6" s="487">
        <v>58492.0</v>
      </c>
      <c r="C6" s="485" t="s">
        <v>2649</v>
      </c>
      <c r="D6" s="485" t="s">
        <v>3000</v>
      </c>
      <c r="E6" s="485" t="s">
        <v>3001</v>
      </c>
      <c r="F6" s="487" t="s">
        <v>3002</v>
      </c>
      <c r="G6" s="491" t="s">
        <v>3004</v>
      </c>
      <c r="H6" s="492">
        <v>45202.0</v>
      </c>
      <c r="I6" s="493">
        <v>45263.0</v>
      </c>
    </row>
    <row r="7" ht="15.75" customHeight="1">
      <c r="A7" s="485">
        <v>3.0</v>
      </c>
      <c r="B7" s="485">
        <v>58567.0</v>
      </c>
      <c r="C7" s="485" t="s">
        <v>3005</v>
      </c>
      <c r="D7" s="485" t="s">
        <v>3000</v>
      </c>
      <c r="E7" s="485" t="s">
        <v>3001</v>
      </c>
      <c r="F7" s="487" t="s">
        <v>3002</v>
      </c>
      <c r="G7" s="494" t="s">
        <v>3006</v>
      </c>
      <c r="H7" s="490">
        <v>45475.0</v>
      </c>
      <c r="I7" s="490">
        <v>45598.0</v>
      </c>
    </row>
    <row r="8" ht="15.75" customHeight="1">
      <c r="A8" s="485">
        <v>4.0</v>
      </c>
      <c r="B8" s="485">
        <v>58621.0</v>
      </c>
      <c r="C8" s="485" t="s">
        <v>3007</v>
      </c>
      <c r="D8" s="485" t="s">
        <v>3000</v>
      </c>
      <c r="E8" s="485" t="s">
        <v>3001</v>
      </c>
      <c r="F8" s="487" t="s">
        <v>3002</v>
      </c>
      <c r="G8" s="494" t="s">
        <v>3008</v>
      </c>
      <c r="H8" s="490">
        <v>45566.0</v>
      </c>
      <c r="I8" s="490">
        <v>45627.0</v>
      </c>
    </row>
    <row r="9" ht="15.75" customHeight="1">
      <c r="A9" s="485">
        <v>5.0</v>
      </c>
      <c r="B9" s="485" t="s">
        <v>3009</v>
      </c>
      <c r="C9" s="485" t="s">
        <v>2651</v>
      </c>
      <c r="D9" s="485" t="s">
        <v>3000</v>
      </c>
      <c r="E9" s="485" t="s">
        <v>3001</v>
      </c>
      <c r="F9" s="487" t="s">
        <v>3002</v>
      </c>
      <c r="G9" s="495" t="s">
        <v>3010</v>
      </c>
      <c r="H9" s="493">
        <v>45622.0</v>
      </c>
      <c r="I9" s="490">
        <v>45683.0</v>
      </c>
      <c r="J9" s="401"/>
    </row>
    <row r="10" ht="15.75" customHeight="1">
      <c r="A10" s="496"/>
      <c r="B10" s="496" t="s">
        <v>3011</v>
      </c>
      <c r="C10" s="496"/>
      <c r="D10" s="496"/>
      <c r="E10" s="496"/>
      <c r="F10" s="496"/>
      <c r="G10" s="496"/>
      <c r="H10" s="496"/>
      <c r="I10" s="496"/>
    </row>
    <row r="11" ht="15.75" customHeight="1">
      <c r="A11" s="485">
        <v>1.0</v>
      </c>
      <c r="B11" s="485">
        <v>58311.0</v>
      </c>
      <c r="C11" s="485" t="s">
        <v>3012</v>
      </c>
      <c r="D11" s="485" t="s">
        <v>3000</v>
      </c>
      <c r="E11" s="485" t="s">
        <v>3013</v>
      </c>
      <c r="F11" s="485" t="s">
        <v>3014</v>
      </c>
      <c r="G11" s="485" t="s">
        <v>3015</v>
      </c>
      <c r="H11" s="489">
        <v>44663.0</v>
      </c>
      <c r="I11" s="492">
        <v>44724.0</v>
      </c>
    </row>
    <row r="12" ht="15.75" customHeight="1">
      <c r="A12" s="485">
        <v>2.0</v>
      </c>
      <c r="B12" s="485">
        <v>58318.0</v>
      </c>
      <c r="C12" s="485" t="s">
        <v>532</v>
      </c>
      <c r="D12" s="485" t="s">
        <v>3000</v>
      </c>
      <c r="E12" s="485" t="s">
        <v>3013</v>
      </c>
      <c r="F12" s="487" t="s">
        <v>3002</v>
      </c>
      <c r="G12" s="485" t="s">
        <v>3016</v>
      </c>
      <c r="H12" s="489">
        <v>44677.0</v>
      </c>
      <c r="I12" s="492">
        <v>44768.0</v>
      </c>
    </row>
    <row r="13" ht="15.75" customHeight="1">
      <c r="A13" s="485">
        <v>3.0</v>
      </c>
      <c r="B13" s="485">
        <v>58447.0</v>
      </c>
      <c r="C13" s="485" t="s">
        <v>2129</v>
      </c>
      <c r="D13" s="485" t="s">
        <v>3000</v>
      </c>
      <c r="E13" s="485" t="s">
        <v>3013</v>
      </c>
      <c r="F13" s="487" t="s">
        <v>3002</v>
      </c>
      <c r="G13" s="485" t="s">
        <v>3017</v>
      </c>
      <c r="H13" s="489">
        <v>45090.0</v>
      </c>
      <c r="I13" s="489">
        <v>45151.0</v>
      </c>
    </row>
    <row r="14" ht="15.75" customHeight="1">
      <c r="A14" s="485">
        <v>4.0</v>
      </c>
      <c r="B14" s="485" t="s">
        <v>3018</v>
      </c>
      <c r="C14" s="485" t="s">
        <v>1215</v>
      </c>
      <c r="D14" s="485" t="s">
        <v>3000</v>
      </c>
      <c r="E14" s="485" t="s">
        <v>3013</v>
      </c>
      <c r="F14" s="487" t="s">
        <v>3002</v>
      </c>
      <c r="G14" s="485" t="s">
        <v>3019</v>
      </c>
      <c r="H14" s="492">
        <v>45614.0</v>
      </c>
      <c r="I14" s="492">
        <v>45675.0</v>
      </c>
    </row>
    <row r="15" ht="15.75" customHeight="1">
      <c r="A15" s="485">
        <v>5.0</v>
      </c>
      <c r="B15" s="485">
        <v>58219.0</v>
      </c>
      <c r="C15" s="485" t="s">
        <v>1579</v>
      </c>
      <c r="D15" s="485" t="s">
        <v>3000</v>
      </c>
      <c r="E15" s="485" t="s">
        <v>3013</v>
      </c>
      <c r="F15" s="485" t="s">
        <v>3014</v>
      </c>
      <c r="G15" s="485" t="s">
        <v>3020</v>
      </c>
      <c r="H15" s="492">
        <v>44920.0</v>
      </c>
      <c r="I15" s="492">
        <v>44951.0</v>
      </c>
    </row>
    <row r="16" ht="15.75" customHeight="1">
      <c r="A16" s="485">
        <v>6.0</v>
      </c>
      <c r="B16" s="485">
        <v>58617.0</v>
      </c>
      <c r="C16" s="485" t="s">
        <v>1245</v>
      </c>
      <c r="D16" s="485" t="s">
        <v>3000</v>
      </c>
      <c r="E16" s="485" t="s">
        <v>3013</v>
      </c>
      <c r="F16" s="487" t="s">
        <v>3002</v>
      </c>
      <c r="G16" s="485" t="s">
        <v>3021</v>
      </c>
      <c r="H16" s="492">
        <v>45605.0</v>
      </c>
      <c r="I16" s="492">
        <v>45666.0</v>
      </c>
    </row>
    <row r="17" ht="15.75" customHeight="1">
      <c r="A17" s="485">
        <v>7.0</v>
      </c>
      <c r="B17" s="485">
        <v>58483.0</v>
      </c>
      <c r="C17" s="485" t="s">
        <v>3022</v>
      </c>
      <c r="D17" s="485" t="s">
        <v>3000</v>
      </c>
      <c r="E17" s="485" t="s">
        <v>3013</v>
      </c>
      <c r="F17" s="487" t="s">
        <v>3002</v>
      </c>
      <c r="G17" s="485" t="s">
        <v>3023</v>
      </c>
      <c r="H17" s="497">
        <v>45195.0</v>
      </c>
      <c r="I17" s="498">
        <v>45256.0</v>
      </c>
    </row>
    <row r="18" ht="15.75" customHeight="1">
      <c r="A18" s="496"/>
      <c r="B18" s="496" t="s">
        <v>3024</v>
      </c>
      <c r="C18" s="496"/>
      <c r="D18" s="496"/>
      <c r="E18" s="496"/>
      <c r="F18" s="496"/>
      <c r="G18" s="496"/>
      <c r="H18" s="496"/>
      <c r="I18" s="496"/>
    </row>
    <row r="19" ht="15.75" customHeight="1">
      <c r="A19" s="485">
        <v>1.0</v>
      </c>
      <c r="B19" s="485">
        <v>58544.0</v>
      </c>
      <c r="C19" s="485" t="s">
        <v>1505</v>
      </c>
      <c r="D19" s="485" t="s">
        <v>3000</v>
      </c>
      <c r="E19" s="485" t="s">
        <v>3025</v>
      </c>
      <c r="F19" s="485" t="s">
        <v>3002</v>
      </c>
      <c r="G19" s="485" t="s">
        <v>3026</v>
      </c>
      <c r="H19" s="489">
        <v>45377.0</v>
      </c>
      <c r="I19" s="499" t="s">
        <v>3027</v>
      </c>
    </row>
    <row r="20" ht="15.75" customHeight="1">
      <c r="A20" s="485">
        <v>2.0</v>
      </c>
      <c r="B20" s="360">
        <v>58650.0</v>
      </c>
      <c r="C20" s="485" t="s">
        <v>3028</v>
      </c>
      <c r="D20" s="485" t="s">
        <v>3000</v>
      </c>
      <c r="E20" s="485" t="s">
        <v>3025</v>
      </c>
      <c r="F20" s="485" t="s">
        <v>3002</v>
      </c>
      <c r="G20" s="485" t="s">
        <v>3029</v>
      </c>
      <c r="H20" s="489">
        <v>45621.0</v>
      </c>
      <c r="I20" s="492">
        <v>45682.0</v>
      </c>
    </row>
    <row r="21" ht="15.75" customHeight="1">
      <c r="A21" s="485">
        <v>3.0</v>
      </c>
      <c r="B21" s="360">
        <v>58649.0</v>
      </c>
      <c r="C21" s="485" t="s">
        <v>3030</v>
      </c>
      <c r="D21" s="485" t="s">
        <v>3000</v>
      </c>
      <c r="E21" s="485" t="s">
        <v>3025</v>
      </c>
      <c r="F21" s="485" t="s">
        <v>3002</v>
      </c>
      <c r="G21" s="485" t="s">
        <v>3031</v>
      </c>
      <c r="H21" s="489">
        <v>45621.0</v>
      </c>
      <c r="I21" s="492">
        <v>45682.0</v>
      </c>
    </row>
    <row r="22" ht="15.75" customHeight="1">
      <c r="A22" s="485">
        <v>4.0</v>
      </c>
      <c r="B22" s="485">
        <v>59627.0</v>
      </c>
      <c r="C22" s="485" t="s">
        <v>1864</v>
      </c>
      <c r="D22" s="485" t="s">
        <v>3000</v>
      </c>
      <c r="E22" s="485" t="s">
        <v>3025</v>
      </c>
      <c r="F22" s="485" t="s">
        <v>3002</v>
      </c>
      <c r="G22" s="485" t="s">
        <v>3032</v>
      </c>
      <c r="H22" s="489">
        <v>45931.0</v>
      </c>
      <c r="I22" s="492">
        <v>45627.0</v>
      </c>
    </row>
    <row r="23" ht="15.75" customHeight="1">
      <c r="A23" s="485">
        <v>5.0</v>
      </c>
      <c r="B23" s="500">
        <v>58237.0</v>
      </c>
      <c r="C23" s="485" t="s">
        <v>2644</v>
      </c>
      <c r="D23" s="485" t="s">
        <v>3000</v>
      </c>
      <c r="E23" s="485" t="s">
        <v>3025</v>
      </c>
      <c r="F23" s="487" t="s">
        <v>3033</v>
      </c>
      <c r="G23" s="485" t="s">
        <v>3034</v>
      </c>
      <c r="H23" s="489">
        <v>44306.0</v>
      </c>
      <c r="I23" s="489">
        <v>44367.0</v>
      </c>
    </row>
    <row r="24" ht="15.75" customHeight="1">
      <c r="A24" s="485">
        <v>6.0</v>
      </c>
      <c r="B24" s="485"/>
      <c r="C24" s="485"/>
      <c r="D24" s="485"/>
      <c r="E24" s="485"/>
      <c r="F24" s="487"/>
      <c r="G24" s="485"/>
      <c r="H24" s="489"/>
      <c r="I24" s="492"/>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F1"/>
    <mergeCell ref="A2:A3"/>
    <mergeCell ref="B2:B3"/>
    <mergeCell ref="C2:C3"/>
    <mergeCell ref="D2:F2"/>
    <mergeCell ref="G2:G3"/>
    <mergeCell ref="H2:H3"/>
    <mergeCell ref="I2:I3"/>
  </mergeCell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1" width="11.0"/>
    <col customWidth="1" min="12" max="12" width="68.75"/>
    <col customWidth="1" min="13" max="13" width="94.0"/>
    <col customWidth="1" min="14" max="26" width="11.0"/>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c r="I10" s="501" t="s">
        <v>3035</v>
      </c>
      <c r="J10" s="502" t="s">
        <v>0</v>
      </c>
      <c r="K10" s="502" t="s">
        <v>3036</v>
      </c>
      <c r="L10" s="502" t="s">
        <v>3037</v>
      </c>
      <c r="M10" s="503" t="s">
        <v>3038</v>
      </c>
    </row>
    <row r="11" ht="15.75" customHeight="1">
      <c r="I11" s="504"/>
      <c r="J11" s="505"/>
      <c r="K11" s="506" t="s">
        <v>3039</v>
      </c>
      <c r="L11" s="445"/>
      <c r="M11" s="507"/>
    </row>
    <row r="12" ht="15.75" customHeight="1">
      <c r="I12" s="504"/>
      <c r="J12" s="508">
        <v>1.0</v>
      </c>
      <c r="K12" s="508" t="s">
        <v>3040</v>
      </c>
      <c r="L12" s="509" t="s">
        <v>3041</v>
      </c>
      <c r="M12" s="510" t="s">
        <v>3042</v>
      </c>
    </row>
    <row r="13" ht="15.75" customHeight="1">
      <c r="I13" s="504"/>
      <c r="L13" s="509" t="s">
        <v>3043</v>
      </c>
      <c r="M13" s="510" t="s">
        <v>3044</v>
      </c>
    </row>
    <row r="14" ht="15.75" customHeight="1">
      <c r="I14" s="504"/>
      <c r="J14" s="511"/>
      <c r="K14" s="511"/>
      <c r="L14" s="506" t="s">
        <v>3045</v>
      </c>
      <c r="M14" s="507"/>
    </row>
    <row r="15" ht="15.75" customHeight="1">
      <c r="I15" s="504"/>
      <c r="J15" s="508">
        <v>2.0</v>
      </c>
      <c r="K15" s="512" t="s">
        <v>3046</v>
      </c>
      <c r="L15" s="401" t="s">
        <v>3047</v>
      </c>
      <c r="M15" s="509" t="s">
        <v>3048</v>
      </c>
    </row>
    <row r="16" ht="15.75" customHeight="1">
      <c r="I16" s="504"/>
      <c r="K16" s="512" t="s">
        <v>2622</v>
      </c>
      <c r="L16" s="509" t="s">
        <v>3049</v>
      </c>
      <c r="M16" s="509" t="s">
        <v>3050</v>
      </c>
    </row>
    <row r="17" ht="15.75" customHeight="1">
      <c r="I17" s="504"/>
      <c r="K17" s="512" t="s">
        <v>2627</v>
      </c>
      <c r="L17" s="509"/>
      <c r="M17" s="509" t="s">
        <v>3051</v>
      </c>
    </row>
    <row r="18" ht="15.75" customHeight="1">
      <c r="I18" s="504"/>
      <c r="K18" s="512" t="s">
        <v>2624</v>
      </c>
      <c r="L18" s="509" t="s">
        <v>3052</v>
      </c>
      <c r="M18" s="509" t="s">
        <v>3053</v>
      </c>
    </row>
    <row r="19" ht="15.75" customHeight="1">
      <c r="I19" s="513"/>
      <c r="K19" s="514" t="s">
        <v>3054</v>
      </c>
      <c r="L19" s="515" t="s">
        <v>3055</v>
      </c>
      <c r="M19" s="515" t="s">
        <v>3056</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I10:I19"/>
    <mergeCell ref="K11:M11"/>
    <mergeCell ref="J12:J13"/>
    <mergeCell ref="K12:K13"/>
    <mergeCell ref="L14:M14"/>
    <mergeCell ref="J15:J19"/>
  </mergeCell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5.0" topLeftCell="A6" activePane="bottomLeft" state="frozen"/>
      <selection activeCell="B7" sqref="B7" pane="bottomLeft"/>
    </sheetView>
  </sheetViews>
  <sheetFormatPr customHeight="1" defaultColWidth="12.63" defaultRowHeight="15.0"/>
  <cols>
    <col customWidth="1" min="1" max="1" width="11.0"/>
    <col customWidth="1" min="2" max="2" width="15.63"/>
    <col customWidth="1" min="3" max="3" width="14.88"/>
    <col customWidth="1" min="4" max="4" width="14.0"/>
    <col customWidth="1" min="5" max="5" width="8.13"/>
    <col customWidth="1" min="6" max="6" width="7.75"/>
    <col customWidth="1" min="7" max="7" width="7.88"/>
    <col customWidth="1" min="8" max="8" width="6.88"/>
    <col customWidth="1" min="9" max="9" width="6.38"/>
    <col customWidth="1" min="10" max="10" width="8.75"/>
    <col customWidth="1" min="11" max="12" width="11.0"/>
    <col customWidth="1" min="13" max="13" width="7.88"/>
    <col customWidth="1" min="14" max="14" width="8.13"/>
    <col customWidth="1" min="15" max="15" width="11.0"/>
    <col customWidth="1" min="16" max="16" width="8.5"/>
    <col customWidth="1" min="17" max="17" width="25.25"/>
    <col customWidth="1" min="18" max="18" width="22.25"/>
    <col customWidth="1" min="19" max="19" width="15.38"/>
    <col customWidth="1" min="20" max="20" width="38.13"/>
    <col customWidth="1" min="21" max="27" width="11.0"/>
  </cols>
  <sheetData>
    <row r="1" ht="15.75" customHeight="1">
      <c r="A1" s="516" t="s">
        <v>3057</v>
      </c>
      <c r="B1" s="516" t="s">
        <v>2994</v>
      </c>
      <c r="C1" s="516" t="s">
        <v>3058</v>
      </c>
      <c r="D1" s="516" t="s">
        <v>3059</v>
      </c>
      <c r="E1" s="516" t="s">
        <v>3060</v>
      </c>
      <c r="F1" s="516" t="s">
        <v>3061</v>
      </c>
      <c r="G1" s="517" t="s">
        <v>3062</v>
      </c>
      <c r="H1" s="5"/>
      <c r="I1" s="5"/>
      <c r="J1" s="5"/>
      <c r="K1" s="5"/>
      <c r="L1" s="5"/>
      <c r="M1" s="6"/>
      <c r="N1" s="516" t="s">
        <v>3063</v>
      </c>
      <c r="O1" s="516" t="s">
        <v>3064</v>
      </c>
      <c r="P1" s="516" t="s">
        <v>21</v>
      </c>
      <c r="Q1" s="518" t="s">
        <v>3065</v>
      </c>
      <c r="R1" s="518" t="s">
        <v>3066</v>
      </c>
      <c r="S1" s="516" t="s">
        <v>500</v>
      </c>
      <c r="T1" s="519" t="s">
        <v>3067</v>
      </c>
      <c r="U1" s="338"/>
      <c r="V1" s="338"/>
      <c r="W1" s="338"/>
      <c r="X1" s="338"/>
      <c r="Y1" s="338"/>
      <c r="Z1" s="338"/>
      <c r="AA1" s="338"/>
    </row>
    <row r="2" ht="15.75" customHeight="1">
      <c r="A2" s="11"/>
      <c r="B2" s="11"/>
      <c r="C2" s="11"/>
      <c r="D2" s="11"/>
      <c r="E2" s="11"/>
      <c r="F2" s="11"/>
      <c r="G2" s="520" t="s">
        <v>3068</v>
      </c>
      <c r="H2" s="520" t="s">
        <v>3069</v>
      </c>
      <c r="I2" s="517" t="s">
        <v>3070</v>
      </c>
      <c r="J2" s="5"/>
      <c r="K2" s="5"/>
      <c r="L2" s="6"/>
      <c r="M2" s="520" t="s">
        <v>3071</v>
      </c>
      <c r="N2" s="11"/>
      <c r="O2" s="11"/>
      <c r="P2" s="11"/>
      <c r="Q2" s="11"/>
      <c r="R2" s="11"/>
      <c r="S2" s="11"/>
      <c r="T2" s="11"/>
      <c r="U2" s="338"/>
      <c r="V2" s="338"/>
      <c r="W2" s="338"/>
      <c r="X2" s="338"/>
      <c r="Y2" s="338"/>
      <c r="Z2" s="338"/>
      <c r="AA2" s="338"/>
    </row>
    <row r="3" ht="15.75" customHeight="1">
      <c r="A3" s="16"/>
      <c r="B3" s="16"/>
      <c r="C3" s="16"/>
      <c r="D3" s="16"/>
      <c r="E3" s="16"/>
      <c r="F3" s="16"/>
      <c r="G3" s="16"/>
      <c r="H3" s="16"/>
      <c r="I3" s="521" t="s">
        <v>3072</v>
      </c>
      <c r="J3" s="521" t="s">
        <v>3073</v>
      </c>
      <c r="K3" s="521" t="s">
        <v>3074</v>
      </c>
      <c r="L3" s="521" t="s">
        <v>3075</v>
      </c>
      <c r="M3" s="16"/>
      <c r="N3" s="16"/>
      <c r="O3" s="16"/>
      <c r="P3" s="16"/>
      <c r="Q3" s="11"/>
      <c r="R3" s="11"/>
      <c r="S3" s="11"/>
      <c r="T3" s="11"/>
      <c r="U3" s="338"/>
      <c r="V3" s="338"/>
      <c r="W3" s="338"/>
      <c r="X3" s="338"/>
      <c r="Y3" s="338"/>
      <c r="Z3" s="338"/>
      <c r="AA3" s="338"/>
    </row>
    <row r="4" ht="15.75" customHeight="1">
      <c r="A4" s="522"/>
      <c r="B4" s="523"/>
      <c r="C4" s="523"/>
      <c r="D4" s="523"/>
      <c r="E4" s="523"/>
      <c r="F4" s="523"/>
      <c r="G4" s="524"/>
      <c r="H4" s="524"/>
      <c r="I4" s="524"/>
      <c r="J4" s="524"/>
      <c r="K4" s="524"/>
      <c r="L4" s="524"/>
      <c r="M4" s="524"/>
      <c r="N4" s="523"/>
      <c r="O4" s="523"/>
      <c r="P4" s="523"/>
      <c r="Q4" s="11"/>
      <c r="R4" s="11"/>
      <c r="S4" s="11"/>
      <c r="T4" s="11"/>
      <c r="U4" s="338"/>
      <c r="V4" s="338"/>
      <c r="W4" s="338"/>
      <c r="X4" s="338"/>
      <c r="Y4" s="338"/>
      <c r="Z4" s="338"/>
      <c r="AA4" s="338"/>
    </row>
    <row r="5" ht="15.75" customHeight="1">
      <c r="A5" s="525" t="s">
        <v>3076</v>
      </c>
      <c r="B5" s="526" t="s">
        <v>3077</v>
      </c>
      <c r="C5" s="527"/>
      <c r="D5" s="526" t="s">
        <v>3078</v>
      </c>
      <c r="E5" s="527"/>
      <c r="F5" s="527"/>
      <c r="G5" s="527">
        <v>45.0</v>
      </c>
      <c r="H5" s="527">
        <v>94.0</v>
      </c>
      <c r="I5" s="527">
        <v>10.0</v>
      </c>
      <c r="J5" s="527">
        <v>0.0</v>
      </c>
      <c r="K5" s="527">
        <v>0.0</v>
      </c>
      <c r="L5" s="527">
        <v>0.0</v>
      </c>
      <c r="M5" s="526" t="s">
        <v>3079</v>
      </c>
      <c r="N5" s="527"/>
      <c r="O5" s="527"/>
      <c r="P5" s="527"/>
      <c r="Q5" s="16"/>
      <c r="R5" s="16"/>
      <c r="S5" s="16"/>
      <c r="T5" s="16"/>
      <c r="U5" s="338"/>
      <c r="V5" s="338"/>
      <c r="W5" s="338"/>
      <c r="X5" s="338"/>
      <c r="Y5" s="338"/>
      <c r="Z5" s="338"/>
      <c r="AA5" s="338"/>
    </row>
    <row r="6" ht="15.75" customHeight="1">
      <c r="A6" s="528">
        <v>1.0</v>
      </c>
      <c r="B6" s="529" t="s">
        <v>3080</v>
      </c>
      <c r="C6" s="530" t="s">
        <v>3081</v>
      </c>
      <c r="D6" s="531" t="s">
        <v>3082</v>
      </c>
      <c r="E6" s="531" t="s">
        <v>274</v>
      </c>
      <c r="F6" s="530"/>
      <c r="G6" s="530">
        <v>3.0</v>
      </c>
      <c r="H6" s="530">
        <v>3.0</v>
      </c>
      <c r="I6" s="530">
        <v>1.0</v>
      </c>
      <c r="J6" s="530"/>
      <c r="K6" s="530"/>
      <c r="L6" s="530"/>
      <c r="M6" s="530"/>
      <c r="N6" s="529"/>
      <c r="O6" s="531"/>
      <c r="P6" s="530"/>
      <c r="Q6" s="530" t="s">
        <v>3005</v>
      </c>
      <c r="R6" s="530"/>
      <c r="S6" s="532">
        <v>9.43402288E8</v>
      </c>
      <c r="T6" s="357" t="s">
        <v>3083</v>
      </c>
      <c r="U6" s="338"/>
      <c r="V6" s="338"/>
      <c r="W6" s="338"/>
      <c r="X6" s="338"/>
      <c r="Y6" s="338"/>
      <c r="Z6" s="338"/>
      <c r="AA6" s="338"/>
    </row>
    <row r="7" ht="15.75" customHeight="1">
      <c r="A7" s="528">
        <v>2.0</v>
      </c>
      <c r="B7" s="11"/>
      <c r="C7" s="530" t="s">
        <v>3084</v>
      </c>
      <c r="D7" s="531" t="s">
        <v>3085</v>
      </c>
      <c r="E7" s="531" t="s">
        <v>274</v>
      </c>
      <c r="F7" s="530"/>
      <c r="G7" s="530">
        <v>3.0</v>
      </c>
      <c r="H7" s="530">
        <v>3.0</v>
      </c>
      <c r="I7" s="530">
        <v>1.0</v>
      </c>
      <c r="J7" s="530"/>
      <c r="K7" s="530"/>
      <c r="L7" s="530"/>
      <c r="M7" s="530"/>
      <c r="N7" s="11"/>
      <c r="O7" s="531"/>
      <c r="P7" s="530"/>
      <c r="Q7" s="530" t="s">
        <v>2649</v>
      </c>
      <c r="R7" s="530"/>
      <c r="S7" s="533">
        <v>3.96949833E8</v>
      </c>
      <c r="T7" s="357" t="s">
        <v>3086</v>
      </c>
      <c r="U7" s="338"/>
      <c r="V7" s="338"/>
      <c r="W7" s="338"/>
      <c r="X7" s="338"/>
      <c r="Y7" s="338"/>
      <c r="Z7" s="338"/>
      <c r="AA7" s="338"/>
    </row>
    <row r="8" ht="15.75" customHeight="1">
      <c r="A8" s="528">
        <v>3.0</v>
      </c>
      <c r="B8" s="11"/>
      <c r="C8" s="531" t="s">
        <v>1947</v>
      </c>
      <c r="D8" s="531" t="s">
        <v>3087</v>
      </c>
      <c r="E8" s="531" t="s">
        <v>3088</v>
      </c>
      <c r="F8" s="531"/>
      <c r="G8" s="531">
        <v>3.0</v>
      </c>
      <c r="H8" s="531">
        <v>3.0</v>
      </c>
      <c r="I8" s="531">
        <v>1.0</v>
      </c>
      <c r="J8" s="531"/>
      <c r="K8" s="531"/>
      <c r="L8" s="531"/>
      <c r="M8" s="531"/>
      <c r="N8" s="11"/>
      <c r="O8" s="531"/>
      <c r="P8" s="531"/>
      <c r="Q8" s="531" t="s">
        <v>969</v>
      </c>
      <c r="R8" s="531"/>
      <c r="S8" s="534">
        <v>9.87261515E8</v>
      </c>
      <c r="T8" s="535" t="s">
        <v>3089</v>
      </c>
      <c r="U8" s="536"/>
      <c r="V8" s="536"/>
      <c r="W8" s="536"/>
      <c r="X8" s="536"/>
      <c r="Y8" s="536"/>
      <c r="Z8" s="536"/>
      <c r="AA8" s="536"/>
    </row>
    <row r="9" ht="15.75" customHeight="1">
      <c r="A9" s="528">
        <v>4.0</v>
      </c>
      <c r="B9" s="11"/>
      <c r="C9" s="531" t="s">
        <v>3090</v>
      </c>
      <c r="D9" s="531" t="s">
        <v>3091</v>
      </c>
      <c r="E9" s="531" t="s">
        <v>24</v>
      </c>
      <c r="F9" s="531"/>
      <c r="G9" s="531">
        <v>3.0</v>
      </c>
      <c r="H9" s="531">
        <v>3.0</v>
      </c>
      <c r="I9" s="531">
        <v>1.0</v>
      </c>
      <c r="J9" s="531"/>
      <c r="K9" s="531"/>
      <c r="L9" s="531"/>
      <c r="M9" s="531"/>
      <c r="N9" s="11"/>
      <c r="O9" s="531"/>
      <c r="P9" s="531"/>
      <c r="Q9" s="531" t="s">
        <v>3007</v>
      </c>
      <c r="R9" s="531"/>
      <c r="S9" s="537">
        <v>9.07970678E8</v>
      </c>
      <c r="T9" s="535" t="s">
        <v>3092</v>
      </c>
      <c r="U9" s="536"/>
      <c r="V9" s="536"/>
      <c r="W9" s="536"/>
      <c r="X9" s="536"/>
      <c r="Y9" s="536"/>
      <c r="Z9" s="536"/>
      <c r="AA9" s="536"/>
    </row>
    <row r="10" ht="29.25" customHeight="1">
      <c r="A10" s="528">
        <v>5.0</v>
      </c>
      <c r="B10" s="16"/>
      <c r="C10" s="531" t="s">
        <v>380</v>
      </c>
      <c r="D10" s="531" t="s">
        <v>3093</v>
      </c>
      <c r="E10" s="531"/>
      <c r="F10" s="531"/>
      <c r="G10" s="531"/>
      <c r="H10" s="531">
        <v>1.0</v>
      </c>
      <c r="I10" s="531">
        <v>1.0</v>
      </c>
      <c r="J10" s="531"/>
      <c r="K10" s="531"/>
      <c r="L10" s="531"/>
      <c r="M10" s="531"/>
      <c r="N10" s="11"/>
      <c r="O10" s="531"/>
      <c r="P10" s="531"/>
      <c r="Q10" s="531" t="s">
        <v>969</v>
      </c>
      <c r="R10" s="531"/>
      <c r="S10" s="538">
        <v>9.8912301E8</v>
      </c>
      <c r="T10" s="537" t="s">
        <v>3094</v>
      </c>
      <c r="U10" s="536"/>
      <c r="V10" s="536"/>
      <c r="W10" s="536"/>
      <c r="X10" s="536"/>
      <c r="Y10" s="536"/>
      <c r="Z10" s="536"/>
      <c r="AA10" s="536"/>
    </row>
    <row r="11" ht="15.75" customHeight="1">
      <c r="A11" s="528">
        <v>6.0</v>
      </c>
      <c r="B11" s="529" t="s">
        <v>3095</v>
      </c>
      <c r="C11" s="531" t="s">
        <v>367</v>
      </c>
      <c r="D11" s="531" t="s">
        <v>3096</v>
      </c>
      <c r="E11" s="531"/>
      <c r="F11" s="530"/>
      <c r="G11" s="530">
        <v>1.0</v>
      </c>
      <c r="H11" s="530">
        <v>1.0</v>
      </c>
      <c r="I11" s="530">
        <v>1.0</v>
      </c>
      <c r="J11" s="530"/>
      <c r="K11" s="530"/>
      <c r="L11" s="530"/>
      <c r="M11" s="530"/>
      <c r="N11" s="11"/>
      <c r="O11" s="531"/>
      <c r="P11" s="530"/>
      <c r="Q11" s="530" t="s">
        <v>1505</v>
      </c>
      <c r="R11" s="530" t="s">
        <v>3097</v>
      </c>
      <c r="S11" s="533">
        <v>9.61555098E8</v>
      </c>
      <c r="T11" s="357" t="s">
        <v>3098</v>
      </c>
      <c r="U11" s="338"/>
      <c r="V11" s="338"/>
      <c r="W11" s="338"/>
      <c r="X11" s="338"/>
      <c r="Y11" s="338"/>
      <c r="Z11" s="338"/>
      <c r="AA11" s="338"/>
    </row>
    <row r="12" ht="15.75" customHeight="1">
      <c r="A12" s="528">
        <v>7.0</v>
      </c>
      <c r="B12" s="11"/>
      <c r="C12" s="531" t="s">
        <v>417</v>
      </c>
      <c r="D12" s="531" t="s">
        <v>3099</v>
      </c>
      <c r="E12" s="531"/>
      <c r="F12" s="530"/>
      <c r="G12" s="530">
        <v>1.0</v>
      </c>
      <c r="H12" s="530">
        <v>1.0</v>
      </c>
      <c r="I12" s="530">
        <v>1.0</v>
      </c>
      <c r="J12" s="530"/>
      <c r="K12" s="530"/>
      <c r="L12" s="530"/>
      <c r="M12" s="530"/>
      <c r="N12" s="11"/>
      <c r="O12" s="531"/>
      <c r="P12" s="530"/>
      <c r="Q12" s="530" t="s">
        <v>3100</v>
      </c>
      <c r="R12" s="530" t="s">
        <v>3101</v>
      </c>
      <c r="S12" s="533" t="s">
        <v>3102</v>
      </c>
      <c r="T12" s="357" t="s">
        <v>3103</v>
      </c>
      <c r="U12" s="338"/>
      <c r="V12" s="338"/>
      <c r="W12" s="338"/>
      <c r="X12" s="338"/>
      <c r="Y12" s="338"/>
      <c r="Z12" s="338"/>
      <c r="AA12" s="338"/>
    </row>
    <row r="13" ht="15.75" customHeight="1">
      <c r="A13" s="528">
        <v>8.0</v>
      </c>
      <c r="B13" s="11"/>
      <c r="C13" s="531" t="s">
        <v>3104</v>
      </c>
      <c r="D13" s="531" t="s">
        <v>3099</v>
      </c>
      <c r="E13" s="531"/>
      <c r="F13" s="530"/>
      <c r="G13" s="530">
        <v>1.0</v>
      </c>
      <c r="H13" s="530">
        <v>1.0</v>
      </c>
      <c r="I13" s="530"/>
      <c r="J13" s="530"/>
      <c r="K13" s="530"/>
      <c r="L13" s="530"/>
      <c r="M13" s="530"/>
      <c r="N13" s="11"/>
      <c r="O13" s="531"/>
      <c r="P13" s="530"/>
      <c r="Q13" s="530" t="s">
        <v>3100</v>
      </c>
      <c r="R13" s="530" t="s">
        <v>3101</v>
      </c>
      <c r="S13" s="539">
        <v>9.85049991E8</v>
      </c>
      <c r="T13" s="357" t="s">
        <v>3105</v>
      </c>
      <c r="U13" s="338"/>
      <c r="V13" s="338"/>
      <c r="W13" s="338"/>
      <c r="X13" s="338"/>
      <c r="Y13" s="338"/>
      <c r="Z13" s="338"/>
      <c r="AA13" s="338"/>
    </row>
    <row r="14" ht="15.75" customHeight="1">
      <c r="A14" s="528">
        <v>9.0</v>
      </c>
      <c r="B14" s="11"/>
      <c r="C14" s="531" t="s">
        <v>435</v>
      </c>
      <c r="D14" s="531" t="s">
        <v>3106</v>
      </c>
      <c r="E14" s="531"/>
      <c r="F14" s="530"/>
      <c r="G14" s="530">
        <v>1.0</v>
      </c>
      <c r="H14" s="530">
        <v>1.0</v>
      </c>
      <c r="I14" s="530">
        <v>1.0</v>
      </c>
      <c r="J14" s="530"/>
      <c r="K14" s="530"/>
      <c r="L14" s="530"/>
      <c r="M14" s="530"/>
      <c r="N14" s="11"/>
      <c r="O14" s="531"/>
      <c r="P14" s="530"/>
      <c r="Q14" s="530" t="s">
        <v>2129</v>
      </c>
      <c r="R14" s="530" t="s">
        <v>3107</v>
      </c>
      <c r="S14" s="533">
        <v>9.76879788E8</v>
      </c>
      <c r="T14" s="357" t="s">
        <v>3108</v>
      </c>
      <c r="U14" s="338"/>
      <c r="V14" s="338"/>
      <c r="W14" s="338"/>
      <c r="X14" s="338"/>
      <c r="Y14" s="338"/>
      <c r="Z14" s="338"/>
      <c r="AA14" s="338"/>
    </row>
    <row r="15" ht="15.75" customHeight="1">
      <c r="A15" s="540">
        <v>10.0</v>
      </c>
      <c r="B15" s="11"/>
      <c r="C15" s="541" t="s">
        <v>479</v>
      </c>
      <c r="D15" s="541" t="s">
        <v>3109</v>
      </c>
      <c r="E15" s="541" t="s">
        <v>25</v>
      </c>
      <c r="F15" s="542"/>
      <c r="G15" s="542">
        <v>1.0</v>
      </c>
      <c r="H15" s="542">
        <v>1.0</v>
      </c>
      <c r="I15" s="542">
        <v>1.0</v>
      </c>
      <c r="J15" s="542"/>
      <c r="K15" s="542"/>
      <c r="L15" s="542"/>
      <c r="M15" s="542"/>
      <c r="N15" s="11"/>
      <c r="O15" s="541"/>
      <c r="P15" s="542"/>
      <c r="Q15" s="542" t="s">
        <v>3110</v>
      </c>
      <c r="R15" s="542" t="s">
        <v>3111</v>
      </c>
      <c r="S15" s="543">
        <v>3.36399993E8</v>
      </c>
      <c r="T15" s="544" t="s">
        <v>3112</v>
      </c>
      <c r="U15" s="214"/>
      <c r="V15" s="214"/>
      <c r="W15" s="214"/>
      <c r="X15" s="214"/>
      <c r="Y15" s="214"/>
      <c r="Z15" s="214"/>
      <c r="AA15" s="214"/>
    </row>
    <row r="16" ht="15.75" customHeight="1">
      <c r="A16" s="528">
        <v>11.0</v>
      </c>
      <c r="B16" s="11"/>
      <c r="C16" s="530" t="s">
        <v>404</v>
      </c>
      <c r="D16" s="531" t="s">
        <v>3113</v>
      </c>
      <c r="E16" s="531" t="s">
        <v>24</v>
      </c>
      <c r="F16" s="530"/>
      <c r="G16" s="530">
        <v>1.0</v>
      </c>
      <c r="H16" s="530">
        <v>1.0</v>
      </c>
      <c r="I16" s="530"/>
      <c r="J16" s="530"/>
      <c r="K16" s="530"/>
      <c r="L16" s="530"/>
      <c r="M16" s="530"/>
      <c r="N16" s="11"/>
      <c r="O16" s="531"/>
      <c r="P16" s="530"/>
      <c r="Q16" s="530" t="s">
        <v>532</v>
      </c>
      <c r="R16" s="530" t="s">
        <v>3114</v>
      </c>
      <c r="S16" s="533">
        <v>3.85128999E8</v>
      </c>
      <c r="T16" s="357" t="s">
        <v>3115</v>
      </c>
      <c r="U16" s="338"/>
      <c r="V16" s="338"/>
      <c r="W16" s="338"/>
      <c r="X16" s="338"/>
      <c r="Y16" s="338"/>
      <c r="Z16" s="338"/>
      <c r="AA16" s="338"/>
    </row>
    <row r="17" ht="15.75" customHeight="1">
      <c r="A17" s="528">
        <v>12.0</v>
      </c>
      <c r="B17" s="11"/>
      <c r="C17" s="530" t="s">
        <v>975</v>
      </c>
      <c r="D17" s="531" t="s">
        <v>3116</v>
      </c>
      <c r="E17" s="531" t="s">
        <v>24</v>
      </c>
      <c r="F17" s="530"/>
      <c r="G17" s="530">
        <v>1.0</v>
      </c>
      <c r="H17" s="530">
        <v>1.0</v>
      </c>
      <c r="I17" s="530"/>
      <c r="J17" s="530"/>
      <c r="K17" s="530"/>
      <c r="L17" s="530"/>
      <c r="M17" s="530"/>
      <c r="N17" s="11"/>
      <c r="O17" s="531"/>
      <c r="P17" s="530"/>
      <c r="Q17" s="530" t="s">
        <v>532</v>
      </c>
      <c r="R17" s="530" t="s">
        <v>3114</v>
      </c>
      <c r="S17" s="533">
        <v>9.83303249E8</v>
      </c>
      <c r="T17" s="357" t="s">
        <v>3115</v>
      </c>
      <c r="U17" s="338"/>
      <c r="V17" s="338"/>
      <c r="W17" s="338"/>
      <c r="X17" s="338"/>
      <c r="Y17" s="338"/>
      <c r="Z17" s="338"/>
      <c r="AA17" s="338"/>
    </row>
    <row r="18" ht="15.75" customHeight="1">
      <c r="A18" s="528">
        <v>13.0</v>
      </c>
      <c r="B18" s="11"/>
      <c r="C18" s="530" t="s">
        <v>3117</v>
      </c>
      <c r="D18" s="531" t="s">
        <v>3116</v>
      </c>
      <c r="E18" s="531" t="s">
        <v>24</v>
      </c>
      <c r="F18" s="530"/>
      <c r="G18" s="530">
        <v>1.0</v>
      </c>
      <c r="H18" s="530">
        <v>1.0</v>
      </c>
      <c r="I18" s="530">
        <v>1.0</v>
      </c>
      <c r="J18" s="530"/>
      <c r="K18" s="530"/>
      <c r="L18" s="530"/>
      <c r="M18" s="530"/>
      <c r="N18" s="11"/>
      <c r="O18" s="531"/>
      <c r="P18" s="530"/>
      <c r="Q18" s="530" t="s">
        <v>532</v>
      </c>
      <c r="R18" s="530" t="s">
        <v>3114</v>
      </c>
      <c r="S18" s="533">
        <v>9.73618658E8</v>
      </c>
      <c r="T18" s="357" t="s">
        <v>3115</v>
      </c>
      <c r="U18" s="338"/>
      <c r="V18" s="338"/>
      <c r="W18" s="338"/>
      <c r="X18" s="338"/>
      <c r="Y18" s="338"/>
      <c r="Z18" s="338"/>
      <c r="AA18" s="338"/>
    </row>
    <row r="19" ht="15.75" customHeight="1">
      <c r="A19" s="528">
        <v>14.0</v>
      </c>
      <c r="B19" s="11"/>
      <c r="C19" s="531" t="s">
        <v>392</v>
      </c>
      <c r="D19" s="531" t="s">
        <v>3118</v>
      </c>
      <c r="E19" s="530" t="s">
        <v>24</v>
      </c>
      <c r="F19" s="530"/>
      <c r="G19" s="530">
        <v>1.0</v>
      </c>
      <c r="H19" s="530">
        <v>1.0</v>
      </c>
      <c r="I19" s="530">
        <v>1.0</v>
      </c>
      <c r="J19" s="530"/>
      <c r="K19" s="530"/>
      <c r="L19" s="530"/>
      <c r="M19" s="530"/>
      <c r="N19" s="11"/>
      <c r="O19" s="531"/>
      <c r="P19" s="530"/>
      <c r="Q19" s="530" t="s">
        <v>927</v>
      </c>
      <c r="R19" s="531" t="s">
        <v>3119</v>
      </c>
      <c r="S19" s="545" t="s">
        <v>658</v>
      </c>
      <c r="T19" s="533" t="s">
        <v>3120</v>
      </c>
      <c r="U19" s="338"/>
      <c r="V19" s="338"/>
      <c r="W19" s="338"/>
      <c r="X19" s="338"/>
      <c r="Y19" s="338"/>
      <c r="Z19" s="338"/>
      <c r="AA19" s="338"/>
    </row>
    <row r="20" ht="15.75" customHeight="1">
      <c r="A20" s="528">
        <v>15.0</v>
      </c>
      <c r="B20" s="16"/>
      <c r="C20" s="531" t="s">
        <v>925</v>
      </c>
      <c r="D20" s="531" t="s">
        <v>3118</v>
      </c>
      <c r="E20" s="530" t="s">
        <v>24</v>
      </c>
      <c r="F20" s="530"/>
      <c r="G20" s="530">
        <v>1.0</v>
      </c>
      <c r="H20" s="530">
        <v>1.0</v>
      </c>
      <c r="I20" s="530"/>
      <c r="J20" s="530"/>
      <c r="K20" s="530"/>
      <c r="L20" s="530"/>
      <c r="M20" s="530"/>
      <c r="N20" s="11"/>
      <c r="O20" s="531"/>
      <c r="P20" s="530"/>
      <c r="Q20" s="530" t="s">
        <v>927</v>
      </c>
      <c r="R20" s="531" t="s">
        <v>3119</v>
      </c>
      <c r="S20" s="545" t="s">
        <v>3121</v>
      </c>
      <c r="T20" s="533" t="s">
        <v>3122</v>
      </c>
      <c r="U20" s="338"/>
      <c r="V20" s="338"/>
      <c r="W20" s="338"/>
      <c r="X20" s="338"/>
      <c r="Y20" s="338"/>
      <c r="Z20" s="338"/>
      <c r="AA20" s="338"/>
    </row>
    <row r="21" ht="15.75" customHeight="1">
      <c r="A21" s="528">
        <v>16.0</v>
      </c>
      <c r="B21" s="529" t="s">
        <v>3123</v>
      </c>
      <c r="C21" s="530" t="s">
        <v>2177</v>
      </c>
      <c r="D21" s="531" t="s">
        <v>3124</v>
      </c>
      <c r="E21" s="531"/>
      <c r="F21" s="530"/>
      <c r="G21" s="530"/>
      <c r="H21" s="530">
        <v>1.0</v>
      </c>
      <c r="I21" s="530"/>
      <c r="J21" s="530"/>
      <c r="K21" s="530"/>
      <c r="L21" s="530"/>
      <c r="M21" s="530"/>
      <c r="N21" s="11"/>
      <c r="O21" s="531"/>
      <c r="P21" s="530"/>
      <c r="Q21" s="530" t="s">
        <v>3100</v>
      </c>
      <c r="R21" s="530" t="s">
        <v>3125</v>
      </c>
      <c r="S21" s="533">
        <v>9.83865012E8</v>
      </c>
      <c r="T21" s="357" t="s">
        <v>3126</v>
      </c>
      <c r="U21" s="338"/>
      <c r="V21" s="338"/>
      <c r="W21" s="338"/>
      <c r="X21" s="338"/>
      <c r="Y21" s="338"/>
      <c r="Z21" s="338"/>
      <c r="AA21" s="338"/>
    </row>
    <row r="22" ht="15.75" customHeight="1">
      <c r="A22" s="528">
        <v>17.0</v>
      </c>
      <c r="B22" s="11"/>
      <c r="C22" s="530" t="s">
        <v>3127</v>
      </c>
      <c r="D22" s="531" t="s">
        <v>3124</v>
      </c>
      <c r="E22" s="531"/>
      <c r="F22" s="530"/>
      <c r="G22" s="530"/>
      <c r="H22" s="530">
        <v>1.0</v>
      </c>
      <c r="I22" s="530"/>
      <c r="J22" s="530"/>
      <c r="K22" s="530"/>
      <c r="L22" s="530"/>
      <c r="M22" s="530"/>
      <c r="N22" s="11"/>
      <c r="O22" s="531"/>
      <c r="P22" s="530"/>
      <c r="Q22" s="530" t="s">
        <v>3100</v>
      </c>
      <c r="R22" s="531" t="s">
        <v>3128</v>
      </c>
      <c r="S22" s="533">
        <v>3.42068468E8</v>
      </c>
      <c r="T22" s="357" t="s">
        <v>3129</v>
      </c>
      <c r="U22" s="338"/>
      <c r="V22" s="338"/>
      <c r="W22" s="338"/>
      <c r="X22" s="338"/>
      <c r="Y22" s="338"/>
      <c r="Z22" s="338"/>
      <c r="AA22" s="338"/>
    </row>
    <row r="23" ht="15.75" customHeight="1">
      <c r="A23" s="528">
        <v>18.0</v>
      </c>
      <c r="B23" s="11"/>
      <c r="C23" s="530" t="s">
        <v>3130</v>
      </c>
      <c r="D23" s="531" t="s">
        <v>3124</v>
      </c>
      <c r="E23" s="531"/>
      <c r="F23" s="530"/>
      <c r="G23" s="530"/>
      <c r="H23" s="530">
        <v>1.0</v>
      </c>
      <c r="I23" s="530"/>
      <c r="J23" s="530"/>
      <c r="K23" s="530"/>
      <c r="L23" s="530"/>
      <c r="M23" s="530"/>
      <c r="N23" s="11"/>
      <c r="O23" s="531"/>
      <c r="P23" s="530"/>
      <c r="Q23" s="530" t="s">
        <v>3100</v>
      </c>
      <c r="R23" s="531" t="s">
        <v>3131</v>
      </c>
      <c r="S23" s="533">
        <v>9.68712127E8</v>
      </c>
      <c r="T23" s="357" t="s">
        <v>3132</v>
      </c>
      <c r="U23" s="338"/>
      <c r="V23" s="338"/>
      <c r="W23" s="338"/>
      <c r="X23" s="338"/>
      <c r="Y23" s="338"/>
      <c r="Z23" s="338"/>
      <c r="AA23" s="338"/>
    </row>
    <row r="24" ht="15.75" customHeight="1">
      <c r="A24" s="528">
        <v>19.0</v>
      </c>
      <c r="B24" s="11"/>
      <c r="C24" s="530" t="s">
        <v>2419</v>
      </c>
      <c r="D24" s="531" t="s">
        <v>3133</v>
      </c>
      <c r="E24" s="531" t="s">
        <v>27</v>
      </c>
      <c r="F24" s="530"/>
      <c r="G24" s="530"/>
      <c r="H24" s="530">
        <v>1.0</v>
      </c>
      <c r="I24" s="530"/>
      <c r="J24" s="530"/>
      <c r="K24" s="530"/>
      <c r="L24" s="530"/>
      <c r="M24" s="530"/>
      <c r="N24" s="11"/>
      <c r="O24" s="531"/>
      <c r="P24" s="530"/>
      <c r="Q24" s="530" t="s">
        <v>3100</v>
      </c>
      <c r="R24" s="531" t="s">
        <v>3134</v>
      </c>
      <c r="S24" s="533">
        <v>9.19653092E8</v>
      </c>
      <c r="T24" s="357" t="s">
        <v>3135</v>
      </c>
      <c r="U24" s="338"/>
      <c r="V24" s="338"/>
      <c r="W24" s="338"/>
      <c r="X24" s="338"/>
      <c r="Y24" s="338"/>
      <c r="Z24" s="338"/>
      <c r="AA24" s="338"/>
    </row>
    <row r="25" ht="15.75" customHeight="1">
      <c r="A25" s="528">
        <v>20.0</v>
      </c>
      <c r="B25" s="11"/>
      <c r="C25" s="531" t="s">
        <v>497</v>
      </c>
      <c r="D25" s="531" t="s">
        <v>3136</v>
      </c>
      <c r="E25" s="531"/>
      <c r="F25" s="530"/>
      <c r="G25" s="530"/>
      <c r="H25" s="530">
        <v>1.0</v>
      </c>
      <c r="I25" s="530"/>
      <c r="J25" s="530"/>
      <c r="K25" s="530"/>
      <c r="L25" s="530"/>
      <c r="M25" s="530"/>
      <c r="N25" s="11"/>
      <c r="O25" s="531"/>
      <c r="P25" s="530"/>
      <c r="Q25" s="530" t="s">
        <v>3100</v>
      </c>
      <c r="R25" s="531" t="s">
        <v>3137</v>
      </c>
      <c r="S25" s="533">
        <v>9.37867212E8</v>
      </c>
      <c r="T25" s="357" t="s">
        <v>3138</v>
      </c>
      <c r="U25" s="338"/>
      <c r="V25" s="338"/>
      <c r="W25" s="338"/>
      <c r="X25" s="338"/>
      <c r="Y25" s="338"/>
      <c r="Z25" s="338"/>
      <c r="AA25" s="338"/>
    </row>
    <row r="26" ht="15.75" customHeight="1">
      <c r="A26" s="528">
        <v>21.0</v>
      </c>
      <c r="B26" s="11"/>
      <c r="C26" s="530" t="s">
        <v>3139</v>
      </c>
      <c r="D26" s="531" t="s">
        <v>3136</v>
      </c>
      <c r="E26" s="530"/>
      <c r="F26" s="530"/>
      <c r="G26" s="530"/>
      <c r="H26" s="530">
        <v>1.0</v>
      </c>
      <c r="I26" s="530"/>
      <c r="J26" s="530"/>
      <c r="K26" s="530"/>
      <c r="L26" s="530"/>
      <c r="M26" s="530"/>
      <c r="N26" s="11"/>
      <c r="O26" s="531"/>
      <c r="P26" s="530"/>
      <c r="Q26" s="530" t="s">
        <v>3100</v>
      </c>
      <c r="R26" s="531" t="s">
        <v>3140</v>
      </c>
      <c r="S26" s="533">
        <v>9.01240699E8</v>
      </c>
      <c r="T26" s="357" t="s">
        <v>3138</v>
      </c>
      <c r="U26" s="338"/>
      <c r="V26" s="338"/>
      <c r="W26" s="338"/>
      <c r="X26" s="338"/>
      <c r="Y26" s="338"/>
      <c r="Z26" s="338"/>
      <c r="AA26" s="338"/>
    </row>
    <row r="27" ht="15.75" customHeight="1">
      <c r="A27" s="528">
        <v>22.0</v>
      </c>
      <c r="B27" s="11"/>
      <c r="C27" s="530" t="s">
        <v>458</v>
      </c>
      <c r="D27" s="531" t="s">
        <v>3136</v>
      </c>
      <c r="E27" s="530"/>
      <c r="F27" s="530"/>
      <c r="G27" s="530"/>
      <c r="H27" s="530">
        <v>1.0</v>
      </c>
      <c r="I27" s="530"/>
      <c r="J27" s="530"/>
      <c r="K27" s="530"/>
      <c r="L27" s="530"/>
      <c r="M27" s="530"/>
      <c r="N27" s="11"/>
      <c r="O27" s="531"/>
      <c r="P27" s="530"/>
      <c r="Q27" s="530" t="s">
        <v>3100</v>
      </c>
      <c r="R27" s="531" t="s">
        <v>3141</v>
      </c>
      <c r="S27" s="533">
        <v>3.34924039E8</v>
      </c>
      <c r="T27" s="357" t="s">
        <v>3142</v>
      </c>
      <c r="U27" s="338"/>
      <c r="V27" s="338"/>
      <c r="W27" s="338"/>
      <c r="X27" s="338"/>
      <c r="Y27" s="338"/>
      <c r="Z27" s="338"/>
      <c r="AA27" s="338"/>
    </row>
    <row r="28" ht="15.75" customHeight="1">
      <c r="A28" s="528">
        <v>23.0</v>
      </c>
      <c r="B28" s="11"/>
      <c r="C28" s="531" t="s">
        <v>2292</v>
      </c>
      <c r="D28" s="531" t="s">
        <v>3136</v>
      </c>
      <c r="E28" s="531"/>
      <c r="F28" s="530"/>
      <c r="G28" s="530"/>
      <c r="H28" s="530">
        <v>1.0</v>
      </c>
      <c r="I28" s="530"/>
      <c r="J28" s="530"/>
      <c r="K28" s="530"/>
      <c r="L28" s="530"/>
      <c r="M28" s="530"/>
      <c r="N28" s="11"/>
      <c r="O28" s="531"/>
      <c r="P28" s="530"/>
      <c r="Q28" s="530" t="s">
        <v>3100</v>
      </c>
      <c r="R28" s="531" t="s">
        <v>3134</v>
      </c>
      <c r="S28" s="533">
        <v>9.14231175E8</v>
      </c>
      <c r="T28" s="357" t="s">
        <v>3143</v>
      </c>
      <c r="U28" s="338"/>
      <c r="V28" s="338"/>
      <c r="W28" s="338"/>
      <c r="X28" s="338"/>
      <c r="Y28" s="338"/>
      <c r="Z28" s="338"/>
      <c r="AA28" s="338"/>
    </row>
    <row r="29" ht="15.75" customHeight="1">
      <c r="A29" s="528">
        <v>24.0</v>
      </c>
      <c r="B29" s="11"/>
      <c r="C29" s="530" t="s">
        <v>2251</v>
      </c>
      <c r="D29" s="531" t="s">
        <v>3133</v>
      </c>
      <c r="E29" s="531"/>
      <c r="F29" s="530"/>
      <c r="G29" s="530"/>
      <c r="H29" s="530">
        <v>1.0</v>
      </c>
      <c r="I29" s="530"/>
      <c r="J29" s="530"/>
      <c r="K29" s="530"/>
      <c r="L29" s="530"/>
      <c r="M29" s="530"/>
      <c r="N29" s="11"/>
      <c r="O29" s="531"/>
      <c r="P29" s="530"/>
      <c r="Q29" s="530" t="s">
        <v>3100</v>
      </c>
      <c r="R29" s="531" t="s">
        <v>3144</v>
      </c>
      <c r="S29" s="533">
        <v>9.8528138E8</v>
      </c>
      <c r="T29" s="357" t="s">
        <v>3145</v>
      </c>
      <c r="U29" s="338"/>
      <c r="V29" s="338"/>
      <c r="W29" s="338"/>
      <c r="X29" s="338"/>
      <c r="Y29" s="338"/>
      <c r="Z29" s="338"/>
      <c r="AA29" s="338"/>
    </row>
    <row r="30" ht="15.75" customHeight="1">
      <c r="A30" s="528">
        <v>25.0</v>
      </c>
      <c r="B30" s="11"/>
      <c r="C30" s="530" t="s">
        <v>478</v>
      </c>
      <c r="D30" s="531" t="s">
        <v>3146</v>
      </c>
      <c r="E30" s="531" t="s">
        <v>3147</v>
      </c>
      <c r="F30" s="530"/>
      <c r="G30" s="530">
        <v>1.0</v>
      </c>
      <c r="H30" s="530">
        <v>1.0</v>
      </c>
      <c r="I30" s="530"/>
      <c r="J30" s="530"/>
      <c r="K30" s="530"/>
      <c r="L30" s="530"/>
      <c r="M30" s="530"/>
      <c r="N30" s="11"/>
      <c r="O30" s="531"/>
      <c r="P30" s="530"/>
      <c r="Q30" s="530" t="s">
        <v>532</v>
      </c>
      <c r="R30" s="530" t="s">
        <v>3148</v>
      </c>
      <c r="S30" s="533">
        <v>9.88610028E8</v>
      </c>
      <c r="T30" s="357" t="s">
        <v>3149</v>
      </c>
      <c r="U30" s="338"/>
      <c r="V30" s="338"/>
      <c r="W30" s="338"/>
      <c r="X30" s="338"/>
      <c r="Y30" s="338"/>
      <c r="Z30" s="338"/>
      <c r="AA30" s="338"/>
    </row>
    <row r="31" ht="15.75" customHeight="1">
      <c r="A31" s="528">
        <v>26.0</v>
      </c>
      <c r="B31" s="11"/>
      <c r="C31" s="531" t="s">
        <v>737</v>
      </c>
      <c r="D31" s="531" t="s">
        <v>3136</v>
      </c>
      <c r="E31" s="531" t="s">
        <v>24</v>
      </c>
      <c r="F31" s="530"/>
      <c r="G31" s="530"/>
      <c r="H31" s="530">
        <v>1.0</v>
      </c>
      <c r="I31" s="530"/>
      <c r="J31" s="530"/>
      <c r="K31" s="530"/>
      <c r="L31" s="530"/>
      <c r="M31" s="530"/>
      <c r="N31" s="11"/>
      <c r="O31" s="531"/>
      <c r="P31" s="530"/>
      <c r="Q31" s="530" t="s">
        <v>532</v>
      </c>
      <c r="R31" s="530" t="s">
        <v>3150</v>
      </c>
      <c r="S31" s="534">
        <v>3.358008E8</v>
      </c>
      <c r="T31" s="357" t="s">
        <v>3151</v>
      </c>
      <c r="U31" s="338"/>
      <c r="V31" s="338"/>
      <c r="W31" s="338"/>
      <c r="X31" s="338"/>
      <c r="Y31" s="338"/>
      <c r="Z31" s="338"/>
      <c r="AA31" s="338"/>
    </row>
    <row r="32" ht="15.75" customHeight="1">
      <c r="A32" s="528">
        <v>27.0</v>
      </c>
      <c r="B32" s="11"/>
      <c r="C32" s="531" t="s">
        <v>716</v>
      </c>
      <c r="D32" s="531" t="s">
        <v>3133</v>
      </c>
      <c r="E32" s="531" t="s">
        <v>24</v>
      </c>
      <c r="F32" s="530"/>
      <c r="G32" s="530"/>
      <c r="H32" s="530">
        <v>1.0</v>
      </c>
      <c r="I32" s="530"/>
      <c r="J32" s="530"/>
      <c r="K32" s="530"/>
      <c r="L32" s="530"/>
      <c r="M32" s="530"/>
      <c r="N32" s="11"/>
      <c r="O32" s="531"/>
      <c r="P32" s="530"/>
      <c r="Q32" s="530" t="s">
        <v>532</v>
      </c>
      <c r="R32" s="530" t="s">
        <v>3152</v>
      </c>
      <c r="S32" s="534">
        <v>3.98860962E8</v>
      </c>
      <c r="T32" s="357" t="s">
        <v>3153</v>
      </c>
      <c r="U32" s="338"/>
      <c r="V32" s="338"/>
      <c r="W32" s="338"/>
      <c r="X32" s="338"/>
      <c r="Y32" s="338"/>
      <c r="Z32" s="338"/>
      <c r="AA32" s="338"/>
    </row>
    <row r="33" ht="15.75" customHeight="1">
      <c r="A33" s="528">
        <v>28.0</v>
      </c>
      <c r="B33" s="11"/>
      <c r="C33" s="531" t="s">
        <v>3154</v>
      </c>
      <c r="D33" s="531" t="s">
        <v>3155</v>
      </c>
      <c r="E33" s="531"/>
      <c r="F33" s="530"/>
      <c r="G33" s="530"/>
      <c r="H33" s="530">
        <v>1.0</v>
      </c>
      <c r="I33" s="530"/>
      <c r="J33" s="530"/>
      <c r="K33" s="530"/>
      <c r="L33" s="530"/>
      <c r="M33" s="530"/>
      <c r="N33" s="11"/>
      <c r="O33" s="531"/>
      <c r="P33" s="530"/>
      <c r="Q33" s="530" t="s">
        <v>532</v>
      </c>
      <c r="R33" s="530" t="s">
        <v>3156</v>
      </c>
      <c r="S33" s="539">
        <v>9.86425099E8</v>
      </c>
      <c r="T33" s="357" t="s">
        <v>3157</v>
      </c>
      <c r="U33" s="338"/>
      <c r="V33" s="338"/>
      <c r="W33" s="338"/>
      <c r="X33" s="338"/>
      <c r="Y33" s="338"/>
      <c r="Z33" s="338"/>
      <c r="AA33" s="338"/>
    </row>
    <row r="34" ht="15.75" customHeight="1">
      <c r="A34" s="528">
        <v>29.0</v>
      </c>
      <c r="B34" s="11"/>
      <c r="C34" s="531" t="s">
        <v>889</v>
      </c>
      <c r="D34" s="531" t="s">
        <v>3158</v>
      </c>
      <c r="E34" s="530"/>
      <c r="F34" s="530"/>
      <c r="G34" s="530"/>
      <c r="H34" s="530">
        <v>1.0</v>
      </c>
      <c r="I34" s="530"/>
      <c r="J34" s="530"/>
      <c r="K34" s="530"/>
      <c r="L34" s="530"/>
      <c r="M34" s="530"/>
      <c r="N34" s="11"/>
      <c r="O34" s="531"/>
      <c r="P34" s="530"/>
      <c r="Q34" s="530" t="s">
        <v>3100</v>
      </c>
      <c r="R34" s="531" t="s">
        <v>3159</v>
      </c>
      <c r="S34" s="533">
        <v>9.86977809E8</v>
      </c>
      <c r="T34" s="357" t="s">
        <v>3160</v>
      </c>
      <c r="U34" s="338"/>
      <c r="V34" s="338"/>
      <c r="W34" s="338"/>
      <c r="X34" s="338"/>
      <c r="Y34" s="338"/>
      <c r="Z34" s="338"/>
      <c r="AA34" s="338"/>
    </row>
    <row r="35" ht="15.75" customHeight="1">
      <c r="A35" s="528">
        <v>31.0</v>
      </c>
      <c r="B35" s="11"/>
      <c r="C35" s="531" t="s">
        <v>474</v>
      </c>
      <c r="D35" s="531" t="s">
        <v>3161</v>
      </c>
      <c r="E35" s="530"/>
      <c r="F35" s="530"/>
      <c r="G35" s="530"/>
      <c r="H35" s="530">
        <v>1.0</v>
      </c>
      <c r="I35" s="530"/>
      <c r="J35" s="530"/>
      <c r="K35" s="530"/>
      <c r="L35" s="530"/>
      <c r="M35" s="530"/>
      <c r="N35" s="11"/>
      <c r="O35" s="531"/>
      <c r="P35" s="530"/>
      <c r="Q35" s="530" t="s">
        <v>3110</v>
      </c>
      <c r="R35" s="531" t="s">
        <v>3162</v>
      </c>
      <c r="S35" s="533">
        <v>9.34322286E8</v>
      </c>
      <c r="T35" s="357" t="s">
        <v>3163</v>
      </c>
      <c r="U35" s="338"/>
      <c r="V35" s="338"/>
      <c r="W35" s="338"/>
      <c r="X35" s="338"/>
      <c r="Y35" s="338"/>
      <c r="Z35" s="338"/>
      <c r="AA35" s="338"/>
    </row>
    <row r="36" ht="15.75" customHeight="1">
      <c r="A36" s="528">
        <v>32.0</v>
      </c>
      <c r="B36" s="11"/>
      <c r="C36" s="531" t="s">
        <v>448</v>
      </c>
      <c r="D36" s="531" t="s">
        <v>3164</v>
      </c>
      <c r="E36" s="530" t="s">
        <v>25</v>
      </c>
      <c r="F36" s="530"/>
      <c r="G36" s="530">
        <v>1.0</v>
      </c>
      <c r="H36" s="530">
        <v>1.0</v>
      </c>
      <c r="I36" s="530"/>
      <c r="J36" s="530"/>
      <c r="K36" s="530"/>
      <c r="L36" s="530"/>
      <c r="M36" s="530"/>
      <c r="N36" s="11"/>
      <c r="O36" s="531"/>
      <c r="P36" s="530"/>
      <c r="Q36" s="530" t="s">
        <v>1579</v>
      </c>
      <c r="R36" s="530" t="s">
        <v>3165</v>
      </c>
      <c r="S36" s="533" t="s">
        <v>3166</v>
      </c>
      <c r="T36" s="357" t="s">
        <v>3167</v>
      </c>
      <c r="U36" s="338"/>
      <c r="V36" s="338"/>
      <c r="W36" s="338"/>
      <c r="X36" s="338"/>
      <c r="Y36" s="338"/>
      <c r="Z36" s="338"/>
      <c r="AA36" s="338"/>
    </row>
    <row r="37" ht="15.75" customHeight="1">
      <c r="A37" s="528">
        <v>33.0</v>
      </c>
      <c r="B37" s="11"/>
      <c r="C37" s="531" t="s">
        <v>358</v>
      </c>
      <c r="D37" s="531" t="s">
        <v>3164</v>
      </c>
      <c r="E37" s="530" t="s">
        <v>25</v>
      </c>
      <c r="F37" s="530"/>
      <c r="G37" s="530">
        <v>1.0</v>
      </c>
      <c r="H37" s="530">
        <v>1.0</v>
      </c>
      <c r="I37" s="530"/>
      <c r="J37" s="530"/>
      <c r="K37" s="530"/>
      <c r="L37" s="530"/>
      <c r="M37" s="530"/>
      <c r="N37" s="11"/>
      <c r="O37" s="531"/>
      <c r="P37" s="530"/>
      <c r="Q37" s="530" t="s">
        <v>1579</v>
      </c>
      <c r="R37" s="530" t="s">
        <v>3165</v>
      </c>
      <c r="S37" s="533">
        <v>9.77515084E8</v>
      </c>
      <c r="T37" s="357" t="s">
        <v>3168</v>
      </c>
      <c r="U37" s="338"/>
      <c r="V37" s="338"/>
      <c r="W37" s="338"/>
      <c r="X37" s="338"/>
      <c r="Y37" s="338"/>
      <c r="Z37" s="338"/>
      <c r="AA37" s="338"/>
    </row>
    <row r="38" ht="15.75" customHeight="1">
      <c r="A38" s="528">
        <v>34.0</v>
      </c>
      <c r="B38" s="11"/>
      <c r="C38" s="531" t="s">
        <v>473</v>
      </c>
      <c r="D38" s="531" t="s">
        <v>3164</v>
      </c>
      <c r="E38" s="530" t="s">
        <v>25</v>
      </c>
      <c r="F38" s="530"/>
      <c r="G38" s="530">
        <v>1.0</v>
      </c>
      <c r="H38" s="530">
        <v>1.0</v>
      </c>
      <c r="I38" s="530"/>
      <c r="J38" s="530"/>
      <c r="K38" s="530"/>
      <c r="L38" s="530"/>
      <c r="M38" s="530"/>
      <c r="N38" s="11"/>
      <c r="O38" s="531"/>
      <c r="P38" s="530"/>
      <c r="Q38" s="530" t="s">
        <v>1579</v>
      </c>
      <c r="R38" s="530" t="s">
        <v>3165</v>
      </c>
      <c r="S38" s="534">
        <v>9.48555777E8</v>
      </c>
      <c r="T38" s="357" t="s">
        <v>3169</v>
      </c>
      <c r="U38" s="338"/>
      <c r="V38" s="338"/>
      <c r="W38" s="338"/>
      <c r="X38" s="338"/>
      <c r="Y38" s="338"/>
      <c r="Z38" s="338"/>
      <c r="AA38" s="338"/>
    </row>
    <row r="39" ht="15.75" customHeight="1">
      <c r="A39" s="528">
        <v>35.0</v>
      </c>
      <c r="B39" s="11"/>
      <c r="C39" s="531" t="s">
        <v>623</v>
      </c>
      <c r="D39" s="531" t="s">
        <v>3164</v>
      </c>
      <c r="E39" s="530" t="s">
        <v>24</v>
      </c>
      <c r="F39" s="530"/>
      <c r="G39" s="530">
        <v>1.0</v>
      </c>
      <c r="H39" s="530">
        <v>1.0</v>
      </c>
      <c r="I39" s="530"/>
      <c r="J39" s="530"/>
      <c r="K39" s="530"/>
      <c r="L39" s="530"/>
      <c r="M39" s="530"/>
      <c r="N39" s="11"/>
      <c r="O39" s="531"/>
      <c r="P39" s="530"/>
      <c r="Q39" s="530" t="s">
        <v>1215</v>
      </c>
      <c r="R39" s="530" t="s">
        <v>3165</v>
      </c>
      <c r="S39" s="533">
        <v>3.52166959E8</v>
      </c>
      <c r="T39" s="544" t="s">
        <v>3170</v>
      </c>
      <c r="U39" s="338"/>
      <c r="V39" s="338"/>
      <c r="W39" s="338"/>
      <c r="X39" s="338"/>
      <c r="Y39" s="338"/>
      <c r="Z39" s="338"/>
      <c r="AA39" s="338"/>
    </row>
    <row r="40" ht="15.75" customHeight="1">
      <c r="A40" s="528">
        <v>36.0</v>
      </c>
      <c r="B40" s="11"/>
      <c r="C40" s="531" t="s">
        <v>441</v>
      </c>
      <c r="D40" s="531" t="s">
        <v>3171</v>
      </c>
      <c r="E40" s="530" t="s">
        <v>24</v>
      </c>
      <c r="F40" s="530"/>
      <c r="G40" s="530">
        <v>1.0</v>
      </c>
      <c r="H40" s="530">
        <v>1.0</v>
      </c>
      <c r="I40" s="530"/>
      <c r="J40" s="530"/>
      <c r="K40" s="530"/>
      <c r="L40" s="530"/>
      <c r="M40" s="530"/>
      <c r="N40" s="11"/>
      <c r="O40" s="531"/>
      <c r="P40" s="530"/>
      <c r="Q40" s="530" t="s">
        <v>927</v>
      </c>
      <c r="R40" s="530" t="s">
        <v>3172</v>
      </c>
      <c r="S40" s="545" t="s">
        <v>3173</v>
      </c>
      <c r="T40" s="533" t="s">
        <v>3174</v>
      </c>
      <c r="U40" s="338"/>
      <c r="V40" s="338"/>
      <c r="W40" s="338"/>
      <c r="X40" s="338"/>
      <c r="Y40" s="338"/>
      <c r="Z40" s="338"/>
      <c r="AA40" s="338"/>
    </row>
    <row r="41" ht="15.75" customHeight="1">
      <c r="A41" s="528">
        <v>37.0</v>
      </c>
      <c r="B41" s="11"/>
      <c r="C41" s="531" t="s">
        <v>846</v>
      </c>
      <c r="D41" s="531" t="s">
        <v>3171</v>
      </c>
      <c r="E41" s="530" t="s">
        <v>24</v>
      </c>
      <c r="F41" s="530"/>
      <c r="G41" s="530">
        <v>1.0</v>
      </c>
      <c r="H41" s="530">
        <v>1.0</v>
      </c>
      <c r="I41" s="530"/>
      <c r="J41" s="530"/>
      <c r="K41" s="530"/>
      <c r="L41" s="530"/>
      <c r="M41" s="530"/>
      <c r="N41" s="11"/>
      <c r="O41" s="531"/>
      <c r="P41" s="530"/>
      <c r="Q41" s="530" t="s">
        <v>927</v>
      </c>
      <c r="R41" s="530" t="s">
        <v>3175</v>
      </c>
      <c r="S41" s="545" t="s">
        <v>3176</v>
      </c>
      <c r="T41" s="533" t="s">
        <v>3177</v>
      </c>
      <c r="U41" s="338"/>
      <c r="V41" s="338"/>
      <c r="W41" s="338"/>
      <c r="X41" s="338"/>
      <c r="Y41" s="338"/>
      <c r="Z41" s="338"/>
      <c r="AA41" s="338"/>
    </row>
    <row r="42" ht="15.75" customHeight="1">
      <c r="A42" s="528">
        <v>38.0</v>
      </c>
      <c r="B42" s="11"/>
      <c r="C42" s="531" t="s">
        <v>1109</v>
      </c>
      <c r="D42" s="531" t="s">
        <v>3171</v>
      </c>
      <c r="E42" s="530" t="s">
        <v>24</v>
      </c>
      <c r="F42" s="530"/>
      <c r="G42" s="530">
        <v>1.0</v>
      </c>
      <c r="H42" s="530">
        <v>1.0</v>
      </c>
      <c r="I42" s="530"/>
      <c r="J42" s="530"/>
      <c r="K42" s="530"/>
      <c r="L42" s="530"/>
      <c r="M42" s="530"/>
      <c r="N42" s="11"/>
      <c r="O42" s="531"/>
      <c r="P42" s="530"/>
      <c r="Q42" s="530" t="s">
        <v>927</v>
      </c>
      <c r="R42" s="530" t="s">
        <v>3178</v>
      </c>
      <c r="S42" s="545" t="s">
        <v>3179</v>
      </c>
      <c r="T42" s="533" t="s">
        <v>3180</v>
      </c>
      <c r="U42" s="338"/>
      <c r="V42" s="338"/>
      <c r="W42" s="338"/>
      <c r="X42" s="338"/>
      <c r="Y42" s="338"/>
      <c r="Z42" s="338"/>
      <c r="AA42" s="338"/>
    </row>
    <row r="43" ht="15.75" customHeight="1">
      <c r="A43" s="528">
        <v>39.0</v>
      </c>
      <c r="B43" s="11"/>
      <c r="C43" s="531" t="s">
        <v>430</v>
      </c>
      <c r="D43" s="531" t="s">
        <v>3171</v>
      </c>
      <c r="E43" s="530" t="s">
        <v>24</v>
      </c>
      <c r="F43" s="530"/>
      <c r="G43" s="530">
        <v>1.0</v>
      </c>
      <c r="H43" s="530">
        <v>1.0</v>
      </c>
      <c r="I43" s="530"/>
      <c r="J43" s="530"/>
      <c r="K43" s="530"/>
      <c r="L43" s="530"/>
      <c r="M43" s="530"/>
      <c r="N43" s="11"/>
      <c r="O43" s="531"/>
      <c r="P43" s="530"/>
      <c r="Q43" s="530" t="s">
        <v>927</v>
      </c>
      <c r="R43" s="530" t="s">
        <v>3181</v>
      </c>
      <c r="S43" s="545" t="s">
        <v>3182</v>
      </c>
      <c r="T43" s="533" t="s">
        <v>3183</v>
      </c>
      <c r="U43" s="338"/>
      <c r="V43" s="338"/>
      <c r="W43" s="338"/>
      <c r="X43" s="338"/>
      <c r="Y43" s="338"/>
      <c r="Z43" s="338"/>
      <c r="AA43" s="338"/>
    </row>
    <row r="44" ht="15.75" customHeight="1">
      <c r="A44" s="528">
        <v>40.0</v>
      </c>
      <c r="B44" s="11"/>
      <c r="C44" s="531" t="s">
        <v>451</v>
      </c>
      <c r="D44" s="531" t="s">
        <v>3171</v>
      </c>
      <c r="E44" s="530" t="s">
        <v>24</v>
      </c>
      <c r="F44" s="530"/>
      <c r="G44" s="530"/>
      <c r="H44" s="530">
        <v>1.0</v>
      </c>
      <c r="I44" s="530"/>
      <c r="J44" s="530"/>
      <c r="K44" s="530"/>
      <c r="L44" s="530"/>
      <c r="M44" s="530"/>
      <c r="N44" s="11"/>
      <c r="O44" s="531"/>
      <c r="P44" s="530"/>
      <c r="Q44" s="530" t="s">
        <v>2129</v>
      </c>
      <c r="R44" s="530" t="s">
        <v>3184</v>
      </c>
      <c r="S44" s="533">
        <v>9.89151599E8</v>
      </c>
      <c r="T44" s="357" t="s">
        <v>3185</v>
      </c>
      <c r="U44" s="338"/>
      <c r="V44" s="338"/>
      <c r="W44" s="338"/>
      <c r="X44" s="338"/>
      <c r="Y44" s="338"/>
      <c r="Z44" s="338"/>
      <c r="AA44" s="338"/>
    </row>
    <row r="45" ht="15.75" customHeight="1">
      <c r="A45" s="528">
        <v>41.0</v>
      </c>
      <c r="B45" s="11"/>
      <c r="C45" s="531" t="s">
        <v>457</v>
      </c>
      <c r="D45" s="531" t="s">
        <v>3186</v>
      </c>
      <c r="E45" s="530" t="s">
        <v>24</v>
      </c>
      <c r="F45" s="530"/>
      <c r="G45" s="530"/>
      <c r="H45" s="530">
        <v>1.0</v>
      </c>
      <c r="I45" s="530"/>
      <c r="J45" s="530"/>
      <c r="K45" s="530"/>
      <c r="L45" s="530"/>
      <c r="M45" s="530"/>
      <c r="N45" s="11"/>
      <c r="O45" s="531"/>
      <c r="P45" s="530"/>
      <c r="Q45" s="530" t="s">
        <v>2129</v>
      </c>
      <c r="R45" s="530" t="s">
        <v>3178</v>
      </c>
      <c r="S45" s="533">
        <v>3.76932196E8</v>
      </c>
      <c r="T45" s="357" t="s">
        <v>3187</v>
      </c>
      <c r="U45" s="338"/>
      <c r="V45" s="338"/>
      <c r="W45" s="338"/>
      <c r="X45" s="338"/>
      <c r="Y45" s="338"/>
      <c r="Z45" s="338"/>
      <c r="AA45" s="338"/>
    </row>
    <row r="46" ht="15.75" customHeight="1">
      <c r="A46" s="528">
        <v>42.0</v>
      </c>
      <c r="B46" s="11"/>
      <c r="C46" s="531" t="s">
        <v>3188</v>
      </c>
      <c r="D46" s="531" t="s">
        <v>3161</v>
      </c>
      <c r="E46" s="530" t="s">
        <v>3189</v>
      </c>
      <c r="F46" s="530"/>
      <c r="G46" s="530"/>
      <c r="H46" s="530">
        <v>1.0</v>
      </c>
      <c r="I46" s="530"/>
      <c r="J46" s="530"/>
      <c r="K46" s="530"/>
      <c r="L46" s="530"/>
      <c r="M46" s="530"/>
      <c r="N46" s="11"/>
      <c r="O46" s="531"/>
      <c r="P46" s="530"/>
      <c r="Q46" s="530" t="s">
        <v>2129</v>
      </c>
      <c r="R46" s="530" t="s">
        <v>3190</v>
      </c>
      <c r="S46" s="546">
        <v>8.88205136E8</v>
      </c>
      <c r="T46" s="357" t="s">
        <v>3191</v>
      </c>
      <c r="U46" s="338"/>
      <c r="V46" s="338"/>
      <c r="W46" s="338"/>
      <c r="X46" s="338"/>
      <c r="Y46" s="338"/>
      <c r="Z46" s="338"/>
      <c r="AA46" s="338"/>
    </row>
    <row r="47" ht="15.75" customHeight="1">
      <c r="A47" s="528">
        <v>43.0</v>
      </c>
      <c r="B47" s="11"/>
      <c r="C47" s="531" t="s">
        <v>3192</v>
      </c>
      <c r="D47" s="531" t="s">
        <v>3161</v>
      </c>
      <c r="E47" s="530" t="s">
        <v>3193</v>
      </c>
      <c r="F47" s="530"/>
      <c r="G47" s="530"/>
      <c r="H47" s="530">
        <v>1.0</v>
      </c>
      <c r="I47" s="530"/>
      <c r="J47" s="530"/>
      <c r="K47" s="530"/>
      <c r="L47" s="530"/>
      <c r="M47" s="530"/>
      <c r="N47" s="11"/>
      <c r="O47" s="531"/>
      <c r="P47" s="530"/>
      <c r="Q47" s="530" t="s">
        <v>2129</v>
      </c>
      <c r="R47" s="530" t="s">
        <v>3190</v>
      </c>
      <c r="S47" s="533">
        <v>9.21453486E8</v>
      </c>
      <c r="T47" s="357" t="s">
        <v>3194</v>
      </c>
      <c r="U47" s="338"/>
      <c r="V47" s="338"/>
      <c r="W47" s="338"/>
      <c r="X47" s="338"/>
      <c r="Y47" s="338"/>
      <c r="Z47" s="338"/>
      <c r="AA47" s="338"/>
    </row>
    <row r="48" ht="15.75" customHeight="1">
      <c r="A48" s="528">
        <v>44.0</v>
      </c>
      <c r="B48" s="11"/>
      <c r="C48" s="531" t="s">
        <v>3195</v>
      </c>
      <c r="D48" s="531" t="s">
        <v>3161</v>
      </c>
      <c r="E48" s="530" t="s">
        <v>3147</v>
      </c>
      <c r="F48" s="530"/>
      <c r="G48" s="530"/>
      <c r="H48" s="530">
        <v>1.0</v>
      </c>
      <c r="I48" s="530"/>
      <c r="J48" s="530"/>
      <c r="K48" s="530"/>
      <c r="L48" s="530"/>
      <c r="M48" s="530"/>
      <c r="N48" s="11"/>
      <c r="O48" s="531"/>
      <c r="P48" s="530"/>
      <c r="Q48" s="530" t="s">
        <v>2129</v>
      </c>
      <c r="R48" s="530" t="s">
        <v>3196</v>
      </c>
      <c r="S48" s="533">
        <v>9.76843906E8</v>
      </c>
      <c r="T48" s="357" t="s">
        <v>3197</v>
      </c>
      <c r="U48" s="338"/>
      <c r="V48" s="338"/>
      <c r="W48" s="338"/>
      <c r="X48" s="338"/>
      <c r="Y48" s="338"/>
      <c r="Z48" s="338"/>
      <c r="AA48" s="338"/>
    </row>
    <row r="49" ht="15.75" customHeight="1">
      <c r="A49" s="528">
        <v>45.0</v>
      </c>
      <c r="B49" s="11"/>
      <c r="C49" s="531" t="s">
        <v>2210</v>
      </c>
      <c r="D49" s="530" t="s">
        <v>3198</v>
      </c>
      <c r="E49" s="530" t="s">
        <v>24</v>
      </c>
      <c r="F49" s="530"/>
      <c r="G49" s="530"/>
      <c r="H49" s="530">
        <v>1.0</v>
      </c>
      <c r="I49" s="530"/>
      <c r="J49" s="530"/>
      <c r="K49" s="530"/>
      <c r="L49" s="530"/>
      <c r="M49" s="530"/>
      <c r="N49" s="11"/>
      <c r="O49" s="531"/>
      <c r="P49" s="530"/>
      <c r="Q49" s="530" t="s">
        <v>3199</v>
      </c>
      <c r="R49" s="530" t="s">
        <v>3200</v>
      </c>
      <c r="S49" s="533">
        <v>3.43086948E8</v>
      </c>
      <c r="T49" s="357" t="s">
        <v>3201</v>
      </c>
      <c r="U49" s="338"/>
      <c r="V49" s="338"/>
      <c r="W49" s="338"/>
      <c r="X49" s="338"/>
      <c r="Y49" s="338"/>
      <c r="Z49" s="338"/>
      <c r="AA49" s="338"/>
    </row>
    <row r="50" ht="15.75" customHeight="1">
      <c r="A50" s="528">
        <v>46.0</v>
      </c>
      <c r="B50" s="11"/>
      <c r="C50" s="530" t="s">
        <v>755</v>
      </c>
      <c r="D50" s="530" t="s">
        <v>3198</v>
      </c>
      <c r="E50" s="530" t="s">
        <v>24</v>
      </c>
      <c r="F50" s="530"/>
      <c r="G50" s="530"/>
      <c r="H50" s="530">
        <v>1.0</v>
      </c>
      <c r="I50" s="530"/>
      <c r="J50" s="530"/>
      <c r="K50" s="530"/>
      <c r="L50" s="530"/>
      <c r="M50" s="530"/>
      <c r="N50" s="11"/>
      <c r="O50" s="531"/>
      <c r="P50" s="530"/>
      <c r="Q50" s="530" t="s">
        <v>3199</v>
      </c>
      <c r="R50" s="530" t="s">
        <v>3202</v>
      </c>
      <c r="S50" s="533">
        <v>3.75493817E8</v>
      </c>
      <c r="T50" s="357" t="s">
        <v>3203</v>
      </c>
      <c r="U50" s="338"/>
      <c r="V50" s="338"/>
      <c r="W50" s="338"/>
      <c r="X50" s="338"/>
      <c r="Y50" s="338"/>
      <c r="Z50" s="338"/>
      <c r="AA50" s="338"/>
    </row>
    <row r="51" ht="15.75" customHeight="1">
      <c r="A51" s="528">
        <v>47.0</v>
      </c>
      <c r="B51" s="11"/>
      <c r="C51" s="530" t="s">
        <v>464</v>
      </c>
      <c r="D51" s="530" t="s">
        <v>3161</v>
      </c>
      <c r="E51" s="530"/>
      <c r="F51" s="530"/>
      <c r="G51" s="530"/>
      <c r="H51" s="530">
        <v>1.0</v>
      </c>
      <c r="I51" s="530"/>
      <c r="J51" s="530"/>
      <c r="K51" s="530"/>
      <c r="L51" s="530"/>
      <c r="M51" s="530"/>
      <c r="N51" s="11"/>
      <c r="O51" s="531"/>
      <c r="P51" s="530"/>
      <c r="Q51" s="530" t="s">
        <v>1505</v>
      </c>
      <c r="R51" s="530" t="s">
        <v>3204</v>
      </c>
      <c r="S51" s="533">
        <v>9.12700299E8</v>
      </c>
      <c r="T51" s="357" t="s">
        <v>3205</v>
      </c>
      <c r="U51" s="338"/>
      <c r="V51" s="338"/>
      <c r="W51" s="338"/>
      <c r="X51" s="338"/>
      <c r="Y51" s="338"/>
      <c r="Z51" s="338"/>
      <c r="AA51" s="338"/>
    </row>
    <row r="52" ht="15.75" customHeight="1">
      <c r="A52" s="528">
        <v>48.0</v>
      </c>
      <c r="B52" s="11"/>
      <c r="C52" s="530" t="s">
        <v>750</v>
      </c>
      <c r="D52" s="530" t="s">
        <v>3161</v>
      </c>
      <c r="E52" s="530"/>
      <c r="F52" s="530"/>
      <c r="G52" s="530"/>
      <c r="H52" s="530">
        <v>1.0</v>
      </c>
      <c r="I52" s="530"/>
      <c r="J52" s="530"/>
      <c r="K52" s="530"/>
      <c r="L52" s="530"/>
      <c r="M52" s="530"/>
      <c r="N52" s="11"/>
      <c r="O52" s="531"/>
      <c r="P52" s="530"/>
      <c r="Q52" s="530" t="s">
        <v>1505</v>
      </c>
      <c r="R52" s="530" t="s">
        <v>3204</v>
      </c>
      <c r="S52" s="533">
        <v>9.7987191E8</v>
      </c>
      <c r="T52" s="357" t="s">
        <v>3206</v>
      </c>
      <c r="U52" s="338"/>
      <c r="V52" s="338"/>
      <c r="W52" s="338"/>
      <c r="X52" s="338"/>
      <c r="Y52" s="338"/>
      <c r="Z52" s="338"/>
      <c r="AA52" s="338"/>
    </row>
    <row r="53" ht="15.75" customHeight="1">
      <c r="A53" s="528">
        <v>49.0</v>
      </c>
      <c r="B53" s="11"/>
      <c r="C53" s="530" t="s">
        <v>450</v>
      </c>
      <c r="D53" s="530" t="s">
        <v>3161</v>
      </c>
      <c r="E53" s="530"/>
      <c r="F53" s="530"/>
      <c r="G53" s="530"/>
      <c r="H53" s="530">
        <v>1.0</v>
      </c>
      <c r="I53" s="530"/>
      <c r="J53" s="530"/>
      <c r="K53" s="530"/>
      <c r="L53" s="530"/>
      <c r="M53" s="530"/>
      <c r="N53" s="11"/>
      <c r="O53" s="531"/>
      <c r="P53" s="530"/>
      <c r="Q53" s="530" t="s">
        <v>1505</v>
      </c>
      <c r="R53" s="530" t="s">
        <v>3204</v>
      </c>
      <c r="S53" s="533">
        <v>9.02831679E8</v>
      </c>
      <c r="T53" s="357" t="s">
        <v>3207</v>
      </c>
      <c r="U53" s="338"/>
      <c r="V53" s="338"/>
      <c r="W53" s="338"/>
      <c r="X53" s="338"/>
      <c r="Y53" s="338"/>
      <c r="Z53" s="338"/>
      <c r="AA53" s="338"/>
    </row>
    <row r="54" ht="15.75" customHeight="1">
      <c r="A54" s="528">
        <v>50.0</v>
      </c>
      <c r="B54" s="11"/>
      <c r="C54" s="530" t="s">
        <v>2416</v>
      </c>
      <c r="D54" s="530" t="s">
        <v>3161</v>
      </c>
      <c r="E54" s="530"/>
      <c r="F54" s="530"/>
      <c r="G54" s="530"/>
      <c r="H54" s="530">
        <v>1.0</v>
      </c>
      <c r="I54" s="530"/>
      <c r="J54" s="530"/>
      <c r="K54" s="530"/>
      <c r="L54" s="530"/>
      <c r="M54" s="530"/>
      <c r="N54" s="11"/>
      <c r="O54" s="531"/>
      <c r="P54" s="530"/>
      <c r="Q54" s="530" t="s">
        <v>1505</v>
      </c>
      <c r="R54" s="530" t="s">
        <v>3204</v>
      </c>
      <c r="S54" s="533">
        <v>9.78233265E8</v>
      </c>
      <c r="T54" s="357" t="s">
        <v>3208</v>
      </c>
      <c r="U54" s="338"/>
      <c r="V54" s="338"/>
      <c r="W54" s="338"/>
      <c r="X54" s="338"/>
      <c r="Y54" s="338"/>
      <c r="Z54" s="338"/>
      <c r="AA54" s="338"/>
    </row>
    <row r="55" ht="15.75" customHeight="1">
      <c r="A55" s="528">
        <v>51.0</v>
      </c>
      <c r="B55" s="11"/>
      <c r="C55" s="530" t="s">
        <v>585</v>
      </c>
      <c r="D55" s="530" t="s">
        <v>3209</v>
      </c>
      <c r="E55" s="530"/>
      <c r="F55" s="530"/>
      <c r="G55" s="530"/>
      <c r="H55" s="530">
        <v>1.0</v>
      </c>
      <c r="I55" s="530"/>
      <c r="J55" s="530"/>
      <c r="K55" s="530"/>
      <c r="L55" s="530"/>
      <c r="M55" s="530"/>
      <c r="N55" s="11"/>
      <c r="O55" s="531"/>
      <c r="P55" s="530"/>
      <c r="Q55" s="530" t="s">
        <v>1505</v>
      </c>
      <c r="R55" s="530" t="s">
        <v>3204</v>
      </c>
      <c r="S55" s="533">
        <v>9.82691186E8</v>
      </c>
      <c r="T55" s="357" t="s">
        <v>3210</v>
      </c>
      <c r="U55" s="338"/>
      <c r="V55" s="338"/>
      <c r="W55" s="338"/>
      <c r="X55" s="338"/>
      <c r="Y55" s="338"/>
      <c r="Z55" s="338"/>
      <c r="AA55" s="338"/>
    </row>
    <row r="56" ht="15.75" customHeight="1">
      <c r="A56" s="528">
        <v>52.0</v>
      </c>
      <c r="B56" s="11"/>
      <c r="C56" s="530" t="s">
        <v>554</v>
      </c>
      <c r="D56" s="530" t="s">
        <v>3209</v>
      </c>
      <c r="E56" s="530"/>
      <c r="F56" s="530"/>
      <c r="G56" s="530"/>
      <c r="H56" s="530">
        <v>1.0</v>
      </c>
      <c r="I56" s="530"/>
      <c r="J56" s="530"/>
      <c r="K56" s="530"/>
      <c r="L56" s="530"/>
      <c r="M56" s="530"/>
      <c r="N56" s="11"/>
      <c r="O56" s="531"/>
      <c r="P56" s="530"/>
      <c r="Q56" s="530" t="s">
        <v>1505</v>
      </c>
      <c r="R56" s="530" t="s">
        <v>3204</v>
      </c>
      <c r="S56" s="338">
        <v>9.49792585E8</v>
      </c>
      <c r="T56" s="357" t="s">
        <v>3211</v>
      </c>
      <c r="U56" s="338"/>
      <c r="V56" s="338"/>
      <c r="W56" s="338"/>
      <c r="X56" s="338"/>
      <c r="Y56" s="338"/>
      <c r="Z56" s="338"/>
      <c r="AA56" s="338"/>
    </row>
    <row r="57" ht="15.75" customHeight="1">
      <c r="A57" s="528">
        <v>53.0</v>
      </c>
      <c r="B57" s="11"/>
      <c r="C57" s="530" t="s">
        <v>475</v>
      </c>
      <c r="D57" s="530" t="s">
        <v>3209</v>
      </c>
      <c r="E57" s="530"/>
      <c r="F57" s="530"/>
      <c r="G57" s="530"/>
      <c r="H57" s="530">
        <v>1.0</v>
      </c>
      <c r="I57" s="530"/>
      <c r="J57" s="530"/>
      <c r="K57" s="530"/>
      <c r="L57" s="530"/>
      <c r="M57" s="530"/>
      <c r="N57" s="16"/>
      <c r="O57" s="531"/>
      <c r="P57" s="530"/>
      <c r="Q57" s="530" t="s">
        <v>1505</v>
      </c>
      <c r="R57" s="530" t="s">
        <v>3204</v>
      </c>
      <c r="S57" s="533">
        <v>9.74960829E8</v>
      </c>
      <c r="T57" s="357" t="s">
        <v>3212</v>
      </c>
      <c r="U57" s="338"/>
      <c r="V57" s="338"/>
      <c r="W57" s="338"/>
      <c r="X57" s="338"/>
      <c r="Y57" s="338"/>
      <c r="Z57" s="338"/>
      <c r="AA57" s="338"/>
    </row>
    <row r="58" ht="15.75" customHeight="1">
      <c r="A58" s="528">
        <v>54.0</v>
      </c>
      <c r="B58" s="11"/>
      <c r="C58" s="531" t="s">
        <v>529</v>
      </c>
      <c r="D58" s="531" t="s">
        <v>3213</v>
      </c>
      <c r="E58" s="531"/>
      <c r="F58" s="531"/>
      <c r="G58" s="531"/>
      <c r="H58" s="530">
        <v>1.0</v>
      </c>
      <c r="I58" s="531"/>
      <c r="J58" s="531"/>
      <c r="K58" s="531"/>
      <c r="L58" s="531"/>
      <c r="M58" s="531">
        <v>0.0</v>
      </c>
      <c r="N58" s="531"/>
      <c r="O58" s="531"/>
      <c r="P58" s="531"/>
      <c r="Q58" s="530" t="s">
        <v>1505</v>
      </c>
      <c r="R58" s="530" t="s">
        <v>3204</v>
      </c>
      <c r="S58" s="533">
        <v>9.12881626E8</v>
      </c>
      <c r="T58" s="357" t="s">
        <v>3214</v>
      </c>
      <c r="U58" s="338"/>
      <c r="V58" s="338"/>
      <c r="W58" s="338"/>
      <c r="X58" s="338"/>
      <c r="Y58" s="338"/>
      <c r="Z58" s="338"/>
      <c r="AA58" s="338"/>
    </row>
    <row r="59" ht="15.75" customHeight="1">
      <c r="A59" s="528">
        <v>55.0</v>
      </c>
      <c r="B59" s="16"/>
      <c r="C59" s="530" t="s">
        <v>580</v>
      </c>
      <c r="D59" s="530" t="s">
        <v>3161</v>
      </c>
      <c r="E59" s="530"/>
      <c r="F59" s="530"/>
      <c r="G59" s="530"/>
      <c r="H59" s="530">
        <v>1.0</v>
      </c>
      <c r="I59" s="531"/>
      <c r="J59" s="531"/>
      <c r="K59" s="531"/>
      <c r="L59" s="531"/>
      <c r="M59" s="530"/>
      <c r="N59" s="530"/>
      <c r="O59" s="531"/>
      <c r="P59" s="530"/>
      <c r="Q59" s="530" t="s">
        <v>1505</v>
      </c>
      <c r="R59" s="530" t="s">
        <v>3204</v>
      </c>
      <c r="S59" s="533">
        <v>9.44418215E8</v>
      </c>
      <c r="T59" s="357" t="s">
        <v>3215</v>
      </c>
      <c r="U59" s="338"/>
      <c r="V59" s="338"/>
      <c r="W59" s="338"/>
      <c r="X59" s="338"/>
      <c r="Y59" s="338"/>
      <c r="Z59" s="338"/>
      <c r="AA59" s="338"/>
    </row>
    <row r="60" ht="15.75" customHeight="1">
      <c r="A60" s="528">
        <v>56.0</v>
      </c>
      <c r="B60" s="530"/>
      <c r="C60" s="547" t="s">
        <v>3216</v>
      </c>
      <c r="D60" s="547" t="s">
        <v>3217</v>
      </c>
      <c r="E60" s="548">
        <v>1.0</v>
      </c>
      <c r="F60" s="548"/>
      <c r="G60" s="547">
        <v>1.0</v>
      </c>
      <c r="H60" s="547">
        <v>1.0</v>
      </c>
      <c r="I60" s="548"/>
      <c r="J60" s="548"/>
      <c r="K60" s="548"/>
      <c r="L60" s="548"/>
      <c r="M60" s="548"/>
      <c r="N60" s="530"/>
      <c r="O60" s="530"/>
      <c r="P60" s="530"/>
      <c r="Q60" s="530" t="s">
        <v>3218</v>
      </c>
      <c r="R60" s="549" t="s">
        <v>3219</v>
      </c>
      <c r="S60" s="550" t="s">
        <v>3220</v>
      </c>
      <c r="T60" s="533" t="s">
        <v>3221</v>
      </c>
      <c r="U60" s="338"/>
      <c r="V60" s="338"/>
      <c r="W60" s="338"/>
      <c r="X60" s="338"/>
      <c r="Y60" s="338"/>
      <c r="Z60" s="338"/>
      <c r="AA60" s="338"/>
    </row>
    <row r="61" ht="15.75" customHeight="1">
      <c r="A61" s="528">
        <v>57.0</v>
      </c>
      <c r="B61" s="530"/>
      <c r="C61" s="547" t="s">
        <v>3222</v>
      </c>
      <c r="D61" s="547" t="s">
        <v>3223</v>
      </c>
      <c r="E61" s="548"/>
      <c r="F61" s="548"/>
      <c r="G61" s="547">
        <v>1.0</v>
      </c>
      <c r="H61" s="547">
        <v>1.0</v>
      </c>
      <c r="I61" s="548"/>
      <c r="J61" s="548"/>
      <c r="K61" s="548"/>
      <c r="L61" s="548"/>
      <c r="M61" s="548"/>
      <c r="N61" s="530"/>
      <c r="O61" s="530"/>
      <c r="P61" s="530"/>
      <c r="Q61" s="530" t="s">
        <v>3218</v>
      </c>
      <c r="R61" s="12"/>
      <c r="S61" s="551" t="s">
        <v>3224</v>
      </c>
      <c r="T61" s="533" t="s">
        <v>3225</v>
      </c>
      <c r="U61" s="338"/>
      <c r="V61" s="338"/>
      <c r="W61" s="338"/>
      <c r="X61" s="338"/>
      <c r="Y61" s="338"/>
      <c r="Z61" s="338"/>
      <c r="AA61" s="338"/>
    </row>
    <row r="62" ht="15.75" customHeight="1">
      <c r="A62" s="528">
        <v>58.0</v>
      </c>
      <c r="B62" s="530"/>
      <c r="C62" s="552" t="s">
        <v>3226</v>
      </c>
      <c r="D62" s="552" t="s">
        <v>3227</v>
      </c>
      <c r="E62" s="548"/>
      <c r="F62" s="548"/>
      <c r="G62" s="547">
        <v>1.0</v>
      </c>
      <c r="H62" s="547">
        <v>1.0</v>
      </c>
      <c r="I62" s="548"/>
      <c r="J62" s="548"/>
      <c r="K62" s="548"/>
      <c r="L62" s="548"/>
      <c r="M62" s="548"/>
      <c r="N62" s="530"/>
      <c r="O62" s="530"/>
      <c r="P62" s="530"/>
      <c r="Q62" s="530" t="s">
        <v>2641</v>
      </c>
      <c r="R62" s="12"/>
      <c r="S62" s="551" t="s">
        <v>3228</v>
      </c>
      <c r="T62" s="533" t="s">
        <v>3229</v>
      </c>
      <c r="U62" s="338"/>
      <c r="V62" s="338"/>
      <c r="W62" s="338"/>
      <c r="X62" s="338"/>
      <c r="Y62" s="338"/>
      <c r="Z62" s="338"/>
      <c r="AA62" s="338"/>
    </row>
    <row r="63" ht="15.75" customHeight="1">
      <c r="A63" s="528">
        <v>59.0</v>
      </c>
      <c r="B63" s="530"/>
      <c r="C63" s="552" t="s">
        <v>3230</v>
      </c>
      <c r="D63" s="552" t="s">
        <v>3231</v>
      </c>
      <c r="E63" s="548"/>
      <c r="F63" s="548"/>
      <c r="G63" s="547">
        <v>1.0</v>
      </c>
      <c r="H63" s="547">
        <v>1.0</v>
      </c>
      <c r="I63" s="548"/>
      <c r="J63" s="548"/>
      <c r="K63" s="548"/>
      <c r="L63" s="548"/>
      <c r="M63" s="548"/>
      <c r="N63" s="530"/>
      <c r="O63" s="530"/>
      <c r="P63" s="530"/>
      <c r="Q63" s="530" t="s">
        <v>3218</v>
      </c>
      <c r="R63" s="12"/>
      <c r="S63" s="553" t="s">
        <v>3232</v>
      </c>
      <c r="T63" s="533" t="s">
        <v>3233</v>
      </c>
      <c r="U63" s="338"/>
      <c r="V63" s="338"/>
      <c r="W63" s="338"/>
      <c r="X63" s="338"/>
      <c r="Y63" s="338"/>
      <c r="Z63" s="338"/>
      <c r="AA63" s="338"/>
    </row>
    <row r="64" ht="15.75" customHeight="1">
      <c r="A64" s="528">
        <v>60.0</v>
      </c>
      <c r="B64" s="530"/>
      <c r="C64" s="552" t="s">
        <v>3234</v>
      </c>
      <c r="D64" s="552" t="s">
        <v>3235</v>
      </c>
      <c r="E64" s="548"/>
      <c r="F64" s="548"/>
      <c r="G64" s="547">
        <v>1.0</v>
      </c>
      <c r="H64" s="547">
        <v>1.0</v>
      </c>
      <c r="I64" s="548"/>
      <c r="J64" s="548"/>
      <c r="K64" s="548"/>
      <c r="L64" s="548"/>
      <c r="M64" s="548"/>
      <c r="N64" s="530"/>
      <c r="O64" s="530"/>
      <c r="P64" s="530"/>
      <c r="Q64" s="530" t="s">
        <v>3218</v>
      </c>
      <c r="R64" s="12"/>
      <c r="S64" s="545" t="s">
        <v>3236</v>
      </c>
      <c r="T64" s="533" t="s">
        <v>3237</v>
      </c>
      <c r="U64" s="338"/>
      <c r="V64" s="338"/>
      <c r="W64" s="338"/>
      <c r="X64" s="338"/>
      <c r="Y64" s="338"/>
      <c r="Z64" s="338"/>
      <c r="AA64" s="338"/>
    </row>
    <row r="65" ht="15.75" customHeight="1">
      <c r="A65" s="528">
        <v>61.0</v>
      </c>
      <c r="B65" s="530"/>
      <c r="C65" s="552" t="s">
        <v>3238</v>
      </c>
      <c r="D65" s="552" t="s">
        <v>3239</v>
      </c>
      <c r="E65" s="548"/>
      <c r="F65" s="548"/>
      <c r="G65" s="547">
        <v>1.0</v>
      </c>
      <c r="H65" s="547">
        <v>1.0</v>
      </c>
      <c r="I65" s="548"/>
      <c r="J65" s="548"/>
      <c r="K65" s="548"/>
      <c r="L65" s="548"/>
      <c r="M65" s="548"/>
      <c r="N65" s="530"/>
      <c r="O65" s="530"/>
      <c r="P65" s="530"/>
      <c r="Q65" s="530" t="s">
        <v>3218</v>
      </c>
      <c r="R65" s="12"/>
      <c r="S65" s="553" t="s">
        <v>3240</v>
      </c>
      <c r="T65" s="533" t="s">
        <v>3241</v>
      </c>
      <c r="U65" s="338"/>
      <c r="V65" s="338"/>
      <c r="W65" s="338"/>
      <c r="X65" s="338"/>
      <c r="Y65" s="338"/>
      <c r="Z65" s="338"/>
      <c r="AA65" s="338"/>
    </row>
    <row r="66" ht="15.75" customHeight="1">
      <c r="A66" s="528">
        <v>62.0</v>
      </c>
      <c r="B66" s="530"/>
      <c r="C66" s="531" t="s">
        <v>3242</v>
      </c>
      <c r="D66" s="552" t="s">
        <v>3243</v>
      </c>
      <c r="E66" s="548"/>
      <c r="F66" s="554"/>
      <c r="G66" s="552">
        <v>1.0</v>
      </c>
      <c r="H66" s="552">
        <v>1.0</v>
      </c>
      <c r="I66" s="554"/>
      <c r="J66" s="554"/>
      <c r="K66" s="554"/>
      <c r="L66" s="554"/>
      <c r="M66" s="554"/>
      <c r="N66" s="531"/>
      <c r="O66" s="531"/>
      <c r="P66" s="531"/>
      <c r="Q66" s="531" t="s">
        <v>3218</v>
      </c>
      <c r="R66" s="12"/>
      <c r="S66" s="553" t="s">
        <v>3244</v>
      </c>
      <c r="T66" s="555" t="s">
        <v>3245</v>
      </c>
      <c r="U66" s="338"/>
      <c r="V66" s="338"/>
      <c r="W66" s="338"/>
      <c r="X66" s="338"/>
      <c r="Y66" s="338"/>
      <c r="Z66" s="338"/>
      <c r="AA66" s="338"/>
    </row>
    <row r="67" ht="15.75" customHeight="1">
      <c r="A67" s="528">
        <v>63.0</v>
      </c>
      <c r="B67" s="530"/>
      <c r="C67" s="531" t="s">
        <v>3246</v>
      </c>
      <c r="D67" s="552" t="s">
        <v>3247</v>
      </c>
      <c r="E67" s="548"/>
      <c r="F67" s="548"/>
      <c r="G67" s="547">
        <v>1.0</v>
      </c>
      <c r="H67" s="547">
        <v>1.0</v>
      </c>
      <c r="I67" s="548"/>
      <c r="J67" s="548"/>
      <c r="K67" s="548"/>
      <c r="L67" s="548"/>
      <c r="M67" s="548"/>
      <c r="N67" s="530"/>
      <c r="O67" s="530"/>
      <c r="P67" s="530"/>
      <c r="Q67" s="530" t="s">
        <v>3218</v>
      </c>
      <c r="R67" s="15"/>
      <c r="S67" s="545" t="s">
        <v>3248</v>
      </c>
      <c r="T67" s="533" t="s">
        <v>3249</v>
      </c>
      <c r="U67" s="338"/>
      <c r="V67" s="338"/>
      <c r="W67" s="338"/>
      <c r="X67" s="338"/>
      <c r="Y67" s="338"/>
      <c r="Z67" s="338"/>
      <c r="AA67" s="338"/>
    </row>
    <row r="68" ht="15.75" customHeight="1">
      <c r="A68" s="528">
        <v>64.0</v>
      </c>
      <c r="B68" s="530"/>
      <c r="C68" s="530" t="s">
        <v>857</v>
      </c>
      <c r="D68" s="531" t="s">
        <v>3213</v>
      </c>
      <c r="E68" s="548"/>
      <c r="F68" s="530"/>
      <c r="G68" s="530">
        <v>1.0</v>
      </c>
      <c r="H68" s="530">
        <v>1.0</v>
      </c>
      <c r="I68" s="530"/>
      <c r="J68" s="530"/>
      <c r="K68" s="530"/>
      <c r="L68" s="530"/>
      <c r="M68" s="530"/>
      <c r="N68" s="530"/>
      <c r="O68" s="530"/>
      <c r="P68" s="530"/>
      <c r="Q68" s="530" t="s">
        <v>1737</v>
      </c>
      <c r="R68" s="530" t="s">
        <v>3250</v>
      </c>
      <c r="S68" s="556">
        <v>3.56074975E8</v>
      </c>
      <c r="T68" s="357" t="s">
        <v>3251</v>
      </c>
      <c r="U68" s="338"/>
      <c r="V68" s="338"/>
      <c r="W68" s="338"/>
      <c r="X68" s="338"/>
      <c r="Y68" s="338"/>
      <c r="Z68" s="338"/>
      <c r="AA68" s="338"/>
    </row>
    <row r="69" ht="15.75" customHeight="1">
      <c r="A69" s="557">
        <v>65.0</v>
      </c>
      <c r="B69" s="530"/>
      <c r="C69" s="530" t="s">
        <v>443</v>
      </c>
      <c r="D69" s="531" t="s">
        <v>3213</v>
      </c>
      <c r="E69" s="548"/>
      <c r="F69" s="530"/>
      <c r="G69" s="530">
        <v>1.0</v>
      </c>
      <c r="H69" s="530">
        <v>1.0</v>
      </c>
      <c r="I69" s="530"/>
      <c r="J69" s="530"/>
      <c r="K69" s="530"/>
      <c r="L69" s="530"/>
      <c r="M69" s="530"/>
      <c r="N69" s="530"/>
      <c r="O69" s="530"/>
      <c r="P69" s="530"/>
      <c r="Q69" s="530" t="s">
        <v>1737</v>
      </c>
      <c r="R69" s="530" t="s">
        <v>3252</v>
      </c>
      <c r="S69" s="556">
        <v>9.66768112E8</v>
      </c>
      <c r="T69" s="357" t="s">
        <v>3253</v>
      </c>
      <c r="U69" s="338"/>
      <c r="V69" s="338"/>
      <c r="W69" s="338"/>
      <c r="X69" s="338"/>
      <c r="Y69" s="338"/>
      <c r="Z69" s="338"/>
      <c r="AA69" s="338"/>
    </row>
    <row r="70" ht="15.75" customHeight="1">
      <c r="A70" s="557">
        <v>66.0</v>
      </c>
      <c r="B70" s="530"/>
      <c r="C70" s="530" t="s">
        <v>599</v>
      </c>
      <c r="D70" s="531" t="s">
        <v>3213</v>
      </c>
      <c r="E70" s="548"/>
      <c r="F70" s="530"/>
      <c r="G70" s="530">
        <v>1.0</v>
      </c>
      <c r="H70" s="530">
        <v>1.0</v>
      </c>
      <c r="I70" s="530"/>
      <c r="J70" s="530"/>
      <c r="K70" s="530"/>
      <c r="L70" s="530"/>
      <c r="M70" s="530"/>
      <c r="N70" s="530"/>
      <c r="O70" s="530"/>
      <c r="P70" s="530"/>
      <c r="Q70" s="530" t="s">
        <v>1737</v>
      </c>
      <c r="R70" s="530" t="s">
        <v>3254</v>
      </c>
      <c r="S70" s="344">
        <v>3.45441215E8</v>
      </c>
      <c r="T70" s="357" t="s">
        <v>3255</v>
      </c>
      <c r="U70" s="338"/>
      <c r="V70" s="338"/>
      <c r="W70" s="338"/>
      <c r="X70" s="338"/>
      <c r="Y70" s="338"/>
      <c r="Z70" s="338"/>
      <c r="AA70" s="338"/>
    </row>
    <row r="71" ht="15.75" customHeight="1">
      <c r="A71" s="558">
        <v>67.0</v>
      </c>
      <c r="B71" s="558"/>
      <c r="C71" s="558" t="s">
        <v>2510</v>
      </c>
      <c r="D71" s="558" t="s">
        <v>3256</v>
      </c>
      <c r="E71" s="558"/>
      <c r="F71" s="558"/>
      <c r="G71" s="558"/>
      <c r="H71" s="558"/>
      <c r="I71" s="558"/>
      <c r="J71" s="558"/>
      <c r="K71" s="558"/>
      <c r="L71" s="558"/>
      <c r="M71" s="558"/>
      <c r="N71" s="558"/>
      <c r="O71" s="558"/>
      <c r="P71" s="558"/>
      <c r="Q71" s="558" t="s">
        <v>1505</v>
      </c>
      <c r="R71" s="558" t="s">
        <v>3254</v>
      </c>
      <c r="S71" s="558">
        <v>8.39238383E8</v>
      </c>
      <c r="T71" s="559" t="s">
        <v>3257</v>
      </c>
      <c r="U71" s="559"/>
      <c r="V71" s="559"/>
      <c r="W71" s="559"/>
      <c r="X71" s="559"/>
      <c r="Y71" s="559"/>
      <c r="Z71" s="559"/>
      <c r="AA71" s="559"/>
    </row>
    <row r="72" ht="15.75" customHeight="1">
      <c r="A72" s="560">
        <v>68.0</v>
      </c>
      <c r="B72" s="559"/>
      <c r="C72" s="559" t="s">
        <v>481</v>
      </c>
      <c r="D72" s="559" t="s">
        <v>3258</v>
      </c>
      <c r="E72" s="559"/>
      <c r="F72" s="559"/>
      <c r="G72" s="559"/>
      <c r="H72" s="559"/>
      <c r="I72" s="559"/>
      <c r="J72" s="559"/>
      <c r="K72" s="559"/>
      <c r="L72" s="559"/>
      <c r="M72" s="559"/>
      <c r="N72" s="559"/>
      <c r="O72" s="559"/>
      <c r="P72" s="559"/>
      <c r="Q72" s="559" t="s">
        <v>3100</v>
      </c>
      <c r="R72" s="559" t="s">
        <v>3259</v>
      </c>
      <c r="S72" s="559" t="s">
        <v>3260</v>
      </c>
      <c r="T72" s="559" t="s">
        <v>3261</v>
      </c>
      <c r="U72" s="559"/>
      <c r="V72" s="559"/>
      <c r="W72" s="559"/>
      <c r="X72" s="559"/>
      <c r="Y72" s="559"/>
      <c r="Z72" s="559"/>
      <c r="AA72" s="559"/>
    </row>
    <row r="73" ht="15.75" customHeight="1">
      <c r="A73" s="558">
        <v>69.0</v>
      </c>
      <c r="B73" s="561"/>
      <c r="C73" s="559" t="s">
        <v>3262</v>
      </c>
      <c r="D73" s="562" t="s">
        <v>3263</v>
      </c>
      <c r="E73" s="559"/>
      <c r="F73" s="559"/>
      <c r="G73" s="563"/>
      <c r="H73" s="563"/>
      <c r="I73" s="559"/>
      <c r="J73" s="559"/>
      <c r="K73" s="559"/>
      <c r="L73" s="559"/>
      <c r="M73" s="559"/>
      <c r="N73" s="559"/>
      <c r="O73" s="559"/>
      <c r="P73" s="559"/>
      <c r="Q73" s="558" t="s">
        <v>3218</v>
      </c>
      <c r="R73" s="564" t="s">
        <v>3219</v>
      </c>
      <c r="S73" s="565" t="s">
        <v>3264</v>
      </c>
      <c r="T73" s="559" t="s">
        <v>3265</v>
      </c>
      <c r="U73" s="559"/>
      <c r="V73" s="559"/>
      <c r="W73" s="559"/>
      <c r="X73" s="559"/>
      <c r="Y73" s="559"/>
      <c r="Z73" s="559"/>
      <c r="AA73" s="559"/>
    </row>
    <row r="74" ht="15.75" customHeight="1">
      <c r="A74" s="532"/>
      <c r="B74" s="338"/>
      <c r="C74" s="338"/>
      <c r="D74" s="338"/>
      <c r="E74" s="338"/>
      <c r="F74" s="338"/>
      <c r="G74" s="338"/>
      <c r="H74" s="338"/>
      <c r="I74" s="338"/>
      <c r="J74" s="338"/>
      <c r="K74" s="338"/>
      <c r="L74" s="338"/>
      <c r="M74" s="338"/>
      <c r="N74" s="338"/>
      <c r="O74" s="338"/>
      <c r="P74" s="338"/>
      <c r="Q74" s="338"/>
      <c r="R74" s="338"/>
      <c r="S74" s="338"/>
      <c r="T74" s="357"/>
      <c r="U74" s="338"/>
      <c r="V74" s="338"/>
      <c r="W74" s="338"/>
      <c r="X74" s="338"/>
      <c r="Y74" s="338"/>
      <c r="Z74" s="338"/>
      <c r="AA74" s="338"/>
    </row>
    <row r="75" ht="15.75" customHeight="1">
      <c r="A75" s="532"/>
      <c r="B75" s="338"/>
      <c r="C75" s="338"/>
      <c r="D75" s="338"/>
      <c r="E75" s="338"/>
      <c r="F75" s="338"/>
      <c r="G75" s="338"/>
      <c r="H75" s="338"/>
      <c r="I75" s="338"/>
      <c r="J75" s="338"/>
      <c r="K75" s="338"/>
      <c r="L75" s="338"/>
      <c r="M75" s="338"/>
      <c r="N75" s="338"/>
      <c r="O75" s="338"/>
      <c r="P75" s="338"/>
      <c r="Q75" s="338"/>
      <c r="R75" s="338"/>
      <c r="S75" s="338"/>
      <c r="T75" s="357"/>
      <c r="U75" s="338"/>
      <c r="V75" s="338"/>
      <c r="W75" s="338"/>
      <c r="X75" s="338"/>
      <c r="Y75" s="338"/>
      <c r="Z75" s="338"/>
      <c r="AA75" s="338"/>
    </row>
    <row r="76" ht="15.75" customHeight="1">
      <c r="A76" s="532"/>
      <c r="B76" s="338"/>
      <c r="C76" s="338"/>
      <c r="D76" s="338"/>
      <c r="E76" s="338"/>
      <c r="F76" s="338"/>
      <c r="G76" s="338"/>
      <c r="H76" s="338"/>
      <c r="I76" s="338"/>
      <c r="J76" s="338"/>
      <c r="K76" s="338"/>
      <c r="L76" s="338"/>
      <c r="M76" s="338"/>
      <c r="N76" s="338"/>
      <c r="O76" s="338"/>
      <c r="P76" s="338"/>
      <c r="Q76" s="338"/>
      <c r="R76" s="338"/>
      <c r="S76" s="338"/>
      <c r="T76" s="357"/>
      <c r="U76" s="338"/>
      <c r="V76" s="338"/>
      <c r="W76" s="338"/>
      <c r="X76" s="338"/>
      <c r="Y76" s="338"/>
      <c r="Z76" s="338"/>
      <c r="AA76" s="338"/>
    </row>
    <row r="77" ht="15.75" customHeight="1">
      <c r="A77" s="532"/>
      <c r="B77" s="338"/>
      <c r="C77" s="338"/>
      <c r="D77" s="338"/>
      <c r="E77" s="338"/>
      <c r="F77" s="338"/>
      <c r="G77" s="338"/>
      <c r="H77" s="338"/>
      <c r="I77" s="338"/>
      <c r="J77" s="338"/>
      <c r="K77" s="338"/>
      <c r="L77" s="338"/>
      <c r="M77" s="338"/>
      <c r="N77" s="338"/>
      <c r="O77" s="338"/>
      <c r="P77" s="338"/>
      <c r="Q77" s="338"/>
      <c r="R77" s="338"/>
      <c r="S77" s="338"/>
      <c r="T77" s="357"/>
      <c r="U77" s="338"/>
      <c r="V77" s="338"/>
      <c r="W77" s="338"/>
      <c r="X77" s="338"/>
      <c r="Y77" s="338"/>
      <c r="Z77" s="338"/>
      <c r="AA77" s="338"/>
    </row>
    <row r="78" ht="15.75" customHeight="1">
      <c r="A78" s="532"/>
      <c r="B78" s="338"/>
      <c r="C78" s="338"/>
      <c r="D78" s="338"/>
      <c r="E78" s="338"/>
      <c r="F78" s="338"/>
      <c r="G78" s="338"/>
      <c r="H78" s="338"/>
      <c r="I78" s="338"/>
      <c r="J78" s="338"/>
      <c r="K78" s="338"/>
      <c r="L78" s="338"/>
      <c r="M78" s="338"/>
      <c r="N78" s="338"/>
      <c r="O78" s="338"/>
      <c r="P78" s="338"/>
      <c r="Q78" s="338"/>
      <c r="R78" s="338"/>
      <c r="S78" s="338"/>
      <c r="T78" s="357"/>
      <c r="U78" s="338"/>
      <c r="V78" s="338"/>
      <c r="W78" s="338"/>
      <c r="X78" s="338"/>
      <c r="Y78" s="338"/>
      <c r="Z78" s="338"/>
      <c r="AA78" s="338"/>
    </row>
    <row r="79" ht="15.75" customHeight="1">
      <c r="A79" s="532"/>
      <c r="B79" s="338"/>
      <c r="C79" s="338"/>
      <c r="D79" s="338"/>
      <c r="E79" s="338"/>
      <c r="F79" s="338"/>
      <c r="G79" s="338"/>
      <c r="H79" s="338"/>
      <c r="I79" s="338"/>
      <c r="J79" s="338"/>
      <c r="K79" s="338"/>
      <c r="L79" s="338"/>
      <c r="M79" s="338"/>
      <c r="N79" s="338"/>
      <c r="O79" s="338"/>
      <c r="P79" s="338"/>
      <c r="Q79" s="338"/>
      <c r="R79" s="338"/>
      <c r="S79" s="338"/>
      <c r="T79" s="357"/>
      <c r="U79" s="338"/>
      <c r="V79" s="338"/>
      <c r="W79" s="338"/>
      <c r="X79" s="338"/>
      <c r="Y79" s="338"/>
      <c r="Z79" s="338"/>
      <c r="AA79" s="338"/>
    </row>
    <row r="80" ht="15.75" customHeight="1">
      <c r="A80" s="532"/>
      <c r="B80" s="338"/>
      <c r="C80" s="338"/>
      <c r="D80" s="338"/>
      <c r="E80" s="338"/>
      <c r="F80" s="338"/>
      <c r="G80" s="338"/>
      <c r="H80" s="338"/>
      <c r="I80" s="338"/>
      <c r="J80" s="338"/>
      <c r="K80" s="338"/>
      <c r="L80" s="338"/>
      <c r="M80" s="338"/>
      <c r="N80" s="338"/>
      <c r="O80" s="338"/>
      <c r="P80" s="338"/>
      <c r="Q80" s="338"/>
      <c r="R80" s="338"/>
      <c r="S80" s="338"/>
      <c r="T80" s="357"/>
      <c r="U80" s="338"/>
      <c r="V80" s="338"/>
      <c r="W80" s="338"/>
      <c r="X80" s="338"/>
      <c r="Y80" s="338"/>
      <c r="Z80" s="338"/>
      <c r="AA80" s="338"/>
    </row>
    <row r="81" ht="15.75" customHeight="1">
      <c r="A81" s="532"/>
      <c r="B81" s="338"/>
      <c r="C81" s="338"/>
      <c r="D81" s="338"/>
      <c r="E81" s="338"/>
      <c r="F81" s="338"/>
      <c r="G81" s="338"/>
      <c r="H81" s="338"/>
      <c r="I81" s="338"/>
      <c r="J81" s="338"/>
      <c r="K81" s="338"/>
      <c r="L81" s="338"/>
      <c r="M81" s="338"/>
      <c r="N81" s="338"/>
      <c r="O81" s="338"/>
      <c r="P81" s="338"/>
      <c r="Q81" s="338"/>
      <c r="R81" s="338"/>
      <c r="S81" s="338"/>
      <c r="T81" s="357"/>
      <c r="U81" s="338"/>
      <c r="V81" s="338"/>
      <c r="W81" s="338"/>
      <c r="X81" s="338"/>
      <c r="Y81" s="338"/>
      <c r="Z81" s="338"/>
      <c r="AA81" s="338"/>
    </row>
    <row r="82" ht="15.75" customHeight="1">
      <c r="A82" s="532"/>
      <c r="B82" s="338"/>
      <c r="C82" s="338"/>
      <c r="D82" s="338"/>
      <c r="E82" s="338"/>
      <c r="F82" s="338"/>
      <c r="G82" s="338"/>
      <c r="H82" s="338"/>
      <c r="I82" s="338"/>
      <c r="J82" s="338"/>
      <c r="K82" s="338"/>
      <c r="L82" s="338"/>
      <c r="M82" s="338"/>
      <c r="N82" s="338"/>
      <c r="O82" s="338"/>
      <c r="P82" s="338"/>
      <c r="Q82" s="338"/>
      <c r="R82" s="338"/>
      <c r="S82" s="338"/>
      <c r="T82" s="357"/>
      <c r="U82" s="338"/>
      <c r="V82" s="338"/>
      <c r="W82" s="338"/>
      <c r="X82" s="338"/>
      <c r="Y82" s="338"/>
      <c r="Z82" s="338"/>
      <c r="AA82" s="338"/>
    </row>
    <row r="83" ht="15.75" customHeight="1">
      <c r="A83" s="532"/>
      <c r="B83" s="338"/>
      <c r="C83" s="338"/>
      <c r="D83" s="338"/>
      <c r="E83" s="338"/>
      <c r="F83" s="338"/>
      <c r="G83" s="338"/>
      <c r="H83" s="338"/>
      <c r="I83" s="338"/>
      <c r="J83" s="338"/>
      <c r="K83" s="338"/>
      <c r="L83" s="338"/>
      <c r="M83" s="338"/>
      <c r="N83" s="338"/>
      <c r="O83" s="338"/>
      <c r="P83" s="338"/>
      <c r="Q83" s="338"/>
      <c r="R83" s="338"/>
      <c r="S83" s="338"/>
      <c r="T83" s="357"/>
      <c r="U83" s="338"/>
      <c r="V83" s="338"/>
      <c r="W83" s="338"/>
      <c r="X83" s="338"/>
      <c r="Y83" s="338"/>
      <c r="Z83" s="338"/>
      <c r="AA83" s="338"/>
    </row>
    <row r="84" ht="15.75" customHeight="1">
      <c r="A84" s="532"/>
      <c r="B84" s="338"/>
      <c r="C84" s="338"/>
      <c r="D84" s="338"/>
      <c r="E84" s="338"/>
      <c r="F84" s="338"/>
      <c r="G84" s="338"/>
      <c r="H84" s="338"/>
      <c r="I84" s="338"/>
      <c r="J84" s="338"/>
      <c r="K84" s="338"/>
      <c r="L84" s="338"/>
      <c r="M84" s="338"/>
      <c r="N84" s="338"/>
      <c r="O84" s="338"/>
      <c r="P84" s="338"/>
      <c r="Q84" s="338"/>
      <c r="R84" s="338"/>
      <c r="S84" s="338"/>
      <c r="T84" s="357"/>
      <c r="U84" s="338"/>
      <c r="V84" s="338"/>
      <c r="W84" s="338"/>
      <c r="X84" s="338"/>
      <c r="Y84" s="338"/>
      <c r="Z84" s="338"/>
      <c r="AA84" s="338"/>
    </row>
    <row r="85" ht="15.75" customHeight="1">
      <c r="A85" s="532"/>
      <c r="B85" s="338"/>
      <c r="C85" s="338"/>
      <c r="D85" s="338"/>
      <c r="E85" s="338"/>
      <c r="F85" s="338"/>
      <c r="G85" s="338"/>
      <c r="H85" s="338"/>
      <c r="I85" s="338"/>
      <c r="J85" s="338"/>
      <c r="K85" s="338"/>
      <c r="L85" s="338"/>
      <c r="M85" s="338"/>
      <c r="N85" s="338"/>
      <c r="O85" s="338"/>
      <c r="P85" s="338"/>
      <c r="Q85" s="338"/>
      <c r="R85" s="338"/>
      <c r="S85" s="338"/>
      <c r="T85" s="357"/>
      <c r="U85" s="338"/>
      <c r="V85" s="338"/>
      <c r="W85" s="338"/>
      <c r="X85" s="338"/>
      <c r="Y85" s="338"/>
      <c r="Z85" s="338"/>
      <c r="AA85" s="338"/>
    </row>
    <row r="86" ht="15.75" customHeight="1">
      <c r="A86" s="532"/>
      <c r="B86" s="338"/>
      <c r="C86" s="338"/>
      <c r="D86" s="338"/>
      <c r="E86" s="338"/>
      <c r="F86" s="338"/>
      <c r="G86" s="338"/>
      <c r="H86" s="338"/>
      <c r="I86" s="338"/>
      <c r="J86" s="338"/>
      <c r="K86" s="338"/>
      <c r="L86" s="338"/>
      <c r="M86" s="338"/>
      <c r="N86" s="338"/>
      <c r="O86" s="338"/>
      <c r="P86" s="338"/>
      <c r="Q86" s="338"/>
      <c r="R86" s="338"/>
      <c r="S86" s="338"/>
      <c r="T86" s="357"/>
      <c r="U86" s="338"/>
      <c r="V86" s="338"/>
      <c r="W86" s="338"/>
      <c r="X86" s="338"/>
      <c r="Y86" s="338"/>
      <c r="Z86" s="338"/>
      <c r="AA86" s="338"/>
    </row>
    <row r="87" ht="15.75" customHeight="1">
      <c r="A87" s="532"/>
      <c r="B87" s="338"/>
      <c r="C87" s="338"/>
      <c r="D87" s="338"/>
      <c r="E87" s="338"/>
      <c r="F87" s="338"/>
      <c r="G87" s="338"/>
      <c r="H87" s="338"/>
      <c r="I87" s="338"/>
      <c r="J87" s="338"/>
      <c r="K87" s="338"/>
      <c r="L87" s="338"/>
      <c r="M87" s="338"/>
      <c r="N87" s="338"/>
      <c r="O87" s="338"/>
      <c r="P87" s="338"/>
      <c r="Q87" s="338"/>
      <c r="R87" s="338"/>
      <c r="S87" s="338"/>
      <c r="T87" s="357"/>
      <c r="U87" s="338"/>
      <c r="V87" s="338"/>
      <c r="W87" s="338"/>
      <c r="X87" s="338"/>
      <c r="Y87" s="338"/>
      <c r="Z87" s="338"/>
      <c r="AA87" s="338"/>
    </row>
    <row r="88" ht="15.75" customHeight="1">
      <c r="A88" s="532"/>
      <c r="B88" s="338"/>
      <c r="C88" s="338"/>
      <c r="D88" s="338"/>
      <c r="E88" s="338"/>
      <c r="F88" s="338"/>
      <c r="G88" s="338"/>
      <c r="H88" s="338"/>
      <c r="I88" s="338"/>
      <c r="J88" s="338"/>
      <c r="K88" s="338"/>
      <c r="L88" s="338"/>
      <c r="M88" s="338"/>
      <c r="N88" s="338"/>
      <c r="O88" s="338"/>
      <c r="P88" s="338"/>
      <c r="Q88" s="338"/>
      <c r="R88" s="338"/>
      <c r="S88" s="338"/>
      <c r="T88" s="357"/>
      <c r="U88" s="338"/>
      <c r="V88" s="338"/>
      <c r="W88" s="338"/>
      <c r="X88" s="338"/>
      <c r="Y88" s="338"/>
      <c r="Z88" s="338"/>
      <c r="AA88" s="338"/>
    </row>
    <row r="89" ht="15.75" customHeight="1">
      <c r="A89" s="532"/>
      <c r="B89" s="338"/>
      <c r="C89" s="338"/>
      <c r="D89" s="338"/>
      <c r="E89" s="338"/>
      <c r="F89" s="338"/>
      <c r="G89" s="338"/>
      <c r="H89" s="338"/>
      <c r="I89" s="338"/>
      <c r="J89" s="338"/>
      <c r="K89" s="338"/>
      <c r="L89" s="338"/>
      <c r="M89" s="338"/>
      <c r="N89" s="338"/>
      <c r="O89" s="338"/>
      <c r="P89" s="338"/>
      <c r="Q89" s="338"/>
      <c r="R89" s="338"/>
      <c r="S89" s="338"/>
      <c r="T89" s="357"/>
      <c r="U89" s="338"/>
      <c r="V89" s="338"/>
      <c r="W89" s="338"/>
      <c r="X89" s="338"/>
      <c r="Y89" s="338"/>
      <c r="Z89" s="338"/>
      <c r="AA89" s="338"/>
    </row>
    <row r="90" ht="15.75" customHeight="1">
      <c r="A90" s="532"/>
      <c r="B90" s="338"/>
      <c r="C90" s="338"/>
      <c r="D90" s="338"/>
      <c r="E90" s="338"/>
      <c r="F90" s="338"/>
      <c r="G90" s="338"/>
      <c r="H90" s="338"/>
      <c r="I90" s="338"/>
      <c r="J90" s="338"/>
      <c r="K90" s="338"/>
      <c r="L90" s="338"/>
      <c r="M90" s="338"/>
      <c r="N90" s="338"/>
      <c r="O90" s="338"/>
      <c r="P90" s="338"/>
      <c r="Q90" s="338"/>
      <c r="R90" s="338"/>
      <c r="S90" s="338"/>
      <c r="T90" s="357"/>
      <c r="U90" s="338"/>
      <c r="V90" s="338"/>
      <c r="W90" s="338"/>
      <c r="X90" s="338"/>
      <c r="Y90" s="338"/>
      <c r="Z90" s="338"/>
      <c r="AA90" s="338"/>
    </row>
    <row r="91" ht="15.75" customHeight="1">
      <c r="A91" s="532"/>
      <c r="B91" s="338"/>
      <c r="C91" s="338"/>
      <c r="D91" s="338"/>
      <c r="E91" s="338"/>
      <c r="F91" s="338"/>
      <c r="G91" s="338"/>
      <c r="H91" s="338"/>
      <c r="I91" s="338"/>
      <c r="J91" s="338"/>
      <c r="K91" s="338"/>
      <c r="L91" s="338"/>
      <c r="M91" s="338"/>
      <c r="N91" s="338"/>
      <c r="O91" s="338"/>
      <c r="P91" s="338"/>
      <c r="Q91" s="338"/>
      <c r="R91" s="338"/>
      <c r="S91" s="338"/>
      <c r="T91" s="357"/>
      <c r="U91" s="338"/>
      <c r="V91" s="338"/>
      <c r="W91" s="338"/>
      <c r="X91" s="338"/>
      <c r="Y91" s="338"/>
      <c r="Z91" s="338"/>
      <c r="AA91" s="338"/>
    </row>
    <row r="92" ht="15.75" customHeight="1">
      <c r="A92" s="532"/>
      <c r="B92" s="338"/>
      <c r="C92" s="338"/>
      <c r="D92" s="338"/>
      <c r="E92" s="338"/>
      <c r="F92" s="338"/>
      <c r="G92" s="338"/>
      <c r="H92" s="338"/>
      <c r="I92" s="338"/>
      <c r="J92" s="338"/>
      <c r="K92" s="338"/>
      <c r="L92" s="338"/>
      <c r="M92" s="338"/>
      <c r="N92" s="338"/>
      <c r="O92" s="338"/>
      <c r="P92" s="338"/>
      <c r="Q92" s="338"/>
      <c r="R92" s="338"/>
      <c r="S92" s="338"/>
      <c r="T92" s="357"/>
      <c r="U92" s="338"/>
      <c r="V92" s="338"/>
      <c r="W92" s="338"/>
      <c r="X92" s="338"/>
      <c r="Y92" s="338"/>
      <c r="Z92" s="338"/>
      <c r="AA92" s="338"/>
    </row>
    <row r="93" ht="15.75" customHeight="1">
      <c r="A93" s="532"/>
      <c r="B93" s="338"/>
      <c r="C93" s="338"/>
      <c r="D93" s="338"/>
      <c r="E93" s="338"/>
      <c r="F93" s="338"/>
      <c r="G93" s="338"/>
      <c r="H93" s="338"/>
      <c r="I93" s="338"/>
      <c r="J93" s="338"/>
      <c r="K93" s="338"/>
      <c r="L93" s="338"/>
      <c r="M93" s="338"/>
      <c r="N93" s="338"/>
      <c r="O93" s="338"/>
      <c r="P93" s="338"/>
      <c r="Q93" s="338"/>
      <c r="R93" s="338"/>
      <c r="S93" s="338"/>
      <c r="T93" s="357"/>
      <c r="U93" s="338"/>
      <c r="V93" s="338"/>
      <c r="W93" s="338"/>
      <c r="X93" s="338"/>
      <c r="Y93" s="338"/>
      <c r="Z93" s="338"/>
      <c r="AA93" s="338"/>
    </row>
    <row r="94" ht="15.75" customHeight="1">
      <c r="A94" s="532"/>
      <c r="B94" s="338"/>
      <c r="C94" s="338"/>
      <c r="D94" s="338"/>
      <c r="E94" s="338"/>
      <c r="F94" s="338"/>
      <c r="G94" s="338"/>
      <c r="H94" s="338"/>
      <c r="I94" s="338"/>
      <c r="J94" s="338"/>
      <c r="K94" s="338"/>
      <c r="L94" s="338"/>
      <c r="M94" s="338"/>
      <c r="N94" s="338"/>
      <c r="O94" s="338"/>
      <c r="P94" s="338"/>
      <c r="Q94" s="338"/>
      <c r="R94" s="338"/>
      <c r="S94" s="338"/>
      <c r="T94" s="357"/>
      <c r="U94" s="338"/>
      <c r="V94" s="338"/>
      <c r="W94" s="338"/>
      <c r="X94" s="338"/>
      <c r="Y94" s="338"/>
      <c r="Z94" s="338"/>
      <c r="AA94" s="338"/>
    </row>
    <row r="95" ht="15.75" customHeight="1">
      <c r="A95" s="532"/>
      <c r="B95" s="338"/>
      <c r="C95" s="338"/>
      <c r="D95" s="338"/>
      <c r="E95" s="338"/>
      <c r="F95" s="338"/>
      <c r="G95" s="338"/>
      <c r="H95" s="338"/>
      <c r="I95" s="338"/>
      <c r="J95" s="338"/>
      <c r="K95" s="338"/>
      <c r="L95" s="338"/>
      <c r="M95" s="338"/>
      <c r="N95" s="338"/>
      <c r="O95" s="338"/>
      <c r="P95" s="338"/>
      <c r="Q95" s="338"/>
      <c r="R95" s="338"/>
      <c r="S95" s="338"/>
      <c r="T95" s="357"/>
      <c r="U95" s="338"/>
      <c r="V95" s="338"/>
      <c r="W95" s="338"/>
      <c r="X95" s="338"/>
      <c r="Y95" s="338"/>
      <c r="Z95" s="338"/>
      <c r="AA95" s="338"/>
    </row>
    <row r="96" ht="15.75" customHeight="1">
      <c r="A96" s="532"/>
      <c r="B96" s="338"/>
      <c r="C96" s="338"/>
      <c r="D96" s="338"/>
      <c r="E96" s="338"/>
      <c r="F96" s="338"/>
      <c r="G96" s="338"/>
      <c r="H96" s="338"/>
      <c r="I96" s="338"/>
      <c r="J96" s="338"/>
      <c r="K96" s="338"/>
      <c r="L96" s="338"/>
      <c r="M96" s="338"/>
      <c r="N96" s="338"/>
      <c r="O96" s="338"/>
      <c r="P96" s="338"/>
      <c r="Q96" s="338"/>
      <c r="R96" s="338"/>
      <c r="S96" s="338"/>
      <c r="T96" s="357"/>
      <c r="U96" s="338"/>
      <c r="V96" s="338"/>
      <c r="W96" s="338"/>
      <c r="X96" s="338"/>
      <c r="Y96" s="338"/>
      <c r="Z96" s="338"/>
      <c r="AA96" s="338"/>
    </row>
    <row r="97" ht="15.75" customHeight="1">
      <c r="A97" s="532"/>
      <c r="B97" s="338"/>
      <c r="C97" s="338"/>
      <c r="D97" s="338"/>
      <c r="E97" s="338"/>
      <c r="F97" s="338"/>
      <c r="G97" s="338"/>
      <c r="H97" s="338"/>
      <c r="I97" s="338"/>
      <c r="J97" s="338"/>
      <c r="K97" s="338"/>
      <c r="L97" s="338"/>
      <c r="M97" s="338"/>
      <c r="N97" s="338"/>
      <c r="O97" s="338"/>
      <c r="P97" s="338"/>
      <c r="Q97" s="338"/>
      <c r="R97" s="338"/>
      <c r="S97" s="338"/>
      <c r="T97" s="357"/>
      <c r="U97" s="338"/>
      <c r="V97" s="338"/>
      <c r="W97" s="338"/>
      <c r="X97" s="338"/>
      <c r="Y97" s="338"/>
      <c r="Z97" s="338"/>
      <c r="AA97" s="338"/>
    </row>
    <row r="98" ht="15.75" customHeight="1">
      <c r="A98" s="532"/>
      <c r="B98" s="338"/>
      <c r="C98" s="338"/>
      <c r="D98" s="338"/>
      <c r="E98" s="338"/>
      <c r="F98" s="338"/>
      <c r="G98" s="338"/>
      <c r="H98" s="338"/>
      <c r="I98" s="338"/>
      <c r="J98" s="338"/>
      <c r="K98" s="338"/>
      <c r="L98" s="338"/>
      <c r="M98" s="338"/>
      <c r="N98" s="338"/>
      <c r="O98" s="338"/>
      <c r="P98" s="338"/>
      <c r="Q98" s="338"/>
      <c r="R98" s="338"/>
      <c r="S98" s="338"/>
      <c r="T98" s="357"/>
      <c r="U98" s="338"/>
      <c r="V98" s="338"/>
      <c r="W98" s="338"/>
      <c r="X98" s="338"/>
      <c r="Y98" s="338"/>
      <c r="Z98" s="338"/>
      <c r="AA98" s="338"/>
    </row>
    <row r="99" ht="15.75" customHeight="1">
      <c r="A99" s="532"/>
      <c r="B99" s="338"/>
      <c r="C99" s="338"/>
      <c r="D99" s="338"/>
      <c r="E99" s="338"/>
      <c r="F99" s="338"/>
      <c r="G99" s="338"/>
      <c r="H99" s="338"/>
      <c r="I99" s="338"/>
      <c r="J99" s="338"/>
      <c r="K99" s="338"/>
      <c r="L99" s="338"/>
      <c r="M99" s="338"/>
      <c r="N99" s="338"/>
      <c r="O99" s="338"/>
      <c r="P99" s="338"/>
      <c r="Q99" s="338"/>
      <c r="R99" s="338"/>
      <c r="S99" s="338"/>
      <c r="T99" s="357"/>
      <c r="U99" s="338"/>
      <c r="V99" s="338"/>
      <c r="W99" s="338"/>
      <c r="X99" s="338"/>
      <c r="Y99" s="338"/>
      <c r="Z99" s="338"/>
      <c r="AA99" s="338"/>
    </row>
    <row r="100" ht="15.75" customHeight="1">
      <c r="A100" s="532"/>
      <c r="B100" s="338"/>
      <c r="C100" s="338"/>
      <c r="D100" s="338"/>
      <c r="E100" s="338"/>
      <c r="F100" s="338"/>
      <c r="G100" s="338"/>
      <c r="H100" s="338"/>
      <c r="I100" s="338"/>
      <c r="J100" s="338"/>
      <c r="K100" s="338"/>
      <c r="L100" s="338"/>
      <c r="M100" s="338"/>
      <c r="N100" s="338"/>
      <c r="O100" s="338"/>
      <c r="P100" s="338"/>
      <c r="Q100" s="338"/>
      <c r="R100" s="338"/>
      <c r="S100" s="338"/>
      <c r="T100" s="357"/>
      <c r="U100" s="338"/>
      <c r="V100" s="338"/>
      <c r="W100" s="338"/>
      <c r="X100" s="338"/>
      <c r="Y100" s="338"/>
      <c r="Z100" s="338"/>
      <c r="AA100" s="338"/>
    </row>
    <row r="101" ht="15.75" customHeight="1">
      <c r="A101" s="532"/>
      <c r="B101" s="338"/>
      <c r="C101" s="338"/>
      <c r="D101" s="338"/>
      <c r="E101" s="338"/>
      <c r="F101" s="338"/>
      <c r="G101" s="338"/>
      <c r="H101" s="338"/>
      <c r="I101" s="338"/>
      <c r="J101" s="338"/>
      <c r="K101" s="338"/>
      <c r="L101" s="338"/>
      <c r="M101" s="338"/>
      <c r="N101" s="338"/>
      <c r="O101" s="338"/>
      <c r="P101" s="338"/>
      <c r="Q101" s="338"/>
      <c r="R101" s="338"/>
      <c r="S101" s="338"/>
      <c r="T101" s="357"/>
      <c r="U101" s="338"/>
      <c r="V101" s="338"/>
      <c r="W101" s="338"/>
      <c r="X101" s="338"/>
      <c r="Y101" s="338"/>
      <c r="Z101" s="338"/>
      <c r="AA101" s="338"/>
    </row>
    <row r="102" ht="15.75" customHeight="1">
      <c r="A102" s="532"/>
      <c r="B102" s="338"/>
      <c r="C102" s="338"/>
      <c r="D102" s="338"/>
      <c r="E102" s="338"/>
      <c r="F102" s="338"/>
      <c r="G102" s="338"/>
      <c r="H102" s="338"/>
      <c r="I102" s="338"/>
      <c r="J102" s="338"/>
      <c r="K102" s="338"/>
      <c r="L102" s="338"/>
      <c r="M102" s="338"/>
      <c r="N102" s="338"/>
      <c r="O102" s="338"/>
      <c r="P102" s="338"/>
      <c r="Q102" s="338"/>
      <c r="R102" s="338"/>
      <c r="S102" s="338"/>
      <c r="T102" s="357"/>
      <c r="U102" s="338"/>
      <c r="V102" s="338"/>
      <c r="W102" s="338"/>
      <c r="X102" s="338"/>
      <c r="Y102" s="338"/>
      <c r="Z102" s="338"/>
      <c r="AA102" s="338"/>
    </row>
    <row r="103" ht="15.75" customHeight="1">
      <c r="A103" s="532"/>
      <c r="B103" s="338"/>
      <c r="C103" s="338"/>
      <c r="D103" s="338"/>
      <c r="E103" s="338"/>
      <c r="F103" s="338"/>
      <c r="G103" s="338"/>
      <c r="H103" s="338"/>
      <c r="I103" s="338"/>
      <c r="J103" s="338"/>
      <c r="K103" s="338"/>
      <c r="L103" s="338"/>
      <c r="M103" s="338"/>
      <c r="N103" s="338"/>
      <c r="O103" s="338"/>
      <c r="P103" s="338"/>
      <c r="Q103" s="338"/>
      <c r="R103" s="338"/>
      <c r="S103" s="338"/>
      <c r="T103" s="357"/>
      <c r="U103" s="338"/>
      <c r="V103" s="338"/>
      <c r="W103" s="338"/>
      <c r="X103" s="338"/>
      <c r="Y103" s="338"/>
      <c r="Z103" s="338"/>
      <c r="AA103" s="338"/>
    </row>
    <row r="104" ht="15.75" customHeight="1">
      <c r="A104" s="532"/>
      <c r="B104" s="338"/>
      <c r="C104" s="338"/>
      <c r="D104" s="338"/>
      <c r="E104" s="338"/>
      <c r="F104" s="338"/>
      <c r="G104" s="338"/>
      <c r="H104" s="338"/>
      <c r="I104" s="338"/>
      <c r="J104" s="338"/>
      <c r="K104" s="338"/>
      <c r="L104" s="338"/>
      <c r="M104" s="338"/>
      <c r="N104" s="338"/>
      <c r="O104" s="338"/>
      <c r="P104" s="338"/>
      <c r="Q104" s="338"/>
      <c r="R104" s="338"/>
      <c r="S104" s="338"/>
      <c r="T104" s="357"/>
      <c r="U104" s="338"/>
      <c r="V104" s="338"/>
      <c r="W104" s="338"/>
      <c r="X104" s="338"/>
      <c r="Y104" s="338"/>
      <c r="Z104" s="338"/>
      <c r="AA104" s="338"/>
    </row>
    <row r="105" ht="15.75" customHeight="1">
      <c r="A105" s="532"/>
      <c r="B105" s="338"/>
      <c r="C105" s="338"/>
      <c r="D105" s="338"/>
      <c r="E105" s="338"/>
      <c r="F105" s="338"/>
      <c r="G105" s="338"/>
      <c r="H105" s="338"/>
      <c r="I105" s="338"/>
      <c r="J105" s="338"/>
      <c r="K105" s="338"/>
      <c r="L105" s="338"/>
      <c r="M105" s="338"/>
      <c r="N105" s="338"/>
      <c r="O105" s="338"/>
      <c r="P105" s="338"/>
      <c r="Q105" s="338"/>
      <c r="R105" s="338"/>
      <c r="S105" s="338"/>
      <c r="T105" s="357"/>
      <c r="U105" s="338"/>
      <c r="V105" s="338"/>
      <c r="W105" s="338"/>
      <c r="X105" s="338"/>
      <c r="Y105" s="338"/>
      <c r="Z105" s="338"/>
      <c r="AA105" s="338"/>
    </row>
    <row r="106" ht="15.75" customHeight="1">
      <c r="A106" s="532"/>
      <c r="B106" s="338"/>
      <c r="C106" s="338"/>
      <c r="D106" s="338"/>
      <c r="E106" s="338"/>
      <c r="F106" s="338"/>
      <c r="G106" s="338"/>
      <c r="H106" s="338"/>
      <c r="I106" s="338"/>
      <c r="J106" s="338"/>
      <c r="K106" s="338"/>
      <c r="L106" s="338"/>
      <c r="M106" s="338"/>
      <c r="N106" s="338"/>
      <c r="O106" s="338"/>
      <c r="P106" s="338"/>
      <c r="Q106" s="338"/>
      <c r="R106" s="338"/>
      <c r="S106" s="338"/>
      <c r="T106" s="357"/>
      <c r="U106" s="338"/>
      <c r="V106" s="338"/>
      <c r="W106" s="338"/>
      <c r="X106" s="338"/>
      <c r="Y106" s="338"/>
      <c r="Z106" s="338"/>
      <c r="AA106" s="338"/>
    </row>
    <row r="107" ht="15.75" customHeight="1">
      <c r="A107" s="532"/>
      <c r="B107" s="338"/>
      <c r="C107" s="338"/>
      <c r="D107" s="338"/>
      <c r="E107" s="338"/>
      <c r="F107" s="338"/>
      <c r="G107" s="338"/>
      <c r="H107" s="338"/>
      <c r="I107" s="338"/>
      <c r="J107" s="338"/>
      <c r="K107" s="338"/>
      <c r="L107" s="338"/>
      <c r="M107" s="338"/>
      <c r="N107" s="338"/>
      <c r="O107" s="338"/>
      <c r="P107" s="338"/>
      <c r="Q107" s="338"/>
      <c r="R107" s="338"/>
      <c r="S107" s="338"/>
      <c r="T107" s="357"/>
      <c r="U107" s="338"/>
      <c r="V107" s="338"/>
      <c r="W107" s="338"/>
      <c r="X107" s="338"/>
      <c r="Y107" s="338"/>
      <c r="Z107" s="338"/>
      <c r="AA107" s="338"/>
    </row>
    <row r="108" ht="15.75" customHeight="1">
      <c r="A108" s="532"/>
      <c r="B108" s="338"/>
      <c r="C108" s="338"/>
      <c r="D108" s="338"/>
      <c r="E108" s="338"/>
      <c r="F108" s="338"/>
      <c r="G108" s="338"/>
      <c r="H108" s="338"/>
      <c r="I108" s="338"/>
      <c r="J108" s="338"/>
      <c r="K108" s="338"/>
      <c r="L108" s="338"/>
      <c r="M108" s="338"/>
      <c r="N108" s="338"/>
      <c r="O108" s="338"/>
      <c r="P108" s="338"/>
      <c r="Q108" s="338"/>
      <c r="R108" s="338"/>
      <c r="S108" s="338"/>
      <c r="T108" s="357"/>
      <c r="U108" s="338"/>
      <c r="V108" s="338"/>
      <c r="W108" s="338"/>
      <c r="X108" s="338"/>
      <c r="Y108" s="338"/>
      <c r="Z108" s="338"/>
      <c r="AA108" s="338"/>
    </row>
    <row r="109" ht="15.75" customHeight="1">
      <c r="A109" s="532"/>
      <c r="B109" s="338"/>
      <c r="C109" s="338"/>
      <c r="D109" s="338"/>
      <c r="E109" s="338"/>
      <c r="F109" s="338"/>
      <c r="G109" s="338"/>
      <c r="H109" s="338"/>
      <c r="I109" s="338"/>
      <c r="J109" s="338"/>
      <c r="K109" s="338"/>
      <c r="L109" s="338"/>
      <c r="M109" s="338"/>
      <c r="N109" s="338"/>
      <c r="O109" s="338"/>
      <c r="P109" s="338"/>
      <c r="Q109" s="338"/>
      <c r="R109" s="338"/>
      <c r="S109" s="338"/>
      <c r="T109" s="357"/>
      <c r="U109" s="338"/>
      <c r="V109" s="338"/>
      <c r="W109" s="338"/>
      <c r="X109" s="338"/>
      <c r="Y109" s="338"/>
      <c r="Z109" s="338"/>
      <c r="AA109" s="338"/>
    </row>
    <row r="110" ht="15.75" customHeight="1">
      <c r="A110" s="532"/>
      <c r="B110" s="338"/>
      <c r="C110" s="338"/>
      <c r="D110" s="338"/>
      <c r="E110" s="338"/>
      <c r="F110" s="338"/>
      <c r="G110" s="338"/>
      <c r="H110" s="338"/>
      <c r="I110" s="338"/>
      <c r="J110" s="338"/>
      <c r="K110" s="338"/>
      <c r="L110" s="338"/>
      <c r="M110" s="338"/>
      <c r="N110" s="338"/>
      <c r="O110" s="338"/>
      <c r="P110" s="338"/>
      <c r="Q110" s="338"/>
      <c r="R110" s="338"/>
      <c r="S110" s="338"/>
      <c r="T110" s="357"/>
      <c r="U110" s="338"/>
      <c r="V110" s="338"/>
      <c r="W110" s="338"/>
      <c r="X110" s="338"/>
      <c r="Y110" s="338"/>
      <c r="Z110" s="338"/>
      <c r="AA110" s="338"/>
    </row>
    <row r="111" ht="15.75" customHeight="1">
      <c r="A111" s="532"/>
      <c r="B111" s="338"/>
      <c r="C111" s="338"/>
      <c r="D111" s="338"/>
      <c r="E111" s="338"/>
      <c r="F111" s="338"/>
      <c r="G111" s="338"/>
      <c r="H111" s="338"/>
      <c r="I111" s="338"/>
      <c r="J111" s="338"/>
      <c r="K111" s="338"/>
      <c r="L111" s="338"/>
      <c r="M111" s="338"/>
      <c r="N111" s="338"/>
      <c r="O111" s="338"/>
      <c r="P111" s="338"/>
      <c r="Q111" s="338"/>
      <c r="R111" s="338"/>
      <c r="S111" s="338"/>
      <c r="T111" s="357"/>
      <c r="U111" s="338"/>
      <c r="V111" s="338"/>
      <c r="W111" s="338"/>
      <c r="X111" s="338"/>
      <c r="Y111" s="338"/>
      <c r="Z111" s="338"/>
      <c r="AA111" s="338"/>
    </row>
    <row r="112" ht="15.75" customHeight="1">
      <c r="A112" s="532"/>
      <c r="B112" s="338"/>
      <c r="C112" s="338"/>
      <c r="D112" s="338"/>
      <c r="E112" s="338"/>
      <c r="F112" s="338"/>
      <c r="G112" s="338"/>
      <c r="H112" s="338"/>
      <c r="I112" s="338"/>
      <c r="J112" s="338"/>
      <c r="K112" s="338"/>
      <c r="L112" s="338"/>
      <c r="M112" s="338"/>
      <c r="N112" s="338"/>
      <c r="O112" s="338"/>
      <c r="P112" s="338"/>
      <c r="Q112" s="338"/>
      <c r="R112" s="338"/>
      <c r="S112" s="338"/>
      <c r="T112" s="357"/>
      <c r="U112" s="338"/>
      <c r="V112" s="338"/>
      <c r="W112" s="338"/>
      <c r="X112" s="338"/>
      <c r="Y112" s="338"/>
      <c r="Z112" s="338"/>
      <c r="AA112" s="338"/>
    </row>
    <row r="113" ht="15.75" customHeight="1">
      <c r="A113" s="532"/>
      <c r="B113" s="338"/>
      <c r="C113" s="338"/>
      <c r="D113" s="338"/>
      <c r="E113" s="338"/>
      <c r="F113" s="338"/>
      <c r="G113" s="338"/>
      <c r="H113" s="338"/>
      <c r="I113" s="338"/>
      <c r="J113" s="338"/>
      <c r="K113" s="338"/>
      <c r="L113" s="338"/>
      <c r="M113" s="338"/>
      <c r="N113" s="338"/>
      <c r="O113" s="338"/>
      <c r="P113" s="338"/>
      <c r="Q113" s="338"/>
      <c r="R113" s="338"/>
      <c r="S113" s="338"/>
      <c r="T113" s="357"/>
      <c r="U113" s="338"/>
      <c r="V113" s="338"/>
      <c r="W113" s="338"/>
      <c r="X113" s="338"/>
      <c r="Y113" s="338"/>
      <c r="Z113" s="338"/>
      <c r="AA113" s="338"/>
    </row>
    <row r="114" ht="15.75" customHeight="1">
      <c r="A114" s="532"/>
      <c r="B114" s="338"/>
      <c r="C114" s="338"/>
      <c r="D114" s="338"/>
      <c r="E114" s="338"/>
      <c r="F114" s="338"/>
      <c r="G114" s="338"/>
      <c r="H114" s="338"/>
      <c r="I114" s="338"/>
      <c r="J114" s="338"/>
      <c r="K114" s="338"/>
      <c r="L114" s="338"/>
      <c r="M114" s="338"/>
      <c r="N114" s="338"/>
      <c r="O114" s="338"/>
      <c r="P114" s="338"/>
      <c r="Q114" s="338"/>
      <c r="R114" s="338"/>
      <c r="S114" s="338"/>
      <c r="T114" s="357"/>
      <c r="U114" s="338"/>
      <c r="V114" s="338"/>
      <c r="W114" s="338"/>
      <c r="X114" s="338"/>
      <c r="Y114" s="338"/>
      <c r="Z114" s="338"/>
      <c r="AA114" s="338"/>
    </row>
    <row r="115" ht="15.75" customHeight="1">
      <c r="A115" s="532"/>
      <c r="B115" s="338"/>
      <c r="C115" s="338"/>
      <c r="D115" s="338"/>
      <c r="E115" s="338"/>
      <c r="F115" s="338"/>
      <c r="G115" s="338"/>
      <c r="H115" s="338"/>
      <c r="I115" s="338"/>
      <c r="J115" s="338"/>
      <c r="K115" s="338"/>
      <c r="L115" s="338"/>
      <c r="M115" s="338"/>
      <c r="N115" s="338"/>
      <c r="O115" s="338"/>
      <c r="P115" s="338"/>
      <c r="Q115" s="338"/>
      <c r="R115" s="338"/>
      <c r="S115" s="338"/>
      <c r="T115" s="357"/>
      <c r="U115" s="338"/>
      <c r="V115" s="338"/>
      <c r="W115" s="338"/>
      <c r="X115" s="338"/>
      <c r="Y115" s="338"/>
      <c r="Z115" s="338"/>
      <c r="AA115" s="338"/>
    </row>
    <row r="116" ht="15.75" customHeight="1">
      <c r="A116" s="532"/>
      <c r="B116" s="338"/>
      <c r="C116" s="338"/>
      <c r="D116" s="338"/>
      <c r="E116" s="338"/>
      <c r="F116" s="338"/>
      <c r="G116" s="338"/>
      <c r="H116" s="338"/>
      <c r="I116" s="338"/>
      <c r="J116" s="338"/>
      <c r="K116" s="338"/>
      <c r="L116" s="338"/>
      <c r="M116" s="338"/>
      <c r="N116" s="338"/>
      <c r="O116" s="338"/>
      <c r="P116" s="338"/>
      <c r="Q116" s="338"/>
      <c r="R116" s="338"/>
      <c r="S116" s="338"/>
      <c r="T116" s="357"/>
      <c r="U116" s="338"/>
      <c r="V116" s="338"/>
      <c r="W116" s="338"/>
      <c r="X116" s="338"/>
      <c r="Y116" s="338"/>
      <c r="Z116" s="338"/>
      <c r="AA116" s="338"/>
    </row>
    <row r="117" ht="15.75" customHeight="1">
      <c r="A117" s="532"/>
      <c r="B117" s="338"/>
      <c r="C117" s="338"/>
      <c r="D117" s="338"/>
      <c r="E117" s="338"/>
      <c r="F117" s="338"/>
      <c r="G117" s="338"/>
      <c r="H117" s="338"/>
      <c r="I117" s="338"/>
      <c r="J117" s="338"/>
      <c r="K117" s="338"/>
      <c r="L117" s="338"/>
      <c r="M117" s="338"/>
      <c r="N117" s="338"/>
      <c r="O117" s="338"/>
      <c r="P117" s="338"/>
      <c r="Q117" s="338"/>
      <c r="R117" s="338"/>
      <c r="S117" s="338"/>
      <c r="T117" s="357"/>
      <c r="U117" s="338"/>
      <c r="V117" s="338"/>
      <c r="W117" s="338"/>
      <c r="X117" s="338"/>
      <c r="Y117" s="338"/>
      <c r="Z117" s="338"/>
      <c r="AA117" s="338"/>
    </row>
    <row r="118" ht="15.75" customHeight="1">
      <c r="A118" s="532"/>
      <c r="B118" s="338"/>
      <c r="C118" s="338"/>
      <c r="D118" s="338"/>
      <c r="E118" s="338"/>
      <c r="F118" s="338"/>
      <c r="G118" s="338"/>
      <c r="H118" s="338"/>
      <c r="I118" s="338"/>
      <c r="J118" s="338"/>
      <c r="K118" s="338"/>
      <c r="L118" s="338"/>
      <c r="M118" s="338"/>
      <c r="N118" s="338"/>
      <c r="O118" s="338"/>
      <c r="P118" s="338"/>
      <c r="Q118" s="338"/>
      <c r="R118" s="338"/>
      <c r="S118" s="338"/>
      <c r="T118" s="357"/>
      <c r="U118" s="338"/>
      <c r="V118" s="338"/>
      <c r="W118" s="338"/>
      <c r="X118" s="338"/>
      <c r="Y118" s="338"/>
      <c r="Z118" s="338"/>
      <c r="AA118" s="338"/>
    </row>
    <row r="119" ht="15.75" customHeight="1">
      <c r="A119" s="532"/>
      <c r="B119" s="338"/>
      <c r="C119" s="338"/>
      <c r="D119" s="338"/>
      <c r="E119" s="338"/>
      <c r="F119" s="338"/>
      <c r="G119" s="338"/>
      <c r="H119" s="338"/>
      <c r="I119" s="338"/>
      <c r="J119" s="338"/>
      <c r="K119" s="338"/>
      <c r="L119" s="338"/>
      <c r="M119" s="338"/>
      <c r="N119" s="338"/>
      <c r="O119" s="338"/>
      <c r="P119" s="338"/>
      <c r="Q119" s="338"/>
      <c r="R119" s="338"/>
      <c r="S119" s="338"/>
      <c r="T119" s="357"/>
      <c r="U119" s="338"/>
      <c r="V119" s="338"/>
      <c r="W119" s="338"/>
      <c r="X119" s="338"/>
      <c r="Y119" s="338"/>
      <c r="Z119" s="338"/>
      <c r="AA119" s="338"/>
    </row>
    <row r="120" ht="15.75" customHeight="1">
      <c r="A120" s="532"/>
      <c r="B120" s="338"/>
      <c r="C120" s="338"/>
      <c r="D120" s="338"/>
      <c r="E120" s="338"/>
      <c r="F120" s="338"/>
      <c r="G120" s="338"/>
      <c r="H120" s="338"/>
      <c r="I120" s="338"/>
      <c r="J120" s="338"/>
      <c r="K120" s="338"/>
      <c r="L120" s="338"/>
      <c r="M120" s="338"/>
      <c r="N120" s="338"/>
      <c r="O120" s="338"/>
      <c r="P120" s="338"/>
      <c r="Q120" s="338"/>
      <c r="R120" s="338"/>
      <c r="S120" s="338"/>
      <c r="T120" s="357"/>
      <c r="U120" s="338"/>
      <c r="V120" s="338"/>
      <c r="W120" s="338"/>
      <c r="X120" s="338"/>
      <c r="Y120" s="338"/>
      <c r="Z120" s="338"/>
      <c r="AA120" s="338"/>
    </row>
    <row r="121" ht="15.75" customHeight="1">
      <c r="A121" s="532"/>
      <c r="B121" s="338"/>
      <c r="C121" s="338"/>
      <c r="D121" s="338"/>
      <c r="E121" s="338"/>
      <c r="F121" s="338"/>
      <c r="G121" s="338"/>
      <c r="H121" s="338"/>
      <c r="I121" s="338"/>
      <c r="J121" s="338"/>
      <c r="K121" s="338"/>
      <c r="L121" s="338"/>
      <c r="M121" s="338"/>
      <c r="N121" s="338"/>
      <c r="O121" s="338"/>
      <c r="P121" s="338"/>
      <c r="Q121" s="338"/>
      <c r="R121" s="338"/>
      <c r="S121" s="338"/>
      <c r="T121" s="357"/>
      <c r="U121" s="338"/>
      <c r="V121" s="338"/>
      <c r="W121" s="338"/>
      <c r="X121" s="338"/>
      <c r="Y121" s="338"/>
      <c r="Z121" s="338"/>
      <c r="AA121" s="338"/>
    </row>
    <row r="122" ht="15.75" customHeight="1">
      <c r="A122" s="532"/>
      <c r="B122" s="338"/>
      <c r="C122" s="338"/>
      <c r="D122" s="338"/>
      <c r="E122" s="338"/>
      <c r="F122" s="338"/>
      <c r="G122" s="338"/>
      <c r="H122" s="338"/>
      <c r="I122" s="338"/>
      <c r="J122" s="338"/>
      <c r="K122" s="338"/>
      <c r="L122" s="338"/>
      <c r="M122" s="338"/>
      <c r="N122" s="338"/>
      <c r="O122" s="338"/>
      <c r="P122" s="338"/>
      <c r="Q122" s="338"/>
      <c r="R122" s="338"/>
      <c r="S122" s="338"/>
      <c r="T122" s="357"/>
      <c r="U122" s="338"/>
      <c r="V122" s="338"/>
      <c r="W122" s="338"/>
      <c r="X122" s="338"/>
      <c r="Y122" s="338"/>
      <c r="Z122" s="338"/>
      <c r="AA122" s="338"/>
    </row>
    <row r="123" ht="15.75" customHeight="1">
      <c r="A123" s="532"/>
      <c r="B123" s="338"/>
      <c r="C123" s="338"/>
      <c r="D123" s="338"/>
      <c r="E123" s="338"/>
      <c r="F123" s="338"/>
      <c r="G123" s="338"/>
      <c r="H123" s="338"/>
      <c r="I123" s="338"/>
      <c r="J123" s="338"/>
      <c r="K123" s="338"/>
      <c r="L123" s="338"/>
      <c r="M123" s="338"/>
      <c r="N123" s="338"/>
      <c r="O123" s="338"/>
      <c r="P123" s="338"/>
      <c r="Q123" s="338"/>
      <c r="R123" s="338"/>
      <c r="S123" s="338"/>
      <c r="T123" s="357"/>
      <c r="U123" s="338"/>
      <c r="V123" s="338"/>
      <c r="W123" s="338"/>
      <c r="X123" s="338"/>
      <c r="Y123" s="338"/>
      <c r="Z123" s="338"/>
      <c r="AA123" s="338"/>
    </row>
    <row r="124" ht="15.75" customHeight="1">
      <c r="A124" s="532"/>
      <c r="B124" s="338"/>
      <c r="C124" s="338"/>
      <c r="D124" s="338"/>
      <c r="E124" s="338"/>
      <c r="F124" s="338"/>
      <c r="G124" s="338"/>
      <c r="H124" s="338"/>
      <c r="I124" s="338"/>
      <c r="J124" s="338"/>
      <c r="K124" s="338"/>
      <c r="L124" s="338"/>
      <c r="M124" s="338"/>
      <c r="N124" s="338"/>
      <c r="O124" s="338"/>
      <c r="P124" s="338"/>
      <c r="Q124" s="338"/>
      <c r="R124" s="338"/>
      <c r="S124" s="338"/>
      <c r="T124" s="357"/>
      <c r="U124" s="338"/>
      <c r="V124" s="338"/>
      <c r="W124" s="338"/>
      <c r="X124" s="338"/>
      <c r="Y124" s="338"/>
      <c r="Z124" s="338"/>
      <c r="AA124" s="338"/>
    </row>
    <row r="125" ht="15.75" customHeight="1">
      <c r="A125" s="532"/>
      <c r="B125" s="338"/>
      <c r="C125" s="338"/>
      <c r="D125" s="338"/>
      <c r="E125" s="338"/>
      <c r="F125" s="338"/>
      <c r="G125" s="338"/>
      <c r="H125" s="338"/>
      <c r="I125" s="338"/>
      <c r="J125" s="338"/>
      <c r="K125" s="338"/>
      <c r="L125" s="338"/>
      <c r="M125" s="338"/>
      <c r="N125" s="338"/>
      <c r="O125" s="338"/>
      <c r="P125" s="338"/>
      <c r="Q125" s="338"/>
      <c r="R125" s="338"/>
      <c r="S125" s="338"/>
      <c r="T125" s="357"/>
      <c r="U125" s="338"/>
      <c r="V125" s="338"/>
      <c r="W125" s="338"/>
      <c r="X125" s="338"/>
      <c r="Y125" s="338"/>
      <c r="Z125" s="338"/>
      <c r="AA125" s="338"/>
    </row>
    <row r="126" ht="15.75" customHeight="1">
      <c r="A126" s="532"/>
      <c r="B126" s="338"/>
      <c r="C126" s="338"/>
      <c r="D126" s="338"/>
      <c r="E126" s="338"/>
      <c r="F126" s="338"/>
      <c r="G126" s="338"/>
      <c r="H126" s="338"/>
      <c r="I126" s="338"/>
      <c r="J126" s="338"/>
      <c r="K126" s="338"/>
      <c r="L126" s="338"/>
      <c r="M126" s="338"/>
      <c r="N126" s="338"/>
      <c r="O126" s="338"/>
      <c r="P126" s="338"/>
      <c r="Q126" s="338"/>
      <c r="R126" s="338"/>
      <c r="S126" s="338"/>
      <c r="T126" s="357"/>
      <c r="U126" s="338"/>
      <c r="V126" s="338"/>
      <c r="W126" s="338"/>
      <c r="X126" s="338"/>
      <c r="Y126" s="338"/>
      <c r="Z126" s="338"/>
      <c r="AA126" s="338"/>
    </row>
    <row r="127" ht="15.75" customHeight="1">
      <c r="A127" s="532"/>
      <c r="B127" s="338"/>
      <c r="C127" s="338"/>
      <c r="D127" s="338"/>
      <c r="E127" s="338"/>
      <c r="F127" s="338"/>
      <c r="G127" s="338"/>
      <c r="H127" s="338"/>
      <c r="I127" s="338"/>
      <c r="J127" s="338"/>
      <c r="K127" s="338"/>
      <c r="L127" s="338"/>
      <c r="M127" s="338"/>
      <c r="N127" s="338"/>
      <c r="O127" s="338"/>
      <c r="P127" s="338"/>
      <c r="Q127" s="338"/>
      <c r="R127" s="338"/>
      <c r="S127" s="338"/>
      <c r="T127" s="357"/>
      <c r="U127" s="338"/>
      <c r="V127" s="338"/>
      <c r="W127" s="338"/>
      <c r="X127" s="338"/>
      <c r="Y127" s="338"/>
      <c r="Z127" s="338"/>
      <c r="AA127" s="338"/>
    </row>
    <row r="128" ht="15.75" customHeight="1">
      <c r="A128" s="532"/>
      <c r="B128" s="338"/>
      <c r="C128" s="338"/>
      <c r="D128" s="338"/>
      <c r="E128" s="338"/>
      <c r="F128" s="338"/>
      <c r="G128" s="338"/>
      <c r="H128" s="338"/>
      <c r="I128" s="338"/>
      <c r="J128" s="338"/>
      <c r="K128" s="338"/>
      <c r="L128" s="338"/>
      <c r="M128" s="338"/>
      <c r="N128" s="338"/>
      <c r="O128" s="338"/>
      <c r="P128" s="338"/>
      <c r="Q128" s="338"/>
      <c r="R128" s="338"/>
      <c r="S128" s="338"/>
      <c r="T128" s="357"/>
      <c r="U128" s="338"/>
      <c r="V128" s="338"/>
      <c r="W128" s="338"/>
      <c r="X128" s="338"/>
      <c r="Y128" s="338"/>
      <c r="Z128" s="338"/>
      <c r="AA128" s="338"/>
    </row>
    <row r="129" ht="15.75" customHeight="1">
      <c r="A129" s="532"/>
      <c r="B129" s="338"/>
      <c r="C129" s="338"/>
      <c r="D129" s="338"/>
      <c r="E129" s="338"/>
      <c r="F129" s="338"/>
      <c r="G129" s="338"/>
      <c r="H129" s="338"/>
      <c r="I129" s="338"/>
      <c r="J129" s="338"/>
      <c r="K129" s="338"/>
      <c r="L129" s="338"/>
      <c r="M129" s="338"/>
      <c r="N129" s="338"/>
      <c r="O129" s="338"/>
      <c r="P129" s="338"/>
      <c r="Q129" s="338"/>
      <c r="R129" s="338"/>
      <c r="S129" s="338"/>
      <c r="T129" s="357"/>
      <c r="U129" s="338"/>
      <c r="V129" s="338"/>
      <c r="W129" s="338"/>
      <c r="X129" s="338"/>
      <c r="Y129" s="338"/>
      <c r="Z129" s="338"/>
      <c r="AA129" s="338"/>
    </row>
    <row r="130" ht="15.75" customHeight="1">
      <c r="A130" s="532"/>
      <c r="B130" s="338"/>
      <c r="C130" s="338"/>
      <c r="D130" s="338"/>
      <c r="E130" s="338"/>
      <c r="F130" s="338"/>
      <c r="G130" s="338"/>
      <c r="H130" s="338"/>
      <c r="I130" s="338"/>
      <c r="J130" s="338"/>
      <c r="K130" s="338"/>
      <c r="L130" s="338"/>
      <c r="M130" s="338"/>
      <c r="N130" s="338"/>
      <c r="O130" s="338"/>
      <c r="P130" s="338"/>
      <c r="Q130" s="338"/>
      <c r="R130" s="338"/>
      <c r="S130" s="338"/>
      <c r="T130" s="357"/>
      <c r="U130" s="338"/>
      <c r="V130" s="338"/>
      <c r="W130" s="338"/>
      <c r="X130" s="338"/>
      <c r="Y130" s="338"/>
      <c r="Z130" s="338"/>
      <c r="AA130" s="338"/>
    </row>
    <row r="131" ht="15.75" customHeight="1">
      <c r="A131" s="532"/>
      <c r="B131" s="338"/>
      <c r="C131" s="338"/>
      <c r="D131" s="338"/>
      <c r="E131" s="338"/>
      <c r="F131" s="338"/>
      <c r="G131" s="338"/>
      <c r="H131" s="338"/>
      <c r="I131" s="338"/>
      <c r="J131" s="338"/>
      <c r="K131" s="338"/>
      <c r="L131" s="338"/>
      <c r="M131" s="338"/>
      <c r="N131" s="338"/>
      <c r="O131" s="338"/>
      <c r="P131" s="338"/>
      <c r="Q131" s="338"/>
      <c r="R131" s="338"/>
      <c r="S131" s="338"/>
      <c r="T131" s="357"/>
      <c r="U131" s="338"/>
      <c r="V131" s="338"/>
      <c r="W131" s="338"/>
      <c r="X131" s="338"/>
      <c r="Y131" s="338"/>
      <c r="Z131" s="338"/>
      <c r="AA131" s="338"/>
    </row>
    <row r="132" ht="15.75" customHeight="1">
      <c r="A132" s="532"/>
      <c r="B132" s="338"/>
      <c r="C132" s="338"/>
      <c r="D132" s="338"/>
      <c r="E132" s="338"/>
      <c r="F132" s="338"/>
      <c r="G132" s="338"/>
      <c r="H132" s="338"/>
      <c r="I132" s="338"/>
      <c r="J132" s="338"/>
      <c r="K132" s="338"/>
      <c r="L132" s="338"/>
      <c r="M132" s="338"/>
      <c r="N132" s="338"/>
      <c r="O132" s="338"/>
      <c r="P132" s="338"/>
      <c r="Q132" s="338"/>
      <c r="R132" s="338"/>
      <c r="S132" s="338"/>
      <c r="T132" s="357"/>
      <c r="U132" s="338"/>
      <c r="V132" s="338"/>
      <c r="W132" s="338"/>
      <c r="X132" s="338"/>
      <c r="Y132" s="338"/>
      <c r="Z132" s="338"/>
      <c r="AA132" s="338"/>
    </row>
    <row r="133" ht="15.75" customHeight="1">
      <c r="A133" s="532"/>
      <c r="B133" s="338"/>
      <c r="C133" s="338"/>
      <c r="D133" s="338"/>
      <c r="E133" s="338"/>
      <c r="F133" s="338"/>
      <c r="G133" s="338"/>
      <c r="H133" s="338"/>
      <c r="I133" s="338"/>
      <c r="J133" s="338"/>
      <c r="K133" s="338"/>
      <c r="L133" s="338"/>
      <c r="M133" s="338"/>
      <c r="N133" s="338"/>
      <c r="O133" s="338"/>
      <c r="P133" s="338"/>
      <c r="Q133" s="338"/>
      <c r="R133" s="338"/>
      <c r="S133" s="338"/>
      <c r="T133" s="357"/>
      <c r="U133" s="338"/>
      <c r="V133" s="338"/>
      <c r="W133" s="338"/>
      <c r="X133" s="338"/>
      <c r="Y133" s="338"/>
      <c r="Z133" s="338"/>
      <c r="AA133" s="338"/>
    </row>
    <row r="134" ht="15.75" customHeight="1">
      <c r="A134" s="532"/>
      <c r="B134" s="338"/>
      <c r="C134" s="338"/>
      <c r="D134" s="338"/>
      <c r="E134" s="338"/>
      <c r="F134" s="338"/>
      <c r="G134" s="338"/>
      <c r="H134" s="338"/>
      <c r="I134" s="338"/>
      <c r="J134" s="338"/>
      <c r="K134" s="338"/>
      <c r="L134" s="338"/>
      <c r="M134" s="338"/>
      <c r="N134" s="338"/>
      <c r="O134" s="338"/>
      <c r="P134" s="338"/>
      <c r="Q134" s="338"/>
      <c r="R134" s="338"/>
      <c r="S134" s="338"/>
      <c r="T134" s="357"/>
      <c r="U134" s="338"/>
      <c r="V134" s="338"/>
      <c r="W134" s="338"/>
      <c r="X134" s="338"/>
      <c r="Y134" s="338"/>
      <c r="Z134" s="338"/>
      <c r="AA134" s="338"/>
    </row>
    <row r="135" ht="15.75" customHeight="1">
      <c r="A135" s="532"/>
      <c r="B135" s="338"/>
      <c r="C135" s="338"/>
      <c r="D135" s="338"/>
      <c r="E135" s="338"/>
      <c r="F135" s="338"/>
      <c r="G135" s="338"/>
      <c r="H135" s="338"/>
      <c r="I135" s="338"/>
      <c r="J135" s="338"/>
      <c r="K135" s="338"/>
      <c r="L135" s="338"/>
      <c r="M135" s="338"/>
      <c r="N135" s="338"/>
      <c r="O135" s="338"/>
      <c r="P135" s="338"/>
      <c r="Q135" s="338"/>
      <c r="R135" s="338"/>
      <c r="S135" s="338"/>
      <c r="T135" s="357"/>
      <c r="U135" s="338"/>
      <c r="V135" s="338"/>
      <c r="W135" s="338"/>
      <c r="X135" s="338"/>
      <c r="Y135" s="338"/>
      <c r="Z135" s="338"/>
      <c r="AA135" s="338"/>
    </row>
    <row r="136" ht="15.75" customHeight="1">
      <c r="A136" s="532"/>
      <c r="B136" s="338"/>
      <c r="C136" s="338"/>
      <c r="D136" s="338"/>
      <c r="E136" s="338"/>
      <c r="F136" s="338"/>
      <c r="G136" s="338"/>
      <c r="H136" s="338"/>
      <c r="I136" s="338"/>
      <c r="J136" s="338"/>
      <c r="K136" s="338"/>
      <c r="L136" s="338"/>
      <c r="M136" s="338"/>
      <c r="N136" s="338"/>
      <c r="O136" s="338"/>
      <c r="P136" s="338"/>
      <c r="Q136" s="338"/>
      <c r="R136" s="338"/>
      <c r="S136" s="338"/>
      <c r="T136" s="357"/>
      <c r="U136" s="338"/>
      <c r="V136" s="338"/>
      <c r="W136" s="338"/>
      <c r="X136" s="338"/>
      <c r="Y136" s="338"/>
      <c r="Z136" s="338"/>
      <c r="AA136" s="338"/>
    </row>
    <row r="137" ht="15.75" customHeight="1">
      <c r="A137" s="532"/>
      <c r="B137" s="338"/>
      <c r="C137" s="338"/>
      <c r="D137" s="338"/>
      <c r="E137" s="338"/>
      <c r="F137" s="338"/>
      <c r="G137" s="338"/>
      <c r="H137" s="338"/>
      <c r="I137" s="338"/>
      <c r="J137" s="338"/>
      <c r="K137" s="338"/>
      <c r="L137" s="338"/>
      <c r="M137" s="338"/>
      <c r="N137" s="338"/>
      <c r="O137" s="338"/>
      <c r="P137" s="338"/>
      <c r="Q137" s="338"/>
      <c r="R137" s="338"/>
      <c r="S137" s="338"/>
      <c r="T137" s="357"/>
      <c r="U137" s="338"/>
      <c r="V137" s="338"/>
      <c r="W137" s="338"/>
      <c r="X137" s="338"/>
      <c r="Y137" s="338"/>
      <c r="Z137" s="338"/>
      <c r="AA137" s="338"/>
    </row>
    <row r="138" ht="15.75" customHeight="1">
      <c r="A138" s="532"/>
      <c r="B138" s="338"/>
      <c r="C138" s="338"/>
      <c r="D138" s="338"/>
      <c r="E138" s="338"/>
      <c r="F138" s="338"/>
      <c r="G138" s="338"/>
      <c r="H138" s="338"/>
      <c r="I138" s="338"/>
      <c r="J138" s="338"/>
      <c r="K138" s="338"/>
      <c r="L138" s="338"/>
      <c r="M138" s="338"/>
      <c r="N138" s="338"/>
      <c r="O138" s="338"/>
      <c r="P138" s="338"/>
      <c r="Q138" s="338"/>
      <c r="R138" s="338"/>
      <c r="S138" s="338"/>
      <c r="T138" s="357"/>
      <c r="U138" s="338"/>
      <c r="V138" s="338"/>
      <c r="W138" s="338"/>
      <c r="X138" s="338"/>
      <c r="Y138" s="338"/>
      <c r="Z138" s="338"/>
      <c r="AA138" s="338"/>
    </row>
    <row r="139" ht="15.75" customHeight="1">
      <c r="A139" s="532"/>
      <c r="B139" s="338"/>
      <c r="C139" s="338"/>
      <c r="D139" s="338"/>
      <c r="E139" s="338"/>
      <c r="F139" s="338"/>
      <c r="G139" s="338"/>
      <c r="H139" s="338"/>
      <c r="I139" s="338"/>
      <c r="J139" s="338"/>
      <c r="K139" s="338"/>
      <c r="L139" s="338"/>
      <c r="M139" s="338"/>
      <c r="N139" s="338"/>
      <c r="O139" s="338"/>
      <c r="P139" s="338"/>
      <c r="Q139" s="338"/>
      <c r="R139" s="338"/>
      <c r="S139" s="338"/>
      <c r="T139" s="357"/>
      <c r="U139" s="338"/>
      <c r="V139" s="338"/>
      <c r="W139" s="338"/>
      <c r="X139" s="338"/>
      <c r="Y139" s="338"/>
      <c r="Z139" s="338"/>
      <c r="AA139" s="338"/>
    </row>
    <row r="140" ht="15.75" customHeight="1">
      <c r="A140" s="532"/>
      <c r="B140" s="338"/>
      <c r="C140" s="338"/>
      <c r="D140" s="338"/>
      <c r="E140" s="338"/>
      <c r="F140" s="338"/>
      <c r="G140" s="338"/>
      <c r="H140" s="338"/>
      <c r="I140" s="338"/>
      <c r="J140" s="338"/>
      <c r="K140" s="338"/>
      <c r="L140" s="338"/>
      <c r="M140" s="338"/>
      <c r="N140" s="338"/>
      <c r="O140" s="338"/>
      <c r="P140" s="338"/>
      <c r="Q140" s="338"/>
      <c r="R140" s="338"/>
      <c r="S140" s="338"/>
      <c r="T140" s="357"/>
      <c r="U140" s="338"/>
      <c r="V140" s="338"/>
      <c r="W140" s="338"/>
      <c r="X140" s="338"/>
      <c r="Y140" s="338"/>
      <c r="Z140" s="338"/>
      <c r="AA140" s="338"/>
    </row>
    <row r="141" ht="15.75" customHeight="1">
      <c r="A141" s="532"/>
      <c r="B141" s="338"/>
      <c r="C141" s="338"/>
      <c r="D141" s="338"/>
      <c r="E141" s="338"/>
      <c r="F141" s="338"/>
      <c r="G141" s="338"/>
      <c r="H141" s="338"/>
      <c r="I141" s="338"/>
      <c r="J141" s="338"/>
      <c r="K141" s="338"/>
      <c r="L141" s="338"/>
      <c r="M141" s="338"/>
      <c r="N141" s="338"/>
      <c r="O141" s="338"/>
      <c r="P141" s="338"/>
      <c r="Q141" s="338"/>
      <c r="R141" s="338"/>
      <c r="S141" s="338"/>
      <c r="T141" s="357"/>
      <c r="U141" s="338"/>
      <c r="V141" s="338"/>
      <c r="W141" s="338"/>
      <c r="X141" s="338"/>
      <c r="Y141" s="338"/>
      <c r="Z141" s="338"/>
      <c r="AA141" s="338"/>
    </row>
    <row r="142" ht="15.75" customHeight="1">
      <c r="A142" s="532"/>
      <c r="B142" s="338"/>
      <c r="C142" s="338"/>
      <c r="D142" s="338"/>
      <c r="E142" s="338"/>
      <c r="F142" s="338"/>
      <c r="G142" s="338"/>
      <c r="H142" s="338"/>
      <c r="I142" s="338"/>
      <c r="J142" s="338"/>
      <c r="K142" s="338"/>
      <c r="L142" s="338"/>
      <c r="M142" s="338"/>
      <c r="N142" s="338"/>
      <c r="O142" s="338"/>
      <c r="P142" s="338"/>
      <c r="Q142" s="338"/>
      <c r="R142" s="338"/>
      <c r="S142" s="338"/>
      <c r="T142" s="357"/>
      <c r="U142" s="338"/>
      <c r="V142" s="338"/>
      <c r="W142" s="338"/>
      <c r="X142" s="338"/>
      <c r="Y142" s="338"/>
      <c r="Z142" s="338"/>
      <c r="AA142" s="338"/>
    </row>
    <row r="143" ht="15.75" customHeight="1">
      <c r="A143" s="532"/>
      <c r="B143" s="338"/>
      <c r="C143" s="338"/>
      <c r="D143" s="338"/>
      <c r="E143" s="338"/>
      <c r="F143" s="338"/>
      <c r="G143" s="338"/>
      <c r="H143" s="338"/>
      <c r="I143" s="338"/>
      <c r="J143" s="338"/>
      <c r="K143" s="338"/>
      <c r="L143" s="338"/>
      <c r="M143" s="338"/>
      <c r="N143" s="338"/>
      <c r="O143" s="338"/>
      <c r="P143" s="338"/>
      <c r="Q143" s="338"/>
      <c r="R143" s="338"/>
      <c r="S143" s="338"/>
      <c r="T143" s="357"/>
      <c r="U143" s="338"/>
      <c r="V143" s="338"/>
      <c r="W143" s="338"/>
      <c r="X143" s="338"/>
      <c r="Y143" s="338"/>
      <c r="Z143" s="338"/>
      <c r="AA143" s="338"/>
    </row>
    <row r="144" ht="15.75" customHeight="1">
      <c r="A144" s="532"/>
      <c r="B144" s="338"/>
      <c r="C144" s="338"/>
      <c r="D144" s="338"/>
      <c r="E144" s="338"/>
      <c r="F144" s="338"/>
      <c r="G144" s="338"/>
      <c r="H144" s="338"/>
      <c r="I144" s="338"/>
      <c r="J144" s="338"/>
      <c r="K144" s="338"/>
      <c r="L144" s="338"/>
      <c r="M144" s="338"/>
      <c r="N144" s="338"/>
      <c r="O144" s="338"/>
      <c r="P144" s="338"/>
      <c r="Q144" s="338"/>
      <c r="R144" s="338"/>
      <c r="S144" s="338"/>
      <c r="T144" s="357"/>
      <c r="U144" s="338"/>
      <c r="V144" s="338"/>
      <c r="W144" s="338"/>
      <c r="X144" s="338"/>
      <c r="Y144" s="338"/>
      <c r="Z144" s="338"/>
      <c r="AA144" s="338"/>
    </row>
    <row r="145" ht="15.75" customHeight="1">
      <c r="A145" s="532"/>
      <c r="B145" s="338"/>
      <c r="C145" s="338"/>
      <c r="D145" s="338"/>
      <c r="E145" s="338"/>
      <c r="F145" s="338"/>
      <c r="G145" s="338"/>
      <c r="H145" s="338"/>
      <c r="I145" s="338"/>
      <c r="J145" s="338"/>
      <c r="K145" s="338"/>
      <c r="L145" s="338"/>
      <c r="M145" s="338"/>
      <c r="N145" s="338"/>
      <c r="O145" s="338"/>
      <c r="P145" s="338"/>
      <c r="Q145" s="338"/>
      <c r="R145" s="338"/>
      <c r="S145" s="338"/>
      <c r="T145" s="357"/>
      <c r="U145" s="338"/>
      <c r="V145" s="338"/>
      <c r="W145" s="338"/>
      <c r="X145" s="338"/>
      <c r="Y145" s="338"/>
      <c r="Z145" s="338"/>
      <c r="AA145" s="338"/>
    </row>
    <row r="146" ht="15.75" customHeight="1">
      <c r="A146" s="532"/>
      <c r="B146" s="338"/>
      <c r="C146" s="338"/>
      <c r="D146" s="338"/>
      <c r="E146" s="338"/>
      <c r="F146" s="338"/>
      <c r="G146" s="338"/>
      <c r="H146" s="338"/>
      <c r="I146" s="338"/>
      <c r="J146" s="338"/>
      <c r="K146" s="338"/>
      <c r="L146" s="338"/>
      <c r="M146" s="338"/>
      <c r="N146" s="338"/>
      <c r="O146" s="338"/>
      <c r="P146" s="338"/>
      <c r="Q146" s="338"/>
      <c r="R146" s="338"/>
      <c r="S146" s="338"/>
      <c r="T146" s="357"/>
      <c r="U146" s="338"/>
      <c r="V146" s="338"/>
      <c r="W146" s="338"/>
      <c r="X146" s="338"/>
      <c r="Y146" s="338"/>
      <c r="Z146" s="338"/>
      <c r="AA146" s="338"/>
    </row>
    <row r="147" ht="15.75" customHeight="1">
      <c r="A147" s="532"/>
      <c r="B147" s="338"/>
      <c r="C147" s="338"/>
      <c r="D147" s="338"/>
      <c r="E147" s="338"/>
      <c r="F147" s="338"/>
      <c r="G147" s="338"/>
      <c r="H147" s="338"/>
      <c r="I147" s="338"/>
      <c r="J147" s="338"/>
      <c r="K147" s="338"/>
      <c r="L147" s="338"/>
      <c r="M147" s="338"/>
      <c r="N147" s="338"/>
      <c r="O147" s="338"/>
      <c r="P147" s="338"/>
      <c r="Q147" s="338"/>
      <c r="R147" s="338"/>
      <c r="S147" s="338"/>
      <c r="T147" s="357"/>
      <c r="U147" s="338"/>
      <c r="V147" s="338"/>
      <c r="W147" s="338"/>
      <c r="X147" s="338"/>
      <c r="Y147" s="338"/>
      <c r="Z147" s="338"/>
      <c r="AA147" s="338"/>
    </row>
    <row r="148" ht="15.75" customHeight="1">
      <c r="A148" s="532"/>
      <c r="B148" s="338"/>
      <c r="C148" s="338"/>
      <c r="D148" s="338"/>
      <c r="E148" s="338"/>
      <c r="F148" s="338"/>
      <c r="G148" s="338"/>
      <c r="H148" s="338"/>
      <c r="I148" s="338"/>
      <c r="J148" s="338"/>
      <c r="K148" s="338"/>
      <c r="L148" s="338"/>
      <c r="M148" s="338"/>
      <c r="N148" s="338"/>
      <c r="O148" s="338"/>
      <c r="P148" s="338"/>
      <c r="Q148" s="338"/>
      <c r="R148" s="338"/>
      <c r="S148" s="338"/>
      <c r="T148" s="357"/>
      <c r="U148" s="338"/>
      <c r="V148" s="338"/>
      <c r="W148" s="338"/>
      <c r="X148" s="338"/>
      <c r="Y148" s="338"/>
      <c r="Z148" s="338"/>
      <c r="AA148" s="338"/>
    </row>
    <row r="149" ht="15.75" customHeight="1">
      <c r="A149" s="532"/>
      <c r="B149" s="338"/>
      <c r="C149" s="338"/>
      <c r="D149" s="338"/>
      <c r="E149" s="338"/>
      <c r="F149" s="338"/>
      <c r="G149" s="338"/>
      <c r="H149" s="338"/>
      <c r="I149" s="338"/>
      <c r="J149" s="338"/>
      <c r="K149" s="338"/>
      <c r="L149" s="338"/>
      <c r="M149" s="338"/>
      <c r="N149" s="338"/>
      <c r="O149" s="338"/>
      <c r="P149" s="338"/>
      <c r="Q149" s="338"/>
      <c r="R149" s="338"/>
      <c r="S149" s="338"/>
      <c r="T149" s="357"/>
      <c r="U149" s="338"/>
      <c r="V149" s="338"/>
      <c r="W149" s="338"/>
      <c r="X149" s="338"/>
      <c r="Y149" s="338"/>
      <c r="Z149" s="338"/>
      <c r="AA149" s="338"/>
    </row>
    <row r="150" ht="15.75" customHeight="1">
      <c r="A150" s="532"/>
      <c r="B150" s="338"/>
      <c r="C150" s="338"/>
      <c r="D150" s="338"/>
      <c r="E150" s="338"/>
      <c r="F150" s="338"/>
      <c r="G150" s="338"/>
      <c r="H150" s="338"/>
      <c r="I150" s="338"/>
      <c r="J150" s="338"/>
      <c r="K150" s="338"/>
      <c r="L150" s="338"/>
      <c r="M150" s="338"/>
      <c r="N150" s="338"/>
      <c r="O150" s="338"/>
      <c r="P150" s="338"/>
      <c r="Q150" s="338"/>
      <c r="R150" s="338"/>
      <c r="S150" s="338"/>
      <c r="T150" s="357"/>
      <c r="U150" s="338"/>
      <c r="V150" s="338"/>
      <c r="W150" s="338"/>
      <c r="X150" s="338"/>
      <c r="Y150" s="338"/>
      <c r="Z150" s="338"/>
      <c r="AA150" s="338"/>
    </row>
    <row r="151" ht="15.75" customHeight="1">
      <c r="A151" s="532"/>
      <c r="B151" s="338"/>
      <c r="C151" s="338"/>
      <c r="D151" s="338"/>
      <c r="E151" s="338"/>
      <c r="F151" s="338"/>
      <c r="G151" s="338"/>
      <c r="H151" s="338"/>
      <c r="I151" s="338"/>
      <c r="J151" s="338"/>
      <c r="K151" s="338"/>
      <c r="L151" s="338"/>
      <c r="M151" s="338"/>
      <c r="N151" s="338"/>
      <c r="O151" s="338"/>
      <c r="P151" s="338"/>
      <c r="Q151" s="338"/>
      <c r="R151" s="338"/>
      <c r="S151" s="338"/>
      <c r="T151" s="357"/>
      <c r="U151" s="338"/>
      <c r="V151" s="338"/>
      <c r="W151" s="338"/>
      <c r="X151" s="338"/>
      <c r="Y151" s="338"/>
      <c r="Z151" s="338"/>
      <c r="AA151" s="338"/>
    </row>
    <row r="152" ht="15.75" customHeight="1">
      <c r="A152" s="532"/>
      <c r="B152" s="338"/>
      <c r="C152" s="338"/>
      <c r="D152" s="338"/>
      <c r="E152" s="338"/>
      <c r="F152" s="338"/>
      <c r="G152" s="338"/>
      <c r="H152" s="338"/>
      <c r="I152" s="338"/>
      <c r="J152" s="338"/>
      <c r="K152" s="338"/>
      <c r="L152" s="338"/>
      <c r="M152" s="338"/>
      <c r="N152" s="338"/>
      <c r="O152" s="338"/>
      <c r="P152" s="338"/>
      <c r="Q152" s="338"/>
      <c r="R152" s="338"/>
      <c r="S152" s="338"/>
      <c r="T152" s="357"/>
      <c r="U152" s="338"/>
      <c r="V152" s="338"/>
      <c r="W152" s="338"/>
      <c r="X152" s="338"/>
      <c r="Y152" s="338"/>
      <c r="Z152" s="338"/>
      <c r="AA152" s="338"/>
    </row>
    <row r="153" ht="15.75" customHeight="1">
      <c r="A153" s="532"/>
      <c r="B153" s="338"/>
      <c r="C153" s="338"/>
      <c r="D153" s="338"/>
      <c r="E153" s="338"/>
      <c r="F153" s="338"/>
      <c r="G153" s="338"/>
      <c r="H153" s="338"/>
      <c r="I153" s="338"/>
      <c r="J153" s="338"/>
      <c r="K153" s="338"/>
      <c r="L153" s="338"/>
      <c r="M153" s="338"/>
      <c r="N153" s="338"/>
      <c r="O153" s="338"/>
      <c r="P153" s="338"/>
      <c r="Q153" s="338"/>
      <c r="R153" s="338"/>
      <c r="S153" s="338"/>
      <c r="T153" s="357"/>
      <c r="U153" s="338"/>
      <c r="V153" s="338"/>
      <c r="W153" s="338"/>
      <c r="X153" s="338"/>
      <c r="Y153" s="338"/>
      <c r="Z153" s="338"/>
      <c r="AA153" s="338"/>
    </row>
    <row r="154" ht="15.75" customHeight="1">
      <c r="A154" s="532"/>
      <c r="B154" s="338"/>
      <c r="C154" s="338"/>
      <c r="D154" s="338"/>
      <c r="E154" s="338"/>
      <c r="F154" s="338"/>
      <c r="G154" s="338"/>
      <c r="H154" s="338"/>
      <c r="I154" s="338"/>
      <c r="J154" s="338"/>
      <c r="K154" s="338"/>
      <c r="L154" s="338"/>
      <c r="M154" s="338"/>
      <c r="N154" s="338"/>
      <c r="O154" s="338"/>
      <c r="P154" s="338"/>
      <c r="Q154" s="338"/>
      <c r="R154" s="338"/>
      <c r="S154" s="338"/>
      <c r="T154" s="357"/>
      <c r="U154" s="338"/>
      <c r="V154" s="338"/>
      <c r="W154" s="338"/>
      <c r="X154" s="338"/>
      <c r="Y154" s="338"/>
      <c r="Z154" s="338"/>
      <c r="AA154" s="338"/>
    </row>
    <row r="155" ht="15.75" customHeight="1">
      <c r="A155" s="532"/>
      <c r="B155" s="338"/>
      <c r="C155" s="338"/>
      <c r="D155" s="338"/>
      <c r="E155" s="338"/>
      <c r="F155" s="338"/>
      <c r="G155" s="338"/>
      <c r="H155" s="338"/>
      <c r="I155" s="338"/>
      <c r="J155" s="338"/>
      <c r="K155" s="338"/>
      <c r="L155" s="338"/>
      <c r="M155" s="338"/>
      <c r="N155" s="338"/>
      <c r="O155" s="338"/>
      <c r="P155" s="338"/>
      <c r="Q155" s="338"/>
      <c r="R155" s="338"/>
      <c r="S155" s="338"/>
      <c r="T155" s="357"/>
      <c r="U155" s="338"/>
      <c r="V155" s="338"/>
      <c r="W155" s="338"/>
      <c r="X155" s="338"/>
      <c r="Y155" s="338"/>
      <c r="Z155" s="338"/>
      <c r="AA155" s="338"/>
    </row>
    <row r="156" ht="15.75" customHeight="1">
      <c r="A156" s="532"/>
      <c r="B156" s="338"/>
      <c r="C156" s="338"/>
      <c r="D156" s="338"/>
      <c r="E156" s="338"/>
      <c r="F156" s="338"/>
      <c r="G156" s="338"/>
      <c r="H156" s="338"/>
      <c r="I156" s="338"/>
      <c r="J156" s="338"/>
      <c r="K156" s="338"/>
      <c r="L156" s="338"/>
      <c r="M156" s="338"/>
      <c r="N156" s="338"/>
      <c r="O156" s="338"/>
      <c r="P156" s="338"/>
      <c r="Q156" s="338"/>
      <c r="R156" s="338"/>
      <c r="S156" s="338"/>
      <c r="T156" s="357"/>
      <c r="U156" s="338"/>
      <c r="V156" s="338"/>
      <c r="W156" s="338"/>
      <c r="X156" s="338"/>
      <c r="Y156" s="338"/>
      <c r="Z156" s="338"/>
      <c r="AA156" s="338"/>
    </row>
    <row r="157" ht="15.75" customHeight="1">
      <c r="A157" s="532"/>
      <c r="B157" s="338"/>
      <c r="C157" s="338"/>
      <c r="D157" s="338"/>
      <c r="E157" s="338"/>
      <c r="F157" s="338"/>
      <c r="G157" s="338"/>
      <c r="H157" s="338"/>
      <c r="I157" s="338"/>
      <c r="J157" s="338"/>
      <c r="K157" s="338"/>
      <c r="L157" s="338"/>
      <c r="M157" s="338"/>
      <c r="N157" s="338"/>
      <c r="O157" s="338"/>
      <c r="P157" s="338"/>
      <c r="Q157" s="338"/>
      <c r="R157" s="338"/>
      <c r="S157" s="338"/>
      <c r="T157" s="357"/>
      <c r="U157" s="338"/>
      <c r="V157" s="338"/>
      <c r="W157" s="338"/>
      <c r="X157" s="338"/>
      <c r="Y157" s="338"/>
      <c r="Z157" s="338"/>
      <c r="AA157" s="338"/>
    </row>
    <row r="158" ht="15.75" customHeight="1">
      <c r="A158" s="532"/>
      <c r="B158" s="338"/>
      <c r="C158" s="338"/>
      <c r="D158" s="338"/>
      <c r="E158" s="338"/>
      <c r="F158" s="338"/>
      <c r="G158" s="338"/>
      <c r="H158" s="338"/>
      <c r="I158" s="338"/>
      <c r="J158" s="338"/>
      <c r="K158" s="338"/>
      <c r="L158" s="338"/>
      <c r="M158" s="338"/>
      <c r="N158" s="338"/>
      <c r="O158" s="338"/>
      <c r="P158" s="338"/>
      <c r="Q158" s="338"/>
      <c r="R158" s="338"/>
      <c r="S158" s="338"/>
      <c r="T158" s="357"/>
      <c r="U158" s="338"/>
      <c r="V158" s="338"/>
      <c r="W158" s="338"/>
      <c r="X158" s="338"/>
      <c r="Y158" s="338"/>
      <c r="Z158" s="338"/>
      <c r="AA158" s="338"/>
    </row>
    <row r="159" ht="15.75" customHeight="1">
      <c r="A159" s="532"/>
      <c r="B159" s="338"/>
      <c r="C159" s="338"/>
      <c r="D159" s="338"/>
      <c r="E159" s="338"/>
      <c r="F159" s="338"/>
      <c r="G159" s="338"/>
      <c r="H159" s="338"/>
      <c r="I159" s="338"/>
      <c r="J159" s="338"/>
      <c r="K159" s="338"/>
      <c r="L159" s="338"/>
      <c r="M159" s="338"/>
      <c r="N159" s="338"/>
      <c r="O159" s="338"/>
      <c r="P159" s="338"/>
      <c r="Q159" s="338"/>
      <c r="R159" s="338"/>
      <c r="S159" s="338"/>
      <c r="T159" s="357"/>
      <c r="U159" s="338"/>
      <c r="V159" s="338"/>
      <c r="W159" s="338"/>
      <c r="X159" s="338"/>
      <c r="Y159" s="338"/>
      <c r="Z159" s="338"/>
      <c r="AA159" s="338"/>
    </row>
    <row r="160" ht="15.75" customHeight="1">
      <c r="A160" s="532"/>
      <c r="B160" s="338"/>
      <c r="C160" s="338"/>
      <c r="D160" s="338"/>
      <c r="E160" s="338"/>
      <c r="F160" s="338"/>
      <c r="G160" s="338"/>
      <c r="H160" s="338"/>
      <c r="I160" s="338"/>
      <c r="J160" s="338"/>
      <c r="K160" s="338"/>
      <c r="L160" s="338"/>
      <c r="M160" s="338"/>
      <c r="N160" s="338"/>
      <c r="O160" s="338"/>
      <c r="P160" s="338"/>
      <c r="Q160" s="338"/>
      <c r="R160" s="338"/>
      <c r="S160" s="338"/>
      <c r="T160" s="357"/>
      <c r="U160" s="338"/>
      <c r="V160" s="338"/>
      <c r="W160" s="338"/>
      <c r="X160" s="338"/>
      <c r="Y160" s="338"/>
      <c r="Z160" s="338"/>
      <c r="AA160" s="338"/>
    </row>
    <row r="161" ht="15.75" customHeight="1">
      <c r="A161" s="532"/>
      <c r="B161" s="338"/>
      <c r="C161" s="338"/>
      <c r="D161" s="338"/>
      <c r="E161" s="338"/>
      <c r="F161" s="338"/>
      <c r="G161" s="338"/>
      <c r="H161" s="338"/>
      <c r="I161" s="338"/>
      <c r="J161" s="338"/>
      <c r="K161" s="338"/>
      <c r="L161" s="338"/>
      <c r="M161" s="338"/>
      <c r="N161" s="338"/>
      <c r="O161" s="338"/>
      <c r="P161" s="338"/>
      <c r="Q161" s="338"/>
      <c r="R161" s="338"/>
      <c r="S161" s="338"/>
      <c r="T161" s="357"/>
      <c r="U161" s="338"/>
      <c r="V161" s="338"/>
      <c r="W161" s="338"/>
      <c r="X161" s="338"/>
      <c r="Y161" s="338"/>
      <c r="Z161" s="338"/>
      <c r="AA161" s="338"/>
    </row>
    <row r="162" ht="15.75" customHeight="1">
      <c r="A162" s="532"/>
      <c r="B162" s="338"/>
      <c r="C162" s="338"/>
      <c r="D162" s="338"/>
      <c r="E162" s="338"/>
      <c r="F162" s="338"/>
      <c r="G162" s="338"/>
      <c r="H162" s="338"/>
      <c r="I162" s="338"/>
      <c r="J162" s="338"/>
      <c r="K162" s="338"/>
      <c r="L162" s="338"/>
      <c r="M162" s="338"/>
      <c r="N162" s="338"/>
      <c r="O162" s="338"/>
      <c r="P162" s="338"/>
      <c r="Q162" s="338"/>
      <c r="R162" s="338"/>
      <c r="S162" s="338"/>
      <c r="T162" s="357"/>
      <c r="U162" s="338"/>
      <c r="V162" s="338"/>
      <c r="W162" s="338"/>
      <c r="X162" s="338"/>
      <c r="Y162" s="338"/>
      <c r="Z162" s="338"/>
      <c r="AA162" s="338"/>
    </row>
    <row r="163" ht="15.75" customHeight="1">
      <c r="A163" s="532"/>
      <c r="B163" s="338"/>
      <c r="C163" s="338"/>
      <c r="D163" s="338"/>
      <c r="E163" s="338"/>
      <c r="F163" s="338"/>
      <c r="G163" s="338"/>
      <c r="H163" s="338"/>
      <c r="I163" s="338"/>
      <c r="J163" s="338"/>
      <c r="K163" s="338"/>
      <c r="L163" s="338"/>
      <c r="M163" s="338"/>
      <c r="N163" s="338"/>
      <c r="O163" s="338"/>
      <c r="P163" s="338"/>
      <c r="Q163" s="338"/>
      <c r="R163" s="338"/>
      <c r="S163" s="338"/>
      <c r="T163" s="357"/>
      <c r="U163" s="338"/>
      <c r="V163" s="338"/>
      <c r="W163" s="338"/>
      <c r="X163" s="338"/>
      <c r="Y163" s="338"/>
      <c r="Z163" s="338"/>
      <c r="AA163" s="338"/>
    </row>
    <row r="164" ht="15.75" customHeight="1">
      <c r="A164" s="532"/>
      <c r="B164" s="338"/>
      <c r="C164" s="338"/>
      <c r="D164" s="338"/>
      <c r="E164" s="338"/>
      <c r="F164" s="338"/>
      <c r="G164" s="338"/>
      <c r="H164" s="338"/>
      <c r="I164" s="338"/>
      <c r="J164" s="338"/>
      <c r="K164" s="338"/>
      <c r="L164" s="338"/>
      <c r="M164" s="338"/>
      <c r="N164" s="338"/>
      <c r="O164" s="338"/>
      <c r="P164" s="338"/>
      <c r="Q164" s="338"/>
      <c r="R164" s="338"/>
      <c r="S164" s="338"/>
      <c r="T164" s="357"/>
      <c r="U164" s="338"/>
      <c r="V164" s="338"/>
      <c r="W164" s="338"/>
      <c r="X164" s="338"/>
      <c r="Y164" s="338"/>
      <c r="Z164" s="338"/>
      <c r="AA164" s="338"/>
    </row>
    <row r="165" ht="15.75" customHeight="1">
      <c r="A165" s="532"/>
      <c r="B165" s="338"/>
      <c r="C165" s="338"/>
      <c r="D165" s="338"/>
      <c r="E165" s="338"/>
      <c r="F165" s="338"/>
      <c r="G165" s="338"/>
      <c r="H165" s="338"/>
      <c r="I165" s="338"/>
      <c r="J165" s="338"/>
      <c r="K165" s="338"/>
      <c r="L165" s="338"/>
      <c r="M165" s="338"/>
      <c r="N165" s="338"/>
      <c r="O165" s="338"/>
      <c r="P165" s="338"/>
      <c r="Q165" s="338"/>
      <c r="R165" s="338"/>
      <c r="S165" s="338"/>
      <c r="T165" s="357"/>
      <c r="U165" s="338"/>
      <c r="V165" s="338"/>
      <c r="W165" s="338"/>
      <c r="X165" s="338"/>
      <c r="Y165" s="338"/>
      <c r="Z165" s="338"/>
      <c r="AA165" s="338"/>
    </row>
    <row r="166" ht="15.75" customHeight="1">
      <c r="A166" s="532"/>
      <c r="B166" s="338"/>
      <c r="C166" s="338"/>
      <c r="D166" s="338"/>
      <c r="E166" s="338"/>
      <c r="F166" s="338"/>
      <c r="G166" s="338"/>
      <c r="H166" s="338"/>
      <c r="I166" s="338"/>
      <c r="J166" s="338"/>
      <c r="K166" s="338"/>
      <c r="L166" s="338"/>
      <c r="M166" s="338"/>
      <c r="N166" s="338"/>
      <c r="O166" s="338"/>
      <c r="P166" s="338"/>
      <c r="Q166" s="338"/>
      <c r="R166" s="338"/>
      <c r="S166" s="338"/>
      <c r="T166" s="357"/>
      <c r="U166" s="338"/>
      <c r="V166" s="338"/>
      <c r="W166" s="338"/>
      <c r="X166" s="338"/>
      <c r="Y166" s="338"/>
      <c r="Z166" s="338"/>
      <c r="AA166" s="338"/>
    </row>
    <row r="167" ht="15.75" customHeight="1">
      <c r="A167" s="532"/>
      <c r="B167" s="338"/>
      <c r="C167" s="338"/>
      <c r="D167" s="338"/>
      <c r="E167" s="338"/>
      <c r="F167" s="338"/>
      <c r="G167" s="338"/>
      <c r="H167" s="338"/>
      <c r="I167" s="338"/>
      <c r="J167" s="338"/>
      <c r="K167" s="338"/>
      <c r="L167" s="338"/>
      <c r="M167" s="338"/>
      <c r="N167" s="338"/>
      <c r="O167" s="338"/>
      <c r="P167" s="338"/>
      <c r="Q167" s="338"/>
      <c r="R167" s="338"/>
      <c r="S167" s="338"/>
      <c r="T167" s="357"/>
      <c r="U167" s="338"/>
      <c r="V167" s="338"/>
      <c r="W167" s="338"/>
      <c r="X167" s="338"/>
      <c r="Y167" s="338"/>
      <c r="Z167" s="338"/>
      <c r="AA167" s="338"/>
    </row>
    <row r="168" ht="15.75" customHeight="1">
      <c r="A168" s="532"/>
      <c r="B168" s="338"/>
      <c r="C168" s="338"/>
      <c r="D168" s="338"/>
      <c r="E168" s="338"/>
      <c r="F168" s="338"/>
      <c r="G168" s="338"/>
      <c r="H168" s="338"/>
      <c r="I168" s="338"/>
      <c r="J168" s="338"/>
      <c r="K168" s="338"/>
      <c r="L168" s="338"/>
      <c r="M168" s="338"/>
      <c r="N168" s="338"/>
      <c r="O168" s="338"/>
      <c r="P168" s="338"/>
      <c r="Q168" s="338"/>
      <c r="R168" s="338"/>
      <c r="S168" s="338"/>
      <c r="T168" s="357"/>
      <c r="U168" s="338"/>
      <c r="V168" s="338"/>
      <c r="W168" s="338"/>
      <c r="X168" s="338"/>
      <c r="Y168" s="338"/>
      <c r="Z168" s="338"/>
      <c r="AA168" s="338"/>
    </row>
    <row r="169" ht="15.75" customHeight="1">
      <c r="A169" s="532"/>
      <c r="B169" s="338"/>
      <c r="C169" s="338"/>
      <c r="D169" s="338"/>
      <c r="E169" s="338"/>
      <c r="F169" s="338"/>
      <c r="G169" s="338"/>
      <c r="H169" s="338"/>
      <c r="I169" s="338"/>
      <c r="J169" s="338"/>
      <c r="K169" s="338"/>
      <c r="L169" s="338"/>
      <c r="M169" s="338"/>
      <c r="N169" s="338"/>
      <c r="O169" s="338"/>
      <c r="P169" s="338"/>
      <c r="Q169" s="338"/>
      <c r="R169" s="338"/>
      <c r="S169" s="338"/>
      <c r="T169" s="357"/>
      <c r="U169" s="338"/>
      <c r="V169" s="338"/>
      <c r="W169" s="338"/>
      <c r="X169" s="338"/>
      <c r="Y169" s="338"/>
      <c r="Z169" s="338"/>
      <c r="AA169" s="338"/>
    </row>
    <row r="170" ht="15.75" customHeight="1">
      <c r="A170" s="532"/>
      <c r="B170" s="338"/>
      <c r="C170" s="338"/>
      <c r="D170" s="338"/>
      <c r="E170" s="338"/>
      <c r="F170" s="338"/>
      <c r="G170" s="338"/>
      <c r="H170" s="338"/>
      <c r="I170" s="338"/>
      <c r="J170" s="338"/>
      <c r="K170" s="338"/>
      <c r="L170" s="338"/>
      <c r="M170" s="338"/>
      <c r="N170" s="338"/>
      <c r="O170" s="338"/>
      <c r="P170" s="338"/>
      <c r="Q170" s="338"/>
      <c r="R170" s="338"/>
      <c r="S170" s="338"/>
      <c r="T170" s="357"/>
      <c r="U170" s="338"/>
      <c r="V170" s="338"/>
      <c r="W170" s="338"/>
      <c r="X170" s="338"/>
      <c r="Y170" s="338"/>
      <c r="Z170" s="338"/>
      <c r="AA170" s="338"/>
    </row>
    <row r="171" ht="15.75" customHeight="1">
      <c r="A171" s="532"/>
      <c r="B171" s="338"/>
      <c r="C171" s="338"/>
      <c r="D171" s="338"/>
      <c r="E171" s="338"/>
      <c r="F171" s="338"/>
      <c r="G171" s="338"/>
      <c r="H171" s="338"/>
      <c r="I171" s="338"/>
      <c r="J171" s="338"/>
      <c r="K171" s="338"/>
      <c r="L171" s="338"/>
      <c r="M171" s="338"/>
      <c r="N171" s="338"/>
      <c r="O171" s="338"/>
      <c r="P171" s="338"/>
      <c r="Q171" s="338"/>
      <c r="R171" s="338"/>
      <c r="S171" s="338"/>
      <c r="T171" s="357"/>
      <c r="U171" s="338"/>
      <c r="V171" s="338"/>
      <c r="W171" s="338"/>
      <c r="X171" s="338"/>
      <c r="Y171" s="338"/>
      <c r="Z171" s="338"/>
      <c r="AA171" s="338"/>
    </row>
    <row r="172" ht="15.75" customHeight="1">
      <c r="A172" s="532"/>
      <c r="B172" s="338"/>
      <c r="C172" s="338"/>
      <c r="D172" s="338"/>
      <c r="E172" s="338"/>
      <c r="F172" s="338"/>
      <c r="G172" s="338"/>
      <c r="H172" s="338"/>
      <c r="I172" s="338"/>
      <c r="J172" s="338"/>
      <c r="K172" s="338"/>
      <c r="L172" s="338"/>
      <c r="M172" s="338"/>
      <c r="N172" s="338"/>
      <c r="O172" s="338"/>
      <c r="P172" s="338"/>
      <c r="Q172" s="338"/>
      <c r="R172" s="338"/>
      <c r="S172" s="338"/>
      <c r="T172" s="357"/>
      <c r="U172" s="338"/>
      <c r="V172" s="338"/>
      <c r="W172" s="338"/>
      <c r="X172" s="338"/>
      <c r="Y172" s="338"/>
      <c r="Z172" s="338"/>
      <c r="AA172" s="338"/>
    </row>
    <row r="173" ht="15.75" customHeight="1">
      <c r="A173" s="532"/>
      <c r="B173" s="338"/>
      <c r="C173" s="338"/>
      <c r="D173" s="338"/>
      <c r="E173" s="338"/>
      <c r="F173" s="338"/>
      <c r="G173" s="338"/>
      <c r="H173" s="338"/>
      <c r="I173" s="338"/>
      <c r="J173" s="338"/>
      <c r="K173" s="338"/>
      <c r="L173" s="338"/>
      <c r="M173" s="338"/>
      <c r="N173" s="338"/>
      <c r="O173" s="338"/>
      <c r="P173" s="338"/>
      <c r="Q173" s="338"/>
      <c r="R173" s="338"/>
      <c r="S173" s="338"/>
      <c r="T173" s="357"/>
      <c r="U173" s="338"/>
      <c r="V173" s="338"/>
      <c r="W173" s="338"/>
      <c r="X173" s="338"/>
      <c r="Y173" s="338"/>
      <c r="Z173" s="338"/>
      <c r="AA173" s="338"/>
    </row>
    <row r="174" ht="15.75" customHeight="1">
      <c r="A174" s="532"/>
      <c r="B174" s="338"/>
      <c r="C174" s="338"/>
      <c r="D174" s="338"/>
      <c r="E174" s="338"/>
      <c r="F174" s="338"/>
      <c r="G174" s="338"/>
      <c r="H174" s="338"/>
      <c r="I174" s="338"/>
      <c r="J174" s="338"/>
      <c r="K174" s="338"/>
      <c r="L174" s="338"/>
      <c r="M174" s="338"/>
      <c r="N174" s="338"/>
      <c r="O174" s="338"/>
      <c r="P174" s="338"/>
      <c r="Q174" s="338"/>
      <c r="R174" s="338"/>
      <c r="S174" s="338"/>
      <c r="T174" s="357"/>
      <c r="U174" s="338"/>
      <c r="V174" s="338"/>
      <c r="W174" s="338"/>
      <c r="X174" s="338"/>
      <c r="Y174" s="338"/>
      <c r="Z174" s="338"/>
      <c r="AA174" s="338"/>
    </row>
    <row r="175" ht="15.75" customHeight="1">
      <c r="A175" s="532"/>
      <c r="B175" s="338"/>
      <c r="C175" s="338"/>
      <c r="D175" s="338"/>
      <c r="E175" s="338"/>
      <c r="F175" s="338"/>
      <c r="G175" s="338"/>
      <c r="H175" s="338"/>
      <c r="I175" s="338"/>
      <c r="J175" s="338"/>
      <c r="K175" s="338"/>
      <c r="L175" s="338"/>
      <c r="M175" s="338"/>
      <c r="N175" s="338"/>
      <c r="O175" s="338"/>
      <c r="P175" s="338"/>
      <c r="Q175" s="338"/>
      <c r="R175" s="338"/>
      <c r="S175" s="338"/>
      <c r="T175" s="357"/>
      <c r="U175" s="338"/>
      <c r="V175" s="338"/>
      <c r="W175" s="338"/>
      <c r="X175" s="338"/>
      <c r="Y175" s="338"/>
      <c r="Z175" s="338"/>
      <c r="AA175" s="338"/>
    </row>
    <row r="176" ht="15.75" customHeight="1">
      <c r="A176" s="532"/>
      <c r="B176" s="338"/>
      <c r="C176" s="338"/>
      <c r="D176" s="338"/>
      <c r="E176" s="338"/>
      <c r="F176" s="338"/>
      <c r="G176" s="338"/>
      <c r="H176" s="338"/>
      <c r="I176" s="338"/>
      <c r="J176" s="338"/>
      <c r="K176" s="338"/>
      <c r="L176" s="338"/>
      <c r="M176" s="338"/>
      <c r="N176" s="338"/>
      <c r="O176" s="338"/>
      <c r="P176" s="338"/>
      <c r="Q176" s="338"/>
      <c r="R176" s="338"/>
      <c r="S176" s="338"/>
      <c r="T176" s="357"/>
      <c r="U176" s="338"/>
      <c r="V176" s="338"/>
      <c r="W176" s="338"/>
      <c r="X176" s="338"/>
      <c r="Y176" s="338"/>
      <c r="Z176" s="338"/>
      <c r="AA176" s="338"/>
    </row>
    <row r="177" ht="15.75" customHeight="1">
      <c r="A177" s="532"/>
      <c r="B177" s="338"/>
      <c r="C177" s="338"/>
      <c r="D177" s="338"/>
      <c r="E177" s="338"/>
      <c r="F177" s="338"/>
      <c r="G177" s="338"/>
      <c r="H177" s="338"/>
      <c r="I177" s="338"/>
      <c r="J177" s="338"/>
      <c r="K177" s="338"/>
      <c r="L177" s="338"/>
      <c r="M177" s="338"/>
      <c r="N177" s="338"/>
      <c r="O177" s="338"/>
      <c r="P177" s="338"/>
      <c r="Q177" s="338"/>
      <c r="R177" s="338"/>
      <c r="S177" s="338"/>
      <c r="T177" s="357"/>
      <c r="U177" s="338"/>
      <c r="V177" s="338"/>
      <c r="W177" s="338"/>
      <c r="X177" s="338"/>
      <c r="Y177" s="338"/>
      <c r="Z177" s="338"/>
      <c r="AA177" s="338"/>
    </row>
    <row r="178" ht="15.75" customHeight="1">
      <c r="A178" s="532"/>
      <c r="B178" s="338"/>
      <c r="C178" s="338"/>
      <c r="D178" s="338"/>
      <c r="E178" s="338"/>
      <c r="F178" s="338"/>
      <c r="G178" s="338"/>
      <c r="H178" s="338"/>
      <c r="I178" s="338"/>
      <c r="J178" s="338"/>
      <c r="K178" s="338"/>
      <c r="L178" s="338"/>
      <c r="M178" s="338"/>
      <c r="N178" s="338"/>
      <c r="O178" s="338"/>
      <c r="P178" s="338"/>
      <c r="Q178" s="338"/>
      <c r="R178" s="338"/>
      <c r="S178" s="338"/>
      <c r="T178" s="357"/>
      <c r="U178" s="338"/>
      <c r="V178" s="338"/>
      <c r="W178" s="338"/>
      <c r="X178" s="338"/>
      <c r="Y178" s="338"/>
      <c r="Z178" s="338"/>
      <c r="AA178" s="338"/>
    </row>
    <row r="179" ht="15.75" customHeight="1">
      <c r="A179" s="532"/>
      <c r="B179" s="338"/>
      <c r="C179" s="338"/>
      <c r="D179" s="338"/>
      <c r="E179" s="338"/>
      <c r="F179" s="338"/>
      <c r="G179" s="338"/>
      <c r="H179" s="338"/>
      <c r="I179" s="338"/>
      <c r="J179" s="338"/>
      <c r="K179" s="338"/>
      <c r="L179" s="338"/>
      <c r="M179" s="338"/>
      <c r="N179" s="338"/>
      <c r="O179" s="338"/>
      <c r="P179" s="338"/>
      <c r="Q179" s="338"/>
      <c r="R179" s="338"/>
      <c r="S179" s="338"/>
      <c r="T179" s="357"/>
      <c r="U179" s="338"/>
      <c r="V179" s="338"/>
      <c r="W179" s="338"/>
      <c r="X179" s="338"/>
      <c r="Y179" s="338"/>
      <c r="Z179" s="338"/>
      <c r="AA179" s="338"/>
    </row>
    <row r="180" ht="15.75" customHeight="1">
      <c r="A180" s="532"/>
      <c r="B180" s="338"/>
      <c r="C180" s="338"/>
      <c r="D180" s="338"/>
      <c r="E180" s="338"/>
      <c r="F180" s="338"/>
      <c r="G180" s="338"/>
      <c r="H180" s="338"/>
      <c r="I180" s="338"/>
      <c r="J180" s="338"/>
      <c r="K180" s="338"/>
      <c r="L180" s="338"/>
      <c r="M180" s="338"/>
      <c r="N180" s="338"/>
      <c r="O180" s="338"/>
      <c r="P180" s="338"/>
      <c r="Q180" s="338"/>
      <c r="R180" s="338"/>
      <c r="S180" s="338"/>
      <c r="T180" s="357"/>
      <c r="U180" s="338"/>
      <c r="V180" s="338"/>
      <c r="W180" s="338"/>
      <c r="X180" s="338"/>
      <c r="Y180" s="338"/>
      <c r="Z180" s="338"/>
      <c r="AA180" s="338"/>
    </row>
    <row r="181" ht="15.75" customHeight="1">
      <c r="A181" s="532"/>
      <c r="B181" s="338"/>
      <c r="C181" s="338"/>
      <c r="D181" s="338"/>
      <c r="E181" s="338"/>
      <c r="F181" s="338"/>
      <c r="G181" s="338"/>
      <c r="H181" s="338"/>
      <c r="I181" s="338"/>
      <c r="J181" s="338"/>
      <c r="K181" s="338"/>
      <c r="L181" s="338"/>
      <c r="M181" s="338"/>
      <c r="N181" s="338"/>
      <c r="O181" s="338"/>
      <c r="P181" s="338"/>
      <c r="Q181" s="338"/>
      <c r="R181" s="338"/>
      <c r="S181" s="338"/>
      <c r="T181" s="357"/>
      <c r="U181" s="338"/>
      <c r="V181" s="338"/>
      <c r="W181" s="338"/>
      <c r="X181" s="338"/>
      <c r="Y181" s="338"/>
      <c r="Z181" s="338"/>
      <c r="AA181" s="338"/>
    </row>
    <row r="182" ht="15.75" customHeight="1">
      <c r="A182" s="532"/>
      <c r="B182" s="338"/>
      <c r="C182" s="338"/>
      <c r="D182" s="338"/>
      <c r="E182" s="338"/>
      <c r="F182" s="338"/>
      <c r="G182" s="338"/>
      <c r="H182" s="338"/>
      <c r="I182" s="338"/>
      <c r="J182" s="338"/>
      <c r="K182" s="338"/>
      <c r="L182" s="338"/>
      <c r="M182" s="338"/>
      <c r="N182" s="338"/>
      <c r="O182" s="338"/>
      <c r="P182" s="338"/>
      <c r="Q182" s="338"/>
      <c r="R182" s="338"/>
      <c r="S182" s="338"/>
      <c r="T182" s="357"/>
      <c r="U182" s="338"/>
      <c r="V182" s="338"/>
      <c r="W182" s="338"/>
      <c r="X182" s="338"/>
      <c r="Y182" s="338"/>
      <c r="Z182" s="338"/>
      <c r="AA182" s="338"/>
    </row>
    <row r="183" ht="15.75" customHeight="1">
      <c r="A183" s="532"/>
      <c r="B183" s="338"/>
      <c r="C183" s="338"/>
      <c r="D183" s="338"/>
      <c r="E183" s="338"/>
      <c r="F183" s="338"/>
      <c r="G183" s="338"/>
      <c r="H183" s="338"/>
      <c r="I183" s="338"/>
      <c r="J183" s="338"/>
      <c r="K183" s="338"/>
      <c r="L183" s="338"/>
      <c r="M183" s="338"/>
      <c r="N183" s="338"/>
      <c r="O183" s="338"/>
      <c r="P183" s="338"/>
      <c r="Q183" s="338"/>
      <c r="R183" s="338"/>
      <c r="S183" s="338"/>
      <c r="T183" s="357"/>
      <c r="U183" s="338"/>
      <c r="V183" s="338"/>
      <c r="W183" s="338"/>
      <c r="X183" s="338"/>
      <c r="Y183" s="338"/>
      <c r="Z183" s="338"/>
      <c r="AA183" s="338"/>
    </row>
    <row r="184" ht="15.75" customHeight="1">
      <c r="A184" s="532"/>
      <c r="B184" s="338"/>
      <c r="C184" s="338"/>
      <c r="D184" s="338"/>
      <c r="E184" s="338"/>
      <c r="F184" s="338"/>
      <c r="G184" s="338"/>
      <c r="H184" s="338"/>
      <c r="I184" s="338"/>
      <c r="J184" s="338"/>
      <c r="K184" s="338"/>
      <c r="L184" s="338"/>
      <c r="M184" s="338"/>
      <c r="N184" s="338"/>
      <c r="O184" s="338"/>
      <c r="P184" s="338"/>
      <c r="Q184" s="338"/>
      <c r="R184" s="338"/>
      <c r="S184" s="338"/>
      <c r="T184" s="357"/>
      <c r="U184" s="338"/>
      <c r="V184" s="338"/>
      <c r="W184" s="338"/>
      <c r="X184" s="338"/>
      <c r="Y184" s="338"/>
      <c r="Z184" s="338"/>
      <c r="AA184" s="338"/>
    </row>
    <row r="185" ht="15.75" customHeight="1">
      <c r="A185" s="532"/>
      <c r="B185" s="338"/>
      <c r="C185" s="338"/>
      <c r="D185" s="338"/>
      <c r="E185" s="338"/>
      <c r="F185" s="338"/>
      <c r="G185" s="338"/>
      <c r="H185" s="338"/>
      <c r="I185" s="338"/>
      <c r="J185" s="338"/>
      <c r="K185" s="338"/>
      <c r="L185" s="338"/>
      <c r="M185" s="338"/>
      <c r="N185" s="338"/>
      <c r="O185" s="338"/>
      <c r="P185" s="338"/>
      <c r="Q185" s="338"/>
      <c r="R185" s="338"/>
      <c r="S185" s="338"/>
      <c r="T185" s="357"/>
      <c r="U185" s="338"/>
      <c r="V185" s="338"/>
      <c r="W185" s="338"/>
      <c r="X185" s="338"/>
      <c r="Y185" s="338"/>
      <c r="Z185" s="338"/>
      <c r="AA185" s="338"/>
    </row>
    <row r="186" ht="15.75" customHeight="1">
      <c r="A186" s="532"/>
      <c r="B186" s="338"/>
      <c r="C186" s="338"/>
      <c r="D186" s="338"/>
      <c r="E186" s="338"/>
      <c r="F186" s="338"/>
      <c r="G186" s="338"/>
      <c r="H186" s="338"/>
      <c r="I186" s="338"/>
      <c r="J186" s="338"/>
      <c r="K186" s="338"/>
      <c r="L186" s="338"/>
      <c r="M186" s="338"/>
      <c r="N186" s="338"/>
      <c r="O186" s="338"/>
      <c r="P186" s="338"/>
      <c r="Q186" s="338"/>
      <c r="R186" s="338"/>
      <c r="S186" s="338"/>
      <c r="T186" s="357"/>
      <c r="U186" s="338"/>
      <c r="V186" s="338"/>
      <c r="W186" s="338"/>
      <c r="X186" s="338"/>
      <c r="Y186" s="338"/>
      <c r="Z186" s="338"/>
      <c r="AA186" s="338"/>
    </row>
    <row r="187" ht="15.75" customHeight="1">
      <c r="A187" s="532"/>
      <c r="B187" s="338"/>
      <c r="C187" s="338"/>
      <c r="D187" s="338"/>
      <c r="E187" s="338"/>
      <c r="F187" s="338"/>
      <c r="G187" s="338"/>
      <c r="H187" s="338"/>
      <c r="I187" s="338"/>
      <c r="J187" s="338"/>
      <c r="K187" s="338"/>
      <c r="L187" s="338"/>
      <c r="M187" s="338"/>
      <c r="N187" s="338"/>
      <c r="O187" s="338"/>
      <c r="P187" s="338"/>
      <c r="Q187" s="338"/>
      <c r="R187" s="338"/>
      <c r="S187" s="338"/>
      <c r="T187" s="357"/>
      <c r="U187" s="338"/>
      <c r="V187" s="338"/>
      <c r="W187" s="338"/>
      <c r="X187" s="338"/>
      <c r="Y187" s="338"/>
      <c r="Z187" s="338"/>
      <c r="AA187" s="338"/>
    </row>
    <row r="188" ht="15.75" customHeight="1">
      <c r="A188" s="532"/>
      <c r="B188" s="338"/>
      <c r="C188" s="338"/>
      <c r="D188" s="338"/>
      <c r="E188" s="338"/>
      <c r="F188" s="338"/>
      <c r="G188" s="338"/>
      <c r="H188" s="338"/>
      <c r="I188" s="338"/>
      <c r="J188" s="338"/>
      <c r="K188" s="338"/>
      <c r="L188" s="338"/>
      <c r="M188" s="338"/>
      <c r="N188" s="338"/>
      <c r="O188" s="338"/>
      <c r="P188" s="338"/>
      <c r="Q188" s="338"/>
      <c r="R188" s="338"/>
      <c r="S188" s="338"/>
      <c r="T188" s="357"/>
      <c r="U188" s="338"/>
      <c r="V188" s="338"/>
      <c r="W188" s="338"/>
      <c r="X188" s="338"/>
      <c r="Y188" s="338"/>
      <c r="Z188" s="338"/>
      <c r="AA188" s="338"/>
    </row>
    <row r="189" ht="15.75" customHeight="1">
      <c r="A189" s="532"/>
      <c r="B189" s="338"/>
      <c r="C189" s="338"/>
      <c r="D189" s="338"/>
      <c r="E189" s="338"/>
      <c r="F189" s="338"/>
      <c r="G189" s="338"/>
      <c r="H189" s="338"/>
      <c r="I189" s="338"/>
      <c r="J189" s="338"/>
      <c r="K189" s="338"/>
      <c r="L189" s="338"/>
      <c r="M189" s="338"/>
      <c r="N189" s="338"/>
      <c r="O189" s="338"/>
      <c r="P189" s="338"/>
      <c r="Q189" s="338"/>
      <c r="R189" s="338"/>
      <c r="S189" s="338"/>
      <c r="T189" s="357"/>
      <c r="U189" s="338"/>
      <c r="V189" s="338"/>
      <c r="W189" s="338"/>
      <c r="X189" s="338"/>
      <c r="Y189" s="338"/>
      <c r="Z189" s="338"/>
      <c r="AA189" s="338"/>
    </row>
    <row r="190" ht="15.75" customHeight="1">
      <c r="A190" s="532"/>
      <c r="B190" s="338"/>
      <c r="C190" s="338"/>
      <c r="D190" s="338"/>
      <c r="E190" s="338"/>
      <c r="F190" s="338"/>
      <c r="G190" s="338"/>
      <c r="H190" s="338"/>
      <c r="I190" s="338"/>
      <c r="J190" s="338"/>
      <c r="K190" s="338"/>
      <c r="L190" s="338"/>
      <c r="M190" s="338"/>
      <c r="N190" s="338"/>
      <c r="O190" s="338"/>
      <c r="P190" s="338"/>
      <c r="Q190" s="338"/>
      <c r="R190" s="338"/>
      <c r="S190" s="338"/>
      <c r="T190" s="357"/>
      <c r="U190" s="338"/>
      <c r="V190" s="338"/>
      <c r="W190" s="338"/>
      <c r="X190" s="338"/>
      <c r="Y190" s="338"/>
      <c r="Z190" s="338"/>
      <c r="AA190" s="338"/>
    </row>
    <row r="191" ht="15.75" customHeight="1">
      <c r="A191" s="532"/>
      <c r="B191" s="338"/>
      <c r="C191" s="338"/>
      <c r="D191" s="338"/>
      <c r="E191" s="338"/>
      <c r="F191" s="338"/>
      <c r="G191" s="338"/>
      <c r="H191" s="338"/>
      <c r="I191" s="338"/>
      <c r="J191" s="338"/>
      <c r="K191" s="338"/>
      <c r="L191" s="338"/>
      <c r="M191" s="338"/>
      <c r="N191" s="338"/>
      <c r="O191" s="338"/>
      <c r="P191" s="338"/>
      <c r="Q191" s="338"/>
      <c r="R191" s="338"/>
      <c r="S191" s="338"/>
      <c r="T191" s="357"/>
      <c r="U191" s="338"/>
      <c r="V191" s="338"/>
      <c r="W191" s="338"/>
      <c r="X191" s="338"/>
      <c r="Y191" s="338"/>
      <c r="Z191" s="338"/>
      <c r="AA191" s="338"/>
    </row>
    <row r="192" ht="15.75" customHeight="1">
      <c r="A192" s="532"/>
      <c r="B192" s="338"/>
      <c r="C192" s="338"/>
      <c r="D192" s="338"/>
      <c r="E192" s="338"/>
      <c r="F192" s="338"/>
      <c r="G192" s="338"/>
      <c r="H192" s="338"/>
      <c r="I192" s="338"/>
      <c r="J192" s="338"/>
      <c r="K192" s="338"/>
      <c r="L192" s="338"/>
      <c r="M192" s="338"/>
      <c r="N192" s="338"/>
      <c r="O192" s="338"/>
      <c r="P192" s="338"/>
      <c r="Q192" s="338"/>
      <c r="R192" s="338"/>
      <c r="S192" s="338"/>
      <c r="T192" s="357"/>
      <c r="U192" s="338"/>
      <c r="V192" s="338"/>
      <c r="W192" s="338"/>
      <c r="X192" s="338"/>
      <c r="Y192" s="338"/>
      <c r="Z192" s="338"/>
      <c r="AA192" s="338"/>
    </row>
    <row r="193" ht="15.75" customHeight="1">
      <c r="A193" s="532"/>
      <c r="B193" s="338"/>
      <c r="C193" s="338"/>
      <c r="D193" s="338"/>
      <c r="E193" s="338"/>
      <c r="F193" s="338"/>
      <c r="G193" s="338"/>
      <c r="H193" s="338"/>
      <c r="I193" s="338"/>
      <c r="J193" s="338"/>
      <c r="K193" s="338"/>
      <c r="L193" s="338"/>
      <c r="M193" s="338"/>
      <c r="N193" s="338"/>
      <c r="O193" s="338"/>
      <c r="P193" s="338"/>
      <c r="Q193" s="338"/>
      <c r="R193" s="338"/>
      <c r="S193" s="338"/>
      <c r="T193" s="357"/>
      <c r="U193" s="338"/>
      <c r="V193" s="338"/>
      <c r="W193" s="338"/>
      <c r="X193" s="338"/>
      <c r="Y193" s="338"/>
      <c r="Z193" s="338"/>
      <c r="AA193" s="338"/>
    </row>
    <row r="194" ht="15.75" customHeight="1">
      <c r="A194" s="532"/>
      <c r="B194" s="338"/>
      <c r="C194" s="338"/>
      <c r="D194" s="338"/>
      <c r="E194" s="338"/>
      <c r="F194" s="338"/>
      <c r="G194" s="338"/>
      <c r="H194" s="338"/>
      <c r="I194" s="338"/>
      <c r="J194" s="338"/>
      <c r="K194" s="338"/>
      <c r="L194" s="338"/>
      <c r="M194" s="338"/>
      <c r="N194" s="338"/>
      <c r="O194" s="338"/>
      <c r="P194" s="338"/>
      <c r="Q194" s="338"/>
      <c r="R194" s="338"/>
      <c r="S194" s="338"/>
      <c r="T194" s="357"/>
      <c r="U194" s="338"/>
      <c r="V194" s="338"/>
      <c r="W194" s="338"/>
      <c r="X194" s="338"/>
      <c r="Y194" s="338"/>
      <c r="Z194" s="338"/>
      <c r="AA194" s="338"/>
    </row>
    <row r="195" ht="15.75" customHeight="1">
      <c r="A195" s="532"/>
      <c r="B195" s="338"/>
      <c r="C195" s="338"/>
      <c r="D195" s="338"/>
      <c r="E195" s="338"/>
      <c r="F195" s="338"/>
      <c r="G195" s="338"/>
      <c r="H195" s="338"/>
      <c r="I195" s="338"/>
      <c r="J195" s="338"/>
      <c r="K195" s="338"/>
      <c r="L195" s="338"/>
      <c r="M195" s="338"/>
      <c r="N195" s="338"/>
      <c r="O195" s="338"/>
      <c r="P195" s="338"/>
      <c r="Q195" s="338"/>
      <c r="R195" s="338"/>
      <c r="S195" s="338"/>
      <c r="T195" s="357"/>
      <c r="U195" s="338"/>
      <c r="V195" s="338"/>
      <c r="W195" s="338"/>
      <c r="X195" s="338"/>
      <c r="Y195" s="338"/>
      <c r="Z195" s="338"/>
      <c r="AA195" s="338"/>
    </row>
    <row r="196" ht="15.75" customHeight="1">
      <c r="A196" s="532"/>
      <c r="B196" s="338"/>
      <c r="C196" s="338"/>
      <c r="D196" s="338"/>
      <c r="E196" s="338"/>
      <c r="F196" s="338"/>
      <c r="G196" s="338"/>
      <c r="H196" s="338"/>
      <c r="I196" s="338"/>
      <c r="J196" s="338"/>
      <c r="K196" s="338"/>
      <c r="L196" s="338"/>
      <c r="M196" s="338"/>
      <c r="N196" s="338"/>
      <c r="O196" s="338"/>
      <c r="P196" s="338"/>
      <c r="Q196" s="338"/>
      <c r="R196" s="338"/>
      <c r="S196" s="338"/>
      <c r="T196" s="357"/>
      <c r="U196" s="338"/>
      <c r="V196" s="338"/>
      <c r="W196" s="338"/>
      <c r="X196" s="338"/>
      <c r="Y196" s="338"/>
      <c r="Z196" s="338"/>
      <c r="AA196" s="338"/>
    </row>
    <row r="197" ht="15.75" customHeight="1">
      <c r="A197" s="532"/>
      <c r="B197" s="338"/>
      <c r="C197" s="338"/>
      <c r="D197" s="338"/>
      <c r="E197" s="338"/>
      <c r="F197" s="338"/>
      <c r="G197" s="338"/>
      <c r="H197" s="338"/>
      <c r="I197" s="338"/>
      <c r="J197" s="338"/>
      <c r="K197" s="338"/>
      <c r="L197" s="338"/>
      <c r="M197" s="338"/>
      <c r="N197" s="338"/>
      <c r="O197" s="338"/>
      <c r="P197" s="338"/>
      <c r="Q197" s="338"/>
      <c r="R197" s="338"/>
      <c r="S197" s="338"/>
      <c r="T197" s="357"/>
      <c r="U197" s="338"/>
      <c r="V197" s="338"/>
      <c r="W197" s="338"/>
      <c r="X197" s="338"/>
      <c r="Y197" s="338"/>
      <c r="Z197" s="338"/>
      <c r="AA197" s="338"/>
    </row>
    <row r="198" ht="15.75" customHeight="1">
      <c r="A198" s="532"/>
      <c r="B198" s="338"/>
      <c r="C198" s="338"/>
      <c r="D198" s="338"/>
      <c r="E198" s="338"/>
      <c r="F198" s="338"/>
      <c r="G198" s="338"/>
      <c r="H198" s="338"/>
      <c r="I198" s="338"/>
      <c r="J198" s="338"/>
      <c r="K198" s="338"/>
      <c r="L198" s="338"/>
      <c r="M198" s="338"/>
      <c r="N198" s="338"/>
      <c r="O198" s="338"/>
      <c r="P198" s="338"/>
      <c r="Q198" s="338"/>
      <c r="R198" s="338"/>
      <c r="S198" s="338"/>
      <c r="T198" s="357"/>
      <c r="U198" s="338"/>
      <c r="V198" s="338"/>
      <c r="W198" s="338"/>
      <c r="X198" s="338"/>
      <c r="Y198" s="338"/>
      <c r="Z198" s="338"/>
      <c r="AA198" s="338"/>
    </row>
    <row r="199" ht="15.75" customHeight="1">
      <c r="A199" s="532"/>
      <c r="B199" s="338"/>
      <c r="C199" s="338"/>
      <c r="D199" s="338"/>
      <c r="E199" s="338"/>
      <c r="F199" s="338"/>
      <c r="G199" s="338"/>
      <c r="H199" s="338"/>
      <c r="I199" s="338"/>
      <c r="J199" s="338"/>
      <c r="K199" s="338"/>
      <c r="L199" s="338"/>
      <c r="M199" s="338"/>
      <c r="N199" s="338"/>
      <c r="O199" s="338"/>
      <c r="P199" s="338"/>
      <c r="Q199" s="338"/>
      <c r="R199" s="338"/>
      <c r="S199" s="338"/>
      <c r="T199" s="357"/>
      <c r="U199" s="338"/>
      <c r="V199" s="338"/>
      <c r="W199" s="338"/>
      <c r="X199" s="338"/>
      <c r="Y199" s="338"/>
      <c r="Z199" s="338"/>
      <c r="AA199" s="338"/>
    </row>
    <row r="200" ht="15.75" customHeight="1">
      <c r="A200" s="532"/>
      <c r="B200" s="338"/>
      <c r="C200" s="338"/>
      <c r="D200" s="338"/>
      <c r="E200" s="338"/>
      <c r="F200" s="338"/>
      <c r="G200" s="338"/>
      <c r="H200" s="338"/>
      <c r="I200" s="338"/>
      <c r="J200" s="338"/>
      <c r="K200" s="338"/>
      <c r="L200" s="338"/>
      <c r="M200" s="338"/>
      <c r="N200" s="338"/>
      <c r="O200" s="338"/>
      <c r="P200" s="338"/>
      <c r="Q200" s="338"/>
      <c r="R200" s="338"/>
      <c r="S200" s="338"/>
      <c r="T200" s="357"/>
      <c r="U200" s="338"/>
      <c r="V200" s="338"/>
      <c r="W200" s="338"/>
      <c r="X200" s="338"/>
      <c r="Y200" s="338"/>
      <c r="Z200" s="338"/>
      <c r="AA200" s="338"/>
    </row>
    <row r="201" ht="15.75" customHeight="1">
      <c r="A201" s="532"/>
      <c r="B201" s="338"/>
      <c r="C201" s="338"/>
      <c r="D201" s="338"/>
      <c r="E201" s="338"/>
      <c r="F201" s="338"/>
      <c r="G201" s="338"/>
      <c r="H201" s="338"/>
      <c r="I201" s="338"/>
      <c r="J201" s="338"/>
      <c r="K201" s="338"/>
      <c r="L201" s="338"/>
      <c r="M201" s="338"/>
      <c r="N201" s="338"/>
      <c r="O201" s="338"/>
      <c r="P201" s="338"/>
      <c r="Q201" s="338"/>
      <c r="R201" s="338"/>
      <c r="S201" s="338"/>
      <c r="T201" s="357"/>
      <c r="U201" s="338"/>
      <c r="V201" s="338"/>
      <c r="W201" s="338"/>
      <c r="X201" s="338"/>
      <c r="Y201" s="338"/>
      <c r="Z201" s="338"/>
      <c r="AA201" s="338"/>
    </row>
    <row r="202" ht="15.75" customHeight="1">
      <c r="A202" s="532"/>
      <c r="B202" s="338"/>
      <c r="C202" s="338"/>
      <c r="D202" s="338"/>
      <c r="E202" s="338"/>
      <c r="F202" s="338"/>
      <c r="G202" s="338"/>
      <c r="H202" s="338"/>
      <c r="I202" s="338"/>
      <c r="J202" s="338"/>
      <c r="K202" s="338"/>
      <c r="L202" s="338"/>
      <c r="M202" s="338"/>
      <c r="N202" s="338"/>
      <c r="O202" s="338"/>
      <c r="P202" s="338"/>
      <c r="Q202" s="338"/>
      <c r="R202" s="338"/>
      <c r="S202" s="338"/>
      <c r="T202" s="357"/>
      <c r="U202" s="338"/>
      <c r="V202" s="338"/>
      <c r="W202" s="338"/>
      <c r="X202" s="338"/>
      <c r="Y202" s="338"/>
      <c r="Z202" s="338"/>
      <c r="AA202" s="338"/>
    </row>
    <row r="203" ht="15.75" customHeight="1">
      <c r="A203" s="532"/>
      <c r="B203" s="338"/>
      <c r="C203" s="338"/>
      <c r="D203" s="338"/>
      <c r="E203" s="338"/>
      <c r="F203" s="338"/>
      <c r="G203" s="338"/>
      <c r="H203" s="338"/>
      <c r="I203" s="338"/>
      <c r="J203" s="338"/>
      <c r="K203" s="338"/>
      <c r="L203" s="338"/>
      <c r="M203" s="338"/>
      <c r="N203" s="338"/>
      <c r="O203" s="338"/>
      <c r="P203" s="338"/>
      <c r="Q203" s="338"/>
      <c r="R203" s="338"/>
      <c r="S203" s="338"/>
      <c r="T203" s="357"/>
      <c r="U203" s="338"/>
      <c r="V203" s="338"/>
      <c r="W203" s="338"/>
      <c r="X203" s="338"/>
      <c r="Y203" s="338"/>
      <c r="Z203" s="338"/>
      <c r="AA203" s="338"/>
    </row>
    <row r="204" ht="15.75" customHeight="1">
      <c r="A204" s="532"/>
      <c r="B204" s="338"/>
      <c r="C204" s="338"/>
      <c r="D204" s="338"/>
      <c r="E204" s="338"/>
      <c r="F204" s="338"/>
      <c r="G204" s="338"/>
      <c r="H204" s="338"/>
      <c r="I204" s="338"/>
      <c r="J204" s="338"/>
      <c r="K204" s="338"/>
      <c r="L204" s="338"/>
      <c r="M204" s="338"/>
      <c r="N204" s="338"/>
      <c r="O204" s="338"/>
      <c r="P204" s="338"/>
      <c r="Q204" s="338"/>
      <c r="R204" s="338"/>
      <c r="S204" s="338"/>
      <c r="T204" s="357"/>
      <c r="U204" s="338"/>
      <c r="V204" s="338"/>
      <c r="W204" s="338"/>
      <c r="X204" s="338"/>
      <c r="Y204" s="338"/>
      <c r="Z204" s="338"/>
      <c r="AA204" s="338"/>
    </row>
    <row r="205" ht="15.75" customHeight="1">
      <c r="A205" s="532"/>
      <c r="B205" s="338"/>
      <c r="C205" s="338"/>
      <c r="D205" s="338"/>
      <c r="E205" s="338"/>
      <c r="F205" s="338"/>
      <c r="G205" s="338"/>
      <c r="H205" s="338"/>
      <c r="I205" s="338"/>
      <c r="J205" s="338"/>
      <c r="K205" s="338"/>
      <c r="L205" s="338"/>
      <c r="M205" s="338"/>
      <c r="N205" s="338"/>
      <c r="O205" s="338"/>
      <c r="P205" s="338"/>
      <c r="Q205" s="338"/>
      <c r="R205" s="338"/>
      <c r="S205" s="338"/>
      <c r="T205" s="357"/>
      <c r="U205" s="338"/>
      <c r="V205" s="338"/>
      <c r="W205" s="338"/>
      <c r="X205" s="338"/>
      <c r="Y205" s="338"/>
      <c r="Z205" s="338"/>
      <c r="AA205" s="338"/>
    </row>
    <row r="206" ht="15.75" customHeight="1">
      <c r="A206" s="532"/>
      <c r="B206" s="338"/>
      <c r="C206" s="338"/>
      <c r="D206" s="338"/>
      <c r="E206" s="338"/>
      <c r="F206" s="338"/>
      <c r="G206" s="338"/>
      <c r="H206" s="338"/>
      <c r="I206" s="338"/>
      <c r="J206" s="338"/>
      <c r="K206" s="338"/>
      <c r="L206" s="338"/>
      <c r="M206" s="338"/>
      <c r="N206" s="338"/>
      <c r="O206" s="338"/>
      <c r="P206" s="338"/>
      <c r="Q206" s="338"/>
      <c r="R206" s="338"/>
      <c r="S206" s="338"/>
      <c r="T206" s="357"/>
      <c r="U206" s="338"/>
      <c r="V206" s="338"/>
      <c r="W206" s="338"/>
      <c r="X206" s="338"/>
      <c r="Y206" s="338"/>
      <c r="Z206" s="338"/>
      <c r="AA206" s="338"/>
    </row>
    <row r="207" ht="15.75" customHeight="1">
      <c r="A207" s="532"/>
      <c r="B207" s="338"/>
      <c r="C207" s="338"/>
      <c r="D207" s="338"/>
      <c r="E207" s="338"/>
      <c r="F207" s="338"/>
      <c r="G207" s="338"/>
      <c r="H207" s="338"/>
      <c r="I207" s="338"/>
      <c r="J207" s="338"/>
      <c r="K207" s="338"/>
      <c r="L207" s="338"/>
      <c r="M207" s="338"/>
      <c r="N207" s="338"/>
      <c r="O207" s="338"/>
      <c r="P207" s="338"/>
      <c r="Q207" s="338"/>
      <c r="R207" s="338"/>
      <c r="S207" s="338"/>
      <c r="T207" s="357"/>
      <c r="U207" s="338"/>
      <c r="V207" s="338"/>
      <c r="W207" s="338"/>
      <c r="X207" s="338"/>
      <c r="Y207" s="338"/>
      <c r="Z207" s="338"/>
      <c r="AA207" s="338"/>
    </row>
    <row r="208" ht="15.75" customHeight="1">
      <c r="A208" s="532"/>
      <c r="B208" s="338"/>
      <c r="C208" s="338"/>
      <c r="D208" s="338"/>
      <c r="E208" s="338"/>
      <c r="F208" s="338"/>
      <c r="G208" s="338"/>
      <c r="H208" s="338"/>
      <c r="I208" s="338"/>
      <c r="J208" s="338"/>
      <c r="K208" s="338"/>
      <c r="L208" s="338"/>
      <c r="M208" s="338"/>
      <c r="N208" s="338"/>
      <c r="O208" s="338"/>
      <c r="P208" s="338"/>
      <c r="Q208" s="338"/>
      <c r="R208" s="338"/>
      <c r="S208" s="338"/>
      <c r="T208" s="357"/>
      <c r="U208" s="338"/>
      <c r="V208" s="338"/>
      <c r="W208" s="338"/>
      <c r="X208" s="338"/>
      <c r="Y208" s="338"/>
      <c r="Z208" s="338"/>
      <c r="AA208" s="338"/>
    </row>
    <row r="209" ht="15.75" customHeight="1">
      <c r="A209" s="532"/>
      <c r="B209" s="338"/>
      <c r="C209" s="338"/>
      <c r="D209" s="338"/>
      <c r="E209" s="338"/>
      <c r="F209" s="338"/>
      <c r="G209" s="338"/>
      <c r="H209" s="338"/>
      <c r="I209" s="338"/>
      <c r="J209" s="338"/>
      <c r="K209" s="338"/>
      <c r="L209" s="338"/>
      <c r="M209" s="338"/>
      <c r="N209" s="338"/>
      <c r="O209" s="338"/>
      <c r="P209" s="338"/>
      <c r="Q209" s="338"/>
      <c r="R209" s="338"/>
      <c r="S209" s="338"/>
      <c r="T209" s="357"/>
      <c r="U209" s="338"/>
      <c r="V209" s="338"/>
      <c r="W209" s="338"/>
      <c r="X209" s="338"/>
      <c r="Y209" s="338"/>
      <c r="Z209" s="338"/>
      <c r="AA209" s="338"/>
    </row>
    <row r="210" ht="15.75" customHeight="1">
      <c r="A210" s="532"/>
      <c r="B210" s="338"/>
      <c r="C210" s="338"/>
      <c r="D210" s="338"/>
      <c r="E210" s="338"/>
      <c r="F210" s="338"/>
      <c r="G210" s="338"/>
      <c r="H210" s="338"/>
      <c r="I210" s="338"/>
      <c r="J210" s="338"/>
      <c r="K210" s="338"/>
      <c r="L210" s="338"/>
      <c r="M210" s="338"/>
      <c r="N210" s="338"/>
      <c r="O210" s="338"/>
      <c r="P210" s="338"/>
      <c r="Q210" s="338"/>
      <c r="R210" s="338"/>
      <c r="S210" s="338"/>
      <c r="T210" s="357"/>
      <c r="U210" s="338"/>
      <c r="V210" s="338"/>
      <c r="W210" s="338"/>
      <c r="X210" s="338"/>
      <c r="Y210" s="338"/>
      <c r="Z210" s="338"/>
      <c r="AA210" s="338"/>
    </row>
    <row r="211" ht="15.75" customHeight="1">
      <c r="A211" s="532"/>
      <c r="B211" s="338"/>
      <c r="C211" s="338"/>
      <c r="D211" s="338"/>
      <c r="E211" s="338"/>
      <c r="F211" s="338"/>
      <c r="G211" s="338"/>
      <c r="H211" s="338"/>
      <c r="I211" s="338"/>
      <c r="J211" s="338"/>
      <c r="K211" s="338"/>
      <c r="L211" s="338"/>
      <c r="M211" s="338"/>
      <c r="N211" s="338"/>
      <c r="O211" s="338"/>
      <c r="P211" s="338"/>
      <c r="Q211" s="338"/>
      <c r="R211" s="338"/>
      <c r="S211" s="338"/>
      <c r="T211" s="357"/>
      <c r="U211" s="338"/>
      <c r="V211" s="338"/>
      <c r="W211" s="338"/>
      <c r="X211" s="338"/>
      <c r="Y211" s="338"/>
      <c r="Z211" s="338"/>
      <c r="AA211" s="338"/>
    </row>
    <row r="212" ht="15.75" customHeight="1">
      <c r="A212" s="532"/>
      <c r="B212" s="338"/>
      <c r="C212" s="338"/>
      <c r="D212" s="338"/>
      <c r="E212" s="338"/>
      <c r="F212" s="338"/>
      <c r="G212" s="338"/>
      <c r="H212" s="338"/>
      <c r="I212" s="338"/>
      <c r="J212" s="338"/>
      <c r="K212" s="338"/>
      <c r="L212" s="338"/>
      <c r="M212" s="338"/>
      <c r="N212" s="338"/>
      <c r="O212" s="338"/>
      <c r="P212" s="338"/>
      <c r="Q212" s="338"/>
      <c r="R212" s="338"/>
      <c r="S212" s="338"/>
      <c r="T212" s="357"/>
      <c r="U212" s="338"/>
      <c r="V212" s="338"/>
      <c r="W212" s="338"/>
      <c r="X212" s="338"/>
      <c r="Y212" s="338"/>
      <c r="Z212" s="338"/>
      <c r="AA212" s="338"/>
    </row>
    <row r="213" ht="15.75" customHeight="1">
      <c r="A213" s="532"/>
      <c r="B213" s="338"/>
      <c r="C213" s="338"/>
      <c r="D213" s="338"/>
      <c r="E213" s="338"/>
      <c r="F213" s="338"/>
      <c r="G213" s="338"/>
      <c r="H213" s="338"/>
      <c r="I213" s="338"/>
      <c r="J213" s="338"/>
      <c r="K213" s="338"/>
      <c r="L213" s="338"/>
      <c r="M213" s="338"/>
      <c r="N213" s="338"/>
      <c r="O213" s="338"/>
      <c r="P213" s="338"/>
      <c r="Q213" s="338"/>
      <c r="R213" s="338"/>
      <c r="S213" s="338"/>
      <c r="T213" s="357"/>
      <c r="U213" s="338"/>
      <c r="V213" s="338"/>
      <c r="W213" s="338"/>
      <c r="X213" s="338"/>
      <c r="Y213" s="338"/>
      <c r="Z213" s="338"/>
      <c r="AA213" s="338"/>
    </row>
    <row r="214" ht="15.75" customHeight="1">
      <c r="A214" s="532"/>
      <c r="B214" s="338"/>
      <c r="C214" s="338"/>
      <c r="D214" s="338"/>
      <c r="E214" s="338"/>
      <c r="F214" s="338"/>
      <c r="G214" s="338"/>
      <c r="H214" s="338"/>
      <c r="I214" s="338"/>
      <c r="J214" s="338"/>
      <c r="K214" s="338"/>
      <c r="L214" s="338"/>
      <c r="M214" s="338"/>
      <c r="N214" s="338"/>
      <c r="O214" s="338"/>
      <c r="P214" s="338"/>
      <c r="Q214" s="338"/>
      <c r="R214" s="338"/>
      <c r="S214" s="338"/>
      <c r="T214" s="357"/>
      <c r="U214" s="338"/>
      <c r="V214" s="338"/>
      <c r="W214" s="338"/>
      <c r="X214" s="338"/>
      <c r="Y214" s="338"/>
      <c r="Z214" s="338"/>
      <c r="AA214" s="338"/>
    </row>
    <row r="215" ht="15.75" customHeight="1">
      <c r="A215" s="532"/>
      <c r="B215" s="338"/>
      <c r="C215" s="338"/>
      <c r="D215" s="338"/>
      <c r="E215" s="338"/>
      <c r="F215" s="338"/>
      <c r="G215" s="338"/>
      <c r="H215" s="338"/>
      <c r="I215" s="338"/>
      <c r="J215" s="338"/>
      <c r="K215" s="338"/>
      <c r="L215" s="338"/>
      <c r="M215" s="338"/>
      <c r="N215" s="338"/>
      <c r="O215" s="338"/>
      <c r="P215" s="338"/>
      <c r="Q215" s="338"/>
      <c r="R215" s="338"/>
      <c r="S215" s="338"/>
      <c r="T215" s="357"/>
      <c r="U215" s="338"/>
      <c r="V215" s="338"/>
      <c r="W215" s="338"/>
      <c r="X215" s="338"/>
      <c r="Y215" s="338"/>
      <c r="Z215" s="338"/>
      <c r="AA215" s="338"/>
    </row>
    <row r="216" ht="15.75" customHeight="1">
      <c r="A216" s="532"/>
      <c r="B216" s="338"/>
      <c r="C216" s="338"/>
      <c r="D216" s="338"/>
      <c r="E216" s="338"/>
      <c r="F216" s="338"/>
      <c r="G216" s="338"/>
      <c r="H216" s="338"/>
      <c r="I216" s="338"/>
      <c r="J216" s="338"/>
      <c r="K216" s="338"/>
      <c r="L216" s="338"/>
      <c r="M216" s="338"/>
      <c r="N216" s="338"/>
      <c r="O216" s="338"/>
      <c r="P216" s="338"/>
      <c r="Q216" s="338"/>
      <c r="R216" s="338"/>
      <c r="S216" s="338"/>
      <c r="T216" s="357"/>
      <c r="U216" s="338"/>
      <c r="V216" s="338"/>
      <c r="W216" s="338"/>
      <c r="X216" s="338"/>
      <c r="Y216" s="338"/>
      <c r="Z216" s="338"/>
      <c r="AA216" s="338"/>
    </row>
    <row r="217" ht="15.75" customHeight="1">
      <c r="A217" s="532"/>
      <c r="B217" s="338"/>
      <c r="C217" s="338"/>
      <c r="D217" s="338"/>
      <c r="E217" s="338"/>
      <c r="F217" s="338"/>
      <c r="G217" s="338"/>
      <c r="H217" s="338"/>
      <c r="I217" s="338"/>
      <c r="J217" s="338"/>
      <c r="K217" s="338"/>
      <c r="L217" s="338"/>
      <c r="M217" s="338"/>
      <c r="N217" s="338"/>
      <c r="O217" s="338"/>
      <c r="P217" s="338"/>
      <c r="Q217" s="338"/>
      <c r="R217" s="338"/>
      <c r="S217" s="338"/>
      <c r="T217" s="357"/>
      <c r="U217" s="338"/>
      <c r="V217" s="338"/>
      <c r="W217" s="338"/>
      <c r="X217" s="338"/>
      <c r="Y217" s="338"/>
      <c r="Z217" s="338"/>
      <c r="AA217" s="338"/>
    </row>
    <row r="218" ht="15.75" customHeight="1">
      <c r="A218" s="532"/>
      <c r="B218" s="338"/>
      <c r="C218" s="338"/>
      <c r="D218" s="338"/>
      <c r="E218" s="338"/>
      <c r="F218" s="338"/>
      <c r="G218" s="338"/>
      <c r="H218" s="338"/>
      <c r="I218" s="338"/>
      <c r="J218" s="338"/>
      <c r="K218" s="338"/>
      <c r="L218" s="338"/>
      <c r="M218" s="338"/>
      <c r="N218" s="338"/>
      <c r="O218" s="338"/>
      <c r="P218" s="338"/>
      <c r="Q218" s="338"/>
      <c r="R218" s="338"/>
      <c r="S218" s="338"/>
      <c r="T218" s="357"/>
      <c r="U218" s="338"/>
      <c r="V218" s="338"/>
      <c r="W218" s="338"/>
      <c r="X218" s="338"/>
      <c r="Y218" s="338"/>
      <c r="Z218" s="338"/>
      <c r="AA218" s="338"/>
    </row>
    <row r="219" ht="15.75" customHeight="1">
      <c r="A219" s="532"/>
      <c r="B219" s="338"/>
      <c r="C219" s="338"/>
      <c r="D219" s="338"/>
      <c r="E219" s="338"/>
      <c r="F219" s="338"/>
      <c r="G219" s="338"/>
      <c r="H219" s="338"/>
      <c r="I219" s="338"/>
      <c r="J219" s="338"/>
      <c r="K219" s="338"/>
      <c r="L219" s="338"/>
      <c r="M219" s="338"/>
      <c r="N219" s="338"/>
      <c r="O219" s="338"/>
      <c r="P219" s="338"/>
      <c r="Q219" s="338"/>
      <c r="R219" s="338"/>
      <c r="S219" s="338"/>
      <c r="T219" s="357"/>
      <c r="U219" s="338"/>
      <c r="V219" s="338"/>
      <c r="W219" s="338"/>
      <c r="X219" s="338"/>
      <c r="Y219" s="338"/>
      <c r="Z219" s="338"/>
      <c r="AA219" s="338"/>
    </row>
    <row r="220" ht="15.75" customHeight="1">
      <c r="A220" s="532"/>
      <c r="B220" s="338"/>
      <c r="C220" s="338"/>
      <c r="D220" s="338"/>
      <c r="E220" s="338"/>
      <c r="F220" s="338"/>
      <c r="G220" s="338"/>
      <c r="H220" s="338"/>
      <c r="I220" s="338"/>
      <c r="J220" s="338"/>
      <c r="K220" s="338"/>
      <c r="L220" s="338"/>
      <c r="M220" s="338"/>
      <c r="N220" s="338"/>
      <c r="O220" s="338"/>
      <c r="P220" s="338"/>
      <c r="Q220" s="338"/>
      <c r="R220" s="338"/>
      <c r="S220" s="338"/>
      <c r="T220" s="357"/>
      <c r="U220" s="338"/>
      <c r="V220" s="338"/>
      <c r="W220" s="338"/>
      <c r="X220" s="338"/>
      <c r="Y220" s="338"/>
      <c r="Z220" s="338"/>
      <c r="AA220" s="338"/>
    </row>
    <row r="221" ht="15.75" customHeight="1">
      <c r="A221" s="532"/>
      <c r="B221" s="338"/>
      <c r="C221" s="338"/>
      <c r="D221" s="338"/>
      <c r="E221" s="338"/>
      <c r="F221" s="338"/>
      <c r="G221" s="338"/>
      <c r="H221" s="338"/>
      <c r="I221" s="338"/>
      <c r="J221" s="338"/>
      <c r="K221" s="338"/>
      <c r="L221" s="338"/>
      <c r="M221" s="338"/>
      <c r="N221" s="338"/>
      <c r="O221" s="338"/>
      <c r="P221" s="338"/>
      <c r="Q221" s="338"/>
      <c r="R221" s="338"/>
      <c r="S221" s="338"/>
      <c r="T221" s="357"/>
      <c r="U221" s="338"/>
      <c r="V221" s="338"/>
      <c r="W221" s="338"/>
      <c r="X221" s="338"/>
      <c r="Y221" s="338"/>
      <c r="Z221" s="338"/>
      <c r="AA221" s="338"/>
    </row>
    <row r="222" ht="15.75" customHeight="1">
      <c r="A222" s="532"/>
      <c r="B222" s="338"/>
      <c r="C222" s="338"/>
      <c r="D222" s="338"/>
      <c r="E222" s="338"/>
      <c r="F222" s="338"/>
      <c r="G222" s="338"/>
      <c r="H222" s="338"/>
      <c r="I222" s="338"/>
      <c r="J222" s="338"/>
      <c r="K222" s="338"/>
      <c r="L222" s="338"/>
      <c r="M222" s="338"/>
      <c r="N222" s="338"/>
      <c r="O222" s="338"/>
      <c r="P222" s="338"/>
      <c r="Q222" s="338"/>
      <c r="R222" s="338"/>
      <c r="S222" s="338"/>
      <c r="T222" s="357"/>
      <c r="U222" s="338"/>
      <c r="V222" s="338"/>
      <c r="W222" s="338"/>
      <c r="X222" s="338"/>
      <c r="Y222" s="338"/>
      <c r="Z222" s="338"/>
      <c r="AA222" s="338"/>
    </row>
    <row r="223" ht="15.75" customHeight="1">
      <c r="A223" s="532"/>
      <c r="B223" s="338"/>
      <c r="C223" s="338"/>
      <c r="D223" s="338"/>
      <c r="E223" s="338"/>
      <c r="F223" s="338"/>
      <c r="G223" s="338"/>
      <c r="H223" s="338"/>
      <c r="I223" s="338"/>
      <c r="J223" s="338"/>
      <c r="K223" s="338"/>
      <c r="L223" s="338"/>
      <c r="M223" s="338"/>
      <c r="N223" s="338"/>
      <c r="O223" s="338"/>
      <c r="P223" s="338"/>
      <c r="Q223" s="338"/>
      <c r="R223" s="338"/>
      <c r="S223" s="338"/>
      <c r="T223" s="357"/>
      <c r="U223" s="338"/>
      <c r="V223" s="338"/>
      <c r="W223" s="338"/>
      <c r="X223" s="338"/>
      <c r="Y223" s="338"/>
      <c r="Z223" s="338"/>
      <c r="AA223" s="338"/>
    </row>
    <row r="224" ht="15.75" customHeight="1">
      <c r="A224" s="532"/>
      <c r="B224" s="338"/>
      <c r="C224" s="338"/>
      <c r="D224" s="338"/>
      <c r="E224" s="338"/>
      <c r="F224" s="338"/>
      <c r="G224" s="338"/>
      <c r="H224" s="338"/>
      <c r="I224" s="338"/>
      <c r="J224" s="338"/>
      <c r="K224" s="338"/>
      <c r="L224" s="338"/>
      <c r="M224" s="338"/>
      <c r="N224" s="338"/>
      <c r="O224" s="338"/>
      <c r="P224" s="338"/>
      <c r="Q224" s="338"/>
      <c r="R224" s="338"/>
      <c r="S224" s="338"/>
      <c r="T224" s="357"/>
      <c r="U224" s="338"/>
      <c r="V224" s="338"/>
      <c r="W224" s="338"/>
      <c r="X224" s="338"/>
      <c r="Y224" s="338"/>
      <c r="Z224" s="338"/>
      <c r="AA224" s="338"/>
    </row>
    <row r="225" ht="15.75" customHeight="1">
      <c r="A225" s="532"/>
      <c r="B225" s="338"/>
      <c r="C225" s="338"/>
      <c r="D225" s="338"/>
      <c r="E225" s="338"/>
      <c r="F225" s="338"/>
      <c r="G225" s="338"/>
      <c r="H225" s="338"/>
      <c r="I225" s="338"/>
      <c r="J225" s="338"/>
      <c r="K225" s="338"/>
      <c r="L225" s="338"/>
      <c r="M225" s="338"/>
      <c r="N225" s="338"/>
      <c r="O225" s="338"/>
      <c r="P225" s="338"/>
      <c r="Q225" s="338"/>
      <c r="R225" s="338"/>
      <c r="S225" s="338"/>
      <c r="T225" s="357"/>
      <c r="U225" s="338"/>
      <c r="V225" s="338"/>
      <c r="W225" s="338"/>
      <c r="X225" s="338"/>
      <c r="Y225" s="338"/>
      <c r="Z225" s="338"/>
      <c r="AA225" s="338"/>
    </row>
    <row r="226" ht="15.75" customHeight="1">
      <c r="A226" s="532"/>
      <c r="B226" s="338"/>
      <c r="C226" s="338"/>
      <c r="D226" s="338"/>
      <c r="E226" s="338"/>
      <c r="F226" s="338"/>
      <c r="G226" s="338"/>
      <c r="H226" s="338"/>
      <c r="I226" s="338"/>
      <c r="J226" s="338"/>
      <c r="K226" s="338"/>
      <c r="L226" s="338"/>
      <c r="M226" s="338"/>
      <c r="N226" s="338"/>
      <c r="O226" s="338"/>
      <c r="P226" s="338"/>
      <c r="Q226" s="338"/>
      <c r="R226" s="338"/>
      <c r="S226" s="338"/>
      <c r="T226" s="357"/>
      <c r="U226" s="338"/>
      <c r="V226" s="338"/>
      <c r="W226" s="338"/>
      <c r="X226" s="338"/>
      <c r="Y226" s="338"/>
      <c r="Z226" s="338"/>
      <c r="AA226" s="338"/>
    </row>
    <row r="227" ht="15.75" customHeight="1">
      <c r="A227" s="532"/>
      <c r="B227" s="338"/>
      <c r="C227" s="338"/>
      <c r="D227" s="338"/>
      <c r="E227" s="338"/>
      <c r="F227" s="338"/>
      <c r="G227" s="338"/>
      <c r="H227" s="338"/>
      <c r="I227" s="338"/>
      <c r="J227" s="338"/>
      <c r="K227" s="338"/>
      <c r="L227" s="338"/>
      <c r="M227" s="338"/>
      <c r="N227" s="338"/>
      <c r="O227" s="338"/>
      <c r="P227" s="338"/>
      <c r="Q227" s="338"/>
      <c r="R227" s="338"/>
      <c r="S227" s="338"/>
      <c r="T227" s="357"/>
      <c r="U227" s="338"/>
      <c r="V227" s="338"/>
      <c r="W227" s="338"/>
      <c r="X227" s="338"/>
      <c r="Y227" s="338"/>
      <c r="Z227" s="338"/>
      <c r="AA227" s="338"/>
    </row>
    <row r="228" ht="15.75" customHeight="1">
      <c r="A228" s="532"/>
      <c r="B228" s="338"/>
      <c r="C228" s="338"/>
      <c r="D228" s="338"/>
      <c r="E228" s="338"/>
      <c r="F228" s="338"/>
      <c r="G228" s="338"/>
      <c r="H228" s="338"/>
      <c r="I228" s="338"/>
      <c r="J228" s="338"/>
      <c r="K228" s="338"/>
      <c r="L228" s="338"/>
      <c r="M228" s="338"/>
      <c r="N228" s="338"/>
      <c r="O228" s="338"/>
      <c r="P228" s="338"/>
      <c r="Q228" s="338"/>
      <c r="R228" s="338"/>
      <c r="S228" s="338"/>
      <c r="T228" s="357"/>
      <c r="U228" s="338"/>
      <c r="V228" s="338"/>
      <c r="W228" s="338"/>
      <c r="X228" s="338"/>
      <c r="Y228" s="338"/>
      <c r="Z228" s="338"/>
      <c r="AA228" s="338"/>
    </row>
    <row r="229" ht="15.75" customHeight="1">
      <c r="A229" s="532"/>
      <c r="B229" s="338"/>
      <c r="C229" s="338"/>
      <c r="D229" s="338"/>
      <c r="E229" s="338"/>
      <c r="F229" s="338"/>
      <c r="G229" s="338"/>
      <c r="H229" s="338"/>
      <c r="I229" s="338"/>
      <c r="J229" s="338"/>
      <c r="K229" s="338"/>
      <c r="L229" s="338"/>
      <c r="M229" s="338"/>
      <c r="N229" s="338"/>
      <c r="O229" s="338"/>
      <c r="P229" s="338"/>
      <c r="Q229" s="338"/>
      <c r="R229" s="338"/>
      <c r="S229" s="338"/>
      <c r="T229" s="357"/>
      <c r="U229" s="338"/>
      <c r="V229" s="338"/>
      <c r="W229" s="338"/>
      <c r="X229" s="338"/>
      <c r="Y229" s="338"/>
      <c r="Z229" s="338"/>
      <c r="AA229" s="338"/>
    </row>
    <row r="230" ht="15.75" customHeight="1">
      <c r="A230" s="532"/>
      <c r="B230" s="338"/>
      <c r="C230" s="338"/>
      <c r="D230" s="338"/>
      <c r="E230" s="338"/>
      <c r="F230" s="338"/>
      <c r="G230" s="338"/>
      <c r="H230" s="338"/>
      <c r="I230" s="338"/>
      <c r="J230" s="338"/>
      <c r="K230" s="338"/>
      <c r="L230" s="338"/>
      <c r="M230" s="338"/>
      <c r="N230" s="338"/>
      <c r="O230" s="338"/>
      <c r="P230" s="338"/>
      <c r="Q230" s="338"/>
      <c r="R230" s="338"/>
      <c r="S230" s="338"/>
      <c r="T230" s="357"/>
      <c r="U230" s="338"/>
      <c r="V230" s="338"/>
      <c r="W230" s="338"/>
      <c r="X230" s="338"/>
      <c r="Y230" s="338"/>
      <c r="Z230" s="338"/>
      <c r="AA230" s="338"/>
    </row>
    <row r="231" ht="15.75" customHeight="1">
      <c r="A231" s="532"/>
      <c r="B231" s="338"/>
      <c r="C231" s="338"/>
      <c r="D231" s="338"/>
      <c r="E231" s="338"/>
      <c r="F231" s="338"/>
      <c r="G231" s="338"/>
      <c r="H231" s="338"/>
      <c r="I231" s="338"/>
      <c r="J231" s="338"/>
      <c r="K231" s="338"/>
      <c r="L231" s="338"/>
      <c r="M231" s="338"/>
      <c r="N231" s="338"/>
      <c r="O231" s="338"/>
      <c r="P231" s="338"/>
      <c r="Q231" s="338"/>
      <c r="R231" s="338"/>
      <c r="S231" s="338"/>
      <c r="T231" s="357"/>
      <c r="U231" s="338"/>
      <c r="V231" s="338"/>
      <c r="W231" s="338"/>
      <c r="X231" s="338"/>
      <c r="Y231" s="338"/>
      <c r="Z231" s="338"/>
      <c r="AA231" s="338"/>
    </row>
    <row r="232" ht="15.75" customHeight="1">
      <c r="A232" s="532"/>
      <c r="B232" s="338"/>
      <c r="C232" s="338"/>
      <c r="D232" s="338"/>
      <c r="E232" s="338"/>
      <c r="F232" s="338"/>
      <c r="G232" s="338"/>
      <c r="H232" s="338"/>
      <c r="I232" s="338"/>
      <c r="J232" s="338"/>
      <c r="K232" s="338"/>
      <c r="L232" s="338"/>
      <c r="M232" s="338"/>
      <c r="N232" s="338"/>
      <c r="O232" s="338"/>
      <c r="P232" s="338"/>
      <c r="Q232" s="338"/>
      <c r="R232" s="338"/>
      <c r="S232" s="338"/>
      <c r="T232" s="357"/>
      <c r="U232" s="338"/>
      <c r="V232" s="338"/>
      <c r="W232" s="338"/>
      <c r="X232" s="338"/>
      <c r="Y232" s="338"/>
      <c r="Z232" s="338"/>
      <c r="AA232" s="338"/>
    </row>
    <row r="233" ht="15.75" customHeight="1">
      <c r="A233" s="532"/>
      <c r="B233" s="338"/>
      <c r="C233" s="338"/>
      <c r="D233" s="338"/>
      <c r="E233" s="338"/>
      <c r="F233" s="338"/>
      <c r="G233" s="338"/>
      <c r="H233" s="338"/>
      <c r="I233" s="338"/>
      <c r="J233" s="338"/>
      <c r="K233" s="338"/>
      <c r="L233" s="338"/>
      <c r="M233" s="338"/>
      <c r="N233" s="338"/>
      <c r="O233" s="338"/>
      <c r="P233" s="338"/>
      <c r="Q233" s="338"/>
      <c r="R233" s="338"/>
      <c r="S233" s="338"/>
      <c r="T233" s="357"/>
      <c r="U233" s="338"/>
      <c r="V233" s="338"/>
      <c r="W233" s="338"/>
      <c r="X233" s="338"/>
      <c r="Y233" s="338"/>
      <c r="Z233" s="338"/>
      <c r="AA233" s="338"/>
    </row>
    <row r="234" ht="15.75" customHeight="1">
      <c r="A234" s="532"/>
      <c r="B234" s="338"/>
      <c r="C234" s="338"/>
      <c r="D234" s="338"/>
      <c r="E234" s="338"/>
      <c r="F234" s="338"/>
      <c r="G234" s="338"/>
      <c r="H234" s="338"/>
      <c r="I234" s="338"/>
      <c r="J234" s="338"/>
      <c r="K234" s="338"/>
      <c r="L234" s="338"/>
      <c r="M234" s="338"/>
      <c r="N234" s="338"/>
      <c r="O234" s="338"/>
      <c r="P234" s="338"/>
      <c r="Q234" s="338"/>
      <c r="R234" s="338"/>
      <c r="S234" s="338"/>
      <c r="T234" s="357"/>
      <c r="U234" s="338"/>
      <c r="V234" s="338"/>
      <c r="W234" s="338"/>
      <c r="X234" s="338"/>
      <c r="Y234" s="338"/>
      <c r="Z234" s="338"/>
      <c r="AA234" s="338"/>
    </row>
    <row r="235" ht="15.75" customHeight="1">
      <c r="A235" s="532"/>
      <c r="B235" s="338"/>
      <c r="C235" s="338"/>
      <c r="D235" s="338"/>
      <c r="E235" s="338"/>
      <c r="F235" s="338"/>
      <c r="G235" s="338"/>
      <c r="H235" s="338"/>
      <c r="I235" s="338"/>
      <c r="J235" s="338"/>
      <c r="K235" s="338"/>
      <c r="L235" s="338"/>
      <c r="M235" s="338"/>
      <c r="N235" s="338"/>
      <c r="O235" s="338"/>
      <c r="P235" s="338"/>
      <c r="Q235" s="338"/>
      <c r="R235" s="338"/>
      <c r="S235" s="338"/>
      <c r="T235" s="357"/>
      <c r="U235" s="338"/>
      <c r="V235" s="338"/>
      <c r="W235" s="338"/>
      <c r="X235" s="338"/>
      <c r="Y235" s="338"/>
      <c r="Z235" s="338"/>
      <c r="AA235" s="338"/>
    </row>
    <row r="236" ht="15.75" customHeight="1">
      <c r="A236" s="532"/>
      <c r="B236" s="338"/>
      <c r="C236" s="338"/>
      <c r="D236" s="338"/>
      <c r="E236" s="338"/>
      <c r="F236" s="338"/>
      <c r="G236" s="338"/>
      <c r="H236" s="338"/>
      <c r="I236" s="338"/>
      <c r="J236" s="338"/>
      <c r="K236" s="338"/>
      <c r="L236" s="338"/>
      <c r="M236" s="338"/>
      <c r="N236" s="338"/>
      <c r="O236" s="338"/>
      <c r="P236" s="338"/>
      <c r="Q236" s="338"/>
      <c r="R236" s="338"/>
      <c r="S236" s="338"/>
      <c r="T236" s="357"/>
      <c r="U236" s="338"/>
      <c r="V236" s="338"/>
      <c r="W236" s="338"/>
      <c r="X236" s="338"/>
      <c r="Y236" s="338"/>
      <c r="Z236" s="338"/>
      <c r="AA236" s="338"/>
    </row>
    <row r="237" ht="15.75" customHeight="1">
      <c r="A237" s="532"/>
      <c r="B237" s="338"/>
      <c r="C237" s="338"/>
      <c r="D237" s="338"/>
      <c r="E237" s="338"/>
      <c r="F237" s="338"/>
      <c r="G237" s="338"/>
      <c r="H237" s="338"/>
      <c r="I237" s="338"/>
      <c r="J237" s="338"/>
      <c r="K237" s="338"/>
      <c r="L237" s="338"/>
      <c r="M237" s="338"/>
      <c r="N237" s="338"/>
      <c r="O237" s="338"/>
      <c r="P237" s="338"/>
      <c r="Q237" s="338"/>
      <c r="R237" s="338"/>
      <c r="S237" s="338"/>
      <c r="T237" s="357"/>
      <c r="U237" s="338"/>
      <c r="V237" s="338"/>
      <c r="W237" s="338"/>
      <c r="X237" s="338"/>
      <c r="Y237" s="338"/>
      <c r="Z237" s="338"/>
      <c r="AA237" s="338"/>
    </row>
    <row r="238" ht="15.75" customHeight="1">
      <c r="A238" s="532"/>
      <c r="B238" s="338"/>
      <c r="C238" s="338"/>
      <c r="D238" s="338"/>
      <c r="E238" s="338"/>
      <c r="F238" s="338"/>
      <c r="G238" s="338"/>
      <c r="H238" s="338"/>
      <c r="I238" s="338"/>
      <c r="J238" s="338"/>
      <c r="K238" s="338"/>
      <c r="L238" s="338"/>
      <c r="M238" s="338"/>
      <c r="N238" s="338"/>
      <c r="O238" s="338"/>
      <c r="P238" s="338"/>
      <c r="Q238" s="338"/>
      <c r="R238" s="338"/>
      <c r="S238" s="338"/>
      <c r="T238" s="357"/>
      <c r="U238" s="338"/>
      <c r="V238" s="338"/>
      <c r="W238" s="338"/>
      <c r="X238" s="338"/>
      <c r="Y238" s="338"/>
      <c r="Z238" s="338"/>
      <c r="AA238" s="338"/>
    </row>
    <row r="239" ht="15.75" customHeight="1">
      <c r="A239" s="532"/>
      <c r="B239" s="338"/>
      <c r="C239" s="338"/>
      <c r="D239" s="338"/>
      <c r="E239" s="338"/>
      <c r="F239" s="338"/>
      <c r="G239" s="338"/>
      <c r="H239" s="338"/>
      <c r="I239" s="338"/>
      <c r="J239" s="338"/>
      <c r="K239" s="338"/>
      <c r="L239" s="338"/>
      <c r="M239" s="338"/>
      <c r="N239" s="338"/>
      <c r="O239" s="338"/>
      <c r="P239" s="338"/>
      <c r="Q239" s="338"/>
      <c r="R239" s="338"/>
      <c r="S239" s="338"/>
      <c r="T239" s="357"/>
      <c r="U239" s="338"/>
      <c r="V239" s="338"/>
      <c r="W239" s="338"/>
      <c r="X239" s="338"/>
      <c r="Y239" s="338"/>
      <c r="Z239" s="338"/>
      <c r="AA239" s="338"/>
    </row>
    <row r="240" ht="15.75" customHeight="1">
      <c r="A240" s="532"/>
      <c r="B240" s="338"/>
      <c r="C240" s="338"/>
      <c r="D240" s="338"/>
      <c r="E240" s="338"/>
      <c r="F240" s="338"/>
      <c r="G240" s="338"/>
      <c r="H240" s="338"/>
      <c r="I240" s="338"/>
      <c r="J240" s="338"/>
      <c r="K240" s="338"/>
      <c r="L240" s="338"/>
      <c r="M240" s="338"/>
      <c r="N240" s="338"/>
      <c r="O240" s="338"/>
      <c r="P240" s="338"/>
      <c r="Q240" s="338"/>
      <c r="R240" s="338"/>
      <c r="S240" s="338"/>
      <c r="T240" s="357"/>
      <c r="U240" s="338"/>
      <c r="V240" s="338"/>
      <c r="W240" s="338"/>
      <c r="X240" s="338"/>
      <c r="Y240" s="338"/>
      <c r="Z240" s="338"/>
      <c r="AA240" s="338"/>
    </row>
    <row r="241" ht="15.75" customHeight="1">
      <c r="A241" s="532"/>
      <c r="B241" s="338"/>
      <c r="C241" s="338"/>
      <c r="D241" s="338"/>
      <c r="E241" s="338"/>
      <c r="F241" s="338"/>
      <c r="G241" s="338"/>
      <c r="H241" s="338"/>
      <c r="I241" s="338"/>
      <c r="J241" s="338"/>
      <c r="K241" s="338"/>
      <c r="L241" s="338"/>
      <c r="M241" s="338"/>
      <c r="N241" s="338"/>
      <c r="O241" s="338"/>
      <c r="P241" s="338"/>
      <c r="Q241" s="338"/>
      <c r="R241" s="338"/>
      <c r="S241" s="338"/>
      <c r="T241" s="357"/>
      <c r="U241" s="338"/>
      <c r="V241" s="338"/>
      <c r="W241" s="338"/>
      <c r="X241" s="338"/>
      <c r="Y241" s="338"/>
      <c r="Z241" s="338"/>
      <c r="AA241" s="338"/>
    </row>
    <row r="242" ht="15.75" customHeight="1">
      <c r="A242" s="532"/>
      <c r="B242" s="338"/>
      <c r="C242" s="338"/>
      <c r="D242" s="338"/>
      <c r="E242" s="338"/>
      <c r="F242" s="338"/>
      <c r="G242" s="338"/>
      <c r="H242" s="338"/>
      <c r="I242" s="338"/>
      <c r="J242" s="338"/>
      <c r="K242" s="338"/>
      <c r="L242" s="338"/>
      <c r="M242" s="338"/>
      <c r="N242" s="338"/>
      <c r="O242" s="338"/>
      <c r="P242" s="338"/>
      <c r="Q242" s="338"/>
      <c r="R242" s="338"/>
      <c r="S242" s="338"/>
      <c r="T242" s="357"/>
      <c r="U242" s="338"/>
      <c r="V242" s="338"/>
      <c r="W242" s="338"/>
      <c r="X242" s="338"/>
      <c r="Y242" s="338"/>
      <c r="Z242" s="338"/>
      <c r="AA242" s="338"/>
    </row>
    <row r="243" ht="15.75" customHeight="1">
      <c r="A243" s="532"/>
      <c r="B243" s="338"/>
      <c r="C243" s="338"/>
      <c r="D243" s="338"/>
      <c r="E243" s="338"/>
      <c r="F243" s="338"/>
      <c r="G243" s="338"/>
      <c r="H243" s="338"/>
      <c r="I243" s="338"/>
      <c r="J243" s="338"/>
      <c r="K243" s="338"/>
      <c r="L243" s="338"/>
      <c r="M243" s="338"/>
      <c r="N243" s="338"/>
      <c r="O243" s="338"/>
      <c r="P243" s="338"/>
      <c r="Q243" s="338"/>
      <c r="R243" s="338"/>
      <c r="S243" s="338"/>
      <c r="T243" s="357"/>
      <c r="U243" s="338"/>
      <c r="V243" s="338"/>
      <c r="W243" s="338"/>
      <c r="X243" s="338"/>
      <c r="Y243" s="338"/>
      <c r="Z243" s="338"/>
      <c r="AA243" s="338"/>
    </row>
    <row r="244" ht="15.75" customHeight="1">
      <c r="A244" s="532"/>
      <c r="B244" s="338"/>
      <c r="C244" s="338"/>
      <c r="D244" s="338"/>
      <c r="E244" s="338"/>
      <c r="F244" s="338"/>
      <c r="G244" s="338"/>
      <c r="H244" s="338"/>
      <c r="I244" s="338"/>
      <c r="J244" s="338"/>
      <c r="K244" s="338"/>
      <c r="L244" s="338"/>
      <c r="M244" s="338"/>
      <c r="N244" s="338"/>
      <c r="O244" s="338"/>
      <c r="P244" s="338"/>
      <c r="Q244" s="338"/>
      <c r="R244" s="338"/>
      <c r="S244" s="338"/>
      <c r="T244" s="357"/>
      <c r="U244" s="338"/>
      <c r="V244" s="338"/>
      <c r="W244" s="338"/>
      <c r="X244" s="338"/>
      <c r="Y244" s="338"/>
      <c r="Z244" s="338"/>
      <c r="AA244" s="338"/>
    </row>
    <row r="245" ht="15.75" customHeight="1">
      <c r="A245" s="532"/>
      <c r="B245" s="338"/>
      <c r="C245" s="338"/>
      <c r="D245" s="338"/>
      <c r="E245" s="338"/>
      <c r="F245" s="338"/>
      <c r="G245" s="338"/>
      <c r="H245" s="338"/>
      <c r="I245" s="338"/>
      <c r="J245" s="338"/>
      <c r="K245" s="338"/>
      <c r="L245" s="338"/>
      <c r="M245" s="338"/>
      <c r="N245" s="338"/>
      <c r="O245" s="338"/>
      <c r="P245" s="338"/>
      <c r="Q245" s="338"/>
      <c r="R245" s="338"/>
      <c r="S245" s="338"/>
      <c r="T245" s="357"/>
      <c r="U245" s="338"/>
      <c r="V245" s="338"/>
      <c r="W245" s="338"/>
      <c r="X245" s="338"/>
      <c r="Y245" s="338"/>
      <c r="Z245" s="338"/>
      <c r="AA245" s="338"/>
    </row>
    <row r="246" ht="15.75" customHeight="1">
      <c r="A246" s="532"/>
      <c r="B246" s="338"/>
      <c r="C246" s="338"/>
      <c r="D246" s="338"/>
      <c r="E246" s="338"/>
      <c r="F246" s="338"/>
      <c r="G246" s="338"/>
      <c r="H246" s="338"/>
      <c r="I246" s="338"/>
      <c r="J246" s="338"/>
      <c r="K246" s="338"/>
      <c r="L246" s="338"/>
      <c r="M246" s="338"/>
      <c r="N246" s="338"/>
      <c r="O246" s="338"/>
      <c r="P246" s="338"/>
      <c r="Q246" s="338"/>
      <c r="R246" s="338"/>
      <c r="S246" s="338"/>
      <c r="T246" s="357"/>
      <c r="U246" s="338"/>
      <c r="V246" s="338"/>
      <c r="W246" s="338"/>
      <c r="X246" s="338"/>
      <c r="Y246" s="338"/>
      <c r="Z246" s="338"/>
      <c r="AA246" s="338"/>
    </row>
    <row r="247" ht="15.75" customHeight="1">
      <c r="A247" s="532"/>
      <c r="B247" s="338"/>
      <c r="C247" s="338"/>
      <c r="D247" s="338"/>
      <c r="E247" s="338"/>
      <c r="F247" s="338"/>
      <c r="G247" s="338"/>
      <c r="H247" s="338"/>
      <c r="I247" s="338"/>
      <c r="J247" s="338"/>
      <c r="K247" s="338"/>
      <c r="L247" s="338"/>
      <c r="M247" s="338"/>
      <c r="N247" s="338"/>
      <c r="O247" s="338"/>
      <c r="P247" s="338"/>
      <c r="Q247" s="338"/>
      <c r="R247" s="338"/>
      <c r="S247" s="338"/>
      <c r="T247" s="357"/>
      <c r="U247" s="338"/>
      <c r="V247" s="338"/>
      <c r="W247" s="338"/>
      <c r="X247" s="338"/>
      <c r="Y247" s="338"/>
      <c r="Z247" s="338"/>
      <c r="AA247" s="338"/>
    </row>
    <row r="248" ht="15.75" customHeight="1">
      <c r="A248" s="532"/>
      <c r="B248" s="338"/>
      <c r="C248" s="338"/>
      <c r="D248" s="338"/>
      <c r="E248" s="338"/>
      <c r="F248" s="338"/>
      <c r="G248" s="338"/>
      <c r="H248" s="338"/>
      <c r="I248" s="338"/>
      <c r="J248" s="338"/>
      <c r="K248" s="338"/>
      <c r="L248" s="338"/>
      <c r="M248" s="338"/>
      <c r="N248" s="338"/>
      <c r="O248" s="338"/>
      <c r="P248" s="338"/>
      <c r="Q248" s="338"/>
      <c r="R248" s="338"/>
      <c r="S248" s="338"/>
      <c r="T248" s="357"/>
      <c r="U248" s="338"/>
      <c r="V248" s="338"/>
      <c r="W248" s="338"/>
      <c r="X248" s="338"/>
      <c r="Y248" s="338"/>
      <c r="Z248" s="338"/>
      <c r="AA248" s="338"/>
    </row>
    <row r="249" ht="15.75" customHeight="1">
      <c r="A249" s="532"/>
      <c r="B249" s="338"/>
      <c r="C249" s="338"/>
      <c r="D249" s="338"/>
      <c r="E249" s="338"/>
      <c r="F249" s="338"/>
      <c r="G249" s="338"/>
      <c r="H249" s="338"/>
      <c r="I249" s="338"/>
      <c r="J249" s="338"/>
      <c r="K249" s="338"/>
      <c r="L249" s="338"/>
      <c r="M249" s="338"/>
      <c r="N249" s="338"/>
      <c r="O249" s="338"/>
      <c r="P249" s="338"/>
      <c r="Q249" s="338"/>
      <c r="R249" s="338"/>
      <c r="S249" s="338"/>
      <c r="T249" s="357"/>
      <c r="U249" s="338"/>
      <c r="V249" s="338"/>
      <c r="W249" s="338"/>
      <c r="X249" s="338"/>
      <c r="Y249" s="338"/>
      <c r="Z249" s="338"/>
      <c r="AA249" s="338"/>
    </row>
    <row r="250" ht="15.75" customHeight="1">
      <c r="A250" s="532"/>
      <c r="B250" s="338"/>
      <c r="C250" s="338"/>
      <c r="D250" s="338"/>
      <c r="E250" s="338"/>
      <c r="F250" s="338"/>
      <c r="G250" s="338"/>
      <c r="H250" s="338"/>
      <c r="I250" s="338"/>
      <c r="J250" s="338"/>
      <c r="K250" s="338"/>
      <c r="L250" s="338"/>
      <c r="M250" s="338"/>
      <c r="N250" s="338"/>
      <c r="O250" s="338"/>
      <c r="P250" s="338"/>
      <c r="Q250" s="338"/>
      <c r="R250" s="338"/>
      <c r="S250" s="338"/>
      <c r="T250" s="357"/>
      <c r="U250" s="338"/>
      <c r="V250" s="338"/>
      <c r="W250" s="338"/>
      <c r="X250" s="338"/>
      <c r="Y250" s="338"/>
      <c r="Z250" s="338"/>
      <c r="AA250" s="338"/>
    </row>
    <row r="251" ht="15.75" customHeight="1">
      <c r="A251" s="532"/>
      <c r="B251" s="338"/>
      <c r="C251" s="338"/>
      <c r="D251" s="338"/>
      <c r="E251" s="338"/>
      <c r="F251" s="338"/>
      <c r="G251" s="338"/>
      <c r="H251" s="338"/>
      <c r="I251" s="338"/>
      <c r="J251" s="338"/>
      <c r="K251" s="338"/>
      <c r="L251" s="338"/>
      <c r="M251" s="338"/>
      <c r="N251" s="338"/>
      <c r="O251" s="338"/>
      <c r="P251" s="338"/>
      <c r="Q251" s="338"/>
      <c r="R251" s="338"/>
      <c r="S251" s="338"/>
      <c r="T251" s="357"/>
      <c r="U251" s="338"/>
      <c r="V251" s="338"/>
      <c r="W251" s="338"/>
      <c r="X251" s="338"/>
      <c r="Y251" s="338"/>
      <c r="Z251" s="338"/>
      <c r="AA251" s="338"/>
    </row>
    <row r="252" ht="15.75" customHeight="1">
      <c r="A252" s="532"/>
      <c r="B252" s="338"/>
      <c r="C252" s="338"/>
      <c r="D252" s="338"/>
      <c r="E252" s="338"/>
      <c r="F252" s="338"/>
      <c r="G252" s="338"/>
      <c r="H252" s="338"/>
      <c r="I252" s="338"/>
      <c r="J252" s="338"/>
      <c r="K252" s="338"/>
      <c r="L252" s="338"/>
      <c r="M252" s="338"/>
      <c r="N252" s="338"/>
      <c r="O252" s="338"/>
      <c r="P252" s="338"/>
      <c r="Q252" s="338"/>
      <c r="R252" s="338"/>
      <c r="S252" s="338"/>
      <c r="T252" s="357"/>
      <c r="U252" s="338"/>
      <c r="V252" s="338"/>
      <c r="W252" s="338"/>
      <c r="X252" s="338"/>
      <c r="Y252" s="338"/>
      <c r="Z252" s="338"/>
      <c r="AA252" s="338"/>
    </row>
    <row r="253" ht="15.75" customHeight="1">
      <c r="A253" s="532"/>
      <c r="B253" s="338"/>
      <c r="C253" s="338"/>
      <c r="D253" s="338"/>
      <c r="E253" s="338"/>
      <c r="F253" s="338"/>
      <c r="G253" s="338"/>
      <c r="H253" s="338"/>
      <c r="I253" s="338"/>
      <c r="J253" s="338"/>
      <c r="K253" s="338"/>
      <c r="L253" s="338"/>
      <c r="M253" s="338"/>
      <c r="N253" s="338"/>
      <c r="O253" s="338"/>
      <c r="P253" s="338"/>
      <c r="Q253" s="338"/>
      <c r="R253" s="338"/>
      <c r="S253" s="338"/>
      <c r="T253" s="357"/>
      <c r="U253" s="338"/>
      <c r="V253" s="338"/>
      <c r="W253" s="338"/>
      <c r="X253" s="338"/>
      <c r="Y253" s="338"/>
      <c r="Z253" s="338"/>
      <c r="AA253" s="338"/>
    </row>
    <row r="254" ht="15.75" customHeight="1">
      <c r="A254" s="532"/>
      <c r="B254" s="338"/>
      <c r="C254" s="338"/>
      <c r="D254" s="338"/>
      <c r="E254" s="338"/>
      <c r="F254" s="338"/>
      <c r="G254" s="338"/>
      <c r="H254" s="338"/>
      <c r="I254" s="338"/>
      <c r="J254" s="338"/>
      <c r="K254" s="338"/>
      <c r="L254" s="338"/>
      <c r="M254" s="338"/>
      <c r="N254" s="338"/>
      <c r="O254" s="338"/>
      <c r="P254" s="338"/>
      <c r="Q254" s="338"/>
      <c r="R254" s="338"/>
      <c r="S254" s="338"/>
      <c r="T254" s="357"/>
      <c r="U254" s="338"/>
      <c r="V254" s="338"/>
      <c r="W254" s="338"/>
      <c r="X254" s="338"/>
      <c r="Y254" s="338"/>
      <c r="Z254" s="338"/>
      <c r="AA254" s="338"/>
    </row>
    <row r="255" ht="15.75" customHeight="1">
      <c r="A255" s="532"/>
      <c r="B255" s="338"/>
      <c r="C255" s="338"/>
      <c r="D255" s="338"/>
      <c r="E255" s="338"/>
      <c r="F255" s="338"/>
      <c r="G255" s="338"/>
      <c r="H255" s="338"/>
      <c r="I255" s="338"/>
      <c r="J255" s="338"/>
      <c r="K255" s="338"/>
      <c r="L255" s="338"/>
      <c r="M255" s="338"/>
      <c r="N255" s="338"/>
      <c r="O255" s="338"/>
      <c r="P255" s="338"/>
      <c r="Q255" s="338"/>
      <c r="R255" s="338"/>
      <c r="S255" s="338"/>
      <c r="T255" s="357"/>
      <c r="U255" s="338"/>
      <c r="V255" s="338"/>
      <c r="W255" s="338"/>
      <c r="X255" s="338"/>
      <c r="Y255" s="338"/>
      <c r="Z255" s="338"/>
      <c r="AA255" s="338"/>
    </row>
    <row r="256" ht="15.75" customHeight="1">
      <c r="A256" s="532"/>
      <c r="B256" s="338"/>
      <c r="C256" s="338"/>
      <c r="D256" s="338"/>
      <c r="E256" s="338"/>
      <c r="F256" s="338"/>
      <c r="G256" s="338"/>
      <c r="H256" s="338"/>
      <c r="I256" s="338"/>
      <c r="J256" s="338"/>
      <c r="K256" s="338"/>
      <c r="L256" s="338"/>
      <c r="M256" s="338"/>
      <c r="N256" s="338"/>
      <c r="O256" s="338"/>
      <c r="P256" s="338"/>
      <c r="Q256" s="338"/>
      <c r="R256" s="338"/>
      <c r="S256" s="338"/>
      <c r="T256" s="357"/>
      <c r="U256" s="338"/>
      <c r="V256" s="338"/>
      <c r="W256" s="338"/>
      <c r="X256" s="338"/>
      <c r="Y256" s="338"/>
      <c r="Z256" s="338"/>
      <c r="AA256" s="338"/>
    </row>
    <row r="257" ht="15.75" customHeight="1">
      <c r="A257" s="532"/>
      <c r="B257" s="338"/>
      <c r="C257" s="338"/>
      <c r="D257" s="338"/>
      <c r="E257" s="338"/>
      <c r="F257" s="338"/>
      <c r="G257" s="338"/>
      <c r="H257" s="338"/>
      <c r="I257" s="338"/>
      <c r="J257" s="338"/>
      <c r="K257" s="338"/>
      <c r="L257" s="338"/>
      <c r="M257" s="338"/>
      <c r="N257" s="338"/>
      <c r="O257" s="338"/>
      <c r="P257" s="338"/>
      <c r="Q257" s="338"/>
      <c r="R257" s="338"/>
      <c r="S257" s="338"/>
      <c r="T257" s="357"/>
      <c r="U257" s="338"/>
      <c r="V257" s="338"/>
      <c r="W257" s="338"/>
      <c r="X257" s="338"/>
      <c r="Y257" s="338"/>
      <c r="Z257" s="338"/>
      <c r="AA257" s="338"/>
    </row>
    <row r="258" ht="15.75" customHeight="1">
      <c r="A258" s="532"/>
      <c r="B258" s="338"/>
      <c r="C258" s="338"/>
      <c r="D258" s="338"/>
      <c r="E258" s="338"/>
      <c r="F258" s="338"/>
      <c r="G258" s="338"/>
      <c r="H258" s="338"/>
      <c r="I258" s="338"/>
      <c r="J258" s="338"/>
      <c r="K258" s="338"/>
      <c r="L258" s="338"/>
      <c r="M258" s="338"/>
      <c r="N258" s="338"/>
      <c r="O258" s="338"/>
      <c r="P258" s="338"/>
      <c r="Q258" s="338"/>
      <c r="R258" s="338"/>
      <c r="S258" s="338"/>
      <c r="T258" s="357"/>
      <c r="U258" s="338"/>
      <c r="V258" s="338"/>
      <c r="W258" s="338"/>
      <c r="X258" s="338"/>
      <c r="Y258" s="338"/>
      <c r="Z258" s="338"/>
      <c r="AA258" s="338"/>
    </row>
    <row r="259" ht="15.75" customHeight="1">
      <c r="A259" s="532"/>
      <c r="B259" s="338"/>
      <c r="C259" s="338"/>
      <c r="D259" s="338"/>
      <c r="E259" s="338"/>
      <c r="F259" s="338"/>
      <c r="G259" s="338"/>
      <c r="H259" s="338"/>
      <c r="I259" s="338"/>
      <c r="J259" s="338"/>
      <c r="K259" s="338"/>
      <c r="L259" s="338"/>
      <c r="M259" s="338"/>
      <c r="N259" s="338"/>
      <c r="O259" s="338"/>
      <c r="P259" s="338"/>
      <c r="Q259" s="338"/>
      <c r="R259" s="338"/>
      <c r="S259" s="338"/>
      <c r="T259" s="357"/>
      <c r="U259" s="338"/>
      <c r="V259" s="338"/>
      <c r="W259" s="338"/>
      <c r="X259" s="338"/>
      <c r="Y259" s="338"/>
      <c r="Z259" s="338"/>
      <c r="AA259" s="338"/>
    </row>
    <row r="260" ht="15.75" customHeight="1">
      <c r="A260" s="532"/>
      <c r="B260" s="338"/>
      <c r="C260" s="338"/>
      <c r="D260" s="338"/>
      <c r="E260" s="338"/>
      <c r="F260" s="338"/>
      <c r="G260" s="338"/>
      <c r="H260" s="338"/>
      <c r="I260" s="338"/>
      <c r="J260" s="338"/>
      <c r="K260" s="338"/>
      <c r="L260" s="338"/>
      <c r="M260" s="338"/>
      <c r="N260" s="338"/>
      <c r="O260" s="338"/>
      <c r="P260" s="338"/>
      <c r="Q260" s="338"/>
      <c r="R260" s="338"/>
      <c r="S260" s="338"/>
      <c r="T260" s="357"/>
      <c r="U260" s="338"/>
      <c r="V260" s="338"/>
      <c r="W260" s="338"/>
      <c r="X260" s="338"/>
      <c r="Y260" s="338"/>
      <c r="Z260" s="338"/>
      <c r="AA260" s="338"/>
    </row>
    <row r="261" ht="15.75" customHeight="1">
      <c r="A261" s="532"/>
      <c r="B261" s="338"/>
      <c r="C261" s="338"/>
      <c r="D261" s="338"/>
      <c r="E261" s="338"/>
      <c r="F261" s="338"/>
      <c r="G261" s="338"/>
      <c r="H261" s="338"/>
      <c r="I261" s="338"/>
      <c r="J261" s="338"/>
      <c r="K261" s="338"/>
      <c r="L261" s="338"/>
      <c r="M261" s="338"/>
      <c r="N261" s="338"/>
      <c r="O261" s="338"/>
      <c r="P261" s="338"/>
      <c r="Q261" s="338"/>
      <c r="R261" s="338"/>
      <c r="S261" s="338"/>
      <c r="T261" s="357"/>
      <c r="U261" s="338"/>
      <c r="V261" s="338"/>
      <c r="W261" s="338"/>
      <c r="X261" s="338"/>
      <c r="Y261" s="338"/>
      <c r="Z261" s="338"/>
      <c r="AA261" s="338"/>
    </row>
    <row r="262" ht="15.75" customHeight="1">
      <c r="A262" s="532"/>
      <c r="B262" s="338"/>
      <c r="C262" s="338"/>
      <c r="D262" s="338"/>
      <c r="E262" s="338"/>
      <c r="F262" s="338"/>
      <c r="G262" s="338"/>
      <c r="H262" s="338"/>
      <c r="I262" s="338"/>
      <c r="J262" s="338"/>
      <c r="K262" s="338"/>
      <c r="L262" s="338"/>
      <c r="M262" s="338"/>
      <c r="N262" s="338"/>
      <c r="O262" s="338"/>
      <c r="P262" s="338"/>
      <c r="Q262" s="338"/>
      <c r="R262" s="338"/>
      <c r="S262" s="338"/>
      <c r="T262" s="357"/>
      <c r="U262" s="338"/>
      <c r="V262" s="338"/>
      <c r="W262" s="338"/>
      <c r="X262" s="338"/>
      <c r="Y262" s="338"/>
      <c r="Z262" s="338"/>
      <c r="AA262" s="338"/>
    </row>
    <row r="263" ht="15.75" customHeight="1">
      <c r="A263" s="532"/>
      <c r="B263" s="338"/>
      <c r="C263" s="338"/>
      <c r="D263" s="338"/>
      <c r="E263" s="338"/>
      <c r="F263" s="338"/>
      <c r="G263" s="338"/>
      <c r="H263" s="338"/>
      <c r="I263" s="338"/>
      <c r="J263" s="338"/>
      <c r="K263" s="338"/>
      <c r="L263" s="338"/>
      <c r="M263" s="338"/>
      <c r="N263" s="338"/>
      <c r="O263" s="338"/>
      <c r="P263" s="338"/>
      <c r="Q263" s="338"/>
      <c r="R263" s="338"/>
      <c r="S263" s="338"/>
      <c r="T263" s="357"/>
      <c r="U263" s="338"/>
      <c r="V263" s="338"/>
      <c r="W263" s="338"/>
      <c r="X263" s="338"/>
      <c r="Y263" s="338"/>
      <c r="Z263" s="338"/>
      <c r="AA263" s="338"/>
    </row>
    <row r="264" ht="15.75" customHeight="1">
      <c r="A264" s="532"/>
      <c r="B264" s="338"/>
      <c r="C264" s="338"/>
      <c r="D264" s="338"/>
      <c r="E264" s="338"/>
      <c r="F264" s="338"/>
      <c r="G264" s="338"/>
      <c r="H264" s="338"/>
      <c r="I264" s="338"/>
      <c r="J264" s="338"/>
      <c r="K264" s="338"/>
      <c r="L264" s="338"/>
      <c r="M264" s="338"/>
      <c r="N264" s="338"/>
      <c r="O264" s="338"/>
      <c r="P264" s="338"/>
      <c r="Q264" s="338"/>
      <c r="R264" s="338"/>
      <c r="S264" s="338"/>
      <c r="T264" s="357"/>
      <c r="U264" s="338"/>
      <c r="V264" s="338"/>
      <c r="W264" s="338"/>
      <c r="X264" s="338"/>
      <c r="Y264" s="338"/>
      <c r="Z264" s="338"/>
      <c r="AA264" s="338"/>
    </row>
    <row r="265" ht="15.75" customHeight="1">
      <c r="A265" s="532"/>
      <c r="B265" s="338"/>
      <c r="C265" s="338"/>
      <c r="D265" s="338"/>
      <c r="E265" s="338"/>
      <c r="F265" s="338"/>
      <c r="G265" s="338"/>
      <c r="H265" s="338"/>
      <c r="I265" s="338"/>
      <c r="J265" s="338"/>
      <c r="K265" s="338"/>
      <c r="L265" s="338"/>
      <c r="M265" s="338"/>
      <c r="N265" s="338"/>
      <c r="O265" s="338"/>
      <c r="P265" s="338"/>
      <c r="Q265" s="338"/>
      <c r="R265" s="338"/>
      <c r="S265" s="338"/>
      <c r="T265" s="357"/>
      <c r="U265" s="338"/>
      <c r="V265" s="338"/>
      <c r="W265" s="338"/>
      <c r="X265" s="338"/>
      <c r="Y265" s="338"/>
      <c r="Z265" s="338"/>
      <c r="AA265" s="338"/>
    </row>
    <row r="266" ht="15.75" customHeight="1">
      <c r="A266" s="532"/>
      <c r="B266" s="338"/>
      <c r="C266" s="338"/>
      <c r="D266" s="338"/>
      <c r="E266" s="338"/>
      <c r="F266" s="338"/>
      <c r="G266" s="338"/>
      <c r="H266" s="338"/>
      <c r="I266" s="338"/>
      <c r="J266" s="338"/>
      <c r="K266" s="338"/>
      <c r="L266" s="338"/>
      <c r="M266" s="338"/>
      <c r="N266" s="338"/>
      <c r="O266" s="338"/>
      <c r="P266" s="338"/>
      <c r="Q266" s="338"/>
      <c r="R266" s="338"/>
      <c r="S266" s="338"/>
      <c r="T266" s="357"/>
      <c r="U266" s="338"/>
      <c r="V266" s="338"/>
      <c r="W266" s="338"/>
      <c r="X266" s="338"/>
      <c r="Y266" s="338"/>
      <c r="Z266" s="338"/>
      <c r="AA266" s="338"/>
    </row>
    <row r="267" ht="15.75" customHeight="1">
      <c r="A267" s="532"/>
      <c r="B267" s="338"/>
      <c r="C267" s="338"/>
      <c r="D267" s="338"/>
      <c r="E267" s="338"/>
      <c r="F267" s="338"/>
      <c r="G267" s="338"/>
      <c r="H267" s="338"/>
      <c r="I267" s="338"/>
      <c r="J267" s="338"/>
      <c r="K267" s="338"/>
      <c r="L267" s="338"/>
      <c r="M267" s="338"/>
      <c r="N267" s="338"/>
      <c r="O267" s="338"/>
      <c r="P267" s="338"/>
      <c r="Q267" s="338"/>
      <c r="R267" s="338"/>
      <c r="S267" s="338"/>
      <c r="T267" s="357"/>
      <c r="U267" s="338"/>
      <c r="V267" s="338"/>
      <c r="W267" s="338"/>
      <c r="X267" s="338"/>
      <c r="Y267" s="338"/>
      <c r="Z267" s="338"/>
      <c r="AA267" s="338"/>
    </row>
    <row r="268" ht="15.75" customHeight="1">
      <c r="A268" s="532"/>
      <c r="B268" s="338"/>
      <c r="C268" s="338"/>
      <c r="D268" s="338"/>
      <c r="E268" s="338"/>
      <c r="F268" s="338"/>
      <c r="G268" s="338"/>
      <c r="H268" s="338"/>
      <c r="I268" s="338"/>
      <c r="J268" s="338"/>
      <c r="K268" s="338"/>
      <c r="L268" s="338"/>
      <c r="M268" s="338"/>
      <c r="N268" s="338"/>
      <c r="O268" s="338"/>
      <c r="P268" s="338"/>
      <c r="Q268" s="338"/>
      <c r="R268" s="338"/>
      <c r="S268" s="338"/>
      <c r="T268" s="357"/>
      <c r="U268" s="338"/>
      <c r="V268" s="338"/>
      <c r="W268" s="338"/>
      <c r="X268" s="338"/>
      <c r="Y268" s="338"/>
      <c r="Z268" s="338"/>
      <c r="AA268" s="338"/>
    </row>
    <row r="269" ht="15.75" customHeight="1">
      <c r="A269" s="532"/>
      <c r="B269" s="338"/>
      <c r="C269" s="338"/>
      <c r="D269" s="338"/>
      <c r="E269" s="338"/>
      <c r="F269" s="338"/>
      <c r="G269" s="338"/>
      <c r="H269" s="338"/>
      <c r="I269" s="338"/>
      <c r="J269" s="338"/>
      <c r="K269" s="338"/>
      <c r="L269" s="338"/>
      <c r="M269" s="338"/>
      <c r="N269" s="338"/>
      <c r="O269" s="338"/>
      <c r="P269" s="338"/>
      <c r="Q269" s="338"/>
      <c r="R269" s="338"/>
      <c r="S269" s="338"/>
      <c r="T269" s="357"/>
      <c r="U269" s="338"/>
      <c r="V269" s="338"/>
      <c r="W269" s="338"/>
      <c r="X269" s="338"/>
      <c r="Y269" s="338"/>
      <c r="Z269" s="338"/>
      <c r="AA269" s="338"/>
    </row>
    <row r="270" ht="15.75" customHeight="1">
      <c r="A270" s="532"/>
      <c r="B270" s="338"/>
      <c r="C270" s="338"/>
      <c r="D270" s="338"/>
      <c r="E270" s="338"/>
      <c r="F270" s="338"/>
      <c r="G270" s="338"/>
      <c r="H270" s="338"/>
      <c r="I270" s="338"/>
      <c r="J270" s="338"/>
      <c r="K270" s="338"/>
      <c r="L270" s="338"/>
      <c r="M270" s="338"/>
      <c r="N270" s="338"/>
      <c r="O270" s="338"/>
      <c r="P270" s="338"/>
      <c r="Q270" s="338"/>
      <c r="R270" s="338"/>
      <c r="S270" s="338"/>
      <c r="T270" s="357"/>
      <c r="U270" s="338"/>
      <c r="V270" s="338"/>
      <c r="W270" s="338"/>
      <c r="X270" s="338"/>
      <c r="Y270" s="338"/>
      <c r="Z270" s="338"/>
      <c r="AA270" s="338"/>
    </row>
    <row r="271" ht="15.75" customHeight="1">
      <c r="A271" s="532"/>
      <c r="B271" s="338"/>
      <c r="C271" s="338"/>
      <c r="D271" s="338"/>
      <c r="E271" s="338"/>
      <c r="F271" s="338"/>
      <c r="G271" s="338"/>
      <c r="H271" s="338"/>
      <c r="I271" s="338"/>
      <c r="J271" s="338"/>
      <c r="K271" s="338"/>
      <c r="L271" s="338"/>
      <c r="M271" s="338"/>
      <c r="N271" s="338"/>
      <c r="O271" s="338"/>
      <c r="P271" s="338"/>
      <c r="Q271" s="338"/>
      <c r="R271" s="338"/>
      <c r="S271" s="338"/>
      <c r="T271" s="357"/>
      <c r="U271" s="338"/>
      <c r="V271" s="338"/>
      <c r="W271" s="338"/>
      <c r="X271" s="338"/>
      <c r="Y271" s="338"/>
      <c r="Z271" s="338"/>
      <c r="AA271" s="338"/>
    </row>
    <row r="272" ht="15.75" customHeight="1">
      <c r="A272" s="532"/>
      <c r="B272" s="338"/>
      <c r="C272" s="338"/>
      <c r="D272" s="338"/>
      <c r="E272" s="338"/>
      <c r="F272" s="338"/>
      <c r="G272" s="338"/>
      <c r="H272" s="338"/>
      <c r="I272" s="338"/>
      <c r="J272" s="338"/>
      <c r="K272" s="338"/>
      <c r="L272" s="338"/>
      <c r="M272" s="338"/>
      <c r="N272" s="338"/>
      <c r="O272" s="338"/>
      <c r="P272" s="338"/>
      <c r="Q272" s="338"/>
      <c r="R272" s="338"/>
      <c r="S272" s="338"/>
      <c r="T272" s="357"/>
      <c r="U272" s="338"/>
      <c r="V272" s="338"/>
      <c r="W272" s="338"/>
      <c r="X272" s="338"/>
      <c r="Y272" s="338"/>
      <c r="Z272" s="338"/>
      <c r="AA272" s="338"/>
    </row>
    <row r="273" ht="15.75" customHeight="1">
      <c r="A273" s="532"/>
      <c r="B273" s="338"/>
      <c r="C273" s="338"/>
      <c r="D273" s="338"/>
      <c r="E273" s="338"/>
      <c r="F273" s="338"/>
      <c r="G273" s="338"/>
      <c r="H273" s="338"/>
      <c r="I273" s="338"/>
      <c r="J273" s="338"/>
      <c r="K273" s="338"/>
      <c r="L273" s="338"/>
      <c r="M273" s="338"/>
      <c r="N273" s="338"/>
      <c r="O273" s="338"/>
      <c r="P273" s="338"/>
      <c r="Q273" s="338"/>
      <c r="R273" s="338"/>
      <c r="S273" s="338"/>
      <c r="T273" s="357"/>
      <c r="U273" s="338"/>
      <c r="V273" s="338"/>
      <c r="W273" s="338"/>
      <c r="X273" s="338"/>
      <c r="Y273" s="338"/>
      <c r="Z273" s="338"/>
      <c r="AA273" s="338"/>
    </row>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0A12F1C8-88FF-49EC-8FC8-11CDD1C35603}" filter="1" showAutoFilter="1">
      <autoFilter ref="$A$1:$T$73">
        <filterColumn colId="16">
          <filters>
            <filter val="NGƯỜI PHỤ TRÁCH PTML"/>
            <filter val="Nguyễn Thanh Thúy"/>
          </filters>
        </filterColumn>
      </autoFilter>
      <extLst>
        <ext uri="GoogleSheetsCustomDataVersion1">
          <go:sheetsCustomData xmlns:go="http://customooxmlschemas.google.com/" filterViewId="1912042738"/>
        </ext>
      </extLst>
    </customSheetView>
  </customSheetViews>
  <mergeCells count="23">
    <mergeCell ref="N1:N3"/>
    <mergeCell ref="O1:O3"/>
    <mergeCell ref="P1:P3"/>
    <mergeCell ref="Q1:Q5"/>
    <mergeCell ref="R1:R5"/>
    <mergeCell ref="S1:S5"/>
    <mergeCell ref="T1:T5"/>
    <mergeCell ref="G2:G3"/>
    <mergeCell ref="H2:H3"/>
    <mergeCell ref="B6:B10"/>
    <mergeCell ref="B11:B20"/>
    <mergeCell ref="B21:B59"/>
    <mergeCell ref="I2:L2"/>
    <mergeCell ref="M2:M3"/>
    <mergeCell ref="N6:N57"/>
    <mergeCell ref="R60:R67"/>
    <mergeCell ref="A1:A3"/>
    <mergeCell ref="B1:B3"/>
    <mergeCell ref="C1:C3"/>
    <mergeCell ref="D1:D3"/>
    <mergeCell ref="E1:E3"/>
    <mergeCell ref="F1:F3"/>
    <mergeCell ref="G1:M1"/>
  </mergeCells>
  <conditionalFormatting sqref="A5:AA5">
    <cfRule type="notContainsBlanks" dxfId="0" priority="1">
      <formula>LEN(TRIM(A5))&gt;0</formula>
    </cfRule>
  </conditionalFormatting>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 width="11.0"/>
    <col customWidth="1" min="3" max="3" width="14.25"/>
    <col customWidth="1" min="4" max="4" width="22.13"/>
    <col customWidth="1" min="5" max="6" width="11.0"/>
    <col customWidth="1" min="7" max="7" width="16.75"/>
    <col customWidth="1" min="8" max="27" width="11.0"/>
  </cols>
  <sheetData>
    <row r="1" ht="15.75" customHeight="1">
      <c r="A1" s="566" t="s">
        <v>0</v>
      </c>
      <c r="B1" s="566" t="s">
        <v>3266</v>
      </c>
      <c r="C1" s="566" t="s">
        <v>905</v>
      </c>
      <c r="D1" s="566" t="s">
        <v>3058</v>
      </c>
      <c r="E1" s="566" t="s">
        <v>500</v>
      </c>
      <c r="F1" s="566" t="s">
        <v>3267</v>
      </c>
      <c r="G1" s="566" t="s">
        <v>3268</v>
      </c>
      <c r="H1" s="566" t="s">
        <v>616</v>
      </c>
      <c r="I1" s="566"/>
      <c r="J1" s="566"/>
      <c r="K1" s="566"/>
      <c r="L1" s="566"/>
      <c r="M1" s="566"/>
      <c r="N1" s="566"/>
      <c r="O1" s="566"/>
      <c r="P1" s="566"/>
      <c r="Q1" s="566"/>
      <c r="R1" s="566"/>
      <c r="S1" s="566"/>
      <c r="T1" s="566"/>
      <c r="U1" s="566"/>
      <c r="V1" s="566"/>
      <c r="W1" s="566"/>
      <c r="X1" s="566"/>
      <c r="Y1" s="566"/>
      <c r="Z1" s="566"/>
      <c r="AA1" s="566"/>
    </row>
    <row r="2" ht="15.75" customHeight="1">
      <c r="A2" s="567">
        <v>1.0</v>
      </c>
      <c r="B2" s="568" t="s">
        <v>2031</v>
      </c>
      <c r="C2" s="568" t="s">
        <v>2031</v>
      </c>
      <c r="D2" s="566" t="s">
        <v>2032</v>
      </c>
      <c r="E2" s="569" t="s">
        <v>3269</v>
      </c>
      <c r="F2" s="566">
        <v>4.11009769E9</v>
      </c>
      <c r="G2" s="566" t="s">
        <v>1277</v>
      </c>
      <c r="H2" s="566" t="s">
        <v>3270</v>
      </c>
      <c r="I2" s="566"/>
      <c r="J2" s="566"/>
      <c r="K2" s="566"/>
      <c r="L2" s="566"/>
      <c r="M2" s="566"/>
      <c r="N2" s="566"/>
      <c r="O2" s="566"/>
      <c r="P2" s="566"/>
      <c r="Q2" s="566"/>
      <c r="R2" s="566"/>
      <c r="S2" s="566"/>
      <c r="T2" s="566"/>
      <c r="U2" s="566"/>
      <c r="V2" s="566"/>
      <c r="W2" s="566"/>
      <c r="X2" s="566"/>
      <c r="Y2" s="566"/>
      <c r="Z2" s="566"/>
      <c r="AA2" s="566"/>
    </row>
    <row r="3" ht="15.75" customHeight="1">
      <c r="A3" s="567">
        <f t="shared" ref="A3:A8" si="1">1+A2</f>
        <v>2</v>
      </c>
      <c r="B3" s="568" t="s">
        <v>1860</v>
      </c>
      <c r="C3" s="570" t="s">
        <v>1863</v>
      </c>
      <c r="D3" s="566" t="s">
        <v>1861</v>
      </c>
      <c r="E3" s="569" t="s">
        <v>3271</v>
      </c>
      <c r="F3" s="566">
        <v>3.900184989E9</v>
      </c>
      <c r="G3" s="566" t="s">
        <v>1277</v>
      </c>
      <c r="H3" s="566" t="s">
        <v>3270</v>
      </c>
      <c r="I3" s="566"/>
      <c r="J3" s="566"/>
      <c r="K3" s="566"/>
      <c r="L3" s="566"/>
      <c r="M3" s="566"/>
      <c r="N3" s="566"/>
      <c r="O3" s="566"/>
      <c r="P3" s="566"/>
      <c r="Q3" s="566"/>
      <c r="R3" s="566"/>
      <c r="S3" s="566"/>
      <c r="T3" s="566"/>
      <c r="U3" s="566"/>
      <c r="V3" s="566"/>
      <c r="W3" s="566"/>
      <c r="X3" s="566"/>
      <c r="Y3" s="566"/>
      <c r="Z3" s="566"/>
      <c r="AA3" s="566"/>
    </row>
    <row r="4" ht="15.75" customHeight="1">
      <c r="A4" s="567">
        <f t="shared" si="1"/>
        <v>3</v>
      </c>
      <c r="B4" s="568" t="s">
        <v>1819</v>
      </c>
      <c r="C4" s="570" t="s">
        <v>1819</v>
      </c>
      <c r="D4" s="566" t="s">
        <v>3272</v>
      </c>
      <c r="E4" s="569" t="s">
        <v>3273</v>
      </c>
      <c r="F4" s="566">
        <v>3.900125261E9</v>
      </c>
      <c r="G4" s="566" t="s">
        <v>1277</v>
      </c>
      <c r="H4" s="566" t="s">
        <v>3270</v>
      </c>
      <c r="I4" s="566"/>
      <c r="J4" s="566"/>
      <c r="K4" s="566"/>
      <c r="L4" s="566"/>
      <c r="M4" s="566"/>
      <c r="N4" s="566"/>
      <c r="O4" s="566"/>
      <c r="P4" s="566"/>
      <c r="Q4" s="566"/>
      <c r="R4" s="566"/>
      <c r="S4" s="566"/>
      <c r="T4" s="566"/>
      <c r="U4" s="566"/>
      <c r="V4" s="566"/>
      <c r="W4" s="566"/>
      <c r="X4" s="566"/>
      <c r="Y4" s="566"/>
      <c r="Z4" s="566"/>
      <c r="AA4" s="566"/>
    </row>
    <row r="5" ht="15.75" customHeight="1">
      <c r="A5" s="567">
        <f t="shared" si="1"/>
        <v>4</v>
      </c>
      <c r="B5" s="568" t="s">
        <v>2006</v>
      </c>
      <c r="C5" s="570" t="s">
        <v>3274</v>
      </c>
      <c r="D5" s="566" t="s">
        <v>450</v>
      </c>
      <c r="E5" s="569" t="s">
        <v>3275</v>
      </c>
      <c r="F5" s="566">
        <v>7.210551725E9</v>
      </c>
      <c r="G5" s="566" t="s">
        <v>3276</v>
      </c>
      <c r="H5" s="566" t="s">
        <v>3277</v>
      </c>
      <c r="I5" s="566"/>
      <c r="J5" s="566"/>
      <c r="K5" s="566"/>
      <c r="L5" s="566"/>
      <c r="M5" s="566"/>
      <c r="N5" s="566"/>
      <c r="O5" s="566"/>
      <c r="P5" s="566"/>
      <c r="Q5" s="566"/>
      <c r="R5" s="566"/>
      <c r="S5" s="566"/>
      <c r="T5" s="566"/>
      <c r="U5" s="566"/>
      <c r="V5" s="566"/>
      <c r="W5" s="566"/>
      <c r="X5" s="566"/>
      <c r="Y5" s="566"/>
      <c r="Z5" s="566"/>
      <c r="AA5" s="566"/>
    </row>
    <row r="6" ht="15.75" customHeight="1">
      <c r="A6" s="567">
        <f t="shared" si="1"/>
        <v>5</v>
      </c>
      <c r="B6" s="568" t="s">
        <v>1816</v>
      </c>
      <c r="C6" s="568" t="s">
        <v>1816</v>
      </c>
      <c r="D6" s="570" t="s">
        <v>529</v>
      </c>
      <c r="E6" s="569" t="s">
        <v>530</v>
      </c>
      <c r="F6" s="566">
        <v>3.450275184E9</v>
      </c>
      <c r="G6" s="566" t="s">
        <v>1277</v>
      </c>
      <c r="H6" s="566" t="s">
        <v>3277</v>
      </c>
      <c r="I6" s="566"/>
      <c r="J6" s="566"/>
      <c r="K6" s="566"/>
      <c r="L6" s="566"/>
      <c r="M6" s="566"/>
      <c r="N6" s="566"/>
      <c r="O6" s="566"/>
      <c r="P6" s="566"/>
      <c r="Q6" s="566"/>
      <c r="R6" s="566"/>
      <c r="S6" s="566"/>
      <c r="T6" s="566"/>
      <c r="U6" s="566"/>
      <c r="V6" s="566"/>
      <c r="W6" s="566"/>
      <c r="X6" s="566"/>
      <c r="Y6" s="566"/>
      <c r="Z6" s="566"/>
      <c r="AA6" s="566"/>
    </row>
    <row r="7" ht="15.75" customHeight="1">
      <c r="A7" s="567">
        <f t="shared" si="1"/>
        <v>6</v>
      </c>
      <c r="B7" s="570" t="s">
        <v>835</v>
      </c>
      <c r="C7" s="570" t="s">
        <v>835</v>
      </c>
      <c r="D7" s="570" t="s">
        <v>836</v>
      </c>
      <c r="E7" s="569" t="s">
        <v>3278</v>
      </c>
      <c r="F7" s="566">
        <v>9.906701551E9</v>
      </c>
      <c r="G7" s="566" t="s">
        <v>671</v>
      </c>
      <c r="H7" s="566" t="s">
        <v>3277</v>
      </c>
      <c r="I7" s="566"/>
      <c r="J7" s="566"/>
      <c r="K7" s="566"/>
      <c r="L7" s="566"/>
      <c r="M7" s="566"/>
      <c r="N7" s="566"/>
      <c r="O7" s="566"/>
      <c r="P7" s="566"/>
      <c r="Q7" s="566"/>
      <c r="R7" s="566"/>
      <c r="S7" s="566"/>
      <c r="T7" s="566"/>
      <c r="U7" s="566"/>
      <c r="V7" s="566"/>
      <c r="W7" s="566"/>
      <c r="X7" s="566"/>
      <c r="Y7" s="566"/>
      <c r="Z7" s="566"/>
      <c r="AA7" s="566"/>
    </row>
    <row r="8" ht="15.75" customHeight="1">
      <c r="A8" s="567">
        <f t="shared" si="1"/>
        <v>7</v>
      </c>
      <c r="B8" s="571" t="s">
        <v>718</v>
      </c>
      <c r="C8" s="570" t="s">
        <v>2110</v>
      </c>
      <c r="D8" s="571" t="s">
        <v>461</v>
      </c>
      <c r="E8" s="569" t="s">
        <v>3279</v>
      </c>
      <c r="F8" s="571">
        <v>3.900137992E9</v>
      </c>
      <c r="G8" s="566" t="s">
        <v>1277</v>
      </c>
      <c r="H8" s="566" t="s">
        <v>3280</v>
      </c>
      <c r="I8" s="566"/>
      <c r="J8" s="566"/>
      <c r="K8" s="566"/>
      <c r="L8" s="566"/>
      <c r="M8" s="566"/>
      <c r="N8" s="566"/>
      <c r="O8" s="566"/>
      <c r="P8" s="566"/>
      <c r="Q8" s="566"/>
      <c r="R8" s="566"/>
      <c r="S8" s="566"/>
      <c r="T8" s="566"/>
      <c r="U8" s="566"/>
      <c r="V8" s="566"/>
      <c r="W8" s="566"/>
      <c r="X8" s="566"/>
      <c r="Y8" s="566"/>
      <c r="Z8" s="566"/>
      <c r="AA8" s="566"/>
    </row>
    <row r="9" ht="15.75" customHeight="1">
      <c r="A9" s="566"/>
      <c r="B9" s="566"/>
      <c r="C9" s="566"/>
      <c r="D9" s="566"/>
      <c r="E9" s="566"/>
      <c r="F9" s="566"/>
      <c r="G9" s="566"/>
      <c r="H9" s="566"/>
      <c r="I9" s="566"/>
      <c r="J9" s="566"/>
      <c r="K9" s="566"/>
      <c r="L9" s="566"/>
      <c r="M9" s="566"/>
      <c r="N9" s="566"/>
      <c r="O9" s="566"/>
      <c r="P9" s="566"/>
      <c r="Q9" s="566"/>
      <c r="R9" s="566"/>
      <c r="S9" s="566"/>
      <c r="T9" s="566"/>
      <c r="U9" s="566"/>
      <c r="V9" s="566"/>
      <c r="W9" s="566"/>
      <c r="X9" s="566"/>
      <c r="Y9" s="566"/>
      <c r="Z9" s="566"/>
      <c r="AA9" s="566"/>
    </row>
    <row r="10" ht="15.75" customHeight="1">
      <c r="A10" s="566"/>
      <c r="B10" s="566"/>
      <c r="C10" s="566"/>
      <c r="D10" s="566"/>
      <c r="E10" s="566"/>
      <c r="F10" s="566"/>
      <c r="G10" s="566"/>
      <c r="H10" s="566"/>
      <c r="I10" s="566"/>
      <c r="J10" s="566"/>
      <c r="K10" s="566"/>
      <c r="L10" s="566"/>
      <c r="M10" s="566"/>
      <c r="N10" s="566"/>
      <c r="O10" s="566"/>
      <c r="P10" s="566"/>
      <c r="Q10" s="566"/>
      <c r="R10" s="566"/>
      <c r="S10" s="566"/>
      <c r="T10" s="566"/>
      <c r="U10" s="566"/>
      <c r="V10" s="566"/>
      <c r="W10" s="566"/>
      <c r="X10" s="566"/>
      <c r="Y10" s="566"/>
      <c r="Z10" s="566"/>
      <c r="AA10" s="566"/>
    </row>
    <row r="11" ht="15.75" customHeight="1">
      <c r="A11" s="566"/>
      <c r="B11" s="566"/>
      <c r="C11" s="566"/>
      <c r="D11" s="566"/>
      <c r="E11" s="566"/>
      <c r="F11" s="566"/>
      <c r="G11" s="566"/>
      <c r="H11" s="566"/>
      <c r="I11" s="566"/>
      <c r="J11" s="566"/>
      <c r="K11" s="566"/>
      <c r="L11" s="566"/>
      <c r="M11" s="566"/>
      <c r="N11" s="566"/>
      <c r="O11" s="566"/>
      <c r="P11" s="566"/>
      <c r="Q11" s="566"/>
      <c r="R11" s="566"/>
      <c r="S11" s="566"/>
      <c r="T11" s="566"/>
      <c r="U11" s="566"/>
      <c r="V11" s="566"/>
      <c r="W11" s="566"/>
      <c r="X11" s="566"/>
      <c r="Y11" s="566"/>
      <c r="Z11" s="566"/>
      <c r="AA11" s="566"/>
    </row>
    <row r="12" ht="15.75" customHeight="1">
      <c r="A12" s="566"/>
      <c r="B12" s="566"/>
      <c r="C12" s="566"/>
      <c r="D12" s="566"/>
      <c r="E12" s="566"/>
      <c r="F12" s="566"/>
      <c r="G12" s="566"/>
      <c r="H12" s="566"/>
      <c r="I12" s="566"/>
      <c r="J12" s="566"/>
      <c r="K12" s="566"/>
      <c r="L12" s="566"/>
      <c r="M12" s="566"/>
      <c r="N12" s="566"/>
      <c r="O12" s="566"/>
      <c r="P12" s="566"/>
      <c r="Q12" s="566"/>
      <c r="R12" s="566"/>
      <c r="S12" s="566"/>
      <c r="T12" s="566"/>
      <c r="U12" s="566"/>
      <c r="V12" s="566"/>
      <c r="W12" s="566"/>
      <c r="X12" s="566"/>
      <c r="Y12" s="566"/>
      <c r="Z12" s="566"/>
      <c r="AA12" s="566"/>
    </row>
    <row r="13" ht="15.75" customHeight="1">
      <c r="A13" s="566"/>
      <c r="B13" s="566"/>
      <c r="C13" s="566"/>
      <c r="D13" s="566"/>
      <c r="E13" s="566"/>
      <c r="F13" s="566"/>
      <c r="G13" s="566"/>
      <c r="H13" s="566"/>
      <c r="I13" s="566"/>
      <c r="J13" s="566"/>
      <c r="K13" s="566"/>
      <c r="L13" s="566"/>
      <c r="M13" s="566"/>
      <c r="N13" s="566"/>
      <c r="O13" s="566"/>
      <c r="P13" s="566"/>
      <c r="Q13" s="566"/>
      <c r="R13" s="566"/>
      <c r="S13" s="566"/>
      <c r="T13" s="566"/>
      <c r="U13" s="566"/>
      <c r="V13" s="566"/>
      <c r="W13" s="566"/>
      <c r="X13" s="566"/>
      <c r="Y13" s="566"/>
      <c r="Z13" s="566"/>
      <c r="AA13" s="566"/>
    </row>
    <row r="14" ht="15.75" customHeight="1">
      <c r="A14" s="566"/>
      <c r="B14" s="566"/>
      <c r="C14" s="566"/>
      <c r="D14" s="566"/>
      <c r="E14" s="566"/>
      <c r="F14" s="566"/>
      <c r="G14" s="566"/>
      <c r="H14" s="566"/>
      <c r="I14" s="566"/>
      <c r="J14" s="566"/>
      <c r="K14" s="566"/>
      <c r="L14" s="566"/>
      <c r="M14" s="566"/>
      <c r="N14" s="566"/>
      <c r="O14" s="566"/>
      <c r="P14" s="566"/>
      <c r="Q14" s="566"/>
      <c r="R14" s="566"/>
      <c r="S14" s="566"/>
      <c r="T14" s="566"/>
      <c r="U14" s="566"/>
      <c r="V14" s="566"/>
      <c r="W14" s="566"/>
      <c r="X14" s="566"/>
      <c r="Y14" s="566"/>
      <c r="Z14" s="566"/>
      <c r="AA14" s="566"/>
    </row>
    <row r="15" ht="15.75" customHeight="1">
      <c r="A15" s="566"/>
      <c r="B15" s="566"/>
      <c r="C15" s="566"/>
      <c r="D15" s="566"/>
      <c r="E15" s="566"/>
      <c r="F15" s="566"/>
      <c r="G15" s="566"/>
      <c r="H15" s="566"/>
      <c r="I15" s="566"/>
      <c r="J15" s="566"/>
      <c r="K15" s="566"/>
      <c r="L15" s="566"/>
      <c r="M15" s="566"/>
      <c r="N15" s="566"/>
      <c r="O15" s="566"/>
      <c r="P15" s="566"/>
      <c r="Q15" s="566"/>
      <c r="R15" s="566"/>
      <c r="S15" s="566"/>
      <c r="T15" s="566"/>
      <c r="U15" s="566"/>
      <c r="V15" s="566"/>
      <c r="W15" s="566"/>
      <c r="X15" s="566"/>
      <c r="Y15" s="566"/>
      <c r="Z15" s="566"/>
      <c r="AA15" s="566"/>
    </row>
    <row r="16" ht="15.75" customHeight="1">
      <c r="A16" s="566"/>
      <c r="B16" s="566"/>
      <c r="C16" s="566"/>
      <c r="D16" s="566"/>
      <c r="E16" s="566"/>
      <c r="F16" s="566"/>
      <c r="G16" s="566"/>
      <c r="H16" s="566"/>
      <c r="I16" s="566"/>
      <c r="J16" s="566"/>
      <c r="K16" s="566"/>
      <c r="L16" s="566"/>
      <c r="M16" s="566"/>
      <c r="N16" s="566"/>
      <c r="O16" s="566"/>
      <c r="P16" s="566"/>
      <c r="Q16" s="566"/>
      <c r="R16" s="566"/>
      <c r="S16" s="566"/>
      <c r="T16" s="566"/>
      <c r="U16" s="566"/>
      <c r="V16" s="566"/>
      <c r="W16" s="566"/>
      <c r="X16" s="566"/>
      <c r="Y16" s="566"/>
      <c r="Z16" s="566"/>
      <c r="AA16" s="566"/>
    </row>
    <row r="17" ht="15.75" customHeight="1">
      <c r="A17" s="566"/>
      <c r="B17" s="566"/>
      <c r="C17" s="566"/>
      <c r="D17" s="566"/>
      <c r="E17" s="566"/>
      <c r="F17" s="566"/>
      <c r="G17" s="566"/>
      <c r="H17" s="566"/>
      <c r="I17" s="566"/>
      <c r="J17" s="566"/>
      <c r="K17" s="566"/>
      <c r="L17" s="566"/>
      <c r="M17" s="566"/>
      <c r="N17" s="566"/>
      <c r="O17" s="566"/>
      <c r="P17" s="566"/>
      <c r="Q17" s="566"/>
      <c r="R17" s="566"/>
      <c r="S17" s="566"/>
      <c r="T17" s="566"/>
      <c r="U17" s="566"/>
      <c r="V17" s="566"/>
      <c r="W17" s="566"/>
      <c r="X17" s="566"/>
      <c r="Y17" s="566"/>
      <c r="Z17" s="566"/>
      <c r="AA17" s="566"/>
    </row>
    <row r="18" ht="15.75" customHeight="1">
      <c r="A18" s="566"/>
      <c r="B18" s="566"/>
      <c r="C18" s="566"/>
      <c r="D18" s="566"/>
      <c r="E18" s="566"/>
      <c r="F18" s="566"/>
      <c r="G18" s="566"/>
      <c r="H18" s="566"/>
      <c r="I18" s="566"/>
      <c r="J18" s="566"/>
      <c r="K18" s="566"/>
      <c r="L18" s="566"/>
      <c r="M18" s="566"/>
      <c r="N18" s="566"/>
      <c r="O18" s="566"/>
      <c r="P18" s="566"/>
      <c r="Q18" s="566"/>
      <c r="R18" s="566"/>
      <c r="S18" s="566"/>
      <c r="T18" s="566"/>
      <c r="U18" s="566"/>
      <c r="V18" s="566"/>
      <c r="W18" s="566"/>
      <c r="X18" s="566"/>
      <c r="Y18" s="566"/>
      <c r="Z18" s="566"/>
      <c r="AA18" s="566"/>
    </row>
    <row r="19" ht="15.75" customHeight="1">
      <c r="A19" s="566"/>
      <c r="B19" s="566"/>
      <c r="C19" s="566"/>
      <c r="D19" s="566"/>
      <c r="E19" s="566"/>
      <c r="F19" s="566"/>
      <c r="G19" s="566"/>
      <c r="H19" s="566"/>
      <c r="I19" s="566"/>
      <c r="J19" s="566"/>
      <c r="K19" s="566"/>
      <c r="L19" s="566"/>
      <c r="M19" s="566"/>
      <c r="N19" s="566"/>
      <c r="O19" s="566"/>
      <c r="P19" s="566"/>
      <c r="Q19" s="566"/>
      <c r="R19" s="566"/>
      <c r="S19" s="566"/>
      <c r="T19" s="566"/>
      <c r="U19" s="566"/>
      <c r="V19" s="566"/>
      <c r="W19" s="566"/>
      <c r="X19" s="566"/>
      <c r="Y19" s="566"/>
      <c r="Z19" s="566"/>
      <c r="AA19" s="566"/>
    </row>
    <row r="20" ht="15.75" customHeight="1">
      <c r="A20" s="566"/>
      <c r="B20" s="566"/>
      <c r="C20" s="566"/>
      <c r="D20" s="566"/>
      <c r="E20" s="566"/>
      <c r="F20" s="566"/>
      <c r="G20" s="566"/>
      <c r="H20" s="566"/>
      <c r="I20" s="566"/>
      <c r="J20" s="566"/>
      <c r="K20" s="566"/>
      <c r="L20" s="566"/>
      <c r="M20" s="566"/>
      <c r="N20" s="566"/>
      <c r="O20" s="566"/>
      <c r="P20" s="566"/>
      <c r="Q20" s="566"/>
      <c r="R20" s="566"/>
      <c r="S20" s="566"/>
      <c r="T20" s="566"/>
      <c r="U20" s="566"/>
      <c r="V20" s="566"/>
      <c r="W20" s="566"/>
      <c r="X20" s="566"/>
      <c r="Y20" s="566"/>
      <c r="Z20" s="566"/>
      <c r="AA20" s="566"/>
    </row>
    <row r="21" ht="15.75" customHeight="1">
      <c r="A21" s="566"/>
      <c r="B21" s="566"/>
      <c r="C21" s="566"/>
      <c r="D21" s="566"/>
      <c r="E21" s="566"/>
      <c r="F21" s="566"/>
      <c r="G21" s="566"/>
      <c r="H21" s="566"/>
      <c r="I21" s="566"/>
      <c r="J21" s="566"/>
      <c r="K21" s="566"/>
      <c r="L21" s="566"/>
      <c r="M21" s="566"/>
      <c r="N21" s="566"/>
      <c r="O21" s="566"/>
      <c r="P21" s="566"/>
      <c r="Q21" s="566"/>
      <c r="R21" s="566"/>
      <c r="S21" s="566"/>
      <c r="T21" s="566"/>
      <c r="U21" s="566"/>
      <c r="V21" s="566"/>
      <c r="W21" s="566"/>
      <c r="X21" s="566"/>
      <c r="Y21" s="566"/>
      <c r="Z21" s="566"/>
      <c r="AA21" s="566"/>
    </row>
    <row r="22" ht="15.75" customHeight="1">
      <c r="A22" s="566"/>
      <c r="B22" s="566"/>
      <c r="C22" s="566"/>
      <c r="D22" s="566"/>
      <c r="E22" s="566"/>
      <c r="F22" s="566"/>
      <c r="G22" s="566"/>
      <c r="H22" s="566"/>
      <c r="I22" s="566"/>
      <c r="J22" s="566"/>
      <c r="K22" s="566"/>
      <c r="L22" s="566"/>
      <c r="M22" s="566"/>
      <c r="N22" s="566"/>
      <c r="O22" s="566"/>
      <c r="P22" s="566"/>
      <c r="Q22" s="566"/>
      <c r="R22" s="566"/>
      <c r="S22" s="566"/>
      <c r="T22" s="566"/>
      <c r="U22" s="566"/>
      <c r="V22" s="566"/>
      <c r="W22" s="566"/>
      <c r="X22" s="566"/>
      <c r="Y22" s="566"/>
      <c r="Z22" s="566"/>
      <c r="AA22" s="566"/>
    </row>
    <row r="23" ht="15.75" customHeight="1">
      <c r="A23" s="566"/>
      <c r="B23" s="566"/>
      <c r="C23" s="566"/>
      <c r="D23" s="566"/>
      <c r="E23" s="566"/>
      <c r="F23" s="566"/>
      <c r="G23" s="566"/>
      <c r="H23" s="566"/>
      <c r="I23" s="566"/>
      <c r="J23" s="566"/>
      <c r="K23" s="566"/>
      <c r="L23" s="566"/>
      <c r="M23" s="566"/>
      <c r="N23" s="566"/>
      <c r="O23" s="566"/>
      <c r="P23" s="566"/>
      <c r="Q23" s="566"/>
      <c r="R23" s="566"/>
      <c r="S23" s="566"/>
      <c r="T23" s="566"/>
      <c r="U23" s="566"/>
      <c r="V23" s="566"/>
      <c r="W23" s="566"/>
      <c r="X23" s="566"/>
      <c r="Y23" s="566"/>
      <c r="Z23" s="566"/>
      <c r="AA23" s="566"/>
    </row>
    <row r="24" ht="15.75" customHeight="1">
      <c r="A24" s="566"/>
      <c r="B24" s="566"/>
      <c r="C24" s="566"/>
      <c r="D24" s="566"/>
      <c r="E24" s="566"/>
      <c r="F24" s="566"/>
      <c r="G24" s="566"/>
      <c r="H24" s="566"/>
      <c r="I24" s="566"/>
      <c r="J24" s="566"/>
      <c r="K24" s="566"/>
      <c r="L24" s="566"/>
      <c r="M24" s="566"/>
      <c r="N24" s="566"/>
      <c r="O24" s="566"/>
      <c r="P24" s="566"/>
      <c r="Q24" s="566"/>
      <c r="R24" s="566"/>
      <c r="S24" s="566"/>
      <c r="T24" s="566"/>
      <c r="U24" s="566"/>
      <c r="V24" s="566"/>
      <c r="W24" s="566"/>
      <c r="X24" s="566"/>
      <c r="Y24" s="566"/>
      <c r="Z24" s="566"/>
      <c r="AA24" s="566"/>
    </row>
    <row r="25" ht="15.75" customHeight="1">
      <c r="A25" s="566"/>
      <c r="B25" s="566"/>
      <c r="C25" s="566"/>
      <c r="D25" s="566"/>
      <c r="E25" s="566"/>
      <c r="F25" s="566"/>
      <c r="G25" s="566"/>
      <c r="H25" s="566"/>
      <c r="I25" s="566"/>
      <c r="J25" s="566"/>
      <c r="K25" s="566"/>
      <c r="L25" s="566"/>
      <c r="M25" s="566"/>
      <c r="N25" s="566"/>
      <c r="O25" s="566"/>
      <c r="P25" s="566"/>
      <c r="Q25" s="566"/>
      <c r="R25" s="566"/>
      <c r="S25" s="566"/>
      <c r="T25" s="566"/>
      <c r="U25" s="566"/>
      <c r="V25" s="566"/>
      <c r="W25" s="566"/>
      <c r="X25" s="566"/>
      <c r="Y25" s="566"/>
      <c r="Z25" s="566"/>
      <c r="AA25" s="566"/>
    </row>
    <row r="26" ht="15.75" customHeight="1">
      <c r="A26" s="566"/>
      <c r="B26" s="566"/>
      <c r="C26" s="566"/>
      <c r="D26" s="566"/>
      <c r="E26" s="566"/>
      <c r="F26" s="566"/>
      <c r="G26" s="566"/>
      <c r="H26" s="566"/>
      <c r="I26" s="566"/>
      <c r="J26" s="566"/>
      <c r="K26" s="566"/>
      <c r="L26" s="566"/>
      <c r="M26" s="566"/>
      <c r="N26" s="566"/>
      <c r="O26" s="566"/>
      <c r="P26" s="566"/>
      <c r="Q26" s="566"/>
      <c r="R26" s="566"/>
      <c r="S26" s="566"/>
      <c r="T26" s="566"/>
      <c r="U26" s="566"/>
      <c r="V26" s="566"/>
      <c r="W26" s="566"/>
      <c r="X26" s="566"/>
      <c r="Y26" s="566"/>
      <c r="Z26" s="566"/>
      <c r="AA26" s="566"/>
    </row>
    <row r="27" ht="15.75" customHeight="1">
      <c r="A27" s="566"/>
      <c r="B27" s="566"/>
      <c r="C27" s="566"/>
      <c r="D27" s="566"/>
      <c r="E27" s="566"/>
      <c r="F27" s="566"/>
      <c r="G27" s="566"/>
      <c r="H27" s="566"/>
      <c r="I27" s="566"/>
      <c r="J27" s="566"/>
      <c r="K27" s="566"/>
      <c r="L27" s="566"/>
      <c r="M27" s="566"/>
      <c r="N27" s="566"/>
      <c r="O27" s="566"/>
      <c r="P27" s="566"/>
      <c r="Q27" s="566"/>
      <c r="R27" s="566"/>
      <c r="S27" s="566"/>
      <c r="T27" s="566"/>
      <c r="U27" s="566"/>
      <c r="V27" s="566"/>
      <c r="W27" s="566"/>
      <c r="X27" s="566"/>
      <c r="Y27" s="566"/>
      <c r="Z27" s="566"/>
      <c r="AA27" s="566"/>
    </row>
    <row r="28" ht="15.75" customHeight="1">
      <c r="A28" s="566"/>
      <c r="B28" s="566"/>
      <c r="C28" s="566"/>
      <c r="D28" s="566"/>
      <c r="E28" s="566"/>
      <c r="F28" s="566"/>
      <c r="G28" s="566"/>
      <c r="H28" s="566"/>
      <c r="I28" s="566"/>
      <c r="J28" s="566"/>
      <c r="K28" s="566"/>
      <c r="L28" s="566"/>
      <c r="M28" s="566"/>
      <c r="N28" s="566"/>
      <c r="O28" s="566"/>
      <c r="P28" s="566"/>
      <c r="Q28" s="566"/>
      <c r="R28" s="566"/>
      <c r="S28" s="566"/>
      <c r="T28" s="566"/>
      <c r="U28" s="566"/>
      <c r="V28" s="566"/>
      <c r="W28" s="566"/>
      <c r="X28" s="566"/>
      <c r="Y28" s="566"/>
      <c r="Z28" s="566"/>
      <c r="AA28" s="566"/>
    </row>
    <row r="29" ht="15.75" customHeight="1">
      <c r="A29" s="566"/>
      <c r="B29" s="566"/>
      <c r="C29" s="566"/>
      <c r="D29" s="566"/>
      <c r="E29" s="566"/>
      <c r="F29" s="566"/>
      <c r="G29" s="566"/>
      <c r="H29" s="566"/>
      <c r="I29" s="566"/>
      <c r="J29" s="566"/>
      <c r="K29" s="566"/>
      <c r="L29" s="566"/>
      <c r="M29" s="566"/>
      <c r="N29" s="566"/>
      <c r="O29" s="566"/>
      <c r="P29" s="566"/>
      <c r="Q29" s="566"/>
      <c r="R29" s="566"/>
      <c r="S29" s="566"/>
      <c r="T29" s="566"/>
      <c r="U29" s="566"/>
      <c r="V29" s="566"/>
      <c r="W29" s="566"/>
      <c r="X29" s="566"/>
      <c r="Y29" s="566"/>
      <c r="Z29" s="566"/>
      <c r="AA29" s="566"/>
    </row>
    <row r="30" ht="15.75" customHeight="1">
      <c r="A30" s="566"/>
      <c r="B30" s="566"/>
      <c r="C30" s="566"/>
      <c r="D30" s="566"/>
      <c r="E30" s="566"/>
      <c r="F30" s="566"/>
      <c r="G30" s="566"/>
      <c r="H30" s="566"/>
      <c r="I30" s="566"/>
      <c r="J30" s="566"/>
      <c r="K30" s="566"/>
      <c r="L30" s="566"/>
      <c r="M30" s="566"/>
      <c r="N30" s="566"/>
      <c r="O30" s="566"/>
      <c r="P30" s="566"/>
      <c r="Q30" s="566"/>
      <c r="R30" s="566"/>
      <c r="S30" s="566"/>
      <c r="T30" s="566"/>
      <c r="U30" s="566"/>
      <c r="V30" s="566"/>
      <c r="W30" s="566"/>
      <c r="X30" s="566"/>
      <c r="Y30" s="566"/>
      <c r="Z30" s="566"/>
      <c r="AA30" s="566"/>
    </row>
    <row r="31" ht="15.75" customHeight="1">
      <c r="A31" s="566"/>
      <c r="B31" s="566"/>
      <c r="C31" s="566"/>
      <c r="D31" s="566"/>
      <c r="E31" s="566"/>
      <c r="F31" s="566"/>
      <c r="G31" s="566"/>
      <c r="H31" s="566"/>
      <c r="I31" s="566"/>
      <c r="J31" s="566"/>
      <c r="K31" s="566"/>
      <c r="L31" s="566"/>
      <c r="M31" s="566"/>
      <c r="N31" s="566"/>
      <c r="O31" s="566"/>
      <c r="P31" s="566"/>
      <c r="Q31" s="566"/>
      <c r="R31" s="566"/>
      <c r="S31" s="566"/>
      <c r="T31" s="566"/>
      <c r="U31" s="566"/>
      <c r="V31" s="566"/>
      <c r="W31" s="566"/>
      <c r="X31" s="566"/>
      <c r="Y31" s="566"/>
      <c r="Z31" s="566"/>
      <c r="AA31" s="566"/>
    </row>
    <row r="32" ht="15.75" customHeight="1">
      <c r="A32" s="566"/>
      <c r="B32" s="566"/>
      <c r="C32" s="566"/>
      <c r="D32" s="566"/>
      <c r="E32" s="566"/>
      <c r="F32" s="566"/>
      <c r="G32" s="566"/>
      <c r="H32" s="566"/>
      <c r="I32" s="566"/>
      <c r="J32" s="566"/>
      <c r="K32" s="566"/>
      <c r="L32" s="566"/>
      <c r="M32" s="566"/>
      <c r="N32" s="566"/>
      <c r="O32" s="566"/>
      <c r="P32" s="566"/>
      <c r="Q32" s="566"/>
      <c r="R32" s="566"/>
      <c r="S32" s="566"/>
      <c r="T32" s="566"/>
      <c r="U32" s="566"/>
      <c r="V32" s="566"/>
      <c r="W32" s="566"/>
      <c r="X32" s="566"/>
      <c r="Y32" s="566"/>
      <c r="Z32" s="566"/>
      <c r="AA32" s="566"/>
    </row>
    <row r="33" ht="15.75" customHeight="1">
      <c r="A33" s="566"/>
      <c r="B33" s="566"/>
      <c r="C33" s="566"/>
      <c r="D33" s="566"/>
      <c r="E33" s="566"/>
      <c r="F33" s="566"/>
      <c r="G33" s="566"/>
      <c r="H33" s="566"/>
      <c r="I33" s="566"/>
      <c r="J33" s="566"/>
      <c r="K33" s="566"/>
      <c r="L33" s="566"/>
      <c r="M33" s="566"/>
      <c r="N33" s="566"/>
      <c r="O33" s="566"/>
      <c r="P33" s="566"/>
      <c r="Q33" s="566"/>
      <c r="R33" s="566"/>
      <c r="S33" s="566"/>
      <c r="T33" s="566"/>
      <c r="U33" s="566"/>
      <c r="V33" s="566"/>
      <c r="W33" s="566"/>
      <c r="X33" s="566"/>
      <c r="Y33" s="566"/>
      <c r="Z33" s="566"/>
      <c r="AA33" s="566"/>
    </row>
    <row r="34" ht="15.75" customHeight="1">
      <c r="A34" s="566"/>
      <c r="B34" s="566"/>
      <c r="C34" s="566"/>
      <c r="D34" s="566"/>
      <c r="E34" s="566"/>
      <c r="F34" s="566"/>
      <c r="G34" s="566"/>
      <c r="H34" s="566"/>
      <c r="I34" s="566"/>
      <c r="J34" s="566"/>
      <c r="K34" s="566"/>
      <c r="L34" s="566"/>
      <c r="M34" s="566"/>
      <c r="N34" s="566"/>
      <c r="O34" s="566"/>
      <c r="P34" s="566"/>
      <c r="Q34" s="566"/>
      <c r="R34" s="566"/>
      <c r="S34" s="566"/>
      <c r="T34" s="566"/>
      <c r="U34" s="566"/>
      <c r="V34" s="566"/>
      <c r="W34" s="566"/>
      <c r="X34" s="566"/>
      <c r="Y34" s="566"/>
      <c r="Z34" s="566"/>
      <c r="AA34" s="566"/>
    </row>
    <row r="35" ht="15.75" customHeight="1">
      <c r="A35" s="566"/>
      <c r="B35" s="566"/>
      <c r="C35" s="566"/>
      <c r="D35" s="566"/>
      <c r="E35" s="566"/>
      <c r="F35" s="566"/>
      <c r="G35" s="566"/>
      <c r="H35" s="566"/>
      <c r="I35" s="566"/>
      <c r="J35" s="566"/>
      <c r="K35" s="566"/>
      <c r="L35" s="566"/>
      <c r="M35" s="566"/>
      <c r="N35" s="566"/>
      <c r="O35" s="566"/>
      <c r="P35" s="566"/>
      <c r="Q35" s="566"/>
      <c r="R35" s="566"/>
      <c r="S35" s="566"/>
      <c r="T35" s="566"/>
      <c r="U35" s="566"/>
      <c r="V35" s="566"/>
      <c r="W35" s="566"/>
      <c r="X35" s="566"/>
      <c r="Y35" s="566"/>
      <c r="Z35" s="566"/>
      <c r="AA35" s="566"/>
    </row>
    <row r="36" ht="15.75" customHeight="1">
      <c r="A36" s="566"/>
      <c r="B36" s="566"/>
      <c r="C36" s="566"/>
      <c r="D36" s="566"/>
      <c r="E36" s="566"/>
      <c r="F36" s="566"/>
      <c r="G36" s="566"/>
      <c r="H36" s="566"/>
      <c r="I36" s="566"/>
      <c r="J36" s="566"/>
      <c r="K36" s="566"/>
      <c r="L36" s="566"/>
      <c r="M36" s="566"/>
      <c r="N36" s="566"/>
      <c r="O36" s="566"/>
      <c r="P36" s="566"/>
      <c r="Q36" s="566"/>
      <c r="R36" s="566"/>
      <c r="S36" s="566"/>
      <c r="T36" s="566"/>
      <c r="U36" s="566"/>
      <c r="V36" s="566"/>
      <c r="W36" s="566"/>
      <c r="X36" s="566"/>
      <c r="Y36" s="566"/>
      <c r="Z36" s="566"/>
      <c r="AA36" s="566"/>
    </row>
    <row r="37" ht="15.75" customHeight="1">
      <c r="A37" s="566"/>
      <c r="B37" s="566"/>
      <c r="C37" s="566"/>
      <c r="D37" s="566"/>
      <c r="E37" s="566"/>
      <c r="F37" s="566"/>
      <c r="G37" s="566"/>
      <c r="H37" s="566"/>
      <c r="I37" s="566"/>
      <c r="J37" s="566"/>
      <c r="K37" s="566"/>
      <c r="L37" s="566"/>
      <c r="M37" s="566"/>
      <c r="N37" s="566"/>
      <c r="O37" s="566"/>
      <c r="P37" s="566"/>
      <c r="Q37" s="566"/>
      <c r="R37" s="566"/>
      <c r="S37" s="566"/>
      <c r="T37" s="566"/>
      <c r="U37" s="566"/>
      <c r="V37" s="566"/>
      <c r="W37" s="566"/>
      <c r="X37" s="566"/>
      <c r="Y37" s="566"/>
      <c r="Z37" s="566"/>
      <c r="AA37" s="566"/>
    </row>
    <row r="38" ht="15.75" customHeight="1">
      <c r="A38" s="566"/>
      <c r="B38" s="566"/>
      <c r="C38" s="566"/>
      <c r="D38" s="566"/>
      <c r="E38" s="566"/>
      <c r="F38" s="566"/>
      <c r="G38" s="566"/>
      <c r="H38" s="566"/>
      <c r="I38" s="566"/>
      <c r="J38" s="566"/>
      <c r="K38" s="566"/>
      <c r="L38" s="566"/>
      <c r="M38" s="566"/>
      <c r="N38" s="566"/>
      <c r="O38" s="566"/>
      <c r="P38" s="566"/>
      <c r="Q38" s="566"/>
      <c r="R38" s="566"/>
      <c r="S38" s="566"/>
      <c r="T38" s="566"/>
      <c r="U38" s="566"/>
      <c r="V38" s="566"/>
      <c r="W38" s="566"/>
      <c r="X38" s="566"/>
      <c r="Y38" s="566"/>
      <c r="Z38" s="566"/>
      <c r="AA38" s="566"/>
    </row>
    <row r="39" ht="15.75" customHeight="1">
      <c r="A39" s="566"/>
      <c r="B39" s="566"/>
      <c r="C39" s="566"/>
      <c r="D39" s="566"/>
      <c r="E39" s="566"/>
      <c r="F39" s="566"/>
      <c r="G39" s="566"/>
      <c r="H39" s="566"/>
      <c r="I39" s="566"/>
      <c r="J39" s="566"/>
      <c r="K39" s="566"/>
      <c r="L39" s="566"/>
      <c r="M39" s="566"/>
      <c r="N39" s="566"/>
      <c r="O39" s="566"/>
      <c r="P39" s="566"/>
      <c r="Q39" s="566"/>
      <c r="R39" s="566"/>
      <c r="S39" s="566"/>
      <c r="T39" s="566"/>
      <c r="U39" s="566"/>
      <c r="V39" s="566"/>
      <c r="W39" s="566"/>
      <c r="X39" s="566"/>
      <c r="Y39" s="566"/>
      <c r="Z39" s="566"/>
      <c r="AA39" s="566"/>
    </row>
    <row r="40" ht="15.75" customHeight="1">
      <c r="A40" s="566"/>
      <c r="B40" s="566"/>
      <c r="C40" s="566"/>
      <c r="D40" s="566"/>
      <c r="E40" s="566"/>
      <c r="F40" s="566"/>
      <c r="G40" s="566"/>
      <c r="H40" s="566"/>
      <c r="I40" s="566"/>
      <c r="J40" s="566"/>
      <c r="K40" s="566"/>
      <c r="L40" s="566"/>
      <c r="M40" s="566"/>
      <c r="N40" s="566"/>
      <c r="O40" s="566"/>
      <c r="P40" s="566"/>
      <c r="Q40" s="566"/>
      <c r="R40" s="566"/>
      <c r="S40" s="566"/>
      <c r="T40" s="566"/>
      <c r="U40" s="566"/>
      <c r="V40" s="566"/>
      <c r="W40" s="566"/>
      <c r="X40" s="566"/>
      <c r="Y40" s="566"/>
      <c r="Z40" s="566"/>
      <c r="AA40" s="566"/>
    </row>
    <row r="41" ht="15.75" customHeight="1">
      <c r="A41" s="566"/>
      <c r="B41" s="566"/>
      <c r="C41" s="566"/>
      <c r="D41" s="566"/>
      <c r="E41" s="566"/>
      <c r="F41" s="566"/>
      <c r="G41" s="566"/>
      <c r="H41" s="566"/>
      <c r="I41" s="566"/>
      <c r="J41" s="566"/>
      <c r="K41" s="566"/>
      <c r="L41" s="566"/>
      <c r="M41" s="566"/>
      <c r="N41" s="566"/>
      <c r="O41" s="566"/>
      <c r="P41" s="566"/>
      <c r="Q41" s="566"/>
      <c r="R41" s="566"/>
      <c r="S41" s="566"/>
      <c r="T41" s="566"/>
      <c r="U41" s="566"/>
      <c r="V41" s="566"/>
      <c r="W41" s="566"/>
      <c r="X41" s="566"/>
      <c r="Y41" s="566"/>
      <c r="Z41" s="566"/>
      <c r="AA41" s="566"/>
    </row>
    <row r="42" ht="15.75" customHeight="1">
      <c r="A42" s="566"/>
      <c r="B42" s="566"/>
      <c r="C42" s="566"/>
      <c r="D42" s="566"/>
      <c r="E42" s="566"/>
      <c r="F42" s="566"/>
      <c r="G42" s="566"/>
      <c r="H42" s="566"/>
      <c r="I42" s="566"/>
      <c r="J42" s="566"/>
      <c r="K42" s="566"/>
      <c r="L42" s="566"/>
      <c r="M42" s="566"/>
      <c r="N42" s="566"/>
      <c r="O42" s="566"/>
      <c r="P42" s="566"/>
      <c r="Q42" s="566"/>
      <c r="R42" s="566"/>
      <c r="S42" s="566"/>
      <c r="T42" s="566"/>
      <c r="U42" s="566"/>
      <c r="V42" s="566"/>
      <c r="W42" s="566"/>
      <c r="X42" s="566"/>
      <c r="Y42" s="566"/>
      <c r="Z42" s="566"/>
      <c r="AA42" s="566"/>
    </row>
    <row r="43" ht="15.75" customHeight="1">
      <c r="A43" s="566"/>
      <c r="B43" s="566"/>
      <c r="C43" s="566"/>
      <c r="D43" s="566"/>
      <c r="E43" s="566"/>
      <c r="F43" s="566"/>
      <c r="G43" s="566"/>
      <c r="H43" s="566"/>
      <c r="I43" s="566"/>
      <c r="J43" s="566"/>
      <c r="K43" s="566"/>
      <c r="L43" s="566"/>
      <c r="M43" s="566"/>
      <c r="N43" s="566"/>
      <c r="O43" s="566"/>
      <c r="P43" s="566"/>
      <c r="Q43" s="566"/>
      <c r="R43" s="566"/>
      <c r="S43" s="566"/>
      <c r="T43" s="566"/>
      <c r="U43" s="566"/>
      <c r="V43" s="566"/>
      <c r="W43" s="566"/>
      <c r="X43" s="566"/>
      <c r="Y43" s="566"/>
      <c r="Z43" s="566"/>
      <c r="AA43" s="566"/>
    </row>
    <row r="44" ht="15.75" customHeight="1">
      <c r="A44" s="566"/>
      <c r="B44" s="566"/>
      <c r="C44" s="566"/>
      <c r="D44" s="566"/>
      <c r="E44" s="566"/>
      <c r="F44" s="566"/>
      <c r="G44" s="566"/>
      <c r="H44" s="566"/>
      <c r="I44" s="566"/>
      <c r="J44" s="566"/>
      <c r="K44" s="566"/>
      <c r="L44" s="566"/>
      <c r="M44" s="566"/>
      <c r="N44" s="566"/>
      <c r="O44" s="566"/>
      <c r="P44" s="566"/>
      <c r="Q44" s="566"/>
      <c r="R44" s="566"/>
      <c r="S44" s="566"/>
      <c r="T44" s="566"/>
      <c r="U44" s="566"/>
      <c r="V44" s="566"/>
      <c r="W44" s="566"/>
      <c r="X44" s="566"/>
      <c r="Y44" s="566"/>
      <c r="Z44" s="566"/>
      <c r="AA44" s="566"/>
    </row>
    <row r="45" ht="15.75" customHeight="1">
      <c r="A45" s="566"/>
      <c r="B45" s="566"/>
      <c r="C45" s="566"/>
      <c r="D45" s="566"/>
      <c r="E45" s="566"/>
      <c r="F45" s="566"/>
      <c r="G45" s="566"/>
      <c r="H45" s="566"/>
      <c r="I45" s="566"/>
      <c r="J45" s="566"/>
      <c r="K45" s="566"/>
      <c r="L45" s="566"/>
      <c r="M45" s="566"/>
      <c r="N45" s="566"/>
      <c r="O45" s="566"/>
      <c r="P45" s="566"/>
      <c r="Q45" s="566"/>
      <c r="R45" s="566"/>
      <c r="S45" s="566"/>
      <c r="T45" s="566"/>
      <c r="U45" s="566"/>
      <c r="V45" s="566"/>
      <c r="W45" s="566"/>
      <c r="X45" s="566"/>
      <c r="Y45" s="566"/>
      <c r="Z45" s="566"/>
      <c r="AA45" s="566"/>
    </row>
    <row r="46" ht="15.75" customHeight="1">
      <c r="A46" s="566"/>
      <c r="B46" s="566"/>
      <c r="C46" s="566"/>
      <c r="D46" s="566"/>
      <c r="E46" s="566"/>
      <c r="F46" s="566"/>
      <c r="G46" s="566"/>
      <c r="H46" s="566"/>
      <c r="I46" s="566"/>
      <c r="J46" s="566"/>
      <c r="K46" s="566"/>
      <c r="L46" s="566"/>
      <c r="M46" s="566"/>
      <c r="N46" s="566"/>
      <c r="O46" s="566"/>
      <c r="P46" s="566"/>
      <c r="Q46" s="566"/>
      <c r="R46" s="566"/>
      <c r="S46" s="566"/>
      <c r="T46" s="566"/>
      <c r="U46" s="566"/>
      <c r="V46" s="566"/>
      <c r="W46" s="566"/>
      <c r="X46" s="566"/>
      <c r="Y46" s="566"/>
      <c r="Z46" s="566"/>
      <c r="AA46" s="566"/>
    </row>
    <row r="47" ht="15.75" customHeight="1">
      <c r="A47" s="566"/>
      <c r="B47" s="566"/>
      <c r="C47" s="566"/>
      <c r="D47" s="566"/>
      <c r="E47" s="566"/>
      <c r="F47" s="566"/>
      <c r="G47" s="566"/>
      <c r="H47" s="566"/>
      <c r="I47" s="566"/>
      <c r="J47" s="566"/>
      <c r="K47" s="566"/>
      <c r="L47" s="566"/>
      <c r="M47" s="566"/>
      <c r="N47" s="566"/>
      <c r="O47" s="566"/>
      <c r="P47" s="566"/>
      <c r="Q47" s="566"/>
      <c r="R47" s="566"/>
      <c r="S47" s="566"/>
      <c r="T47" s="566"/>
      <c r="U47" s="566"/>
      <c r="V47" s="566"/>
      <c r="W47" s="566"/>
      <c r="X47" s="566"/>
      <c r="Y47" s="566"/>
      <c r="Z47" s="566"/>
      <c r="AA47" s="566"/>
    </row>
    <row r="48" ht="15.75" customHeight="1">
      <c r="A48" s="566"/>
      <c r="B48" s="566"/>
      <c r="C48" s="566"/>
      <c r="D48" s="566"/>
      <c r="E48" s="566"/>
      <c r="F48" s="566"/>
      <c r="G48" s="566"/>
      <c r="H48" s="566"/>
      <c r="I48" s="566"/>
      <c r="J48" s="566"/>
      <c r="K48" s="566"/>
      <c r="L48" s="566"/>
      <c r="M48" s="566"/>
      <c r="N48" s="566"/>
      <c r="O48" s="566"/>
      <c r="P48" s="566"/>
      <c r="Q48" s="566"/>
      <c r="R48" s="566"/>
      <c r="S48" s="566"/>
      <c r="T48" s="566"/>
      <c r="U48" s="566"/>
      <c r="V48" s="566"/>
      <c r="W48" s="566"/>
      <c r="X48" s="566"/>
      <c r="Y48" s="566"/>
      <c r="Z48" s="566"/>
      <c r="AA48" s="566"/>
    </row>
    <row r="49" ht="15.75" customHeight="1">
      <c r="A49" s="566"/>
      <c r="B49" s="566"/>
      <c r="C49" s="566"/>
      <c r="D49" s="566"/>
      <c r="E49" s="566"/>
      <c r="F49" s="566"/>
      <c r="G49" s="566"/>
      <c r="H49" s="566"/>
      <c r="I49" s="566"/>
      <c r="J49" s="566"/>
      <c r="K49" s="566"/>
      <c r="L49" s="566"/>
      <c r="M49" s="566"/>
      <c r="N49" s="566"/>
      <c r="O49" s="566"/>
      <c r="P49" s="566"/>
      <c r="Q49" s="566"/>
      <c r="R49" s="566"/>
      <c r="S49" s="566"/>
      <c r="T49" s="566"/>
      <c r="U49" s="566"/>
      <c r="V49" s="566"/>
      <c r="W49" s="566"/>
      <c r="X49" s="566"/>
      <c r="Y49" s="566"/>
      <c r="Z49" s="566"/>
      <c r="AA49" s="566"/>
    </row>
    <row r="50" ht="15.75" customHeight="1">
      <c r="A50" s="566"/>
      <c r="B50" s="566"/>
      <c r="C50" s="566"/>
      <c r="D50" s="566"/>
      <c r="E50" s="566"/>
      <c r="F50" s="566"/>
      <c r="G50" s="566"/>
      <c r="H50" s="566"/>
      <c r="I50" s="566"/>
      <c r="J50" s="566"/>
      <c r="K50" s="566"/>
      <c r="L50" s="566"/>
      <c r="M50" s="566"/>
      <c r="N50" s="566"/>
      <c r="O50" s="566"/>
      <c r="P50" s="566"/>
      <c r="Q50" s="566"/>
      <c r="R50" s="566"/>
      <c r="S50" s="566"/>
      <c r="T50" s="566"/>
      <c r="U50" s="566"/>
      <c r="V50" s="566"/>
      <c r="W50" s="566"/>
      <c r="X50" s="566"/>
      <c r="Y50" s="566"/>
      <c r="Z50" s="566"/>
      <c r="AA50" s="566"/>
    </row>
    <row r="51" ht="15.75" customHeight="1">
      <c r="A51" s="566"/>
      <c r="B51" s="566"/>
      <c r="C51" s="566"/>
      <c r="D51" s="566"/>
      <c r="E51" s="566"/>
      <c r="F51" s="566"/>
      <c r="G51" s="566"/>
      <c r="H51" s="566"/>
      <c r="I51" s="566"/>
      <c r="J51" s="566"/>
      <c r="K51" s="566"/>
      <c r="L51" s="566"/>
      <c r="M51" s="566"/>
      <c r="N51" s="566"/>
      <c r="O51" s="566"/>
      <c r="P51" s="566"/>
      <c r="Q51" s="566"/>
      <c r="R51" s="566"/>
      <c r="S51" s="566"/>
      <c r="T51" s="566"/>
      <c r="U51" s="566"/>
      <c r="V51" s="566"/>
      <c r="W51" s="566"/>
      <c r="X51" s="566"/>
      <c r="Y51" s="566"/>
      <c r="Z51" s="566"/>
      <c r="AA51" s="566"/>
    </row>
    <row r="52" ht="15.75" customHeight="1">
      <c r="A52" s="566"/>
      <c r="B52" s="566"/>
      <c r="C52" s="566"/>
      <c r="D52" s="566"/>
      <c r="E52" s="566"/>
      <c r="F52" s="566"/>
      <c r="G52" s="566"/>
      <c r="H52" s="566"/>
      <c r="I52" s="566"/>
      <c r="J52" s="566"/>
      <c r="K52" s="566"/>
      <c r="L52" s="566"/>
      <c r="M52" s="566"/>
      <c r="N52" s="566"/>
      <c r="O52" s="566"/>
      <c r="P52" s="566"/>
      <c r="Q52" s="566"/>
      <c r="R52" s="566"/>
      <c r="S52" s="566"/>
      <c r="T52" s="566"/>
      <c r="U52" s="566"/>
      <c r="V52" s="566"/>
      <c r="W52" s="566"/>
      <c r="X52" s="566"/>
      <c r="Y52" s="566"/>
      <c r="Z52" s="566"/>
      <c r="AA52" s="566"/>
    </row>
    <row r="53" ht="15.75" customHeight="1">
      <c r="A53" s="566"/>
      <c r="B53" s="566"/>
      <c r="C53" s="566"/>
      <c r="D53" s="566"/>
      <c r="E53" s="566"/>
      <c r="F53" s="566"/>
      <c r="G53" s="566"/>
      <c r="H53" s="566"/>
      <c r="I53" s="566"/>
      <c r="J53" s="566"/>
      <c r="K53" s="566"/>
      <c r="L53" s="566"/>
      <c r="M53" s="566"/>
      <c r="N53" s="566"/>
      <c r="O53" s="566"/>
      <c r="P53" s="566"/>
      <c r="Q53" s="566"/>
      <c r="R53" s="566"/>
      <c r="S53" s="566"/>
      <c r="T53" s="566"/>
      <c r="U53" s="566"/>
      <c r="V53" s="566"/>
      <c r="W53" s="566"/>
      <c r="X53" s="566"/>
      <c r="Y53" s="566"/>
      <c r="Z53" s="566"/>
      <c r="AA53" s="566"/>
    </row>
    <row r="54" ht="15.75" customHeight="1">
      <c r="A54" s="566"/>
      <c r="B54" s="566"/>
      <c r="C54" s="566"/>
      <c r="D54" s="566"/>
      <c r="E54" s="566"/>
      <c r="F54" s="566"/>
      <c r="G54" s="566"/>
      <c r="H54" s="566"/>
      <c r="I54" s="566"/>
      <c r="J54" s="566"/>
      <c r="K54" s="566"/>
      <c r="L54" s="566"/>
      <c r="M54" s="566"/>
      <c r="N54" s="566"/>
      <c r="O54" s="566"/>
      <c r="P54" s="566"/>
      <c r="Q54" s="566"/>
      <c r="R54" s="566"/>
      <c r="S54" s="566"/>
      <c r="T54" s="566"/>
      <c r="U54" s="566"/>
      <c r="V54" s="566"/>
      <c r="W54" s="566"/>
      <c r="X54" s="566"/>
      <c r="Y54" s="566"/>
      <c r="Z54" s="566"/>
      <c r="AA54" s="566"/>
    </row>
    <row r="55" ht="15.75" customHeight="1">
      <c r="A55" s="566"/>
      <c r="B55" s="566"/>
      <c r="C55" s="566"/>
      <c r="D55" s="566"/>
      <c r="E55" s="566"/>
      <c r="F55" s="566"/>
      <c r="G55" s="566"/>
      <c r="H55" s="566"/>
      <c r="I55" s="566"/>
      <c r="J55" s="566"/>
      <c r="K55" s="566"/>
      <c r="L55" s="566"/>
      <c r="M55" s="566"/>
      <c r="N55" s="566"/>
      <c r="O55" s="566"/>
      <c r="P55" s="566"/>
      <c r="Q55" s="566"/>
      <c r="R55" s="566"/>
      <c r="S55" s="566"/>
      <c r="T55" s="566"/>
      <c r="U55" s="566"/>
      <c r="V55" s="566"/>
      <c r="W55" s="566"/>
      <c r="X55" s="566"/>
      <c r="Y55" s="566"/>
      <c r="Z55" s="566"/>
      <c r="AA55" s="566"/>
    </row>
    <row r="56" ht="15.75" customHeight="1">
      <c r="A56" s="566"/>
      <c r="B56" s="566"/>
      <c r="C56" s="566"/>
      <c r="D56" s="566"/>
      <c r="E56" s="566"/>
      <c r="F56" s="566"/>
      <c r="G56" s="566"/>
      <c r="H56" s="566"/>
      <c r="I56" s="566"/>
      <c r="J56" s="566"/>
      <c r="K56" s="566"/>
      <c r="L56" s="566"/>
      <c r="M56" s="566"/>
      <c r="N56" s="566"/>
      <c r="O56" s="566"/>
      <c r="P56" s="566"/>
      <c r="Q56" s="566"/>
      <c r="R56" s="566"/>
      <c r="S56" s="566"/>
      <c r="T56" s="566"/>
      <c r="U56" s="566"/>
      <c r="V56" s="566"/>
      <c r="W56" s="566"/>
      <c r="X56" s="566"/>
      <c r="Y56" s="566"/>
      <c r="Z56" s="566"/>
      <c r="AA56" s="566"/>
    </row>
    <row r="57" ht="15.75" customHeight="1">
      <c r="A57" s="566"/>
      <c r="B57" s="566"/>
      <c r="C57" s="566"/>
      <c r="D57" s="566"/>
      <c r="E57" s="566"/>
      <c r="F57" s="566"/>
      <c r="G57" s="566"/>
      <c r="H57" s="566"/>
      <c r="I57" s="566"/>
      <c r="J57" s="566"/>
      <c r="K57" s="566"/>
      <c r="L57" s="566"/>
      <c r="M57" s="566"/>
      <c r="N57" s="566"/>
      <c r="O57" s="566"/>
      <c r="P57" s="566"/>
      <c r="Q57" s="566"/>
      <c r="R57" s="566"/>
      <c r="S57" s="566"/>
      <c r="T57" s="566"/>
      <c r="U57" s="566"/>
      <c r="V57" s="566"/>
      <c r="W57" s="566"/>
      <c r="X57" s="566"/>
      <c r="Y57" s="566"/>
      <c r="Z57" s="566"/>
      <c r="AA57" s="566"/>
    </row>
    <row r="58" ht="15.75" customHeight="1">
      <c r="A58" s="566"/>
      <c r="B58" s="566"/>
      <c r="C58" s="566"/>
      <c r="D58" s="566"/>
      <c r="E58" s="566"/>
      <c r="F58" s="566"/>
      <c r="G58" s="566"/>
      <c r="H58" s="566"/>
      <c r="I58" s="566"/>
      <c r="J58" s="566"/>
      <c r="K58" s="566"/>
      <c r="L58" s="566"/>
      <c r="M58" s="566"/>
      <c r="N58" s="566"/>
      <c r="O58" s="566"/>
      <c r="P58" s="566"/>
      <c r="Q58" s="566"/>
      <c r="R58" s="566"/>
      <c r="S58" s="566"/>
      <c r="T58" s="566"/>
      <c r="U58" s="566"/>
      <c r="V58" s="566"/>
      <c r="W58" s="566"/>
      <c r="X58" s="566"/>
      <c r="Y58" s="566"/>
      <c r="Z58" s="566"/>
      <c r="AA58" s="566"/>
    </row>
    <row r="59" ht="15.75" customHeight="1">
      <c r="A59" s="566"/>
      <c r="B59" s="566"/>
      <c r="C59" s="566"/>
      <c r="D59" s="566"/>
      <c r="E59" s="566"/>
      <c r="F59" s="566"/>
      <c r="G59" s="566"/>
      <c r="H59" s="566"/>
      <c r="I59" s="566"/>
      <c r="J59" s="566"/>
      <c r="K59" s="566"/>
      <c r="L59" s="566"/>
      <c r="M59" s="566"/>
      <c r="N59" s="566"/>
      <c r="O59" s="566"/>
      <c r="P59" s="566"/>
      <c r="Q59" s="566"/>
      <c r="R59" s="566"/>
      <c r="S59" s="566"/>
      <c r="T59" s="566"/>
      <c r="U59" s="566"/>
      <c r="V59" s="566"/>
      <c r="W59" s="566"/>
      <c r="X59" s="566"/>
      <c r="Y59" s="566"/>
      <c r="Z59" s="566"/>
      <c r="AA59" s="566"/>
    </row>
    <row r="60" ht="15.75" customHeight="1">
      <c r="A60" s="566"/>
      <c r="B60" s="566"/>
      <c r="C60" s="566"/>
      <c r="D60" s="566"/>
      <c r="E60" s="566"/>
      <c r="F60" s="566"/>
      <c r="G60" s="566"/>
      <c r="H60" s="566"/>
      <c r="I60" s="566"/>
      <c r="J60" s="566"/>
      <c r="K60" s="566"/>
      <c r="L60" s="566"/>
      <c r="M60" s="566"/>
      <c r="N60" s="566"/>
      <c r="O60" s="566"/>
      <c r="P60" s="566"/>
      <c r="Q60" s="566"/>
      <c r="R60" s="566"/>
      <c r="S60" s="566"/>
      <c r="T60" s="566"/>
      <c r="U60" s="566"/>
      <c r="V60" s="566"/>
      <c r="W60" s="566"/>
      <c r="X60" s="566"/>
      <c r="Y60" s="566"/>
      <c r="Z60" s="566"/>
      <c r="AA60" s="566"/>
    </row>
    <row r="61" ht="15.75" customHeight="1">
      <c r="A61" s="566"/>
      <c r="B61" s="566"/>
      <c r="C61" s="566"/>
      <c r="D61" s="566"/>
      <c r="E61" s="566"/>
      <c r="F61" s="566"/>
      <c r="G61" s="566"/>
      <c r="H61" s="566"/>
      <c r="I61" s="566"/>
      <c r="J61" s="566"/>
      <c r="K61" s="566"/>
      <c r="L61" s="566"/>
      <c r="M61" s="566"/>
      <c r="N61" s="566"/>
      <c r="O61" s="566"/>
      <c r="P61" s="566"/>
      <c r="Q61" s="566"/>
      <c r="R61" s="566"/>
      <c r="S61" s="566"/>
      <c r="T61" s="566"/>
      <c r="U61" s="566"/>
      <c r="V61" s="566"/>
      <c r="W61" s="566"/>
      <c r="X61" s="566"/>
      <c r="Y61" s="566"/>
      <c r="Z61" s="566"/>
      <c r="AA61" s="566"/>
    </row>
    <row r="62" ht="15.75" customHeight="1">
      <c r="A62" s="566"/>
      <c r="B62" s="566"/>
      <c r="C62" s="566"/>
      <c r="D62" s="566"/>
      <c r="E62" s="566"/>
      <c r="F62" s="566"/>
      <c r="G62" s="566"/>
      <c r="H62" s="566"/>
      <c r="I62" s="566"/>
      <c r="J62" s="566"/>
      <c r="K62" s="566"/>
      <c r="L62" s="566"/>
      <c r="M62" s="566"/>
      <c r="N62" s="566"/>
      <c r="O62" s="566"/>
      <c r="P62" s="566"/>
      <c r="Q62" s="566"/>
      <c r="R62" s="566"/>
      <c r="S62" s="566"/>
      <c r="T62" s="566"/>
      <c r="U62" s="566"/>
      <c r="V62" s="566"/>
      <c r="W62" s="566"/>
      <c r="X62" s="566"/>
      <c r="Y62" s="566"/>
      <c r="Z62" s="566"/>
      <c r="AA62" s="566"/>
    </row>
    <row r="63" ht="15.75" customHeight="1">
      <c r="A63" s="566"/>
      <c r="B63" s="566"/>
      <c r="C63" s="566"/>
      <c r="D63" s="566"/>
      <c r="E63" s="566"/>
      <c r="F63" s="566"/>
      <c r="G63" s="566"/>
      <c r="H63" s="566"/>
      <c r="I63" s="566"/>
      <c r="J63" s="566"/>
      <c r="K63" s="566"/>
      <c r="L63" s="566"/>
      <c r="M63" s="566"/>
      <c r="N63" s="566"/>
      <c r="O63" s="566"/>
      <c r="P63" s="566"/>
      <c r="Q63" s="566"/>
      <c r="R63" s="566"/>
      <c r="S63" s="566"/>
      <c r="T63" s="566"/>
      <c r="U63" s="566"/>
      <c r="V63" s="566"/>
      <c r="W63" s="566"/>
      <c r="X63" s="566"/>
      <c r="Y63" s="566"/>
      <c r="Z63" s="566"/>
      <c r="AA63" s="566"/>
    </row>
    <row r="64" ht="15.75" customHeight="1">
      <c r="A64" s="566"/>
      <c r="B64" s="566"/>
      <c r="C64" s="566"/>
      <c r="D64" s="566"/>
      <c r="E64" s="566"/>
      <c r="F64" s="566"/>
      <c r="G64" s="566"/>
      <c r="H64" s="566"/>
      <c r="I64" s="566"/>
      <c r="J64" s="566"/>
      <c r="K64" s="566"/>
      <c r="L64" s="566"/>
      <c r="M64" s="566"/>
      <c r="N64" s="566"/>
      <c r="O64" s="566"/>
      <c r="P64" s="566"/>
      <c r="Q64" s="566"/>
      <c r="R64" s="566"/>
      <c r="S64" s="566"/>
      <c r="T64" s="566"/>
      <c r="U64" s="566"/>
      <c r="V64" s="566"/>
      <c r="W64" s="566"/>
      <c r="X64" s="566"/>
      <c r="Y64" s="566"/>
      <c r="Z64" s="566"/>
      <c r="AA64" s="566"/>
    </row>
    <row r="65" ht="15.75" customHeight="1">
      <c r="A65" s="566"/>
      <c r="B65" s="566"/>
      <c r="C65" s="566"/>
      <c r="D65" s="566"/>
      <c r="E65" s="566"/>
      <c r="F65" s="566"/>
      <c r="G65" s="566"/>
      <c r="H65" s="566"/>
      <c r="I65" s="566"/>
      <c r="J65" s="566"/>
      <c r="K65" s="566"/>
      <c r="L65" s="566"/>
      <c r="M65" s="566"/>
      <c r="N65" s="566"/>
      <c r="O65" s="566"/>
      <c r="P65" s="566"/>
      <c r="Q65" s="566"/>
      <c r="R65" s="566"/>
      <c r="S65" s="566"/>
      <c r="T65" s="566"/>
      <c r="U65" s="566"/>
      <c r="V65" s="566"/>
      <c r="W65" s="566"/>
      <c r="X65" s="566"/>
      <c r="Y65" s="566"/>
      <c r="Z65" s="566"/>
      <c r="AA65" s="566"/>
    </row>
    <row r="66" ht="15.75" customHeight="1">
      <c r="A66" s="566"/>
      <c r="B66" s="566"/>
      <c r="C66" s="566"/>
      <c r="D66" s="566"/>
      <c r="E66" s="566"/>
      <c r="F66" s="566"/>
      <c r="G66" s="566"/>
      <c r="H66" s="566"/>
      <c r="I66" s="566"/>
      <c r="J66" s="566"/>
      <c r="K66" s="566"/>
      <c r="L66" s="566"/>
      <c r="M66" s="566"/>
      <c r="N66" s="566"/>
      <c r="O66" s="566"/>
      <c r="P66" s="566"/>
      <c r="Q66" s="566"/>
      <c r="R66" s="566"/>
      <c r="S66" s="566"/>
      <c r="T66" s="566"/>
      <c r="U66" s="566"/>
      <c r="V66" s="566"/>
      <c r="W66" s="566"/>
      <c r="X66" s="566"/>
      <c r="Y66" s="566"/>
      <c r="Z66" s="566"/>
      <c r="AA66" s="566"/>
    </row>
    <row r="67" ht="15.75" customHeight="1">
      <c r="A67" s="566"/>
      <c r="B67" s="566"/>
      <c r="C67" s="566"/>
      <c r="D67" s="566"/>
      <c r="E67" s="566"/>
      <c r="F67" s="566"/>
      <c r="G67" s="566"/>
      <c r="H67" s="566"/>
      <c r="I67" s="566"/>
      <c r="J67" s="566"/>
      <c r="K67" s="566"/>
      <c r="L67" s="566"/>
      <c r="M67" s="566"/>
      <c r="N67" s="566"/>
      <c r="O67" s="566"/>
      <c r="P67" s="566"/>
      <c r="Q67" s="566"/>
      <c r="R67" s="566"/>
      <c r="S67" s="566"/>
      <c r="T67" s="566"/>
      <c r="U67" s="566"/>
      <c r="V67" s="566"/>
      <c r="W67" s="566"/>
      <c r="X67" s="566"/>
      <c r="Y67" s="566"/>
      <c r="Z67" s="566"/>
      <c r="AA67" s="566"/>
    </row>
    <row r="68" ht="15.75" customHeight="1">
      <c r="A68" s="566"/>
      <c r="B68" s="566"/>
      <c r="C68" s="566"/>
      <c r="D68" s="566"/>
      <c r="E68" s="566"/>
      <c r="F68" s="566"/>
      <c r="G68" s="566"/>
      <c r="H68" s="566"/>
      <c r="I68" s="566"/>
      <c r="J68" s="566"/>
      <c r="K68" s="566"/>
      <c r="L68" s="566"/>
      <c r="M68" s="566"/>
      <c r="N68" s="566"/>
      <c r="O68" s="566"/>
      <c r="P68" s="566"/>
      <c r="Q68" s="566"/>
      <c r="R68" s="566"/>
      <c r="S68" s="566"/>
      <c r="T68" s="566"/>
      <c r="U68" s="566"/>
      <c r="V68" s="566"/>
      <c r="W68" s="566"/>
      <c r="X68" s="566"/>
      <c r="Y68" s="566"/>
      <c r="Z68" s="566"/>
      <c r="AA68" s="566"/>
    </row>
    <row r="69" ht="15.75" customHeight="1">
      <c r="A69" s="566"/>
      <c r="B69" s="566"/>
      <c r="C69" s="566"/>
      <c r="D69" s="566"/>
      <c r="E69" s="566"/>
      <c r="F69" s="566"/>
      <c r="G69" s="566"/>
      <c r="H69" s="566"/>
      <c r="I69" s="566"/>
      <c r="J69" s="566"/>
      <c r="K69" s="566"/>
      <c r="L69" s="566"/>
      <c r="M69" s="566"/>
      <c r="N69" s="566"/>
      <c r="O69" s="566"/>
      <c r="P69" s="566"/>
      <c r="Q69" s="566"/>
      <c r="R69" s="566"/>
      <c r="S69" s="566"/>
      <c r="T69" s="566"/>
      <c r="U69" s="566"/>
      <c r="V69" s="566"/>
      <c r="W69" s="566"/>
      <c r="X69" s="566"/>
      <c r="Y69" s="566"/>
      <c r="Z69" s="566"/>
      <c r="AA69" s="566"/>
    </row>
    <row r="70" ht="15.75" customHeight="1">
      <c r="A70" s="566"/>
      <c r="B70" s="566"/>
      <c r="C70" s="566"/>
      <c r="D70" s="566"/>
      <c r="E70" s="566"/>
      <c r="F70" s="566"/>
      <c r="G70" s="566"/>
      <c r="H70" s="566"/>
      <c r="I70" s="566"/>
      <c r="J70" s="566"/>
      <c r="K70" s="566"/>
      <c r="L70" s="566"/>
      <c r="M70" s="566"/>
      <c r="N70" s="566"/>
      <c r="O70" s="566"/>
      <c r="P70" s="566"/>
      <c r="Q70" s="566"/>
      <c r="R70" s="566"/>
      <c r="S70" s="566"/>
      <c r="T70" s="566"/>
      <c r="U70" s="566"/>
      <c r="V70" s="566"/>
      <c r="W70" s="566"/>
      <c r="X70" s="566"/>
      <c r="Y70" s="566"/>
      <c r="Z70" s="566"/>
      <c r="AA70" s="566"/>
    </row>
    <row r="71" ht="15.75" customHeight="1">
      <c r="A71" s="566"/>
      <c r="B71" s="566"/>
      <c r="C71" s="566"/>
      <c r="D71" s="566"/>
      <c r="E71" s="566"/>
      <c r="F71" s="566"/>
      <c r="G71" s="566"/>
      <c r="H71" s="566"/>
      <c r="I71" s="566"/>
      <c r="J71" s="566"/>
      <c r="K71" s="566"/>
      <c r="L71" s="566"/>
      <c r="M71" s="566"/>
      <c r="N71" s="566"/>
      <c r="O71" s="566"/>
      <c r="P71" s="566"/>
      <c r="Q71" s="566"/>
      <c r="R71" s="566"/>
      <c r="S71" s="566"/>
      <c r="T71" s="566"/>
      <c r="U71" s="566"/>
      <c r="V71" s="566"/>
      <c r="W71" s="566"/>
      <c r="X71" s="566"/>
      <c r="Y71" s="566"/>
      <c r="Z71" s="566"/>
      <c r="AA71" s="566"/>
    </row>
    <row r="72" ht="15.75" customHeight="1">
      <c r="A72" s="566"/>
      <c r="B72" s="566"/>
      <c r="C72" s="566"/>
      <c r="D72" s="566"/>
      <c r="E72" s="566"/>
      <c r="F72" s="566"/>
      <c r="G72" s="566"/>
      <c r="H72" s="566"/>
      <c r="I72" s="566"/>
      <c r="J72" s="566"/>
      <c r="K72" s="566"/>
      <c r="L72" s="566"/>
      <c r="M72" s="566"/>
      <c r="N72" s="566"/>
      <c r="O72" s="566"/>
      <c r="P72" s="566"/>
      <c r="Q72" s="566"/>
      <c r="R72" s="566"/>
      <c r="S72" s="566"/>
      <c r="T72" s="566"/>
      <c r="U72" s="566"/>
      <c r="V72" s="566"/>
      <c r="W72" s="566"/>
      <c r="X72" s="566"/>
      <c r="Y72" s="566"/>
      <c r="Z72" s="566"/>
      <c r="AA72" s="566"/>
    </row>
    <row r="73" ht="15.75" customHeight="1">
      <c r="A73" s="566"/>
      <c r="B73" s="566"/>
      <c r="C73" s="566"/>
      <c r="D73" s="566"/>
      <c r="E73" s="566"/>
      <c r="F73" s="566"/>
      <c r="G73" s="566"/>
      <c r="H73" s="566"/>
      <c r="I73" s="566"/>
      <c r="J73" s="566"/>
      <c r="K73" s="566"/>
      <c r="L73" s="566"/>
      <c r="M73" s="566"/>
      <c r="N73" s="566"/>
      <c r="O73" s="566"/>
      <c r="P73" s="566"/>
      <c r="Q73" s="566"/>
      <c r="R73" s="566"/>
      <c r="S73" s="566"/>
      <c r="T73" s="566"/>
      <c r="U73" s="566"/>
      <c r="V73" s="566"/>
      <c r="W73" s="566"/>
      <c r="X73" s="566"/>
      <c r="Y73" s="566"/>
      <c r="Z73" s="566"/>
      <c r="AA73" s="566"/>
    </row>
    <row r="74" ht="15.75" customHeight="1">
      <c r="A74" s="566"/>
      <c r="B74" s="566"/>
      <c r="C74" s="566"/>
      <c r="D74" s="566"/>
      <c r="E74" s="566"/>
      <c r="F74" s="566"/>
      <c r="G74" s="566"/>
      <c r="H74" s="566"/>
      <c r="I74" s="566"/>
      <c r="J74" s="566"/>
      <c r="K74" s="566"/>
      <c r="L74" s="566"/>
      <c r="M74" s="566"/>
      <c r="N74" s="566"/>
      <c r="O74" s="566"/>
      <c r="P74" s="566"/>
      <c r="Q74" s="566"/>
      <c r="R74" s="566"/>
      <c r="S74" s="566"/>
      <c r="T74" s="566"/>
      <c r="U74" s="566"/>
      <c r="V74" s="566"/>
      <c r="W74" s="566"/>
      <c r="X74" s="566"/>
      <c r="Y74" s="566"/>
      <c r="Z74" s="566"/>
      <c r="AA74" s="566"/>
    </row>
    <row r="75" ht="15.75" customHeight="1">
      <c r="A75" s="566"/>
      <c r="B75" s="566"/>
      <c r="C75" s="566"/>
      <c r="D75" s="566"/>
      <c r="E75" s="566"/>
      <c r="F75" s="566"/>
      <c r="G75" s="566"/>
      <c r="H75" s="566"/>
      <c r="I75" s="566"/>
      <c r="J75" s="566"/>
      <c r="K75" s="566"/>
      <c r="L75" s="566"/>
      <c r="M75" s="566"/>
      <c r="N75" s="566"/>
      <c r="O75" s="566"/>
      <c r="P75" s="566"/>
      <c r="Q75" s="566"/>
      <c r="R75" s="566"/>
      <c r="S75" s="566"/>
      <c r="T75" s="566"/>
      <c r="U75" s="566"/>
      <c r="V75" s="566"/>
      <c r="W75" s="566"/>
      <c r="X75" s="566"/>
      <c r="Y75" s="566"/>
      <c r="Z75" s="566"/>
      <c r="AA75" s="566"/>
    </row>
    <row r="76" ht="15.75" customHeight="1">
      <c r="A76" s="566"/>
      <c r="B76" s="566"/>
      <c r="C76" s="566"/>
      <c r="D76" s="566"/>
      <c r="E76" s="566"/>
      <c r="F76" s="566"/>
      <c r="G76" s="566"/>
      <c r="H76" s="566"/>
      <c r="I76" s="566"/>
      <c r="J76" s="566"/>
      <c r="K76" s="566"/>
      <c r="L76" s="566"/>
      <c r="M76" s="566"/>
      <c r="N76" s="566"/>
      <c r="O76" s="566"/>
      <c r="P76" s="566"/>
      <c r="Q76" s="566"/>
      <c r="R76" s="566"/>
      <c r="S76" s="566"/>
      <c r="T76" s="566"/>
      <c r="U76" s="566"/>
      <c r="V76" s="566"/>
      <c r="W76" s="566"/>
      <c r="X76" s="566"/>
      <c r="Y76" s="566"/>
      <c r="Z76" s="566"/>
      <c r="AA76" s="566"/>
    </row>
    <row r="77" ht="15.75" customHeight="1">
      <c r="A77" s="566"/>
      <c r="B77" s="566"/>
      <c r="C77" s="566"/>
      <c r="D77" s="566"/>
      <c r="E77" s="566"/>
      <c r="F77" s="566"/>
      <c r="G77" s="566"/>
      <c r="H77" s="566"/>
      <c r="I77" s="566"/>
      <c r="J77" s="566"/>
      <c r="K77" s="566"/>
      <c r="L77" s="566"/>
      <c r="M77" s="566"/>
      <c r="N77" s="566"/>
      <c r="O77" s="566"/>
      <c r="P77" s="566"/>
      <c r="Q77" s="566"/>
      <c r="R77" s="566"/>
      <c r="S77" s="566"/>
      <c r="T77" s="566"/>
      <c r="U77" s="566"/>
      <c r="V77" s="566"/>
      <c r="W77" s="566"/>
      <c r="X77" s="566"/>
      <c r="Y77" s="566"/>
      <c r="Z77" s="566"/>
      <c r="AA77" s="566"/>
    </row>
    <row r="78" ht="15.75" customHeight="1">
      <c r="A78" s="566"/>
      <c r="B78" s="566"/>
      <c r="C78" s="566"/>
      <c r="D78" s="566"/>
      <c r="E78" s="566"/>
      <c r="F78" s="566"/>
      <c r="G78" s="566"/>
      <c r="H78" s="566"/>
      <c r="I78" s="566"/>
      <c r="J78" s="566"/>
      <c r="K78" s="566"/>
      <c r="L78" s="566"/>
      <c r="M78" s="566"/>
      <c r="N78" s="566"/>
      <c r="O78" s="566"/>
      <c r="P78" s="566"/>
      <c r="Q78" s="566"/>
      <c r="R78" s="566"/>
      <c r="S78" s="566"/>
      <c r="T78" s="566"/>
      <c r="U78" s="566"/>
      <c r="V78" s="566"/>
      <c r="W78" s="566"/>
      <c r="X78" s="566"/>
      <c r="Y78" s="566"/>
      <c r="Z78" s="566"/>
      <c r="AA78" s="566"/>
    </row>
    <row r="79" ht="15.75" customHeight="1">
      <c r="A79" s="566"/>
      <c r="B79" s="566"/>
      <c r="C79" s="566"/>
      <c r="D79" s="566"/>
      <c r="E79" s="566"/>
      <c r="F79" s="566"/>
      <c r="G79" s="566"/>
      <c r="H79" s="566"/>
      <c r="I79" s="566"/>
      <c r="J79" s="566"/>
      <c r="K79" s="566"/>
      <c r="L79" s="566"/>
      <c r="M79" s="566"/>
      <c r="N79" s="566"/>
      <c r="O79" s="566"/>
      <c r="P79" s="566"/>
      <c r="Q79" s="566"/>
      <c r="R79" s="566"/>
      <c r="S79" s="566"/>
      <c r="T79" s="566"/>
      <c r="U79" s="566"/>
      <c r="V79" s="566"/>
      <c r="W79" s="566"/>
      <c r="X79" s="566"/>
      <c r="Y79" s="566"/>
      <c r="Z79" s="566"/>
      <c r="AA79" s="566"/>
    </row>
    <row r="80" ht="15.75" customHeight="1">
      <c r="A80" s="566"/>
      <c r="B80" s="566"/>
      <c r="C80" s="566"/>
      <c r="D80" s="566"/>
      <c r="E80" s="566"/>
      <c r="F80" s="566"/>
      <c r="G80" s="566"/>
      <c r="H80" s="566"/>
      <c r="I80" s="566"/>
      <c r="J80" s="566"/>
      <c r="K80" s="566"/>
      <c r="L80" s="566"/>
      <c r="M80" s="566"/>
      <c r="N80" s="566"/>
      <c r="O80" s="566"/>
      <c r="P80" s="566"/>
      <c r="Q80" s="566"/>
      <c r="R80" s="566"/>
      <c r="S80" s="566"/>
      <c r="T80" s="566"/>
      <c r="U80" s="566"/>
      <c r="V80" s="566"/>
      <c r="W80" s="566"/>
      <c r="X80" s="566"/>
      <c r="Y80" s="566"/>
      <c r="Z80" s="566"/>
      <c r="AA80" s="566"/>
    </row>
    <row r="81" ht="15.75" customHeight="1">
      <c r="A81" s="566"/>
      <c r="B81" s="566"/>
      <c r="C81" s="566"/>
      <c r="D81" s="566"/>
      <c r="E81" s="566"/>
      <c r="F81" s="566"/>
      <c r="G81" s="566"/>
      <c r="H81" s="566"/>
      <c r="I81" s="566"/>
      <c r="J81" s="566"/>
      <c r="K81" s="566"/>
      <c r="L81" s="566"/>
      <c r="M81" s="566"/>
      <c r="N81" s="566"/>
      <c r="O81" s="566"/>
      <c r="P81" s="566"/>
      <c r="Q81" s="566"/>
      <c r="R81" s="566"/>
      <c r="S81" s="566"/>
      <c r="T81" s="566"/>
      <c r="U81" s="566"/>
      <c r="V81" s="566"/>
      <c r="W81" s="566"/>
      <c r="X81" s="566"/>
      <c r="Y81" s="566"/>
      <c r="Z81" s="566"/>
      <c r="AA81" s="566"/>
    </row>
    <row r="82" ht="15.75" customHeight="1">
      <c r="A82" s="566"/>
      <c r="B82" s="566"/>
      <c r="C82" s="566"/>
      <c r="D82" s="566"/>
      <c r="E82" s="566"/>
      <c r="F82" s="566"/>
      <c r="G82" s="566"/>
      <c r="H82" s="566"/>
      <c r="I82" s="566"/>
      <c r="J82" s="566"/>
      <c r="K82" s="566"/>
      <c r="L82" s="566"/>
      <c r="M82" s="566"/>
      <c r="N82" s="566"/>
      <c r="O82" s="566"/>
      <c r="P82" s="566"/>
      <c r="Q82" s="566"/>
      <c r="R82" s="566"/>
      <c r="S82" s="566"/>
      <c r="T82" s="566"/>
      <c r="U82" s="566"/>
      <c r="V82" s="566"/>
      <c r="W82" s="566"/>
      <c r="X82" s="566"/>
      <c r="Y82" s="566"/>
      <c r="Z82" s="566"/>
      <c r="AA82" s="566"/>
    </row>
    <row r="83" ht="15.75" customHeight="1">
      <c r="A83" s="566"/>
      <c r="B83" s="566"/>
      <c r="C83" s="566"/>
      <c r="D83" s="566"/>
      <c r="E83" s="566"/>
      <c r="F83" s="566"/>
      <c r="G83" s="566"/>
      <c r="H83" s="566"/>
      <c r="I83" s="566"/>
      <c r="J83" s="566"/>
      <c r="K83" s="566"/>
      <c r="L83" s="566"/>
      <c r="M83" s="566"/>
      <c r="N83" s="566"/>
      <c r="O83" s="566"/>
      <c r="P83" s="566"/>
      <c r="Q83" s="566"/>
      <c r="R83" s="566"/>
      <c r="S83" s="566"/>
      <c r="T83" s="566"/>
      <c r="U83" s="566"/>
      <c r="V83" s="566"/>
      <c r="W83" s="566"/>
      <c r="X83" s="566"/>
      <c r="Y83" s="566"/>
      <c r="Z83" s="566"/>
      <c r="AA83" s="566"/>
    </row>
    <row r="84" ht="15.75" customHeight="1">
      <c r="A84" s="566"/>
      <c r="B84" s="566"/>
      <c r="C84" s="566"/>
      <c r="D84" s="566"/>
      <c r="E84" s="566"/>
      <c r="F84" s="566"/>
      <c r="G84" s="566"/>
      <c r="H84" s="566"/>
      <c r="I84" s="566"/>
      <c r="J84" s="566"/>
      <c r="K84" s="566"/>
      <c r="L84" s="566"/>
      <c r="M84" s="566"/>
      <c r="N84" s="566"/>
      <c r="O84" s="566"/>
      <c r="P84" s="566"/>
      <c r="Q84" s="566"/>
      <c r="R84" s="566"/>
      <c r="S84" s="566"/>
      <c r="T84" s="566"/>
      <c r="U84" s="566"/>
      <c r="V84" s="566"/>
      <c r="W84" s="566"/>
      <c r="X84" s="566"/>
      <c r="Y84" s="566"/>
      <c r="Z84" s="566"/>
      <c r="AA84" s="566"/>
    </row>
    <row r="85" ht="15.75" customHeight="1">
      <c r="A85" s="566"/>
      <c r="B85" s="566"/>
      <c r="C85" s="566"/>
      <c r="D85" s="566"/>
      <c r="E85" s="566"/>
      <c r="F85" s="566"/>
      <c r="G85" s="566"/>
      <c r="H85" s="566"/>
      <c r="I85" s="566"/>
      <c r="J85" s="566"/>
      <c r="K85" s="566"/>
      <c r="L85" s="566"/>
      <c r="M85" s="566"/>
      <c r="N85" s="566"/>
      <c r="O85" s="566"/>
      <c r="P85" s="566"/>
      <c r="Q85" s="566"/>
      <c r="R85" s="566"/>
      <c r="S85" s="566"/>
      <c r="T85" s="566"/>
      <c r="U85" s="566"/>
      <c r="V85" s="566"/>
      <c r="W85" s="566"/>
      <c r="X85" s="566"/>
      <c r="Y85" s="566"/>
      <c r="Z85" s="566"/>
      <c r="AA85" s="566"/>
    </row>
    <row r="86" ht="15.75" customHeight="1">
      <c r="A86" s="566"/>
      <c r="B86" s="566"/>
      <c r="C86" s="566"/>
      <c r="D86" s="566"/>
      <c r="E86" s="566"/>
      <c r="F86" s="566"/>
      <c r="G86" s="566"/>
      <c r="H86" s="566"/>
      <c r="I86" s="566"/>
      <c r="J86" s="566"/>
      <c r="K86" s="566"/>
      <c r="L86" s="566"/>
      <c r="M86" s="566"/>
      <c r="N86" s="566"/>
      <c r="O86" s="566"/>
      <c r="P86" s="566"/>
      <c r="Q86" s="566"/>
      <c r="R86" s="566"/>
      <c r="S86" s="566"/>
      <c r="T86" s="566"/>
      <c r="U86" s="566"/>
      <c r="V86" s="566"/>
      <c r="W86" s="566"/>
      <c r="X86" s="566"/>
      <c r="Y86" s="566"/>
      <c r="Z86" s="566"/>
      <c r="AA86" s="566"/>
    </row>
    <row r="87" ht="15.75" customHeight="1">
      <c r="A87" s="566"/>
      <c r="B87" s="566"/>
      <c r="C87" s="566"/>
      <c r="D87" s="566"/>
      <c r="E87" s="566"/>
      <c r="F87" s="566"/>
      <c r="G87" s="566"/>
      <c r="H87" s="566"/>
      <c r="I87" s="566"/>
      <c r="J87" s="566"/>
      <c r="K87" s="566"/>
      <c r="L87" s="566"/>
      <c r="M87" s="566"/>
      <c r="N87" s="566"/>
      <c r="O87" s="566"/>
      <c r="P87" s="566"/>
      <c r="Q87" s="566"/>
      <c r="R87" s="566"/>
      <c r="S87" s="566"/>
      <c r="T87" s="566"/>
      <c r="U87" s="566"/>
      <c r="V87" s="566"/>
      <c r="W87" s="566"/>
      <c r="X87" s="566"/>
      <c r="Y87" s="566"/>
      <c r="Z87" s="566"/>
      <c r="AA87" s="566"/>
    </row>
    <row r="88" ht="15.75" customHeight="1">
      <c r="A88" s="566"/>
      <c r="B88" s="566"/>
      <c r="C88" s="566"/>
      <c r="D88" s="566"/>
      <c r="E88" s="566"/>
      <c r="F88" s="566"/>
      <c r="G88" s="566"/>
      <c r="H88" s="566"/>
      <c r="I88" s="566"/>
      <c r="J88" s="566"/>
      <c r="K88" s="566"/>
      <c r="L88" s="566"/>
      <c r="M88" s="566"/>
      <c r="N88" s="566"/>
      <c r="O88" s="566"/>
      <c r="P88" s="566"/>
      <c r="Q88" s="566"/>
      <c r="R88" s="566"/>
      <c r="S88" s="566"/>
      <c r="T88" s="566"/>
      <c r="U88" s="566"/>
      <c r="V88" s="566"/>
      <c r="W88" s="566"/>
      <c r="X88" s="566"/>
      <c r="Y88" s="566"/>
      <c r="Z88" s="566"/>
      <c r="AA88" s="566"/>
    </row>
    <row r="89" ht="15.75" customHeight="1">
      <c r="A89" s="566"/>
      <c r="B89" s="566"/>
      <c r="C89" s="566"/>
      <c r="D89" s="566"/>
      <c r="E89" s="566"/>
      <c r="F89" s="566"/>
      <c r="G89" s="566"/>
      <c r="H89" s="566"/>
      <c r="I89" s="566"/>
      <c r="J89" s="566"/>
      <c r="K89" s="566"/>
      <c r="L89" s="566"/>
      <c r="M89" s="566"/>
      <c r="N89" s="566"/>
      <c r="O89" s="566"/>
      <c r="P89" s="566"/>
      <c r="Q89" s="566"/>
      <c r="R89" s="566"/>
      <c r="S89" s="566"/>
      <c r="T89" s="566"/>
      <c r="U89" s="566"/>
      <c r="V89" s="566"/>
      <c r="W89" s="566"/>
      <c r="X89" s="566"/>
      <c r="Y89" s="566"/>
      <c r="Z89" s="566"/>
      <c r="AA89" s="566"/>
    </row>
    <row r="90" ht="15.75" customHeight="1">
      <c r="A90" s="566"/>
      <c r="B90" s="566"/>
      <c r="C90" s="566"/>
      <c r="D90" s="566"/>
      <c r="E90" s="566"/>
      <c r="F90" s="566"/>
      <c r="G90" s="566"/>
      <c r="H90" s="566"/>
      <c r="I90" s="566"/>
      <c r="J90" s="566"/>
      <c r="K90" s="566"/>
      <c r="L90" s="566"/>
      <c r="M90" s="566"/>
      <c r="N90" s="566"/>
      <c r="O90" s="566"/>
      <c r="P90" s="566"/>
      <c r="Q90" s="566"/>
      <c r="R90" s="566"/>
      <c r="S90" s="566"/>
      <c r="T90" s="566"/>
      <c r="U90" s="566"/>
      <c r="V90" s="566"/>
      <c r="W90" s="566"/>
      <c r="X90" s="566"/>
      <c r="Y90" s="566"/>
      <c r="Z90" s="566"/>
      <c r="AA90" s="566"/>
    </row>
    <row r="91" ht="15.75" customHeight="1">
      <c r="A91" s="566"/>
      <c r="B91" s="566"/>
      <c r="C91" s="566"/>
      <c r="D91" s="566"/>
      <c r="E91" s="566"/>
      <c r="F91" s="566"/>
      <c r="G91" s="566"/>
      <c r="H91" s="566"/>
      <c r="I91" s="566"/>
      <c r="J91" s="566"/>
      <c r="K91" s="566"/>
      <c r="L91" s="566"/>
      <c r="M91" s="566"/>
      <c r="N91" s="566"/>
      <c r="O91" s="566"/>
      <c r="P91" s="566"/>
      <c r="Q91" s="566"/>
      <c r="R91" s="566"/>
      <c r="S91" s="566"/>
      <c r="T91" s="566"/>
      <c r="U91" s="566"/>
      <c r="V91" s="566"/>
      <c r="W91" s="566"/>
      <c r="X91" s="566"/>
      <c r="Y91" s="566"/>
      <c r="Z91" s="566"/>
      <c r="AA91" s="566"/>
    </row>
    <row r="92" ht="15.75" customHeight="1">
      <c r="A92" s="566"/>
      <c r="B92" s="566"/>
      <c r="C92" s="566"/>
      <c r="D92" s="566"/>
      <c r="E92" s="566"/>
      <c r="F92" s="566"/>
      <c r="G92" s="566"/>
      <c r="H92" s="566"/>
      <c r="I92" s="566"/>
      <c r="J92" s="566"/>
      <c r="K92" s="566"/>
      <c r="L92" s="566"/>
      <c r="M92" s="566"/>
      <c r="N92" s="566"/>
      <c r="O92" s="566"/>
      <c r="P92" s="566"/>
      <c r="Q92" s="566"/>
      <c r="R92" s="566"/>
      <c r="S92" s="566"/>
      <c r="T92" s="566"/>
      <c r="U92" s="566"/>
      <c r="V92" s="566"/>
      <c r="W92" s="566"/>
      <c r="X92" s="566"/>
      <c r="Y92" s="566"/>
      <c r="Z92" s="566"/>
      <c r="AA92" s="566"/>
    </row>
    <row r="93" ht="15.75" customHeight="1">
      <c r="A93" s="566"/>
      <c r="B93" s="566"/>
      <c r="C93" s="566"/>
      <c r="D93" s="566"/>
      <c r="E93" s="566"/>
      <c r="F93" s="566"/>
      <c r="G93" s="566"/>
      <c r="H93" s="566"/>
      <c r="I93" s="566"/>
      <c r="J93" s="566"/>
      <c r="K93" s="566"/>
      <c r="L93" s="566"/>
      <c r="M93" s="566"/>
      <c r="N93" s="566"/>
      <c r="O93" s="566"/>
      <c r="P93" s="566"/>
      <c r="Q93" s="566"/>
      <c r="R93" s="566"/>
      <c r="S93" s="566"/>
      <c r="T93" s="566"/>
      <c r="U93" s="566"/>
      <c r="V93" s="566"/>
      <c r="W93" s="566"/>
      <c r="X93" s="566"/>
      <c r="Y93" s="566"/>
      <c r="Z93" s="566"/>
      <c r="AA93" s="566"/>
    </row>
    <row r="94" ht="15.75" customHeight="1">
      <c r="A94" s="566"/>
      <c r="B94" s="566"/>
      <c r="C94" s="566"/>
      <c r="D94" s="566"/>
      <c r="E94" s="566"/>
      <c r="F94" s="566"/>
      <c r="G94" s="566"/>
      <c r="H94" s="566"/>
      <c r="I94" s="566"/>
      <c r="J94" s="566"/>
      <c r="K94" s="566"/>
      <c r="L94" s="566"/>
      <c r="M94" s="566"/>
      <c r="N94" s="566"/>
      <c r="O94" s="566"/>
      <c r="P94" s="566"/>
      <c r="Q94" s="566"/>
      <c r="R94" s="566"/>
      <c r="S94" s="566"/>
      <c r="T94" s="566"/>
      <c r="U94" s="566"/>
      <c r="V94" s="566"/>
      <c r="W94" s="566"/>
      <c r="X94" s="566"/>
      <c r="Y94" s="566"/>
      <c r="Z94" s="566"/>
      <c r="AA94" s="566"/>
    </row>
    <row r="95" ht="15.75" customHeight="1">
      <c r="A95" s="566"/>
      <c r="B95" s="566"/>
      <c r="C95" s="566"/>
      <c r="D95" s="566"/>
      <c r="E95" s="566"/>
      <c r="F95" s="566"/>
      <c r="G95" s="566"/>
      <c r="H95" s="566"/>
      <c r="I95" s="566"/>
      <c r="J95" s="566"/>
      <c r="K95" s="566"/>
      <c r="L95" s="566"/>
      <c r="M95" s="566"/>
      <c r="N95" s="566"/>
      <c r="O95" s="566"/>
      <c r="P95" s="566"/>
      <c r="Q95" s="566"/>
      <c r="R95" s="566"/>
      <c r="S95" s="566"/>
      <c r="T95" s="566"/>
      <c r="U95" s="566"/>
      <c r="V95" s="566"/>
      <c r="W95" s="566"/>
      <c r="X95" s="566"/>
      <c r="Y95" s="566"/>
      <c r="Z95" s="566"/>
      <c r="AA95" s="566"/>
    </row>
    <row r="96" ht="15.75" customHeight="1">
      <c r="A96" s="566"/>
      <c r="B96" s="566"/>
      <c r="C96" s="566"/>
      <c r="D96" s="566"/>
      <c r="E96" s="566"/>
      <c r="F96" s="566"/>
      <c r="G96" s="566"/>
      <c r="H96" s="566"/>
      <c r="I96" s="566"/>
      <c r="J96" s="566"/>
      <c r="K96" s="566"/>
      <c r="L96" s="566"/>
      <c r="M96" s="566"/>
      <c r="N96" s="566"/>
      <c r="O96" s="566"/>
      <c r="P96" s="566"/>
      <c r="Q96" s="566"/>
      <c r="R96" s="566"/>
      <c r="S96" s="566"/>
      <c r="T96" s="566"/>
      <c r="U96" s="566"/>
      <c r="V96" s="566"/>
      <c r="W96" s="566"/>
      <c r="X96" s="566"/>
      <c r="Y96" s="566"/>
      <c r="Z96" s="566"/>
      <c r="AA96" s="566"/>
    </row>
    <row r="97" ht="15.75" customHeight="1">
      <c r="A97" s="566"/>
      <c r="B97" s="566"/>
      <c r="C97" s="566"/>
      <c r="D97" s="566"/>
      <c r="E97" s="566"/>
      <c r="F97" s="566"/>
      <c r="G97" s="566"/>
      <c r="H97" s="566"/>
      <c r="I97" s="566"/>
      <c r="J97" s="566"/>
      <c r="K97" s="566"/>
      <c r="L97" s="566"/>
      <c r="M97" s="566"/>
      <c r="N97" s="566"/>
      <c r="O97" s="566"/>
      <c r="P97" s="566"/>
      <c r="Q97" s="566"/>
      <c r="R97" s="566"/>
      <c r="S97" s="566"/>
      <c r="T97" s="566"/>
      <c r="U97" s="566"/>
      <c r="V97" s="566"/>
      <c r="W97" s="566"/>
      <c r="X97" s="566"/>
      <c r="Y97" s="566"/>
      <c r="Z97" s="566"/>
      <c r="AA97" s="566"/>
    </row>
    <row r="98" ht="15.75" customHeight="1">
      <c r="A98" s="566"/>
      <c r="B98" s="566"/>
      <c r="C98" s="566"/>
      <c r="D98" s="566"/>
      <c r="E98" s="566"/>
      <c r="F98" s="566"/>
      <c r="G98" s="566"/>
      <c r="H98" s="566"/>
      <c r="I98" s="566"/>
      <c r="J98" s="566"/>
      <c r="K98" s="566"/>
      <c r="L98" s="566"/>
      <c r="M98" s="566"/>
      <c r="N98" s="566"/>
      <c r="O98" s="566"/>
      <c r="P98" s="566"/>
      <c r="Q98" s="566"/>
      <c r="R98" s="566"/>
      <c r="S98" s="566"/>
      <c r="T98" s="566"/>
      <c r="U98" s="566"/>
      <c r="V98" s="566"/>
      <c r="W98" s="566"/>
      <c r="X98" s="566"/>
      <c r="Y98" s="566"/>
      <c r="Z98" s="566"/>
      <c r="AA98" s="566"/>
    </row>
    <row r="99" ht="15.75" customHeight="1">
      <c r="A99" s="566"/>
      <c r="B99" s="566"/>
      <c r="C99" s="566"/>
      <c r="D99" s="566"/>
      <c r="E99" s="566"/>
      <c r="F99" s="566"/>
      <c r="G99" s="566"/>
      <c r="H99" s="566"/>
      <c r="I99" s="566"/>
      <c r="J99" s="566"/>
      <c r="K99" s="566"/>
      <c r="L99" s="566"/>
      <c r="M99" s="566"/>
      <c r="N99" s="566"/>
      <c r="O99" s="566"/>
      <c r="P99" s="566"/>
      <c r="Q99" s="566"/>
      <c r="R99" s="566"/>
      <c r="S99" s="566"/>
      <c r="T99" s="566"/>
      <c r="U99" s="566"/>
      <c r="V99" s="566"/>
      <c r="W99" s="566"/>
      <c r="X99" s="566"/>
      <c r="Y99" s="566"/>
      <c r="Z99" s="566"/>
      <c r="AA99" s="566"/>
    </row>
    <row r="100" ht="15.75" customHeight="1">
      <c r="A100" s="566"/>
      <c r="B100" s="566"/>
      <c r="C100" s="566"/>
      <c r="D100" s="566"/>
      <c r="E100" s="566"/>
      <c r="F100" s="566"/>
      <c r="G100" s="566"/>
      <c r="H100" s="566"/>
      <c r="I100" s="566"/>
      <c r="J100" s="566"/>
      <c r="K100" s="566"/>
      <c r="L100" s="566"/>
      <c r="M100" s="566"/>
      <c r="N100" s="566"/>
      <c r="O100" s="566"/>
      <c r="P100" s="566"/>
      <c r="Q100" s="566"/>
      <c r="R100" s="566"/>
      <c r="S100" s="566"/>
      <c r="T100" s="566"/>
      <c r="U100" s="566"/>
      <c r="V100" s="566"/>
      <c r="W100" s="566"/>
      <c r="X100" s="566"/>
      <c r="Y100" s="566"/>
      <c r="Z100" s="566"/>
      <c r="AA100" s="566"/>
    </row>
    <row r="101" ht="15.75" customHeight="1">
      <c r="A101" s="566"/>
      <c r="B101" s="566"/>
      <c r="C101" s="566"/>
      <c r="D101" s="566"/>
      <c r="E101" s="566"/>
      <c r="F101" s="566"/>
      <c r="G101" s="566"/>
      <c r="H101" s="566"/>
      <c r="I101" s="566"/>
      <c r="J101" s="566"/>
      <c r="K101" s="566"/>
      <c r="L101" s="566"/>
      <c r="M101" s="566"/>
      <c r="N101" s="566"/>
      <c r="O101" s="566"/>
      <c r="P101" s="566"/>
      <c r="Q101" s="566"/>
      <c r="R101" s="566"/>
      <c r="S101" s="566"/>
      <c r="T101" s="566"/>
      <c r="U101" s="566"/>
      <c r="V101" s="566"/>
      <c r="W101" s="566"/>
      <c r="X101" s="566"/>
      <c r="Y101" s="566"/>
      <c r="Z101" s="566"/>
      <c r="AA101" s="566"/>
    </row>
    <row r="102" ht="15.75" customHeight="1">
      <c r="A102" s="566"/>
      <c r="B102" s="566"/>
      <c r="C102" s="566"/>
      <c r="D102" s="566"/>
      <c r="E102" s="566"/>
      <c r="F102" s="566"/>
      <c r="G102" s="566"/>
      <c r="H102" s="566"/>
      <c r="I102" s="566"/>
      <c r="J102" s="566"/>
      <c r="K102" s="566"/>
      <c r="L102" s="566"/>
      <c r="M102" s="566"/>
      <c r="N102" s="566"/>
      <c r="O102" s="566"/>
      <c r="P102" s="566"/>
      <c r="Q102" s="566"/>
      <c r="R102" s="566"/>
      <c r="S102" s="566"/>
      <c r="T102" s="566"/>
      <c r="U102" s="566"/>
      <c r="V102" s="566"/>
      <c r="W102" s="566"/>
      <c r="X102" s="566"/>
      <c r="Y102" s="566"/>
      <c r="Z102" s="566"/>
      <c r="AA102" s="566"/>
    </row>
    <row r="103" ht="15.75" customHeight="1">
      <c r="A103" s="566"/>
      <c r="B103" s="566"/>
      <c r="C103" s="566"/>
      <c r="D103" s="566"/>
      <c r="E103" s="566"/>
      <c r="F103" s="566"/>
      <c r="G103" s="566"/>
      <c r="H103" s="566"/>
      <c r="I103" s="566"/>
      <c r="J103" s="566"/>
      <c r="K103" s="566"/>
      <c r="L103" s="566"/>
      <c r="M103" s="566"/>
      <c r="N103" s="566"/>
      <c r="O103" s="566"/>
      <c r="P103" s="566"/>
      <c r="Q103" s="566"/>
      <c r="R103" s="566"/>
      <c r="S103" s="566"/>
      <c r="T103" s="566"/>
      <c r="U103" s="566"/>
      <c r="V103" s="566"/>
      <c r="W103" s="566"/>
      <c r="X103" s="566"/>
      <c r="Y103" s="566"/>
      <c r="Z103" s="566"/>
      <c r="AA103" s="566"/>
    </row>
    <row r="104" ht="15.75" customHeight="1">
      <c r="A104" s="566"/>
      <c r="B104" s="566"/>
      <c r="C104" s="566"/>
      <c r="D104" s="566"/>
      <c r="E104" s="566"/>
      <c r="F104" s="566"/>
      <c r="G104" s="566"/>
      <c r="H104" s="566"/>
      <c r="I104" s="566"/>
      <c r="J104" s="566"/>
      <c r="K104" s="566"/>
      <c r="L104" s="566"/>
      <c r="M104" s="566"/>
      <c r="N104" s="566"/>
      <c r="O104" s="566"/>
      <c r="P104" s="566"/>
      <c r="Q104" s="566"/>
      <c r="R104" s="566"/>
      <c r="S104" s="566"/>
      <c r="T104" s="566"/>
      <c r="U104" s="566"/>
      <c r="V104" s="566"/>
      <c r="W104" s="566"/>
      <c r="X104" s="566"/>
      <c r="Y104" s="566"/>
      <c r="Z104" s="566"/>
      <c r="AA104" s="566"/>
    </row>
    <row r="105" ht="15.75" customHeight="1">
      <c r="A105" s="566"/>
      <c r="B105" s="566"/>
      <c r="C105" s="566"/>
      <c r="D105" s="566"/>
      <c r="E105" s="566"/>
      <c r="F105" s="566"/>
      <c r="G105" s="566"/>
      <c r="H105" s="566"/>
      <c r="I105" s="566"/>
      <c r="J105" s="566"/>
      <c r="K105" s="566"/>
      <c r="L105" s="566"/>
      <c r="M105" s="566"/>
      <c r="N105" s="566"/>
      <c r="O105" s="566"/>
      <c r="P105" s="566"/>
      <c r="Q105" s="566"/>
      <c r="R105" s="566"/>
      <c r="S105" s="566"/>
      <c r="T105" s="566"/>
      <c r="U105" s="566"/>
      <c r="V105" s="566"/>
      <c r="W105" s="566"/>
      <c r="X105" s="566"/>
      <c r="Y105" s="566"/>
      <c r="Z105" s="566"/>
      <c r="AA105" s="566"/>
    </row>
    <row r="106" ht="15.75" customHeight="1">
      <c r="A106" s="566"/>
      <c r="B106" s="566"/>
      <c r="C106" s="566"/>
      <c r="D106" s="566"/>
      <c r="E106" s="566"/>
      <c r="F106" s="566"/>
      <c r="G106" s="566"/>
      <c r="H106" s="566"/>
      <c r="I106" s="566"/>
      <c r="J106" s="566"/>
      <c r="K106" s="566"/>
      <c r="L106" s="566"/>
      <c r="M106" s="566"/>
      <c r="N106" s="566"/>
      <c r="O106" s="566"/>
      <c r="P106" s="566"/>
      <c r="Q106" s="566"/>
      <c r="R106" s="566"/>
      <c r="S106" s="566"/>
      <c r="T106" s="566"/>
      <c r="U106" s="566"/>
      <c r="V106" s="566"/>
      <c r="W106" s="566"/>
      <c r="X106" s="566"/>
      <c r="Y106" s="566"/>
      <c r="Z106" s="566"/>
      <c r="AA106" s="566"/>
    </row>
    <row r="107" ht="15.75" customHeight="1">
      <c r="A107" s="566"/>
      <c r="B107" s="566"/>
      <c r="C107" s="566"/>
      <c r="D107" s="566"/>
      <c r="E107" s="566"/>
      <c r="F107" s="566"/>
      <c r="G107" s="566"/>
      <c r="H107" s="566"/>
      <c r="I107" s="566"/>
      <c r="J107" s="566"/>
      <c r="K107" s="566"/>
      <c r="L107" s="566"/>
      <c r="M107" s="566"/>
      <c r="N107" s="566"/>
      <c r="O107" s="566"/>
      <c r="P107" s="566"/>
      <c r="Q107" s="566"/>
      <c r="R107" s="566"/>
      <c r="S107" s="566"/>
      <c r="T107" s="566"/>
      <c r="U107" s="566"/>
      <c r="V107" s="566"/>
      <c r="W107" s="566"/>
      <c r="X107" s="566"/>
      <c r="Y107" s="566"/>
      <c r="Z107" s="566"/>
      <c r="AA107" s="566"/>
    </row>
    <row r="108" ht="15.75" customHeight="1">
      <c r="A108" s="566"/>
      <c r="B108" s="566"/>
      <c r="C108" s="566"/>
      <c r="D108" s="566"/>
      <c r="E108" s="566"/>
      <c r="F108" s="566"/>
      <c r="G108" s="566"/>
      <c r="H108" s="566"/>
      <c r="I108" s="566"/>
      <c r="J108" s="566"/>
      <c r="K108" s="566"/>
      <c r="L108" s="566"/>
      <c r="M108" s="566"/>
      <c r="N108" s="566"/>
      <c r="O108" s="566"/>
      <c r="P108" s="566"/>
      <c r="Q108" s="566"/>
      <c r="R108" s="566"/>
      <c r="S108" s="566"/>
      <c r="T108" s="566"/>
      <c r="U108" s="566"/>
      <c r="V108" s="566"/>
      <c r="W108" s="566"/>
      <c r="X108" s="566"/>
      <c r="Y108" s="566"/>
      <c r="Z108" s="566"/>
      <c r="AA108" s="566"/>
    </row>
    <row r="109" ht="15.75" customHeight="1">
      <c r="A109" s="566"/>
      <c r="B109" s="566"/>
      <c r="C109" s="566"/>
      <c r="D109" s="566"/>
      <c r="E109" s="566"/>
      <c r="F109" s="566"/>
      <c r="G109" s="566"/>
      <c r="H109" s="566"/>
      <c r="I109" s="566"/>
      <c r="J109" s="566"/>
      <c r="K109" s="566"/>
      <c r="L109" s="566"/>
      <c r="M109" s="566"/>
      <c r="N109" s="566"/>
      <c r="O109" s="566"/>
      <c r="P109" s="566"/>
      <c r="Q109" s="566"/>
      <c r="R109" s="566"/>
      <c r="S109" s="566"/>
      <c r="T109" s="566"/>
      <c r="U109" s="566"/>
      <c r="V109" s="566"/>
      <c r="W109" s="566"/>
      <c r="X109" s="566"/>
      <c r="Y109" s="566"/>
      <c r="Z109" s="566"/>
      <c r="AA109" s="566"/>
    </row>
    <row r="110" ht="15.75" customHeight="1">
      <c r="A110" s="566"/>
      <c r="B110" s="566"/>
      <c r="C110" s="566"/>
      <c r="D110" s="566"/>
      <c r="E110" s="566"/>
      <c r="F110" s="566"/>
      <c r="G110" s="566"/>
      <c r="H110" s="566"/>
      <c r="I110" s="566"/>
      <c r="J110" s="566"/>
      <c r="K110" s="566"/>
      <c r="L110" s="566"/>
      <c r="M110" s="566"/>
      <c r="N110" s="566"/>
      <c r="O110" s="566"/>
      <c r="P110" s="566"/>
      <c r="Q110" s="566"/>
      <c r="R110" s="566"/>
      <c r="S110" s="566"/>
      <c r="T110" s="566"/>
      <c r="U110" s="566"/>
      <c r="V110" s="566"/>
      <c r="W110" s="566"/>
      <c r="X110" s="566"/>
      <c r="Y110" s="566"/>
      <c r="Z110" s="566"/>
      <c r="AA110" s="566"/>
    </row>
    <row r="111" ht="15.75" customHeight="1">
      <c r="A111" s="566"/>
      <c r="B111" s="566"/>
      <c r="C111" s="566"/>
      <c r="D111" s="566"/>
      <c r="E111" s="566"/>
      <c r="F111" s="566"/>
      <c r="G111" s="566"/>
      <c r="H111" s="566"/>
      <c r="I111" s="566"/>
      <c r="J111" s="566"/>
      <c r="K111" s="566"/>
      <c r="L111" s="566"/>
      <c r="M111" s="566"/>
      <c r="N111" s="566"/>
      <c r="O111" s="566"/>
      <c r="P111" s="566"/>
      <c r="Q111" s="566"/>
      <c r="R111" s="566"/>
      <c r="S111" s="566"/>
      <c r="T111" s="566"/>
      <c r="U111" s="566"/>
      <c r="V111" s="566"/>
      <c r="W111" s="566"/>
      <c r="X111" s="566"/>
      <c r="Y111" s="566"/>
      <c r="Z111" s="566"/>
      <c r="AA111" s="566"/>
    </row>
    <row r="112" ht="15.75" customHeight="1">
      <c r="A112" s="566"/>
      <c r="B112" s="566"/>
      <c r="C112" s="566"/>
      <c r="D112" s="566"/>
      <c r="E112" s="566"/>
      <c r="F112" s="566"/>
      <c r="G112" s="566"/>
      <c r="H112" s="566"/>
      <c r="I112" s="566"/>
      <c r="J112" s="566"/>
      <c r="K112" s="566"/>
      <c r="L112" s="566"/>
      <c r="M112" s="566"/>
      <c r="N112" s="566"/>
      <c r="O112" s="566"/>
      <c r="P112" s="566"/>
      <c r="Q112" s="566"/>
      <c r="R112" s="566"/>
      <c r="S112" s="566"/>
      <c r="T112" s="566"/>
      <c r="U112" s="566"/>
      <c r="V112" s="566"/>
      <c r="W112" s="566"/>
      <c r="X112" s="566"/>
      <c r="Y112" s="566"/>
      <c r="Z112" s="566"/>
      <c r="AA112" s="566"/>
    </row>
    <row r="113" ht="15.75" customHeight="1">
      <c r="A113" s="566"/>
      <c r="B113" s="566"/>
      <c r="C113" s="566"/>
      <c r="D113" s="566"/>
      <c r="E113" s="566"/>
      <c r="F113" s="566"/>
      <c r="G113" s="566"/>
      <c r="H113" s="566"/>
      <c r="I113" s="566"/>
      <c r="J113" s="566"/>
      <c r="K113" s="566"/>
      <c r="L113" s="566"/>
      <c r="M113" s="566"/>
      <c r="N113" s="566"/>
      <c r="O113" s="566"/>
      <c r="P113" s="566"/>
      <c r="Q113" s="566"/>
      <c r="R113" s="566"/>
      <c r="S113" s="566"/>
      <c r="T113" s="566"/>
      <c r="U113" s="566"/>
      <c r="V113" s="566"/>
      <c r="W113" s="566"/>
      <c r="X113" s="566"/>
      <c r="Y113" s="566"/>
      <c r="Z113" s="566"/>
      <c r="AA113" s="566"/>
    </row>
    <row r="114" ht="15.75" customHeight="1">
      <c r="A114" s="566"/>
      <c r="B114" s="566"/>
      <c r="C114" s="566"/>
      <c r="D114" s="566"/>
      <c r="E114" s="566"/>
      <c r="F114" s="566"/>
      <c r="G114" s="566"/>
      <c r="H114" s="566"/>
      <c r="I114" s="566"/>
      <c r="J114" s="566"/>
      <c r="K114" s="566"/>
      <c r="L114" s="566"/>
      <c r="M114" s="566"/>
      <c r="N114" s="566"/>
      <c r="O114" s="566"/>
      <c r="P114" s="566"/>
      <c r="Q114" s="566"/>
      <c r="R114" s="566"/>
      <c r="S114" s="566"/>
      <c r="T114" s="566"/>
      <c r="U114" s="566"/>
      <c r="V114" s="566"/>
      <c r="W114" s="566"/>
      <c r="X114" s="566"/>
      <c r="Y114" s="566"/>
      <c r="Z114" s="566"/>
      <c r="AA114" s="566"/>
    </row>
    <row r="115" ht="15.75" customHeight="1">
      <c r="A115" s="566"/>
      <c r="B115" s="566"/>
      <c r="C115" s="566"/>
      <c r="D115" s="566"/>
      <c r="E115" s="566"/>
      <c r="F115" s="566"/>
      <c r="G115" s="566"/>
      <c r="H115" s="566"/>
      <c r="I115" s="566"/>
      <c r="J115" s="566"/>
      <c r="K115" s="566"/>
      <c r="L115" s="566"/>
      <c r="M115" s="566"/>
      <c r="N115" s="566"/>
      <c r="O115" s="566"/>
      <c r="P115" s="566"/>
      <c r="Q115" s="566"/>
      <c r="R115" s="566"/>
      <c r="S115" s="566"/>
      <c r="T115" s="566"/>
      <c r="U115" s="566"/>
      <c r="V115" s="566"/>
      <c r="W115" s="566"/>
      <c r="X115" s="566"/>
      <c r="Y115" s="566"/>
      <c r="Z115" s="566"/>
      <c r="AA115" s="566"/>
    </row>
    <row r="116" ht="15.75" customHeight="1">
      <c r="A116" s="566"/>
      <c r="B116" s="566"/>
      <c r="C116" s="566"/>
      <c r="D116" s="566"/>
      <c r="E116" s="566"/>
      <c r="F116" s="566"/>
      <c r="G116" s="566"/>
      <c r="H116" s="566"/>
      <c r="I116" s="566"/>
      <c r="J116" s="566"/>
      <c r="K116" s="566"/>
      <c r="L116" s="566"/>
      <c r="M116" s="566"/>
      <c r="N116" s="566"/>
      <c r="O116" s="566"/>
      <c r="P116" s="566"/>
      <c r="Q116" s="566"/>
      <c r="R116" s="566"/>
      <c r="S116" s="566"/>
      <c r="T116" s="566"/>
      <c r="U116" s="566"/>
      <c r="V116" s="566"/>
      <c r="W116" s="566"/>
      <c r="X116" s="566"/>
      <c r="Y116" s="566"/>
      <c r="Z116" s="566"/>
      <c r="AA116" s="566"/>
    </row>
    <row r="117" ht="15.75" customHeight="1">
      <c r="A117" s="566"/>
      <c r="B117" s="566"/>
      <c r="C117" s="566"/>
      <c r="D117" s="566"/>
      <c r="E117" s="566"/>
      <c r="F117" s="566"/>
      <c r="G117" s="566"/>
      <c r="H117" s="566"/>
      <c r="I117" s="566"/>
      <c r="J117" s="566"/>
      <c r="K117" s="566"/>
      <c r="L117" s="566"/>
      <c r="M117" s="566"/>
      <c r="N117" s="566"/>
      <c r="O117" s="566"/>
      <c r="P117" s="566"/>
      <c r="Q117" s="566"/>
      <c r="R117" s="566"/>
      <c r="S117" s="566"/>
      <c r="T117" s="566"/>
      <c r="U117" s="566"/>
      <c r="V117" s="566"/>
      <c r="W117" s="566"/>
      <c r="X117" s="566"/>
      <c r="Y117" s="566"/>
      <c r="Z117" s="566"/>
      <c r="AA117" s="566"/>
    </row>
    <row r="118" ht="15.75" customHeight="1">
      <c r="A118" s="566"/>
      <c r="B118" s="566"/>
      <c r="C118" s="566"/>
      <c r="D118" s="566"/>
      <c r="E118" s="566"/>
      <c r="F118" s="566"/>
      <c r="G118" s="566"/>
      <c r="H118" s="566"/>
      <c r="I118" s="566"/>
      <c r="J118" s="566"/>
      <c r="K118" s="566"/>
      <c r="L118" s="566"/>
      <c r="M118" s="566"/>
      <c r="N118" s="566"/>
      <c r="O118" s="566"/>
      <c r="P118" s="566"/>
      <c r="Q118" s="566"/>
      <c r="R118" s="566"/>
      <c r="S118" s="566"/>
      <c r="T118" s="566"/>
      <c r="U118" s="566"/>
      <c r="V118" s="566"/>
      <c r="W118" s="566"/>
      <c r="X118" s="566"/>
      <c r="Y118" s="566"/>
      <c r="Z118" s="566"/>
      <c r="AA118" s="566"/>
    </row>
    <row r="119" ht="15.75" customHeight="1">
      <c r="A119" s="566"/>
      <c r="B119" s="566"/>
      <c r="C119" s="566"/>
      <c r="D119" s="566"/>
      <c r="E119" s="566"/>
      <c r="F119" s="566"/>
      <c r="G119" s="566"/>
      <c r="H119" s="566"/>
      <c r="I119" s="566"/>
      <c r="J119" s="566"/>
      <c r="K119" s="566"/>
      <c r="L119" s="566"/>
      <c r="M119" s="566"/>
      <c r="N119" s="566"/>
      <c r="O119" s="566"/>
      <c r="P119" s="566"/>
      <c r="Q119" s="566"/>
      <c r="R119" s="566"/>
      <c r="S119" s="566"/>
      <c r="T119" s="566"/>
      <c r="U119" s="566"/>
      <c r="V119" s="566"/>
      <c r="W119" s="566"/>
      <c r="X119" s="566"/>
      <c r="Y119" s="566"/>
      <c r="Z119" s="566"/>
      <c r="AA119" s="566"/>
    </row>
    <row r="120" ht="15.75" customHeight="1">
      <c r="A120" s="566"/>
      <c r="B120" s="566"/>
      <c r="C120" s="566"/>
      <c r="D120" s="566"/>
      <c r="E120" s="566"/>
      <c r="F120" s="566"/>
      <c r="G120" s="566"/>
      <c r="H120" s="566"/>
      <c r="I120" s="566"/>
      <c r="J120" s="566"/>
      <c r="K120" s="566"/>
      <c r="L120" s="566"/>
      <c r="M120" s="566"/>
      <c r="N120" s="566"/>
      <c r="O120" s="566"/>
      <c r="P120" s="566"/>
      <c r="Q120" s="566"/>
      <c r="R120" s="566"/>
      <c r="S120" s="566"/>
      <c r="T120" s="566"/>
      <c r="U120" s="566"/>
      <c r="V120" s="566"/>
      <c r="W120" s="566"/>
      <c r="X120" s="566"/>
      <c r="Y120" s="566"/>
      <c r="Z120" s="566"/>
      <c r="AA120" s="566"/>
    </row>
    <row r="121" ht="15.75" customHeight="1">
      <c r="A121" s="566"/>
      <c r="B121" s="566"/>
      <c r="C121" s="566"/>
      <c r="D121" s="566"/>
      <c r="E121" s="566"/>
      <c r="F121" s="566"/>
      <c r="G121" s="566"/>
      <c r="H121" s="566"/>
      <c r="I121" s="566"/>
      <c r="J121" s="566"/>
      <c r="K121" s="566"/>
      <c r="L121" s="566"/>
      <c r="M121" s="566"/>
      <c r="N121" s="566"/>
      <c r="O121" s="566"/>
      <c r="P121" s="566"/>
      <c r="Q121" s="566"/>
      <c r="R121" s="566"/>
      <c r="S121" s="566"/>
      <c r="T121" s="566"/>
      <c r="U121" s="566"/>
      <c r="V121" s="566"/>
      <c r="W121" s="566"/>
      <c r="X121" s="566"/>
      <c r="Y121" s="566"/>
      <c r="Z121" s="566"/>
      <c r="AA121" s="566"/>
    </row>
    <row r="122" ht="15.75" customHeight="1">
      <c r="A122" s="566"/>
      <c r="B122" s="566"/>
      <c r="C122" s="566"/>
      <c r="D122" s="566"/>
      <c r="E122" s="566"/>
      <c r="F122" s="566"/>
      <c r="G122" s="566"/>
      <c r="H122" s="566"/>
      <c r="I122" s="566"/>
      <c r="J122" s="566"/>
      <c r="K122" s="566"/>
      <c r="L122" s="566"/>
      <c r="M122" s="566"/>
      <c r="N122" s="566"/>
      <c r="O122" s="566"/>
      <c r="P122" s="566"/>
      <c r="Q122" s="566"/>
      <c r="R122" s="566"/>
      <c r="S122" s="566"/>
      <c r="T122" s="566"/>
      <c r="U122" s="566"/>
      <c r="V122" s="566"/>
      <c r="W122" s="566"/>
      <c r="X122" s="566"/>
      <c r="Y122" s="566"/>
      <c r="Z122" s="566"/>
      <c r="AA122" s="566"/>
    </row>
    <row r="123" ht="15.75" customHeight="1">
      <c r="A123" s="566"/>
      <c r="B123" s="566"/>
      <c r="C123" s="566"/>
      <c r="D123" s="566"/>
      <c r="E123" s="566"/>
      <c r="F123" s="566"/>
      <c r="G123" s="566"/>
      <c r="H123" s="566"/>
      <c r="I123" s="566"/>
      <c r="J123" s="566"/>
      <c r="K123" s="566"/>
      <c r="L123" s="566"/>
      <c r="M123" s="566"/>
      <c r="N123" s="566"/>
      <c r="O123" s="566"/>
      <c r="P123" s="566"/>
      <c r="Q123" s="566"/>
      <c r="R123" s="566"/>
      <c r="S123" s="566"/>
      <c r="T123" s="566"/>
      <c r="U123" s="566"/>
      <c r="V123" s="566"/>
      <c r="W123" s="566"/>
      <c r="X123" s="566"/>
      <c r="Y123" s="566"/>
      <c r="Z123" s="566"/>
      <c r="AA123" s="566"/>
    </row>
    <row r="124" ht="15.75" customHeight="1">
      <c r="A124" s="566"/>
      <c r="B124" s="566"/>
      <c r="C124" s="566"/>
      <c r="D124" s="566"/>
      <c r="E124" s="566"/>
      <c r="F124" s="566"/>
      <c r="G124" s="566"/>
      <c r="H124" s="566"/>
      <c r="I124" s="566"/>
      <c r="J124" s="566"/>
      <c r="K124" s="566"/>
      <c r="L124" s="566"/>
      <c r="M124" s="566"/>
      <c r="N124" s="566"/>
      <c r="O124" s="566"/>
      <c r="P124" s="566"/>
      <c r="Q124" s="566"/>
      <c r="R124" s="566"/>
      <c r="S124" s="566"/>
      <c r="T124" s="566"/>
      <c r="U124" s="566"/>
      <c r="V124" s="566"/>
      <c r="W124" s="566"/>
      <c r="X124" s="566"/>
      <c r="Y124" s="566"/>
      <c r="Z124" s="566"/>
      <c r="AA124" s="566"/>
    </row>
    <row r="125" ht="15.75" customHeight="1">
      <c r="A125" s="566"/>
      <c r="B125" s="566"/>
      <c r="C125" s="566"/>
      <c r="D125" s="566"/>
      <c r="E125" s="566"/>
      <c r="F125" s="566"/>
      <c r="G125" s="566"/>
      <c r="H125" s="566"/>
      <c r="I125" s="566"/>
      <c r="J125" s="566"/>
      <c r="K125" s="566"/>
      <c r="L125" s="566"/>
      <c r="M125" s="566"/>
      <c r="N125" s="566"/>
      <c r="O125" s="566"/>
      <c r="P125" s="566"/>
      <c r="Q125" s="566"/>
      <c r="R125" s="566"/>
      <c r="S125" s="566"/>
      <c r="T125" s="566"/>
      <c r="U125" s="566"/>
      <c r="V125" s="566"/>
      <c r="W125" s="566"/>
      <c r="X125" s="566"/>
      <c r="Y125" s="566"/>
      <c r="Z125" s="566"/>
      <c r="AA125" s="566"/>
    </row>
    <row r="126" ht="15.75" customHeight="1">
      <c r="A126" s="566"/>
      <c r="B126" s="566"/>
      <c r="C126" s="566"/>
      <c r="D126" s="566"/>
      <c r="E126" s="566"/>
      <c r="F126" s="566"/>
      <c r="G126" s="566"/>
      <c r="H126" s="566"/>
      <c r="I126" s="566"/>
      <c r="J126" s="566"/>
      <c r="K126" s="566"/>
      <c r="L126" s="566"/>
      <c r="M126" s="566"/>
      <c r="N126" s="566"/>
      <c r="O126" s="566"/>
      <c r="P126" s="566"/>
      <c r="Q126" s="566"/>
      <c r="R126" s="566"/>
      <c r="S126" s="566"/>
      <c r="T126" s="566"/>
      <c r="U126" s="566"/>
      <c r="V126" s="566"/>
      <c r="W126" s="566"/>
      <c r="X126" s="566"/>
      <c r="Y126" s="566"/>
      <c r="Z126" s="566"/>
      <c r="AA126" s="566"/>
    </row>
    <row r="127" ht="15.75" customHeight="1">
      <c r="A127" s="566"/>
      <c r="B127" s="566"/>
      <c r="C127" s="566"/>
      <c r="D127" s="566"/>
      <c r="E127" s="566"/>
      <c r="F127" s="566"/>
      <c r="G127" s="566"/>
      <c r="H127" s="566"/>
      <c r="I127" s="566"/>
      <c r="J127" s="566"/>
      <c r="K127" s="566"/>
      <c r="L127" s="566"/>
      <c r="M127" s="566"/>
      <c r="N127" s="566"/>
      <c r="O127" s="566"/>
      <c r="P127" s="566"/>
      <c r="Q127" s="566"/>
      <c r="R127" s="566"/>
      <c r="S127" s="566"/>
      <c r="T127" s="566"/>
      <c r="U127" s="566"/>
      <c r="V127" s="566"/>
      <c r="W127" s="566"/>
      <c r="X127" s="566"/>
      <c r="Y127" s="566"/>
      <c r="Z127" s="566"/>
      <c r="AA127" s="566"/>
    </row>
    <row r="128" ht="15.75" customHeight="1">
      <c r="A128" s="566"/>
      <c r="B128" s="566"/>
      <c r="C128" s="566"/>
      <c r="D128" s="566"/>
      <c r="E128" s="566"/>
      <c r="F128" s="566"/>
      <c r="G128" s="566"/>
      <c r="H128" s="566"/>
      <c r="I128" s="566"/>
      <c r="J128" s="566"/>
      <c r="K128" s="566"/>
      <c r="L128" s="566"/>
      <c r="M128" s="566"/>
      <c r="N128" s="566"/>
      <c r="O128" s="566"/>
      <c r="P128" s="566"/>
      <c r="Q128" s="566"/>
      <c r="R128" s="566"/>
      <c r="S128" s="566"/>
      <c r="T128" s="566"/>
      <c r="U128" s="566"/>
      <c r="V128" s="566"/>
      <c r="W128" s="566"/>
      <c r="X128" s="566"/>
      <c r="Y128" s="566"/>
      <c r="Z128" s="566"/>
      <c r="AA128" s="566"/>
    </row>
    <row r="129" ht="15.75" customHeight="1">
      <c r="A129" s="566"/>
      <c r="B129" s="566"/>
      <c r="C129" s="566"/>
      <c r="D129" s="566"/>
      <c r="E129" s="566"/>
      <c r="F129" s="566"/>
      <c r="G129" s="566"/>
      <c r="H129" s="566"/>
      <c r="I129" s="566"/>
      <c r="J129" s="566"/>
      <c r="K129" s="566"/>
      <c r="L129" s="566"/>
      <c r="M129" s="566"/>
      <c r="N129" s="566"/>
      <c r="O129" s="566"/>
      <c r="P129" s="566"/>
      <c r="Q129" s="566"/>
      <c r="R129" s="566"/>
      <c r="S129" s="566"/>
      <c r="T129" s="566"/>
      <c r="U129" s="566"/>
      <c r="V129" s="566"/>
      <c r="W129" s="566"/>
      <c r="X129" s="566"/>
      <c r="Y129" s="566"/>
      <c r="Z129" s="566"/>
      <c r="AA129" s="566"/>
    </row>
    <row r="130" ht="15.75" customHeight="1">
      <c r="A130" s="566"/>
      <c r="B130" s="566"/>
      <c r="C130" s="566"/>
      <c r="D130" s="566"/>
      <c r="E130" s="566"/>
      <c r="F130" s="566"/>
      <c r="G130" s="566"/>
      <c r="H130" s="566"/>
      <c r="I130" s="566"/>
      <c r="J130" s="566"/>
      <c r="K130" s="566"/>
      <c r="L130" s="566"/>
      <c r="M130" s="566"/>
      <c r="N130" s="566"/>
      <c r="O130" s="566"/>
      <c r="P130" s="566"/>
      <c r="Q130" s="566"/>
      <c r="R130" s="566"/>
      <c r="S130" s="566"/>
      <c r="T130" s="566"/>
      <c r="U130" s="566"/>
      <c r="V130" s="566"/>
      <c r="W130" s="566"/>
      <c r="X130" s="566"/>
      <c r="Y130" s="566"/>
      <c r="Z130" s="566"/>
      <c r="AA130" s="566"/>
    </row>
    <row r="131" ht="15.75" customHeight="1">
      <c r="A131" s="566"/>
      <c r="B131" s="566"/>
      <c r="C131" s="566"/>
      <c r="D131" s="566"/>
      <c r="E131" s="566"/>
      <c r="F131" s="566"/>
      <c r="G131" s="566"/>
      <c r="H131" s="566"/>
      <c r="I131" s="566"/>
      <c r="J131" s="566"/>
      <c r="K131" s="566"/>
      <c r="L131" s="566"/>
      <c r="M131" s="566"/>
      <c r="N131" s="566"/>
      <c r="O131" s="566"/>
      <c r="P131" s="566"/>
      <c r="Q131" s="566"/>
      <c r="R131" s="566"/>
      <c r="S131" s="566"/>
      <c r="T131" s="566"/>
      <c r="U131" s="566"/>
      <c r="V131" s="566"/>
      <c r="W131" s="566"/>
      <c r="X131" s="566"/>
      <c r="Y131" s="566"/>
      <c r="Z131" s="566"/>
      <c r="AA131" s="566"/>
    </row>
    <row r="132" ht="15.75" customHeight="1">
      <c r="A132" s="566"/>
      <c r="B132" s="566"/>
      <c r="C132" s="566"/>
      <c r="D132" s="566"/>
      <c r="E132" s="566"/>
      <c r="F132" s="566"/>
      <c r="G132" s="566"/>
      <c r="H132" s="566"/>
      <c r="I132" s="566"/>
      <c r="J132" s="566"/>
      <c r="K132" s="566"/>
      <c r="L132" s="566"/>
      <c r="M132" s="566"/>
      <c r="N132" s="566"/>
      <c r="O132" s="566"/>
      <c r="P132" s="566"/>
      <c r="Q132" s="566"/>
      <c r="R132" s="566"/>
      <c r="S132" s="566"/>
      <c r="T132" s="566"/>
      <c r="U132" s="566"/>
      <c r="V132" s="566"/>
      <c r="W132" s="566"/>
      <c r="X132" s="566"/>
      <c r="Y132" s="566"/>
      <c r="Z132" s="566"/>
      <c r="AA132" s="566"/>
    </row>
    <row r="133" ht="15.75" customHeight="1">
      <c r="A133" s="566"/>
      <c r="B133" s="566"/>
      <c r="C133" s="566"/>
      <c r="D133" s="566"/>
      <c r="E133" s="566"/>
      <c r="F133" s="566"/>
      <c r="G133" s="566"/>
      <c r="H133" s="566"/>
      <c r="I133" s="566"/>
      <c r="J133" s="566"/>
      <c r="K133" s="566"/>
      <c r="L133" s="566"/>
      <c r="M133" s="566"/>
      <c r="N133" s="566"/>
      <c r="O133" s="566"/>
      <c r="P133" s="566"/>
      <c r="Q133" s="566"/>
      <c r="R133" s="566"/>
      <c r="S133" s="566"/>
      <c r="T133" s="566"/>
      <c r="U133" s="566"/>
      <c r="V133" s="566"/>
      <c r="W133" s="566"/>
      <c r="X133" s="566"/>
      <c r="Y133" s="566"/>
      <c r="Z133" s="566"/>
      <c r="AA133" s="566"/>
    </row>
    <row r="134" ht="15.75" customHeight="1">
      <c r="A134" s="566"/>
      <c r="B134" s="566"/>
      <c r="C134" s="566"/>
      <c r="D134" s="566"/>
      <c r="E134" s="566"/>
      <c r="F134" s="566"/>
      <c r="G134" s="566"/>
      <c r="H134" s="566"/>
      <c r="I134" s="566"/>
      <c r="J134" s="566"/>
      <c r="K134" s="566"/>
      <c r="L134" s="566"/>
      <c r="M134" s="566"/>
      <c r="N134" s="566"/>
      <c r="O134" s="566"/>
      <c r="P134" s="566"/>
      <c r="Q134" s="566"/>
      <c r="R134" s="566"/>
      <c r="S134" s="566"/>
      <c r="T134" s="566"/>
      <c r="U134" s="566"/>
      <c r="V134" s="566"/>
      <c r="W134" s="566"/>
      <c r="X134" s="566"/>
      <c r="Y134" s="566"/>
      <c r="Z134" s="566"/>
      <c r="AA134" s="566"/>
    </row>
    <row r="135" ht="15.75" customHeight="1">
      <c r="A135" s="566"/>
      <c r="B135" s="566"/>
      <c r="C135" s="566"/>
      <c r="D135" s="566"/>
      <c r="E135" s="566"/>
      <c r="F135" s="566"/>
      <c r="G135" s="566"/>
      <c r="H135" s="566"/>
      <c r="I135" s="566"/>
      <c r="J135" s="566"/>
      <c r="K135" s="566"/>
      <c r="L135" s="566"/>
      <c r="M135" s="566"/>
      <c r="N135" s="566"/>
      <c r="O135" s="566"/>
      <c r="P135" s="566"/>
      <c r="Q135" s="566"/>
      <c r="R135" s="566"/>
      <c r="S135" s="566"/>
      <c r="T135" s="566"/>
      <c r="U135" s="566"/>
      <c r="V135" s="566"/>
      <c r="W135" s="566"/>
      <c r="X135" s="566"/>
      <c r="Y135" s="566"/>
      <c r="Z135" s="566"/>
      <c r="AA135" s="566"/>
    </row>
    <row r="136" ht="15.75" customHeight="1">
      <c r="A136" s="566"/>
      <c r="B136" s="566"/>
      <c r="C136" s="566"/>
      <c r="D136" s="566"/>
      <c r="E136" s="566"/>
      <c r="F136" s="566"/>
      <c r="G136" s="566"/>
      <c r="H136" s="566"/>
      <c r="I136" s="566"/>
      <c r="J136" s="566"/>
      <c r="K136" s="566"/>
      <c r="L136" s="566"/>
      <c r="M136" s="566"/>
      <c r="N136" s="566"/>
      <c r="O136" s="566"/>
      <c r="P136" s="566"/>
      <c r="Q136" s="566"/>
      <c r="R136" s="566"/>
      <c r="S136" s="566"/>
      <c r="T136" s="566"/>
      <c r="U136" s="566"/>
      <c r="V136" s="566"/>
      <c r="W136" s="566"/>
      <c r="X136" s="566"/>
      <c r="Y136" s="566"/>
      <c r="Z136" s="566"/>
      <c r="AA136" s="566"/>
    </row>
    <row r="137" ht="15.75" customHeight="1">
      <c r="A137" s="566"/>
      <c r="B137" s="566"/>
      <c r="C137" s="566"/>
      <c r="D137" s="566"/>
      <c r="E137" s="566"/>
      <c r="F137" s="566"/>
      <c r="G137" s="566"/>
      <c r="H137" s="566"/>
      <c r="I137" s="566"/>
      <c r="J137" s="566"/>
      <c r="K137" s="566"/>
      <c r="L137" s="566"/>
      <c r="M137" s="566"/>
      <c r="N137" s="566"/>
      <c r="O137" s="566"/>
      <c r="P137" s="566"/>
      <c r="Q137" s="566"/>
      <c r="R137" s="566"/>
      <c r="S137" s="566"/>
      <c r="T137" s="566"/>
      <c r="U137" s="566"/>
      <c r="V137" s="566"/>
      <c r="W137" s="566"/>
      <c r="X137" s="566"/>
      <c r="Y137" s="566"/>
      <c r="Z137" s="566"/>
      <c r="AA137" s="566"/>
    </row>
    <row r="138" ht="15.75" customHeight="1">
      <c r="A138" s="566"/>
      <c r="B138" s="566"/>
      <c r="C138" s="566"/>
      <c r="D138" s="566"/>
      <c r="E138" s="566"/>
      <c r="F138" s="566"/>
      <c r="G138" s="566"/>
      <c r="H138" s="566"/>
      <c r="I138" s="566"/>
      <c r="J138" s="566"/>
      <c r="K138" s="566"/>
      <c r="L138" s="566"/>
      <c r="M138" s="566"/>
      <c r="N138" s="566"/>
      <c r="O138" s="566"/>
      <c r="P138" s="566"/>
      <c r="Q138" s="566"/>
      <c r="R138" s="566"/>
      <c r="S138" s="566"/>
      <c r="T138" s="566"/>
      <c r="U138" s="566"/>
      <c r="V138" s="566"/>
      <c r="W138" s="566"/>
      <c r="X138" s="566"/>
      <c r="Y138" s="566"/>
      <c r="Z138" s="566"/>
      <c r="AA138" s="566"/>
    </row>
    <row r="139" ht="15.75" customHeight="1">
      <c r="A139" s="566"/>
      <c r="B139" s="566"/>
      <c r="C139" s="566"/>
      <c r="D139" s="566"/>
      <c r="E139" s="566"/>
      <c r="F139" s="566"/>
      <c r="G139" s="566"/>
      <c r="H139" s="566"/>
      <c r="I139" s="566"/>
      <c r="J139" s="566"/>
      <c r="K139" s="566"/>
      <c r="L139" s="566"/>
      <c r="M139" s="566"/>
      <c r="N139" s="566"/>
      <c r="O139" s="566"/>
      <c r="P139" s="566"/>
      <c r="Q139" s="566"/>
      <c r="R139" s="566"/>
      <c r="S139" s="566"/>
      <c r="T139" s="566"/>
      <c r="U139" s="566"/>
      <c r="V139" s="566"/>
      <c r="W139" s="566"/>
      <c r="X139" s="566"/>
      <c r="Y139" s="566"/>
      <c r="Z139" s="566"/>
      <c r="AA139" s="566"/>
    </row>
    <row r="140" ht="15.75" customHeight="1">
      <c r="A140" s="566"/>
      <c r="B140" s="566"/>
      <c r="C140" s="566"/>
      <c r="D140" s="566"/>
      <c r="E140" s="566"/>
      <c r="F140" s="566"/>
      <c r="G140" s="566"/>
      <c r="H140" s="566"/>
      <c r="I140" s="566"/>
      <c r="J140" s="566"/>
      <c r="K140" s="566"/>
      <c r="L140" s="566"/>
      <c r="M140" s="566"/>
      <c r="N140" s="566"/>
      <c r="O140" s="566"/>
      <c r="P140" s="566"/>
      <c r="Q140" s="566"/>
      <c r="R140" s="566"/>
      <c r="S140" s="566"/>
      <c r="T140" s="566"/>
      <c r="U140" s="566"/>
      <c r="V140" s="566"/>
      <c r="W140" s="566"/>
      <c r="X140" s="566"/>
      <c r="Y140" s="566"/>
      <c r="Z140" s="566"/>
      <c r="AA140" s="566"/>
    </row>
    <row r="141" ht="15.75" customHeight="1">
      <c r="A141" s="566"/>
      <c r="B141" s="566"/>
      <c r="C141" s="566"/>
      <c r="D141" s="566"/>
      <c r="E141" s="566"/>
      <c r="F141" s="566"/>
      <c r="G141" s="566"/>
      <c r="H141" s="566"/>
      <c r="I141" s="566"/>
      <c r="J141" s="566"/>
      <c r="K141" s="566"/>
      <c r="L141" s="566"/>
      <c r="M141" s="566"/>
      <c r="N141" s="566"/>
      <c r="O141" s="566"/>
      <c r="P141" s="566"/>
      <c r="Q141" s="566"/>
      <c r="R141" s="566"/>
      <c r="S141" s="566"/>
      <c r="T141" s="566"/>
      <c r="U141" s="566"/>
      <c r="V141" s="566"/>
      <c r="W141" s="566"/>
      <c r="X141" s="566"/>
      <c r="Y141" s="566"/>
      <c r="Z141" s="566"/>
      <c r="AA141" s="566"/>
    </row>
    <row r="142" ht="15.75" customHeight="1">
      <c r="A142" s="566"/>
      <c r="B142" s="566"/>
      <c r="C142" s="566"/>
      <c r="D142" s="566"/>
      <c r="E142" s="566"/>
      <c r="F142" s="566"/>
      <c r="G142" s="566"/>
      <c r="H142" s="566"/>
      <c r="I142" s="566"/>
      <c r="J142" s="566"/>
      <c r="K142" s="566"/>
      <c r="L142" s="566"/>
      <c r="M142" s="566"/>
      <c r="N142" s="566"/>
      <c r="O142" s="566"/>
      <c r="P142" s="566"/>
      <c r="Q142" s="566"/>
      <c r="R142" s="566"/>
      <c r="S142" s="566"/>
      <c r="T142" s="566"/>
      <c r="U142" s="566"/>
      <c r="V142" s="566"/>
      <c r="W142" s="566"/>
      <c r="X142" s="566"/>
      <c r="Y142" s="566"/>
      <c r="Z142" s="566"/>
      <c r="AA142" s="566"/>
    </row>
    <row r="143" ht="15.75" customHeight="1">
      <c r="A143" s="566"/>
      <c r="B143" s="566"/>
      <c r="C143" s="566"/>
      <c r="D143" s="566"/>
      <c r="E143" s="566"/>
      <c r="F143" s="566"/>
      <c r="G143" s="566"/>
      <c r="H143" s="566"/>
      <c r="I143" s="566"/>
      <c r="J143" s="566"/>
      <c r="K143" s="566"/>
      <c r="L143" s="566"/>
      <c r="M143" s="566"/>
      <c r="N143" s="566"/>
      <c r="O143" s="566"/>
      <c r="P143" s="566"/>
      <c r="Q143" s="566"/>
      <c r="R143" s="566"/>
      <c r="S143" s="566"/>
      <c r="T143" s="566"/>
      <c r="U143" s="566"/>
      <c r="V143" s="566"/>
      <c r="W143" s="566"/>
      <c r="X143" s="566"/>
      <c r="Y143" s="566"/>
      <c r="Z143" s="566"/>
      <c r="AA143" s="566"/>
    </row>
    <row r="144" ht="15.75" customHeight="1">
      <c r="A144" s="566"/>
      <c r="B144" s="566"/>
      <c r="C144" s="566"/>
      <c r="D144" s="566"/>
      <c r="E144" s="566"/>
      <c r="F144" s="566"/>
      <c r="G144" s="566"/>
      <c r="H144" s="566"/>
      <c r="I144" s="566"/>
      <c r="J144" s="566"/>
      <c r="K144" s="566"/>
      <c r="L144" s="566"/>
      <c r="M144" s="566"/>
      <c r="N144" s="566"/>
      <c r="O144" s="566"/>
      <c r="P144" s="566"/>
      <c r="Q144" s="566"/>
      <c r="R144" s="566"/>
      <c r="S144" s="566"/>
      <c r="T144" s="566"/>
      <c r="U144" s="566"/>
      <c r="V144" s="566"/>
      <c r="W144" s="566"/>
      <c r="X144" s="566"/>
      <c r="Y144" s="566"/>
      <c r="Z144" s="566"/>
      <c r="AA144" s="566"/>
    </row>
    <row r="145" ht="15.75" customHeight="1">
      <c r="A145" s="566"/>
      <c r="B145" s="566"/>
      <c r="C145" s="566"/>
      <c r="D145" s="566"/>
      <c r="E145" s="566"/>
      <c r="F145" s="566"/>
      <c r="G145" s="566"/>
      <c r="H145" s="566"/>
      <c r="I145" s="566"/>
      <c r="J145" s="566"/>
      <c r="K145" s="566"/>
      <c r="L145" s="566"/>
      <c r="M145" s="566"/>
      <c r="N145" s="566"/>
      <c r="O145" s="566"/>
      <c r="P145" s="566"/>
      <c r="Q145" s="566"/>
      <c r="R145" s="566"/>
      <c r="S145" s="566"/>
      <c r="T145" s="566"/>
      <c r="U145" s="566"/>
      <c r="V145" s="566"/>
      <c r="W145" s="566"/>
      <c r="X145" s="566"/>
      <c r="Y145" s="566"/>
      <c r="Z145" s="566"/>
      <c r="AA145" s="566"/>
    </row>
    <row r="146" ht="15.75" customHeight="1">
      <c r="A146" s="566"/>
      <c r="B146" s="566"/>
      <c r="C146" s="566"/>
      <c r="D146" s="566"/>
      <c r="E146" s="566"/>
      <c r="F146" s="566"/>
      <c r="G146" s="566"/>
      <c r="H146" s="566"/>
      <c r="I146" s="566"/>
      <c r="J146" s="566"/>
      <c r="K146" s="566"/>
      <c r="L146" s="566"/>
      <c r="M146" s="566"/>
      <c r="N146" s="566"/>
      <c r="O146" s="566"/>
      <c r="P146" s="566"/>
      <c r="Q146" s="566"/>
      <c r="R146" s="566"/>
      <c r="S146" s="566"/>
      <c r="T146" s="566"/>
      <c r="U146" s="566"/>
      <c r="V146" s="566"/>
      <c r="W146" s="566"/>
      <c r="X146" s="566"/>
      <c r="Y146" s="566"/>
      <c r="Z146" s="566"/>
      <c r="AA146" s="566"/>
    </row>
    <row r="147" ht="15.75" customHeight="1">
      <c r="A147" s="566"/>
      <c r="B147" s="566"/>
      <c r="C147" s="566"/>
      <c r="D147" s="566"/>
      <c r="E147" s="566"/>
      <c r="F147" s="566"/>
      <c r="G147" s="566"/>
      <c r="H147" s="566"/>
      <c r="I147" s="566"/>
      <c r="J147" s="566"/>
      <c r="K147" s="566"/>
      <c r="L147" s="566"/>
      <c r="M147" s="566"/>
      <c r="N147" s="566"/>
      <c r="O147" s="566"/>
      <c r="P147" s="566"/>
      <c r="Q147" s="566"/>
      <c r="R147" s="566"/>
      <c r="S147" s="566"/>
      <c r="T147" s="566"/>
      <c r="U147" s="566"/>
      <c r="V147" s="566"/>
      <c r="W147" s="566"/>
      <c r="X147" s="566"/>
      <c r="Y147" s="566"/>
      <c r="Z147" s="566"/>
      <c r="AA147" s="566"/>
    </row>
    <row r="148" ht="15.75" customHeight="1">
      <c r="A148" s="566"/>
      <c r="B148" s="566"/>
      <c r="C148" s="566"/>
      <c r="D148" s="566"/>
      <c r="E148" s="566"/>
      <c r="F148" s="566"/>
      <c r="G148" s="566"/>
      <c r="H148" s="566"/>
      <c r="I148" s="566"/>
      <c r="J148" s="566"/>
      <c r="K148" s="566"/>
      <c r="L148" s="566"/>
      <c r="M148" s="566"/>
      <c r="N148" s="566"/>
      <c r="O148" s="566"/>
      <c r="P148" s="566"/>
      <c r="Q148" s="566"/>
      <c r="R148" s="566"/>
      <c r="S148" s="566"/>
      <c r="T148" s="566"/>
      <c r="U148" s="566"/>
      <c r="V148" s="566"/>
      <c r="W148" s="566"/>
      <c r="X148" s="566"/>
      <c r="Y148" s="566"/>
      <c r="Z148" s="566"/>
      <c r="AA148" s="566"/>
    </row>
    <row r="149" ht="15.75" customHeight="1">
      <c r="A149" s="566"/>
      <c r="B149" s="566"/>
      <c r="C149" s="566"/>
      <c r="D149" s="566"/>
      <c r="E149" s="566"/>
      <c r="F149" s="566"/>
      <c r="G149" s="566"/>
      <c r="H149" s="566"/>
      <c r="I149" s="566"/>
      <c r="J149" s="566"/>
      <c r="K149" s="566"/>
      <c r="L149" s="566"/>
      <c r="M149" s="566"/>
      <c r="N149" s="566"/>
      <c r="O149" s="566"/>
      <c r="P149" s="566"/>
      <c r="Q149" s="566"/>
      <c r="R149" s="566"/>
      <c r="S149" s="566"/>
      <c r="T149" s="566"/>
      <c r="U149" s="566"/>
      <c r="V149" s="566"/>
      <c r="W149" s="566"/>
      <c r="X149" s="566"/>
      <c r="Y149" s="566"/>
      <c r="Z149" s="566"/>
      <c r="AA149" s="566"/>
    </row>
    <row r="150" ht="15.75" customHeight="1">
      <c r="A150" s="566"/>
      <c r="B150" s="566"/>
      <c r="C150" s="566"/>
      <c r="D150" s="566"/>
      <c r="E150" s="566"/>
      <c r="F150" s="566"/>
      <c r="G150" s="566"/>
      <c r="H150" s="566"/>
      <c r="I150" s="566"/>
      <c r="J150" s="566"/>
      <c r="K150" s="566"/>
      <c r="L150" s="566"/>
      <c r="M150" s="566"/>
      <c r="N150" s="566"/>
      <c r="O150" s="566"/>
      <c r="P150" s="566"/>
      <c r="Q150" s="566"/>
      <c r="R150" s="566"/>
      <c r="S150" s="566"/>
      <c r="T150" s="566"/>
      <c r="U150" s="566"/>
      <c r="V150" s="566"/>
      <c r="W150" s="566"/>
      <c r="X150" s="566"/>
      <c r="Y150" s="566"/>
      <c r="Z150" s="566"/>
      <c r="AA150" s="566"/>
    </row>
    <row r="151" ht="15.75" customHeight="1">
      <c r="A151" s="566"/>
      <c r="B151" s="566"/>
      <c r="C151" s="566"/>
      <c r="D151" s="566"/>
      <c r="E151" s="566"/>
      <c r="F151" s="566"/>
      <c r="G151" s="566"/>
      <c r="H151" s="566"/>
      <c r="I151" s="566"/>
      <c r="J151" s="566"/>
      <c r="K151" s="566"/>
      <c r="L151" s="566"/>
      <c r="M151" s="566"/>
      <c r="N151" s="566"/>
      <c r="O151" s="566"/>
      <c r="P151" s="566"/>
      <c r="Q151" s="566"/>
      <c r="R151" s="566"/>
      <c r="S151" s="566"/>
      <c r="T151" s="566"/>
      <c r="U151" s="566"/>
      <c r="V151" s="566"/>
      <c r="W151" s="566"/>
      <c r="X151" s="566"/>
      <c r="Y151" s="566"/>
      <c r="Z151" s="566"/>
      <c r="AA151" s="566"/>
    </row>
    <row r="152" ht="15.75" customHeight="1">
      <c r="A152" s="566"/>
      <c r="B152" s="566"/>
      <c r="C152" s="566"/>
      <c r="D152" s="566"/>
      <c r="E152" s="566"/>
      <c r="F152" s="566"/>
      <c r="G152" s="566"/>
      <c r="H152" s="566"/>
      <c r="I152" s="566"/>
      <c r="J152" s="566"/>
      <c r="K152" s="566"/>
      <c r="L152" s="566"/>
      <c r="M152" s="566"/>
      <c r="N152" s="566"/>
      <c r="O152" s="566"/>
      <c r="P152" s="566"/>
      <c r="Q152" s="566"/>
      <c r="R152" s="566"/>
      <c r="S152" s="566"/>
      <c r="T152" s="566"/>
      <c r="U152" s="566"/>
      <c r="V152" s="566"/>
      <c r="W152" s="566"/>
      <c r="X152" s="566"/>
      <c r="Y152" s="566"/>
      <c r="Z152" s="566"/>
      <c r="AA152" s="566"/>
    </row>
    <row r="153" ht="15.75" customHeight="1">
      <c r="A153" s="566"/>
      <c r="B153" s="566"/>
      <c r="C153" s="566"/>
      <c r="D153" s="566"/>
      <c r="E153" s="566"/>
      <c r="F153" s="566"/>
      <c r="G153" s="566"/>
      <c r="H153" s="566"/>
      <c r="I153" s="566"/>
      <c r="J153" s="566"/>
      <c r="K153" s="566"/>
      <c r="L153" s="566"/>
      <c r="M153" s="566"/>
      <c r="N153" s="566"/>
      <c r="O153" s="566"/>
      <c r="P153" s="566"/>
      <c r="Q153" s="566"/>
      <c r="R153" s="566"/>
      <c r="S153" s="566"/>
      <c r="T153" s="566"/>
      <c r="U153" s="566"/>
      <c r="V153" s="566"/>
      <c r="W153" s="566"/>
      <c r="X153" s="566"/>
      <c r="Y153" s="566"/>
      <c r="Z153" s="566"/>
      <c r="AA153" s="566"/>
    </row>
    <row r="154" ht="15.75" customHeight="1">
      <c r="A154" s="566"/>
      <c r="B154" s="566"/>
      <c r="C154" s="566"/>
      <c r="D154" s="566"/>
      <c r="E154" s="566"/>
      <c r="F154" s="566"/>
      <c r="G154" s="566"/>
      <c r="H154" s="566"/>
      <c r="I154" s="566"/>
      <c r="J154" s="566"/>
      <c r="K154" s="566"/>
      <c r="L154" s="566"/>
      <c r="M154" s="566"/>
      <c r="N154" s="566"/>
      <c r="O154" s="566"/>
      <c r="P154" s="566"/>
      <c r="Q154" s="566"/>
      <c r="R154" s="566"/>
      <c r="S154" s="566"/>
      <c r="T154" s="566"/>
      <c r="U154" s="566"/>
      <c r="V154" s="566"/>
      <c r="W154" s="566"/>
      <c r="X154" s="566"/>
      <c r="Y154" s="566"/>
      <c r="Z154" s="566"/>
      <c r="AA154" s="566"/>
    </row>
    <row r="155" ht="15.75" customHeight="1">
      <c r="A155" s="566"/>
      <c r="B155" s="566"/>
      <c r="C155" s="566"/>
      <c r="D155" s="566"/>
      <c r="E155" s="566"/>
      <c r="F155" s="566"/>
      <c r="G155" s="566"/>
      <c r="H155" s="566"/>
      <c r="I155" s="566"/>
      <c r="J155" s="566"/>
      <c r="K155" s="566"/>
      <c r="L155" s="566"/>
      <c r="M155" s="566"/>
      <c r="N155" s="566"/>
      <c r="O155" s="566"/>
      <c r="P155" s="566"/>
      <c r="Q155" s="566"/>
      <c r="R155" s="566"/>
      <c r="S155" s="566"/>
      <c r="T155" s="566"/>
      <c r="U155" s="566"/>
      <c r="V155" s="566"/>
      <c r="W155" s="566"/>
      <c r="X155" s="566"/>
      <c r="Y155" s="566"/>
      <c r="Z155" s="566"/>
      <c r="AA155" s="566"/>
    </row>
    <row r="156" ht="15.75" customHeight="1">
      <c r="A156" s="566"/>
      <c r="B156" s="566"/>
      <c r="C156" s="566"/>
      <c r="D156" s="566"/>
      <c r="E156" s="566"/>
      <c r="F156" s="566"/>
      <c r="G156" s="566"/>
      <c r="H156" s="566"/>
      <c r="I156" s="566"/>
      <c r="J156" s="566"/>
      <c r="K156" s="566"/>
      <c r="L156" s="566"/>
      <c r="M156" s="566"/>
      <c r="N156" s="566"/>
      <c r="O156" s="566"/>
      <c r="P156" s="566"/>
      <c r="Q156" s="566"/>
      <c r="R156" s="566"/>
      <c r="S156" s="566"/>
      <c r="T156" s="566"/>
      <c r="U156" s="566"/>
      <c r="V156" s="566"/>
      <c r="W156" s="566"/>
      <c r="X156" s="566"/>
      <c r="Y156" s="566"/>
      <c r="Z156" s="566"/>
      <c r="AA156" s="566"/>
    </row>
    <row r="157" ht="15.75" customHeight="1">
      <c r="A157" s="566"/>
      <c r="B157" s="566"/>
      <c r="C157" s="566"/>
      <c r="D157" s="566"/>
      <c r="E157" s="566"/>
      <c r="F157" s="566"/>
      <c r="G157" s="566"/>
      <c r="H157" s="566"/>
      <c r="I157" s="566"/>
      <c r="J157" s="566"/>
      <c r="K157" s="566"/>
      <c r="L157" s="566"/>
      <c r="M157" s="566"/>
      <c r="N157" s="566"/>
      <c r="O157" s="566"/>
      <c r="P157" s="566"/>
      <c r="Q157" s="566"/>
      <c r="R157" s="566"/>
      <c r="S157" s="566"/>
      <c r="T157" s="566"/>
      <c r="U157" s="566"/>
      <c r="V157" s="566"/>
      <c r="W157" s="566"/>
      <c r="X157" s="566"/>
      <c r="Y157" s="566"/>
      <c r="Z157" s="566"/>
      <c r="AA157" s="566"/>
    </row>
    <row r="158" ht="15.75" customHeight="1">
      <c r="A158" s="566"/>
      <c r="B158" s="566"/>
      <c r="C158" s="566"/>
      <c r="D158" s="566"/>
      <c r="E158" s="566"/>
      <c r="F158" s="566"/>
      <c r="G158" s="566"/>
      <c r="H158" s="566"/>
      <c r="I158" s="566"/>
      <c r="J158" s="566"/>
      <c r="K158" s="566"/>
      <c r="L158" s="566"/>
      <c r="M158" s="566"/>
      <c r="N158" s="566"/>
      <c r="O158" s="566"/>
      <c r="P158" s="566"/>
      <c r="Q158" s="566"/>
      <c r="R158" s="566"/>
      <c r="S158" s="566"/>
      <c r="T158" s="566"/>
      <c r="U158" s="566"/>
      <c r="V158" s="566"/>
      <c r="W158" s="566"/>
      <c r="X158" s="566"/>
      <c r="Y158" s="566"/>
      <c r="Z158" s="566"/>
      <c r="AA158" s="566"/>
    </row>
    <row r="159" ht="15.75" customHeight="1">
      <c r="A159" s="566"/>
      <c r="B159" s="566"/>
      <c r="C159" s="566"/>
      <c r="D159" s="566"/>
      <c r="E159" s="566"/>
      <c r="F159" s="566"/>
      <c r="G159" s="566"/>
      <c r="H159" s="566"/>
      <c r="I159" s="566"/>
      <c r="J159" s="566"/>
      <c r="K159" s="566"/>
      <c r="L159" s="566"/>
      <c r="M159" s="566"/>
      <c r="N159" s="566"/>
      <c r="O159" s="566"/>
      <c r="P159" s="566"/>
      <c r="Q159" s="566"/>
      <c r="R159" s="566"/>
      <c r="S159" s="566"/>
      <c r="T159" s="566"/>
      <c r="U159" s="566"/>
      <c r="V159" s="566"/>
      <c r="W159" s="566"/>
      <c r="X159" s="566"/>
      <c r="Y159" s="566"/>
      <c r="Z159" s="566"/>
      <c r="AA159" s="566"/>
    </row>
    <row r="160" ht="15.75" customHeight="1">
      <c r="A160" s="566"/>
      <c r="B160" s="566"/>
      <c r="C160" s="566"/>
      <c r="D160" s="566"/>
      <c r="E160" s="566"/>
      <c r="F160" s="566"/>
      <c r="G160" s="566"/>
      <c r="H160" s="566"/>
      <c r="I160" s="566"/>
      <c r="J160" s="566"/>
      <c r="K160" s="566"/>
      <c r="L160" s="566"/>
      <c r="M160" s="566"/>
      <c r="N160" s="566"/>
      <c r="O160" s="566"/>
      <c r="P160" s="566"/>
      <c r="Q160" s="566"/>
      <c r="R160" s="566"/>
      <c r="S160" s="566"/>
      <c r="T160" s="566"/>
      <c r="U160" s="566"/>
      <c r="V160" s="566"/>
      <c r="W160" s="566"/>
      <c r="X160" s="566"/>
      <c r="Y160" s="566"/>
      <c r="Z160" s="566"/>
      <c r="AA160" s="566"/>
    </row>
    <row r="161" ht="15.75" customHeight="1">
      <c r="A161" s="566"/>
      <c r="B161" s="566"/>
      <c r="C161" s="566"/>
      <c r="D161" s="566"/>
      <c r="E161" s="566"/>
      <c r="F161" s="566"/>
      <c r="G161" s="566"/>
      <c r="H161" s="566"/>
      <c r="I161" s="566"/>
      <c r="J161" s="566"/>
      <c r="K161" s="566"/>
      <c r="L161" s="566"/>
      <c r="M161" s="566"/>
      <c r="N161" s="566"/>
      <c r="O161" s="566"/>
      <c r="P161" s="566"/>
      <c r="Q161" s="566"/>
      <c r="R161" s="566"/>
      <c r="S161" s="566"/>
      <c r="T161" s="566"/>
      <c r="U161" s="566"/>
      <c r="V161" s="566"/>
      <c r="W161" s="566"/>
      <c r="X161" s="566"/>
      <c r="Y161" s="566"/>
      <c r="Z161" s="566"/>
      <c r="AA161" s="566"/>
    </row>
    <row r="162" ht="15.75" customHeight="1">
      <c r="A162" s="566"/>
      <c r="B162" s="566"/>
      <c r="C162" s="566"/>
      <c r="D162" s="566"/>
      <c r="E162" s="566"/>
      <c r="F162" s="566"/>
      <c r="G162" s="566"/>
      <c r="H162" s="566"/>
      <c r="I162" s="566"/>
      <c r="J162" s="566"/>
      <c r="K162" s="566"/>
      <c r="L162" s="566"/>
      <c r="M162" s="566"/>
      <c r="N162" s="566"/>
      <c r="O162" s="566"/>
      <c r="P162" s="566"/>
      <c r="Q162" s="566"/>
      <c r="R162" s="566"/>
      <c r="S162" s="566"/>
      <c r="T162" s="566"/>
      <c r="U162" s="566"/>
      <c r="V162" s="566"/>
      <c r="W162" s="566"/>
      <c r="X162" s="566"/>
      <c r="Y162" s="566"/>
      <c r="Z162" s="566"/>
      <c r="AA162" s="566"/>
    </row>
    <row r="163" ht="15.75" customHeight="1">
      <c r="A163" s="566"/>
      <c r="B163" s="566"/>
      <c r="C163" s="566"/>
      <c r="D163" s="566"/>
      <c r="E163" s="566"/>
      <c r="F163" s="566"/>
      <c r="G163" s="566"/>
      <c r="H163" s="566"/>
      <c r="I163" s="566"/>
      <c r="J163" s="566"/>
      <c r="K163" s="566"/>
      <c r="L163" s="566"/>
      <c r="M163" s="566"/>
      <c r="N163" s="566"/>
      <c r="O163" s="566"/>
      <c r="P163" s="566"/>
      <c r="Q163" s="566"/>
      <c r="R163" s="566"/>
      <c r="S163" s="566"/>
      <c r="T163" s="566"/>
      <c r="U163" s="566"/>
      <c r="V163" s="566"/>
      <c r="W163" s="566"/>
      <c r="X163" s="566"/>
      <c r="Y163" s="566"/>
      <c r="Z163" s="566"/>
      <c r="AA163" s="566"/>
    </row>
    <row r="164" ht="15.75" customHeight="1">
      <c r="A164" s="566"/>
      <c r="B164" s="566"/>
      <c r="C164" s="566"/>
      <c r="D164" s="566"/>
      <c r="E164" s="566"/>
      <c r="F164" s="566"/>
      <c r="G164" s="566"/>
      <c r="H164" s="566"/>
      <c r="I164" s="566"/>
      <c r="J164" s="566"/>
      <c r="K164" s="566"/>
      <c r="L164" s="566"/>
      <c r="M164" s="566"/>
      <c r="N164" s="566"/>
      <c r="O164" s="566"/>
      <c r="P164" s="566"/>
      <c r="Q164" s="566"/>
      <c r="R164" s="566"/>
      <c r="S164" s="566"/>
      <c r="T164" s="566"/>
      <c r="U164" s="566"/>
      <c r="V164" s="566"/>
      <c r="W164" s="566"/>
      <c r="X164" s="566"/>
      <c r="Y164" s="566"/>
      <c r="Z164" s="566"/>
      <c r="AA164" s="566"/>
    </row>
    <row r="165" ht="15.75" customHeight="1">
      <c r="A165" s="566"/>
      <c r="B165" s="566"/>
      <c r="C165" s="566"/>
      <c r="D165" s="566"/>
      <c r="E165" s="566"/>
      <c r="F165" s="566"/>
      <c r="G165" s="566"/>
      <c r="H165" s="566"/>
      <c r="I165" s="566"/>
      <c r="J165" s="566"/>
      <c r="K165" s="566"/>
      <c r="L165" s="566"/>
      <c r="M165" s="566"/>
      <c r="N165" s="566"/>
      <c r="O165" s="566"/>
      <c r="P165" s="566"/>
      <c r="Q165" s="566"/>
      <c r="R165" s="566"/>
      <c r="S165" s="566"/>
      <c r="T165" s="566"/>
      <c r="U165" s="566"/>
      <c r="V165" s="566"/>
      <c r="W165" s="566"/>
      <c r="X165" s="566"/>
      <c r="Y165" s="566"/>
      <c r="Z165" s="566"/>
      <c r="AA165" s="566"/>
    </row>
    <row r="166" ht="15.75" customHeight="1">
      <c r="A166" s="566"/>
      <c r="B166" s="566"/>
      <c r="C166" s="566"/>
      <c r="D166" s="566"/>
      <c r="E166" s="566"/>
      <c r="F166" s="566"/>
      <c r="G166" s="566"/>
      <c r="H166" s="566"/>
      <c r="I166" s="566"/>
      <c r="J166" s="566"/>
      <c r="K166" s="566"/>
      <c r="L166" s="566"/>
      <c r="M166" s="566"/>
      <c r="N166" s="566"/>
      <c r="O166" s="566"/>
      <c r="P166" s="566"/>
      <c r="Q166" s="566"/>
      <c r="R166" s="566"/>
      <c r="S166" s="566"/>
      <c r="T166" s="566"/>
      <c r="U166" s="566"/>
      <c r="V166" s="566"/>
      <c r="W166" s="566"/>
      <c r="X166" s="566"/>
      <c r="Y166" s="566"/>
      <c r="Z166" s="566"/>
      <c r="AA166" s="566"/>
    </row>
    <row r="167" ht="15.75" customHeight="1">
      <c r="A167" s="566"/>
      <c r="B167" s="566"/>
      <c r="C167" s="566"/>
      <c r="D167" s="566"/>
      <c r="E167" s="566"/>
      <c r="F167" s="566"/>
      <c r="G167" s="566"/>
      <c r="H167" s="566"/>
      <c r="I167" s="566"/>
      <c r="J167" s="566"/>
      <c r="K167" s="566"/>
      <c r="L167" s="566"/>
      <c r="M167" s="566"/>
      <c r="N167" s="566"/>
      <c r="O167" s="566"/>
      <c r="P167" s="566"/>
      <c r="Q167" s="566"/>
      <c r="R167" s="566"/>
      <c r="S167" s="566"/>
      <c r="T167" s="566"/>
      <c r="U167" s="566"/>
      <c r="V167" s="566"/>
      <c r="W167" s="566"/>
      <c r="X167" s="566"/>
      <c r="Y167" s="566"/>
      <c r="Z167" s="566"/>
      <c r="AA167" s="566"/>
    </row>
    <row r="168" ht="15.75" customHeight="1">
      <c r="A168" s="566"/>
      <c r="B168" s="566"/>
      <c r="C168" s="566"/>
      <c r="D168" s="566"/>
      <c r="E168" s="566"/>
      <c r="F168" s="566"/>
      <c r="G168" s="566"/>
      <c r="H168" s="566"/>
      <c r="I168" s="566"/>
      <c r="J168" s="566"/>
      <c r="K168" s="566"/>
      <c r="L168" s="566"/>
      <c r="M168" s="566"/>
      <c r="N168" s="566"/>
      <c r="O168" s="566"/>
      <c r="P168" s="566"/>
      <c r="Q168" s="566"/>
      <c r="R168" s="566"/>
      <c r="S168" s="566"/>
      <c r="T168" s="566"/>
      <c r="U168" s="566"/>
      <c r="V168" s="566"/>
      <c r="W168" s="566"/>
      <c r="X168" s="566"/>
      <c r="Y168" s="566"/>
      <c r="Z168" s="566"/>
      <c r="AA168" s="566"/>
    </row>
    <row r="169" ht="15.75" customHeight="1">
      <c r="A169" s="566"/>
      <c r="B169" s="566"/>
      <c r="C169" s="566"/>
      <c r="D169" s="566"/>
      <c r="E169" s="566"/>
      <c r="F169" s="566"/>
      <c r="G169" s="566"/>
      <c r="H169" s="566"/>
      <c r="I169" s="566"/>
      <c r="J169" s="566"/>
      <c r="K169" s="566"/>
      <c r="L169" s="566"/>
      <c r="M169" s="566"/>
      <c r="N169" s="566"/>
      <c r="O169" s="566"/>
      <c r="P169" s="566"/>
      <c r="Q169" s="566"/>
      <c r="R169" s="566"/>
      <c r="S169" s="566"/>
      <c r="T169" s="566"/>
      <c r="U169" s="566"/>
      <c r="V169" s="566"/>
      <c r="W169" s="566"/>
      <c r="X169" s="566"/>
      <c r="Y169" s="566"/>
      <c r="Z169" s="566"/>
      <c r="AA169" s="566"/>
    </row>
    <row r="170" ht="15.75" customHeight="1">
      <c r="A170" s="566"/>
      <c r="B170" s="566"/>
      <c r="C170" s="566"/>
      <c r="D170" s="566"/>
      <c r="E170" s="566"/>
      <c r="F170" s="566"/>
      <c r="G170" s="566"/>
      <c r="H170" s="566"/>
      <c r="I170" s="566"/>
      <c r="J170" s="566"/>
      <c r="K170" s="566"/>
      <c r="L170" s="566"/>
      <c r="M170" s="566"/>
      <c r="N170" s="566"/>
      <c r="O170" s="566"/>
      <c r="P170" s="566"/>
      <c r="Q170" s="566"/>
      <c r="R170" s="566"/>
      <c r="S170" s="566"/>
      <c r="T170" s="566"/>
      <c r="U170" s="566"/>
      <c r="V170" s="566"/>
      <c r="W170" s="566"/>
      <c r="X170" s="566"/>
      <c r="Y170" s="566"/>
      <c r="Z170" s="566"/>
      <c r="AA170" s="566"/>
    </row>
    <row r="171" ht="15.75" customHeight="1">
      <c r="A171" s="566"/>
      <c r="B171" s="566"/>
      <c r="C171" s="566"/>
      <c r="D171" s="566"/>
      <c r="E171" s="566"/>
      <c r="F171" s="566"/>
      <c r="G171" s="566"/>
      <c r="H171" s="566"/>
      <c r="I171" s="566"/>
      <c r="J171" s="566"/>
      <c r="K171" s="566"/>
      <c r="L171" s="566"/>
      <c r="M171" s="566"/>
      <c r="N171" s="566"/>
      <c r="O171" s="566"/>
      <c r="P171" s="566"/>
      <c r="Q171" s="566"/>
      <c r="R171" s="566"/>
      <c r="S171" s="566"/>
      <c r="T171" s="566"/>
      <c r="U171" s="566"/>
      <c r="V171" s="566"/>
      <c r="W171" s="566"/>
      <c r="X171" s="566"/>
      <c r="Y171" s="566"/>
      <c r="Z171" s="566"/>
      <c r="AA171" s="566"/>
    </row>
    <row r="172" ht="15.75" customHeight="1">
      <c r="A172" s="566"/>
      <c r="B172" s="566"/>
      <c r="C172" s="566"/>
      <c r="D172" s="566"/>
      <c r="E172" s="566"/>
      <c r="F172" s="566"/>
      <c r="G172" s="566"/>
      <c r="H172" s="566"/>
      <c r="I172" s="566"/>
      <c r="J172" s="566"/>
      <c r="K172" s="566"/>
      <c r="L172" s="566"/>
      <c r="M172" s="566"/>
      <c r="N172" s="566"/>
      <c r="O172" s="566"/>
      <c r="P172" s="566"/>
      <c r="Q172" s="566"/>
      <c r="R172" s="566"/>
      <c r="S172" s="566"/>
      <c r="T172" s="566"/>
      <c r="U172" s="566"/>
      <c r="V172" s="566"/>
      <c r="W172" s="566"/>
      <c r="X172" s="566"/>
      <c r="Y172" s="566"/>
      <c r="Z172" s="566"/>
      <c r="AA172" s="566"/>
    </row>
    <row r="173" ht="15.75" customHeight="1">
      <c r="A173" s="566"/>
      <c r="B173" s="566"/>
      <c r="C173" s="566"/>
      <c r="D173" s="566"/>
      <c r="E173" s="566"/>
      <c r="F173" s="566"/>
      <c r="G173" s="566"/>
      <c r="H173" s="566"/>
      <c r="I173" s="566"/>
      <c r="J173" s="566"/>
      <c r="K173" s="566"/>
      <c r="L173" s="566"/>
      <c r="M173" s="566"/>
      <c r="N173" s="566"/>
      <c r="O173" s="566"/>
      <c r="P173" s="566"/>
      <c r="Q173" s="566"/>
      <c r="R173" s="566"/>
      <c r="S173" s="566"/>
      <c r="T173" s="566"/>
      <c r="U173" s="566"/>
      <c r="V173" s="566"/>
      <c r="W173" s="566"/>
      <c r="X173" s="566"/>
      <c r="Y173" s="566"/>
      <c r="Z173" s="566"/>
      <c r="AA173" s="566"/>
    </row>
    <row r="174" ht="15.75" customHeight="1">
      <c r="A174" s="566"/>
      <c r="B174" s="566"/>
      <c r="C174" s="566"/>
      <c r="D174" s="566"/>
      <c r="E174" s="566"/>
      <c r="F174" s="566"/>
      <c r="G174" s="566"/>
      <c r="H174" s="566"/>
      <c r="I174" s="566"/>
      <c r="J174" s="566"/>
      <c r="K174" s="566"/>
      <c r="L174" s="566"/>
      <c r="M174" s="566"/>
      <c r="N174" s="566"/>
      <c r="O174" s="566"/>
      <c r="P174" s="566"/>
      <c r="Q174" s="566"/>
      <c r="R174" s="566"/>
      <c r="S174" s="566"/>
      <c r="T174" s="566"/>
      <c r="U174" s="566"/>
      <c r="V174" s="566"/>
      <c r="W174" s="566"/>
      <c r="X174" s="566"/>
      <c r="Y174" s="566"/>
      <c r="Z174" s="566"/>
      <c r="AA174" s="566"/>
    </row>
    <row r="175" ht="15.75" customHeight="1">
      <c r="A175" s="566"/>
      <c r="B175" s="566"/>
      <c r="C175" s="566"/>
      <c r="D175" s="566"/>
      <c r="E175" s="566"/>
      <c r="F175" s="566"/>
      <c r="G175" s="566"/>
      <c r="H175" s="566"/>
      <c r="I175" s="566"/>
      <c r="J175" s="566"/>
      <c r="K175" s="566"/>
      <c r="L175" s="566"/>
      <c r="M175" s="566"/>
      <c r="N175" s="566"/>
      <c r="O175" s="566"/>
      <c r="P175" s="566"/>
      <c r="Q175" s="566"/>
      <c r="R175" s="566"/>
      <c r="S175" s="566"/>
      <c r="T175" s="566"/>
      <c r="U175" s="566"/>
      <c r="V175" s="566"/>
      <c r="W175" s="566"/>
      <c r="X175" s="566"/>
      <c r="Y175" s="566"/>
      <c r="Z175" s="566"/>
      <c r="AA175" s="566"/>
    </row>
    <row r="176" ht="15.75" customHeight="1">
      <c r="A176" s="566"/>
      <c r="B176" s="566"/>
      <c r="C176" s="566"/>
      <c r="D176" s="566"/>
      <c r="E176" s="566"/>
      <c r="F176" s="566"/>
      <c r="G176" s="566"/>
      <c r="H176" s="566"/>
      <c r="I176" s="566"/>
      <c r="J176" s="566"/>
      <c r="K176" s="566"/>
      <c r="L176" s="566"/>
      <c r="M176" s="566"/>
      <c r="N176" s="566"/>
      <c r="O176" s="566"/>
      <c r="P176" s="566"/>
      <c r="Q176" s="566"/>
      <c r="R176" s="566"/>
      <c r="S176" s="566"/>
      <c r="T176" s="566"/>
      <c r="U176" s="566"/>
      <c r="V176" s="566"/>
      <c r="W176" s="566"/>
      <c r="X176" s="566"/>
      <c r="Y176" s="566"/>
      <c r="Z176" s="566"/>
      <c r="AA176" s="566"/>
    </row>
    <row r="177" ht="15.75" customHeight="1">
      <c r="A177" s="566"/>
      <c r="B177" s="566"/>
      <c r="C177" s="566"/>
      <c r="D177" s="566"/>
      <c r="E177" s="566"/>
      <c r="F177" s="566"/>
      <c r="G177" s="566"/>
      <c r="H177" s="566"/>
      <c r="I177" s="566"/>
      <c r="J177" s="566"/>
      <c r="K177" s="566"/>
      <c r="L177" s="566"/>
      <c r="M177" s="566"/>
      <c r="N177" s="566"/>
      <c r="O177" s="566"/>
      <c r="P177" s="566"/>
      <c r="Q177" s="566"/>
      <c r="R177" s="566"/>
      <c r="S177" s="566"/>
      <c r="T177" s="566"/>
      <c r="U177" s="566"/>
      <c r="V177" s="566"/>
      <c r="W177" s="566"/>
      <c r="X177" s="566"/>
      <c r="Y177" s="566"/>
      <c r="Z177" s="566"/>
      <c r="AA177" s="566"/>
    </row>
    <row r="178" ht="15.75" customHeight="1">
      <c r="A178" s="566"/>
      <c r="B178" s="566"/>
      <c r="C178" s="566"/>
      <c r="D178" s="566"/>
      <c r="E178" s="566"/>
      <c r="F178" s="566"/>
      <c r="G178" s="566"/>
      <c r="H178" s="566"/>
      <c r="I178" s="566"/>
      <c r="J178" s="566"/>
      <c r="K178" s="566"/>
      <c r="L178" s="566"/>
      <c r="M178" s="566"/>
      <c r="N178" s="566"/>
      <c r="O178" s="566"/>
      <c r="P178" s="566"/>
      <c r="Q178" s="566"/>
      <c r="R178" s="566"/>
      <c r="S178" s="566"/>
      <c r="T178" s="566"/>
      <c r="U178" s="566"/>
      <c r="V178" s="566"/>
      <c r="W178" s="566"/>
      <c r="X178" s="566"/>
      <c r="Y178" s="566"/>
      <c r="Z178" s="566"/>
      <c r="AA178" s="566"/>
    </row>
    <row r="179" ht="15.75" customHeight="1">
      <c r="A179" s="566"/>
      <c r="B179" s="566"/>
      <c r="C179" s="566"/>
      <c r="D179" s="566"/>
      <c r="E179" s="566"/>
      <c r="F179" s="566"/>
      <c r="G179" s="566"/>
      <c r="H179" s="566"/>
      <c r="I179" s="566"/>
      <c r="J179" s="566"/>
      <c r="K179" s="566"/>
      <c r="L179" s="566"/>
      <c r="M179" s="566"/>
      <c r="N179" s="566"/>
      <c r="O179" s="566"/>
      <c r="P179" s="566"/>
      <c r="Q179" s="566"/>
      <c r="R179" s="566"/>
      <c r="S179" s="566"/>
      <c r="T179" s="566"/>
      <c r="U179" s="566"/>
      <c r="V179" s="566"/>
      <c r="W179" s="566"/>
      <c r="X179" s="566"/>
      <c r="Y179" s="566"/>
      <c r="Z179" s="566"/>
      <c r="AA179" s="566"/>
    </row>
    <row r="180" ht="15.75" customHeight="1">
      <c r="A180" s="566"/>
      <c r="B180" s="566"/>
      <c r="C180" s="566"/>
      <c r="D180" s="566"/>
      <c r="E180" s="566"/>
      <c r="F180" s="566"/>
      <c r="G180" s="566"/>
      <c r="H180" s="566"/>
      <c r="I180" s="566"/>
      <c r="J180" s="566"/>
      <c r="K180" s="566"/>
      <c r="L180" s="566"/>
      <c r="M180" s="566"/>
      <c r="N180" s="566"/>
      <c r="O180" s="566"/>
      <c r="P180" s="566"/>
      <c r="Q180" s="566"/>
      <c r="R180" s="566"/>
      <c r="S180" s="566"/>
      <c r="T180" s="566"/>
      <c r="U180" s="566"/>
      <c r="V180" s="566"/>
      <c r="W180" s="566"/>
      <c r="X180" s="566"/>
      <c r="Y180" s="566"/>
      <c r="Z180" s="566"/>
      <c r="AA180" s="566"/>
    </row>
    <row r="181" ht="15.75" customHeight="1">
      <c r="A181" s="566"/>
      <c r="B181" s="566"/>
      <c r="C181" s="566"/>
      <c r="D181" s="566"/>
      <c r="E181" s="566"/>
      <c r="F181" s="566"/>
      <c r="G181" s="566"/>
      <c r="H181" s="566"/>
      <c r="I181" s="566"/>
      <c r="J181" s="566"/>
      <c r="K181" s="566"/>
      <c r="L181" s="566"/>
      <c r="M181" s="566"/>
      <c r="N181" s="566"/>
      <c r="O181" s="566"/>
      <c r="P181" s="566"/>
      <c r="Q181" s="566"/>
      <c r="R181" s="566"/>
      <c r="S181" s="566"/>
      <c r="T181" s="566"/>
      <c r="U181" s="566"/>
      <c r="V181" s="566"/>
      <c r="W181" s="566"/>
      <c r="X181" s="566"/>
      <c r="Y181" s="566"/>
      <c r="Z181" s="566"/>
      <c r="AA181" s="566"/>
    </row>
    <row r="182" ht="15.75" customHeight="1">
      <c r="A182" s="566"/>
      <c r="B182" s="566"/>
      <c r="C182" s="566"/>
      <c r="D182" s="566"/>
      <c r="E182" s="566"/>
      <c r="F182" s="566"/>
      <c r="G182" s="566"/>
      <c r="H182" s="566"/>
      <c r="I182" s="566"/>
      <c r="J182" s="566"/>
      <c r="K182" s="566"/>
      <c r="L182" s="566"/>
      <c r="M182" s="566"/>
      <c r="N182" s="566"/>
      <c r="O182" s="566"/>
      <c r="P182" s="566"/>
      <c r="Q182" s="566"/>
      <c r="R182" s="566"/>
      <c r="S182" s="566"/>
      <c r="T182" s="566"/>
      <c r="U182" s="566"/>
      <c r="V182" s="566"/>
      <c r="W182" s="566"/>
      <c r="X182" s="566"/>
      <c r="Y182" s="566"/>
      <c r="Z182" s="566"/>
      <c r="AA182" s="566"/>
    </row>
    <row r="183" ht="15.75" customHeight="1">
      <c r="A183" s="566"/>
      <c r="B183" s="566"/>
      <c r="C183" s="566"/>
      <c r="D183" s="566"/>
      <c r="E183" s="566"/>
      <c r="F183" s="566"/>
      <c r="G183" s="566"/>
      <c r="H183" s="566"/>
      <c r="I183" s="566"/>
      <c r="J183" s="566"/>
      <c r="K183" s="566"/>
      <c r="L183" s="566"/>
      <c r="M183" s="566"/>
      <c r="N183" s="566"/>
      <c r="O183" s="566"/>
      <c r="P183" s="566"/>
      <c r="Q183" s="566"/>
      <c r="R183" s="566"/>
      <c r="S183" s="566"/>
      <c r="T183" s="566"/>
      <c r="U183" s="566"/>
      <c r="V183" s="566"/>
      <c r="W183" s="566"/>
      <c r="X183" s="566"/>
      <c r="Y183" s="566"/>
      <c r="Z183" s="566"/>
      <c r="AA183" s="566"/>
    </row>
    <row r="184" ht="15.75" customHeight="1">
      <c r="A184" s="566"/>
      <c r="B184" s="566"/>
      <c r="C184" s="566"/>
      <c r="D184" s="566"/>
      <c r="E184" s="566"/>
      <c r="F184" s="566"/>
      <c r="G184" s="566"/>
      <c r="H184" s="566"/>
      <c r="I184" s="566"/>
      <c r="J184" s="566"/>
      <c r="K184" s="566"/>
      <c r="L184" s="566"/>
      <c r="M184" s="566"/>
      <c r="N184" s="566"/>
      <c r="O184" s="566"/>
      <c r="P184" s="566"/>
      <c r="Q184" s="566"/>
      <c r="R184" s="566"/>
      <c r="S184" s="566"/>
      <c r="T184" s="566"/>
      <c r="U184" s="566"/>
      <c r="V184" s="566"/>
      <c r="W184" s="566"/>
      <c r="X184" s="566"/>
      <c r="Y184" s="566"/>
      <c r="Z184" s="566"/>
      <c r="AA184" s="566"/>
    </row>
    <row r="185" ht="15.75" customHeight="1">
      <c r="A185" s="566"/>
      <c r="B185" s="566"/>
      <c r="C185" s="566"/>
      <c r="D185" s="566"/>
      <c r="E185" s="566"/>
      <c r="F185" s="566"/>
      <c r="G185" s="566"/>
      <c r="H185" s="566"/>
      <c r="I185" s="566"/>
      <c r="J185" s="566"/>
      <c r="K185" s="566"/>
      <c r="L185" s="566"/>
      <c r="M185" s="566"/>
      <c r="N185" s="566"/>
      <c r="O185" s="566"/>
      <c r="P185" s="566"/>
      <c r="Q185" s="566"/>
      <c r="R185" s="566"/>
      <c r="S185" s="566"/>
      <c r="T185" s="566"/>
      <c r="U185" s="566"/>
      <c r="V185" s="566"/>
      <c r="W185" s="566"/>
      <c r="X185" s="566"/>
      <c r="Y185" s="566"/>
      <c r="Z185" s="566"/>
      <c r="AA185" s="566"/>
    </row>
    <row r="186" ht="15.75" customHeight="1">
      <c r="A186" s="566"/>
      <c r="B186" s="566"/>
      <c r="C186" s="566"/>
      <c r="D186" s="566"/>
      <c r="E186" s="566"/>
      <c r="F186" s="566"/>
      <c r="G186" s="566"/>
      <c r="H186" s="566"/>
      <c r="I186" s="566"/>
      <c r="J186" s="566"/>
      <c r="K186" s="566"/>
      <c r="L186" s="566"/>
      <c r="M186" s="566"/>
      <c r="N186" s="566"/>
      <c r="O186" s="566"/>
      <c r="P186" s="566"/>
      <c r="Q186" s="566"/>
      <c r="R186" s="566"/>
      <c r="S186" s="566"/>
      <c r="T186" s="566"/>
      <c r="U186" s="566"/>
      <c r="V186" s="566"/>
      <c r="W186" s="566"/>
      <c r="X186" s="566"/>
      <c r="Y186" s="566"/>
      <c r="Z186" s="566"/>
      <c r="AA186" s="566"/>
    </row>
    <row r="187" ht="15.75" customHeight="1">
      <c r="A187" s="566"/>
      <c r="B187" s="566"/>
      <c r="C187" s="566"/>
      <c r="D187" s="566"/>
      <c r="E187" s="566"/>
      <c r="F187" s="566"/>
      <c r="G187" s="566"/>
      <c r="H187" s="566"/>
      <c r="I187" s="566"/>
      <c r="J187" s="566"/>
      <c r="K187" s="566"/>
      <c r="L187" s="566"/>
      <c r="M187" s="566"/>
      <c r="N187" s="566"/>
      <c r="O187" s="566"/>
      <c r="P187" s="566"/>
      <c r="Q187" s="566"/>
      <c r="R187" s="566"/>
      <c r="S187" s="566"/>
      <c r="T187" s="566"/>
      <c r="U187" s="566"/>
      <c r="V187" s="566"/>
      <c r="W187" s="566"/>
      <c r="X187" s="566"/>
      <c r="Y187" s="566"/>
      <c r="Z187" s="566"/>
      <c r="AA187" s="566"/>
    </row>
    <row r="188" ht="15.75" customHeight="1">
      <c r="A188" s="566"/>
      <c r="B188" s="566"/>
      <c r="C188" s="566"/>
      <c r="D188" s="566"/>
      <c r="E188" s="566"/>
      <c r="F188" s="566"/>
      <c r="G188" s="566"/>
      <c r="H188" s="566"/>
      <c r="I188" s="566"/>
      <c r="J188" s="566"/>
      <c r="K188" s="566"/>
      <c r="L188" s="566"/>
      <c r="M188" s="566"/>
      <c r="N188" s="566"/>
      <c r="O188" s="566"/>
      <c r="P188" s="566"/>
      <c r="Q188" s="566"/>
      <c r="R188" s="566"/>
      <c r="S188" s="566"/>
      <c r="T188" s="566"/>
      <c r="U188" s="566"/>
      <c r="V188" s="566"/>
      <c r="W188" s="566"/>
      <c r="X188" s="566"/>
      <c r="Y188" s="566"/>
      <c r="Z188" s="566"/>
      <c r="AA188" s="566"/>
    </row>
    <row r="189" ht="15.75" customHeight="1">
      <c r="A189" s="566"/>
      <c r="B189" s="566"/>
      <c r="C189" s="566"/>
      <c r="D189" s="566"/>
      <c r="E189" s="566"/>
      <c r="F189" s="566"/>
      <c r="G189" s="566"/>
      <c r="H189" s="566"/>
      <c r="I189" s="566"/>
      <c r="J189" s="566"/>
      <c r="K189" s="566"/>
      <c r="L189" s="566"/>
      <c r="M189" s="566"/>
      <c r="N189" s="566"/>
      <c r="O189" s="566"/>
      <c r="P189" s="566"/>
      <c r="Q189" s="566"/>
      <c r="R189" s="566"/>
      <c r="S189" s="566"/>
      <c r="T189" s="566"/>
      <c r="U189" s="566"/>
      <c r="V189" s="566"/>
      <c r="W189" s="566"/>
      <c r="X189" s="566"/>
      <c r="Y189" s="566"/>
      <c r="Z189" s="566"/>
      <c r="AA189" s="566"/>
    </row>
    <row r="190" ht="15.75" customHeight="1">
      <c r="A190" s="566"/>
      <c r="B190" s="566"/>
      <c r="C190" s="566"/>
      <c r="D190" s="566"/>
      <c r="E190" s="566"/>
      <c r="F190" s="566"/>
      <c r="G190" s="566"/>
      <c r="H190" s="566"/>
      <c r="I190" s="566"/>
      <c r="J190" s="566"/>
      <c r="K190" s="566"/>
      <c r="L190" s="566"/>
      <c r="M190" s="566"/>
      <c r="N190" s="566"/>
      <c r="O190" s="566"/>
      <c r="P190" s="566"/>
      <c r="Q190" s="566"/>
      <c r="R190" s="566"/>
      <c r="S190" s="566"/>
      <c r="T190" s="566"/>
      <c r="U190" s="566"/>
      <c r="V190" s="566"/>
      <c r="W190" s="566"/>
      <c r="X190" s="566"/>
      <c r="Y190" s="566"/>
      <c r="Z190" s="566"/>
      <c r="AA190" s="566"/>
    </row>
    <row r="191" ht="15.75" customHeight="1">
      <c r="A191" s="566"/>
      <c r="B191" s="566"/>
      <c r="C191" s="566"/>
      <c r="D191" s="566"/>
      <c r="E191" s="566"/>
      <c r="F191" s="566"/>
      <c r="G191" s="566"/>
      <c r="H191" s="566"/>
      <c r="I191" s="566"/>
      <c r="J191" s="566"/>
      <c r="K191" s="566"/>
      <c r="L191" s="566"/>
      <c r="M191" s="566"/>
      <c r="N191" s="566"/>
      <c r="O191" s="566"/>
      <c r="P191" s="566"/>
      <c r="Q191" s="566"/>
      <c r="R191" s="566"/>
      <c r="S191" s="566"/>
      <c r="T191" s="566"/>
      <c r="U191" s="566"/>
      <c r="V191" s="566"/>
      <c r="W191" s="566"/>
      <c r="X191" s="566"/>
      <c r="Y191" s="566"/>
      <c r="Z191" s="566"/>
      <c r="AA191" s="566"/>
    </row>
    <row r="192" ht="15.75" customHeight="1">
      <c r="A192" s="566"/>
      <c r="B192" s="566"/>
      <c r="C192" s="566"/>
      <c r="D192" s="566"/>
      <c r="E192" s="566"/>
      <c r="F192" s="566"/>
      <c r="G192" s="566"/>
      <c r="H192" s="566"/>
      <c r="I192" s="566"/>
      <c r="J192" s="566"/>
      <c r="K192" s="566"/>
      <c r="L192" s="566"/>
      <c r="M192" s="566"/>
      <c r="N192" s="566"/>
      <c r="O192" s="566"/>
      <c r="P192" s="566"/>
      <c r="Q192" s="566"/>
      <c r="R192" s="566"/>
      <c r="S192" s="566"/>
      <c r="T192" s="566"/>
      <c r="U192" s="566"/>
      <c r="V192" s="566"/>
      <c r="W192" s="566"/>
      <c r="X192" s="566"/>
      <c r="Y192" s="566"/>
      <c r="Z192" s="566"/>
      <c r="AA192" s="566"/>
    </row>
    <row r="193" ht="15.75" customHeight="1">
      <c r="A193" s="566"/>
      <c r="B193" s="566"/>
      <c r="C193" s="566"/>
      <c r="D193" s="566"/>
      <c r="E193" s="566"/>
      <c r="F193" s="566"/>
      <c r="G193" s="566"/>
      <c r="H193" s="566"/>
      <c r="I193" s="566"/>
      <c r="J193" s="566"/>
      <c r="K193" s="566"/>
      <c r="L193" s="566"/>
      <c r="M193" s="566"/>
      <c r="N193" s="566"/>
      <c r="O193" s="566"/>
      <c r="P193" s="566"/>
      <c r="Q193" s="566"/>
      <c r="R193" s="566"/>
      <c r="S193" s="566"/>
      <c r="T193" s="566"/>
      <c r="U193" s="566"/>
      <c r="V193" s="566"/>
      <c r="W193" s="566"/>
      <c r="X193" s="566"/>
      <c r="Y193" s="566"/>
      <c r="Z193" s="566"/>
      <c r="AA193" s="566"/>
    </row>
    <row r="194" ht="15.75" customHeight="1">
      <c r="A194" s="566"/>
      <c r="B194" s="566"/>
      <c r="C194" s="566"/>
      <c r="D194" s="566"/>
      <c r="E194" s="566"/>
      <c r="F194" s="566"/>
      <c r="G194" s="566"/>
      <c r="H194" s="566"/>
      <c r="I194" s="566"/>
      <c r="J194" s="566"/>
      <c r="K194" s="566"/>
      <c r="L194" s="566"/>
      <c r="M194" s="566"/>
      <c r="N194" s="566"/>
      <c r="O194" s="566"/>
      <c r="P194" s="566"/>
      <c r="Q194" s="566"/>
      <c r="R194" s="566"/>
      <c r="S194" s="566"/>
      <c r="T194" s="566"/>
      <c r="U194" s="566"/>
      <c r="V194" s="566"/>
      <c r="W194" s="566"/>
      <c r="X194" s="566"/>
      <c r="Y194" s="566"/>
      <c r="Z194" s="566"/>
      <c r="AA194" s="566"/>
    </row>
    <row r="195" ht="15.75" customHeight="1">
      <c r="A195" s="566"/>
      <c r="B195" s="566"/>
      <c r="C195" s="566"/>
      <c r="D195" s="566"/>
      <c r="E195" s="566"/>
      <c r="F195" s="566"/>
      <c r="G195" s="566"/>
      <c r="H195" s="566"/>
      <c r="I195" s="566"/>
      <c r="J195" s="566"/>
      <c r="K195" s="566"/>
      <c r="L195" s="566"/>
      <c r="M195" s="566"/>
      <c r="N195" s="566"/>
      <c r="O195" s="566"/>
      <c r="P195" s="566"/>
      <c r="Q195" s="566"/>
      <c r="R195" s="566"/>
      <c r="S195" s="566"/>
      <c r="T195" s="566"/>
      <c r="U195" s="566"/>
      <c r="V195" s="566"/>
      <c r="W195" s="566"/>
      <c r="X195" s="566"/>
      <c r="Y195" s="566"/>
      <c r="Z195" s="566"/>
      <c r="AA195" s="566"/>
    </row>
    <row r="196" ht="15.75" customHeight="1">
      <c r="A196" s="566"/>
      <c r="B196" s="566"/>
      <c r="C196" s="566"/>
      <c r="D196" s="566"/>
      <c r="E196" s="566"/>
      <c r="F196" s="566"/>
      <c r="G196" s="566"/>
      <c r="H196" s="566"/>
      <c r="I196" s="566"/>
      <c r="J196" s="566"/>
      <c r="K196" s="566"/>
      <c r="L196" s="566"/>
      <c r="M196" s="566"/>
      <c r="N196" s="566"/>
      <c r="O196" s="566"/>
      <c r="P196" s="566"/>
      <c r="Q196" s="566"/>
      <c r="R196" s="566"/>
      <c r="S196" s="566"/>
      <c r="T196" s="566"/>
      <c r="U196" s="566"/>
      <c r="V196" s="566"/>
      <c r="W196" s="566"/>
      <c r="X196" s="566"/>
      <c r="Y196" s="566"/>
      <c r="Z196" s="566"/>
      <c r="AA196" s="566"/>
    </row>
    <row r="197" ht="15.75" customHeight="1">
      <c r="A197" s="566"/>
      <c r="B197" s="566"/>
      <c r="C197" s="566"/>
      <c r="D197" s="566"/>
      <c r="E197" s="566"/>
      <c r="F197" s="566"/>
      <c r="G197" s="566"/>
      <c r="H197" s="566"/>
      <c r="I197" s="566"/>
      <c r="J197" s="566"/>
      <c r="K197" s="566"/>
      <c r="L197" s="566"/>
      <c r="M197" s="566"/>
      <c r="N197" s="566"/>
      <c r="O197" s="566"/>
      <c r="P197" s="566"/>
      <c r="Q197" s="566"/>
      <c r="R197" s="566"/>
      <c r="S197" s="566"/>
      <c r="T197" s="566"/>
      <c r="U197" s="566"/>
      <c r="V197" s="566"/>
      <c r="W197" s="566"/>
      <c r="X197" s="566"/>
      <c r="Y197" s="566"/>
      <c r="Z197" s="566"/>
      <c r="AA197" s="566"/>
    </row>
    <row r="198" ht="15.75" customHeight="1">
      <c r="A198" s="566"/>
      <c r="B198" s="566"/>
      <c r="C198" s="566"/>
      <c r="D198" s="566"/>
      <c r="E198" s="566"/>
      <c r="F198" s="566"/>
      <c r="G198" s="566"/>
      <c r="H198" s="566"/>
      <c r="I198" s="566"/>
      <c r="J198" s="566"/>
      <c r="K198" s="566"/>
      <c r="L198" s="566"/>
      <c r="M198" s="566"/>
      <c r="N198" s="566"/>
      <c r="O198" s="566"/>
      <c r="P198" s="566"/>
      <c r="Q198" s="566"/>
      <c r="R198" s="566"/>
      <c r="S198" s="566"/>
      <c r="T198" s="566"/>
      <c r="U198" s="566"/>
      <c r="V198" s="566"/>
      <c r="W198" s="566"/>
      <c r="X198" s="566"/>
      <c r="Y198" s="566"/>
      <c r="Z198" s="566"/>
      <c r="AA198" s="566"/>
    </row>
    <row r="199" ht="15.75" customHeight="1">
      <c r="A199" s="566"/>
      <c r="B199" s="566"/>
      <c r="C199" s="566"/>
      <c r="D199" s="566"/>
      <c r="E199" s="566"/>
      <c r="F199" s="566"/>
      <c r="G199" s="566"/>
      <c r="H199" s="566"/>
      <c r="I199" s="566"/>
      <c r="J199" s="566"/>
      <c r="K199" s="566"/>
      <c r="L199" s="566"/>
      <c r="M199" s="566"/>
      <c r="N199" s="566"/>
      <c r="O199" s="566"/>
      <c r="P199" s="566"/>
      <c r="Q199" s="566"/>
      <c r="R199" s="566"/>
      <c r="S199" s="566"/>
      <c r="T199" s="566"/>
      <c r="U199" s="566"/>
      <c r="V199" s="566"/>
      <c r="W199" s="566"/>
      <c r="X199" s="566"/>
      <c r="Y199" s="566"/>
      <c r="Z199" s="566"/>
      <c r="AA199" s="566"/>
    </row>
    <row r="200" ht="15.75" customHeight="1">
      <c r="A200" s="566"/>
      <c r="B200" s="566"/>
      <c r="C200" s="566"/>
      <c r="D200" s="566"/>
      <c r="E200" s="566"/>
      <c r="F200" s="566"/>
      <c r="G200" s="566"/>
      <c r="H200" s="566"/>
      <c r="I200" s="566"/>
      <c r="J200" s="566"/>
      <c r="K200" s="566"/>
      <c r="L200" s="566"/>
      <c r="M200" s="566"/>
      <c r="N200" s="566"/>
      <c r="O200" s="566"/>
      <c r="P200" s="566"/>
      <c r="Q200" s="566"/>
      <c r="R200" s="566"/>
      <c r="S200" s="566"/>
      <c r="T200" s="566"/>
      <c r="U200" s="566"/>
      <c r="V200" s="566"/>
      <c r="W200" s="566"/>
      <c r="X200" s="566"/>
      <c r="Y200" s="566"/>
      <c r="Z200" s="566"/>
      <c r="AA200" s="566"/>
    </row>
    <row r="201" ht="15.75" customHeight="1">
      <c r="A201" s="566"/>
      <c r="B201" s="566"/>
      <c r="C201" s="566"/>
      <c r="D201" s="566"/>
      <c r="E201" s="566"/>
      <c r="F201" s="566"/>
      <c r="G201" s="566"/>
      <c r="H201" s="566"/>
      <c r="I201" s="566"/>
      <c r="J201" s="566"/>
      <c r="K201" s="566"/>
      <c r="L201" s="566"/>
      <c r="M201" s="566"/>
      <c r="N201" s="566"/>
      <c r="O201" s="566"/>
      <c r="P201" s="566"/>
      <c r="Q201" s="566"/>
      <c r="R201" s="566"/>
      <c r="S201" s="566"/>
      <c r="T201" s="566"/>
      <c r="U201" s="566"/>
      <c r="V201" s="566"/>
      <c r="W201" s="566"/>
      <c r="X201" s="566"/>
      <c r="Y201" s="566"/>
      <c r="Z201" s="566"/>
      <c r="AA201" s="566"/>
    </row>
    <row r="202" ht="15.75" customHeight="1">
      <c r="A202" s="566"/>
      <c r="B202" s="566"/>
      <c r="C202" s="566"/>
      <c r="D202" s="566"/>
      <c r="E202" s="566"/>
      <c r="F202" s="566"/>
      <c r="G202" s="566"/>
      <c r="H202" s="566"/>
      <c r="I202" s="566"/>
      <c r="J202" s="566"/>
      <c r="K202" s="566"/>
      <c r="L202" s="566"/>
      <c r="M202" s="566"/>
      <c r="N202" s="566"/>
      <c r="O202" s="566"/>
      <c r="P202" s="566"/>
      <c r="Q202" s="566"/>
      <c r="R202" s="566"/>
      <c r="S202" s="566"/>
      <c r="T202" s="566"/>
      <c r="U202" s="566"/>
      <c r="V202" s="566"/>
      <c r="W202" s="566"/>
      <c r="X202" s="566"/>
      <c r="Y202" s="566"/>
      <c r="Z202" s="566"/>
      <c r="AA202" s="566"/>
    </row>
    <row r="203" ht="15.75" customHeight="1">
      <c r="A203" s="566"/>
      <c r="B203" s="566"/>
      <c r="C203" s="566"/>
      <c r="D203" s="566"/>
      <c r="E203" s="566"/>
      <c r="F203" s="566"/>
      <c r="G203" s="566"/>
      <c r="H203" s="566"/>
      <c r="I203" s="566"/>
      <c r="J203" s="566"/>
      <c r="K203" s="566"/>
      <c r="L203" s="566"/>
      <c r="M203" s="566"/>
      <c r="N203" s="566"/>
      <c r="O203" s="566"/>
      <c r="P203" s="566"/>
      <c r="Q203" s="566"/>
      <c r="R203" s="566"/>
      <c r="S203" s="566"/>
      <c r="T203" s="566"/>
      <c r="U203" s="566"/>
      <c r="V203" s="566"/>
      <c r="W203" s="566"/>
      <c r="X203" s="566"/>
      <c r="Y203" s="566"/>
      <c r="Z203" s="566"/>
      <c r="AA203" s="566"/>
    </row>
    <row r="204" ht="15.75" customHeight="1">
      <c r="A204" s="566"/>
      <c r="B204" s="566"/>
      <c r="C204" s="566"/>
      <c r="D204" s="566"/>
      <c r="E204" s="566"/>
      <c r="F204" s="566"/>
      <c r="G204" s="566"/>
      <c r="H204" s="566"/>
      <c r="I204" s="566"/>
      <c r="J204" s="566"/>
      <c r="K204" s="566"/>
      <c r="L204" s="566"/>
      <c r="M204" s="566"/>
      <c r="N204" s="566"/>
      <c r="O204" s="566"/>
      <c r="P204" s="566"/>
      <c r="Q204" s="566"/>
      <c r="R204" s="566"/>
      <c r="S204" s="566"/>
      <c r="T204" s="566"/>
      <c r="U204" s="566"/>
      <c r="V204" s="566"/>
      <c r="W204" s="566"/>
      <c r="X204" s="566"/>
      <c r="Y204" s="566"/>
      <c r="Z204" s="566"/>
      <c r="AA204" s="566"/>
    </row>
    <row r="205" ht="15.75" customHeight="1">
      <c r="A205" s="566"/>
      <c r="B205" s="566"/>
      <c r="C205" s="566"/>
      <c r="D205" s="566"/>
      <c r="E205" s="566"/>
      <c r="F205" s="566"/>
      <c r="G205" s="566"/>
      <c r="H205" s="566"/>
      <c r="I205" s="566"/>
      <c r="J205" s="566"/>
      <c r="K205" s="566"/>
      <c r="L205" s="566"/>
      <c r="M205" s="566"/>
      <c r="N205" s="566"/>
      <c r="O205" s="566"/>
      <c r="P205" s="566"/>
      <c r="Q205" s="566"/>
      <c r="R205" s="566"/>
      <c r="S205" s="566"/>
      <c r="T205" s="566"/>
      <c r="U205" s="566"/>
      <c r="V205" s="566"/>
      <c r="W205" s="566"/>
      <c r="X205" s="566"/>
      <c r="Y205" s="566"/>
      <c r="Z205" s="566"/>
      <c r="AA205" s="566"/>
    </row>
    <row r="206" ht="15.75" customHeight="1">
      <c r="A206" s="566"/>
      <c r="B206" s="566"/>
      <c r="C206" s="566"/>
      <c r="D206" s="566"/>
      <c r="E206" s="566"/>
      <c r="F206" s="566"/>
      <c r="G206" s="566"/>
      <c r="H206" s="566"/>
      <c r="I206" s="566"/>
      <c r="J206" s="566"/>
      <c r="K206" s="566"/>
      <c r="L206" s="566"/>
      <c r="M206" s="566"/>
      <c r="N206" s="566"/>
      <c r="O206" s="566"/>
      <c r="P206" s="566"/>
      <c r="Q206" s="566"/>
      <c r="R206" s="566"/>
      <c r="S206" s="566"/>
      <c r="T206" s="566"/>
      <c r="U206" s="566"/>
      <c r="V206" s="566"/>
      <c r="W206" s="566"/>
      <c r="X206" s="566"/>
      <c r="Y206" s="566"/>
      <c r="Z206" s="566"/>
      <c r="AA206" s="566"/>
    </row>
    <row r="207" ht="15.75" customHeight="1">
      <c r="A207" s="566"/>
      <c r="B207" s="566"/>
      <c r="C207" s="566"/>
      <c r="D207" s="566"/>
      <c r="E207" s="566"/>
      <c r="F207" s="566"/>
      <c r="G207" s="566"/>
      <c r="H207" s="566"/>
      <c r="I207" s="566"/>
      <c r="J207" s="566"/>
      <c r="K207" s="566"/>
      <c r="L207" s="566"/>
      <c r="M207" s="566"/>
      <c r="N207" s="566"/>
      <c r="O207" s="566"/>
      <c r="P207" s="566"/>
      <c r="Q207" s="566"/>
      <c r="R207" s="566"/>
      <c r="S207" s="566"/>
      <c r="T207" s="566"/>
      <c r="U207" s="566"/>
      <c r="V207" s="566"/>
      <c r="W207" s="566"/>
      <c r="X207" s="566"/>
      <c r="Y207" s="566"/>
      <c r="Z207" s="566"/>
      <c r="AA207" s="566"/>
    </row>
    <row r="208" ht="15.75" customHeight="1">
      <c r="A208" s="566"/>
      <c r="B208" s="566"/>
      <c r="C208" s="566"/>
      <c r="D208" s="566"/>
      <c r="E208" s="566"/>
      <c r="F208" s="566"/>
      <c r="G208" s="566"/>
      <c r="H208" s="566"/>
      <c r="I208" s="566"/>
      <c r="J208" s="566"/>
      <c r="K208" s="566"/>
      <c r="L208" s="566"/>
      <c r="M208" s="566"/>
      <c r="N208" s="566"/>
      <c r="O208" s="566"/>
      <c r="P208" s="566"/>
      <c r="Q208" s="566"/>
      <c r="R208" s="566"/>
      <c r="S208" s="566"/>
      <c r="T208" s="566"/>
      <c r="U208" s="566"/>
      <c r="V208" s="566"/>
      <c r="W208" s="566"/>
      <c r="X208" s="566"/>
      <c r="Y208" s="566"/>
      <c r="Z208" s="566"/>
      <c r="AA208" s="566"/>
    </row>
    <row r="209" ht="15.75" customHeight="1">
      <c r="A209" s="566"/>
      <c r="B209" s="566"/>
      <c r="C209" s="566"/>
      <c r="D209" s="566"/>
      <c r="E209" s="566"/>
      <c r="F209" s="566"/>
      <c r="G209" s="566"/>
      <c r="H209" s="566"/>
      <c r="I209" s="566"/>
      <c r="J209" s="566"/>
      <c r="K209" s="566"/>
      <c r="L209" s="566"/>
      <c r="M209" s="566"/>
      <c r="N209" s="566"/>
      <c r="O209" s="566"/>
      <c r="P209" s="566"/>
      <c r="Q209" s="566"/>
      <c r="R209" s="566"/>
      <c r="S209" s="566"/>
      <c r="T209" s="566"/>
      <c r="U209" s="566"/>
      <c r="V209" s="566"/>
      <c r="W209" s="566"/>
      <c r="X209" s="566"/>
      <c r="Y209" s="566"/>
      <c r="Z209" s="566"/>
      <c r="AA209" s="566"/>
    </row>
    <row r="210" ht="15.75" customHeight="1">
      <c r="A210" s="566"/>
      <c r="B210" s="566"/>
      <c r="C210" s="566"/>
      <c r="D210" s="566"/>
      <c r="E210" s="566"/>
      <c r="F210" s="566"/>
      <c r="G210" s="566"/>
      <c r="H210" s="566"/>
      <c r="I210" s="566"/>
      <c r="J210" s="566"/>
      <c r="K210" s="566"/>
      <c r="L210" s="566"/>
      <c r="M210" s="566"/>
      <c r="N210" s="566"/>
      <c r="O210" s="566"/>
      <c r="P210" s="566"/>
      <c r="Q210" s="566"/>
      <c r="R210" s="566"/>
      <c r="S210" s="566"/>
      <c r="T210" s="566"/>
      <c r="U210" s="566"/>
      <c r="V210" s="566"/>
      <c r="W210" s="566"/>
      <c r="X210" s="566"/>
      <c r="Y210" s="566"/>
      <c r="Z210" s="566"/>
      <c r="AA210" s="566"/>
    </row>
    <row r="211" ht="15.75" customHeight="1">
      <c r="A211" s="566"/>
      <c r="B211" s="566"/>
      <c r="C211" s="566"/>
      <c r="D211" s="566"/>
      <c r="E211" s="566"/>
      <c r="F211" s="566"/>
      <c r="G211" s="566"/>
      <c r="H211" s="566"/>
      <c r="I211" s="566"/>
      <c r="J211" s="566"/>
      <c r="K211" s="566"/>
      <c r="L211" s="566"/>
      <c r="M211" s="566"/>
      <c r="N211" s="566"/>
      <c r="O211" s="566"/>
      <c r="P211" s="566"/>
      <c r="Q211" s="566"/>
      <c r="R211" s="566"/>
      <c r="S211" s="566"/>
      <c r="T211" s="566"/>
      <c r="U211" s="566"/>
      <c r="V211" s="566"/>
      <c r="W211" s="566"/>
      <c r="X211" s="566"/>
      <c r="Y211" s="566"/>
      <c r="Z211" s="566"/>
      <c r="AA211" s="566"/>
    </row>
    <row r="212" ht="15.75" customHeight="1">
      <c r="A212" s="566"/>
      <c r="B212" s="566"/>
      <c r="C212" s="566"/>
      <c r="D212" s="566"/>
      <c r="E212" s="566"/>
      <c r="F212" s="566"/>
      <c r="G212" s="566"/>
      <c r="H212" s="566"/>
      <c r="I212" s="566"/>
      <c r="J212" s="566"/>
      <c r="K212" s="566"/>
      <c r="L212" s="566"/>
      <c r="M212" s="566"/>
      <c r="N212" s="566"/>
      <c r="O212" s="566"/>
      <c r="P212" s="566"/>
      <c r="Q212" s="566"/>
      <c r="R212" s="566"/>
      <c r="S212" s="566"/>
      <c r="T212" s="566"/>
      <c r="U212" s="566"/>
      <c r="V212" s="566"/>
      <c r="W212" s="566"/>
      <c r="X212" s="566"/>
      <c r="Y212" s="566"/>
      <c r="Z212" s="566"/>
      <c r="AA212" s="566"/>
    </row>
    <row r="213" ht="15.75" customHeight="1">
      <c r="A213" s="566"/>
      <c r="B213" s="566"/>
      <c r="C213" s="566"/>
      <c r="D213" s="566"/>
      <c r="E213" s="566"/>
      <c r="F213" s="566"/>
      <c r="G213" s="566"/>
      <c r="H213" s="566"/>
      <c r="I213" s="566"/>
      <c r="J213" s="566"/>
      <c r="K213" s="566"/>
      <c r="L213" s="566"/>
      <c r="M213" s="566"/>
      <c r="N213" s="566"/>
      <c r="O213" s="566"/>
      <c r="P213" s="566"/>
      <c r="Q213" s="566"/>
      <c r="R213" s="566"/>
      <c r="S213" s="566"/>
      <c r="T213" s="566"/>
      <c r="U213" s="566"/>
      <c r="V213" s="566"/>
      <c r="W213" s="566"/>
      <c r="X213" s="566"/>
      <c r="Y213" s="566"/>
      <c r="Z213" s="566"/>
      <c r="AA213" s="566"/>
    </row>
    <row r="214" ht="15.75" customHeight="1">
      <c r="A214" s="566"/>
      <c r="B214" s="566"/>
      <c r="C214" s="566"/>
      <c r="D214" s="566"/>
      <c r="E214" s="566"/>
      <c r="F214" s="566"/>
      <c r="G214" s="566"/>
      <c r="H214" s="566"/>
      <c r="I214" s="566"/>
      <c r="J214" s="566"/>
      <c r="K214" s="566"/>
      <c r="L214" s="566"/>
      <c r="M214" s="566"/>
      <c r="N214" s="566"/>
      <c r="O214" s="566"/>
      <c r="P214" s="566"/>
      <c r="Q214" s="566"/>
      <c r="R214" s="566"/>
      <c r="S214" s="566"/>
      <c r="T214" s="566"/>
      <c r="U214" s="566"/>
      <c r="V214" s="566"/>
      <c r="W214" s="566"/>
      <c r="X214" s="566"/>
      <c r="Y214" s="566"/>
      <c r="Z214" s="566"/>
      <c r="AA214" s="566"/>
    </row>
    <row r="215" ht="15.75" customHeight="1">
      <c r="A215" s="566"/>
      <c r="B215" s="566"/>
      <c r="C215" s="566"/>
      <c r="D215" s="566"/>
      <c r="E215" s="566"/>
      <c r="F215" s="566"/>
      <c r="G215" s="566"/>
      <c r="H215" s="566"/>
      <c r="I215" s="566"/>
      <c r="J215" s="566"/>
      <c r="K215" s="566"/>
      <c r="L215" s="566"/>
      <c r="M215" s="566"/>
      <c r="N215" s="566"/>
      <c r="O215" s="566"/>
      <c r="P215" s="566"/>
      <c r="Q215" s="566"/>
      <c r="R215" s="566"/>
      <c r="S215" s="566"/>
      <c r="T215" s="566"/>
      <c r="U215" s="566"/>
      <c r="V215" s="566"/>
      <c r="W215" s="566"/>
      <c r="X215" s="566"/>
      <c r="Y215" s="566"/>
      <c r="Z215" s="566"/>
      <c r="AA215" s="566"/>
    </row>
    <row r="216" ht="15.75" customHeight="1">
      <c r="A216" s="566"/>
      <c r="B216" s="566"/>
      <c r="C216" s="566"/>
      <c r="D216" s="566"/>
      <c r="E216" s="566"/>
      <c r="F216" s="566"/>
      <c r="G216" s="566"/>
      <c r="H216" s="566"/>
      <c r="I216" s="566"/>
      <c r="J216" s="566"/>
      <c r="K216" s="566"/>
      <c r="L216" s="566"/>
      <c r="M216" s="566"/>
      <c r="N216" s="566"/>
      <c r="O216" s="566"/>
      <c r="P216" s="566"/>
      <c r="Q216" s="566"/>
      <c r="R216" s="566"/>
      <c r="S216" s="566"/>
      <c r="T216" s="566"/>
      <c r="U216" s="566"/>
      <c r="V216" s="566"/>
      <c r="W216" s="566"/>
      <c r="X216" s="566"/>
      <c r="Y216" s="566"/>
      <c r="Z216" s="566"/>
      <c r="AA216" s="566"/>
    </row>
    <row r="217" ht="15.75" customHeight="1">
      <c r="A217" s="566"/>
      <c r="B217" s="566"/>
      <c r="C217" s="566"/>
      <c r="D217" s="566"/>
      <c r="E217" s="566"/>
      <c r="F217" s="566"/>
      <c r="G217" s="566"/>
      <c r="H217" s="566"/>
      <c r="I217" s="566"/>
      <c r="J217" s="566"/>
      <c r="K217" s="566"/>
      <c r="L217" s="566"/>
      <c r="M217" s="566"/>
      <c r="N217" s="566"/>
      <c r="O217" s="566"/>
      <c r="P217" s="566"/>
      <c r="Q217" s="566"/>
      <c r="R217" s="566"/>
      <c r="S217" s="566"/>
      <c r="T217" s="566"/>
      <c r="U217" s="566"/>
      <c r="V217" s="566"/>
      <c r="W217" s="566"/>
      <c r="X217" s="566"/>
      <c r="Y217" s="566"/>
      <c r="Z217" s="566"/>
      <c r="AA217" s="566"/>
    </row>
    <row r="218" ht="15.75" customHeight="1">
      <c r="A218" s="566"/>
      <c r="B218" s="566"/>
      <c r="C218" s="566"/>
      <c r="D218" s="566"/>
      <c r="E218" s="566"/>
      <c r="F218" s="566"/>
      <c r="G218" s="566"/>
      <c r="H218" s="566"/>
      <c r="I218" s="566"/>
      <c r="J218" s="566"/>
      <c r="K218" s="566"/>
      <c r="L218" s="566"/>
      <c r="M218" s="566"/>
      <c r="N218" s="566"/>
      <c r="O218" s="566"/>
      <c r="P218" s="566"/>
      <c r="Q218" s="566"/>
      <c r="R218" s="566"/>
      <c r="S218" s="566"/>
      <c r="T218" s="566"/>
      <c r="U218" s="566"/>
      <c r="V218" s="566"/>
      <c r="W218" s="566"/>
      <c r="X218" s="566"/>
      <c r="Y218" s="566"/>
      <c r="Z218" s="566"/>
      <c r="AA218" s="566"/>
    </row>
    <row r="219" ht="15.75" customHeight="1">
      <c r="A219" s="566"/>
      <c r="B219" s="566"/>
      <c r="C219" s="566"/>
      <c r="D219" s="566"/>
      <c r="E219" s="566"/>
      <c r="F219" s="566"/>
      <c r="G219" s="566"/>
      <c r="H219" s="566"/>
      <c r="I219" s="566"/>
      <c r="J219" s="566"/>
      <c r="K219" s="566"/>
      <c r="L219" s="566"/>
      <c r="M219" s="566"/>
      <c r="N219" s="566"/>
      <c r="O219" s="566"/>
      <c r="P219" s="566"/>
      <c r="Q219" s="566"/>
      <c r="R219" s="566"/>
      <c r="S219" s="566"/>
      <c r="T219" s="566"/>
      <c r="U219" s="566"/>
      <c r="V219" s="566"/>
      <c r="W219" s="566"/>
      <c r="X219" s="566"/>
      <c r="Y219" s="566"/>
      <c r="Z219" s="566"/>
      <c r="AA219" s="566"/>
    </row>
    <row r="220" ht="15.75" customHeight="1">
      <c r="A220" s="566"/>
      <c r="B220" s="566"/>
      <c r="C220" s="566"/>
      <c r="D220" s="566"/>
      <c r="E220" s="566"/>
      <c r="F220" s="566"/>
      <c r="G220" s="566"/>
      <c r="H220" s="566"/>
      <c r="I220" s="566"/>
      <c r="J220" s="566"/>
      <c r="K220" s="566"/>
      <c r="L220" s="566"/>
      <c r="M220" s="566"/>
      <c r="N220" s="566"/>
      <c r="O220" s="566"/>
      <c r="P220" s="566"/>
      <c r="Q220" s="566"/>
      <c r="R220" s="566"/>
      <c r="S220" s="566"/>
      <c r="T220" s="566"/>
      <c r="U220" s="566"/>
      <c r="V220" s="566"/>
      <c r="W220" s="566"/>
      <c r="X220" s="566"/>
      <c r="Y220" s="566"/>
      <c r="Z220" s="566"/>
      <c r="AA220" s="56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6.0"/>
    <col customWidth="1" min="2" max="2" width="13.13"/>
    <col customWidth="1" min="3" max="3" width="14.88"/>
    <col customWidth="1" min="4" max="4" width="14.0"/>
    <col customWidth="1" min="5" max="5" width="8.13"/>
    <col customWidth="1" min="6" max="6" width="5.75"/>
    <col customWidth="1" min="7" max="7" width="6.38"/>
    <col customWidth="1" min="8" max="8" width="5.38"/>
    <col customWidth="1" min="9" max="9" width="7.38"/>
    <col customWidth="1" min="10" max="10" width="8.63"/>
    <col customWidth="1" min="11" max="11" width="6.88"/>
    <col customWidth="1" min="12" max="12" width="7.0"/>
    <col customWidth="1" min="13" max="13" width="7.25"/>
    <col customWidth="1" min="14" max="14" width="7.5"/>
    <col customWidth="1" min="15" max="15" width="8.5"/>
    <col customWidth="1" min="16" max="16" width="7.38"/>
    <col customWidth="1" min="17" max="17" width="17.13"/>
    <col customWidth="1" min="18" max="19" width="24.75"/>
    <col customWidth="1" min="20" max="27" width="11.0"/>
  </cols>
  <sheetData>
    <row r="1" ht="15.75" customHeight="1">
      <c r="A1" s="572" t="s">
        <v>0</v>
      </c>
      <c r="B1" s="573" t="s">
        <v>2994</v>
      </c>
      <c r="C1" s="573" t="s">
        <v>3058</v>
      </c>
      <c r="D1" s="573" t="s">
        <v>3059</v>
      </c>
      <c r="E1" s="573" t="s">
        <v>3060</v>
      </c>
      <c r="F1" s="572" t="s">
        <v>3061</v>
      </c>
      <c r="G1" s="574" t="s">
        <v>3062</v>
      </c>
      <c r="H1" s="5"/>
      <c r="I1" s="5"/>
      <c r="J1" s="5"/>
      <c r="K1" s="5"/>
      <c r="L1" s="5"/>
      <c r="M1" s="6"/>
      <c r="N1" s="572" t="s">
        <v>3063</v>
      </c>
      <c r="O1" s="572" t="s">
        <v>3064</v>
      </c>
      <c r="P1" s="572" t="s">
        <v>21</v>
      </c>
      <c r="Q1" s="575" t="s">
        <v>3281</v>
      </c>
      <c r="R1" s="576" t="s">
        <v>3282</v>
      </c>
      <c r="S1" s="577" t="s">
        <v>3283</v>
      </c>
      <c r="T1" s="338"/>
      <c r="U1" s="338"/>
      <c r="V1" s="338"/>
      <c r="W1" s="338"/>
      <c r="X1" s="338"/>
      <c r="Y1" s="338"/>
      <c r="Z1" s="338"/>
      <c r="AA1" s="338"/>
    </row>
    <row r="2" ht="15.75" customHeight="1">
      <c r="A2" s="11"/>
      <c r="B2" s="11"/>
      <c r="C2" s="11"/>
      <c r="D2" s="11"/>
      <c r="E2" s="11"/>
      <c r="F2" s="11"/>
      <c r="G2" s="578" t="s">
        <v>3068</v>
      </c>
      <c r="H2" s="578" t="s">
        <v>3069</v>
      </c>
      <c r="I2" s="574" t="s">
        <v>3070</v>
      </c>
      <c r="J2" s="5"/>
      <c r="K2" s="5"/>
      <c r="L2" s="6"/>
      <c r="M2" s="578" t="s">
        <v>3071</v>
      </c>
      <c r="N2" s="11"/>
      <c r="O2" s="11"/>
      <c r="P2" s="11"/>
      <c r="Q2" s="11"/>
      <c r="R2" s="11"/>
      <c r="S2" s="11"/>
      <c r="T2" s="338"/>
      <c r="U2" s="338"/>
      <c r="V2" s="338"/>
      <c r="W2" s="338"/>
      <c r="X2" s="338"/>
      <c r="Y2" s="338"/>
      <c r="Z2" s="338"/>
      <c r="AA2" s="338"/>
    </row>
    <row r="3" ht="15.75" customHeight="1">
      <c r="A3" s="16"/>
      <c r="B3" s="16"/>
      <c r="C3" s="16"/>
      <c r="D3" s="16"/>
      <c r="E3" s="16"/>
      <c r="F3" s="16"/>
      <c r="G3" s="16"/>
      <c r="H3" s="16"/>
      <c r="I3" s="579" t="s">
        <v>3072</v>
      </c>
      <c r="J3" s="579" t="s">
        <v>3073</v>
      </c>
      <c r="K3" s="579" t="s">
        <v>3074</v>
      </c>
      <c r="L3" s="579" t="s">
        <v>3075</v>
      </c>
      <c r="M3" s="16"/>
      <c r="N3" s="16"/>
      <c r="O3" s="16"/>
      <c r="P3" s="16"/>
      <c r="Q3" s="11"/>
      <c r="R3" s="11"/>
      <c r="S3" s="11"/>
      <c r="T3" s="338"/>
      <c r="U3" s="338"/>
      <c r="V3" s="338"/>
      <c r="W3" s="338"/>
      <c r="X3" s="338"/>
      <c r="Y3" s="338"/>
      <c r="Z3" s="338"/>
      <c r="AA3" s="338"/>
    </row>
    <row r="4" ht="15.75" customHeight="1">
      <c r="A4" s="580" t="s">
        <v>3076</v>
      </c>
      <c r="B4" s="581" t="s">
        <v>3077</v>
      </c>
      <c r="C4" s="582"/>
      <c r="D4" s="582" t="s">
        <v>3078</v>
      </c>
      <c r="E4" s="581"/>
      <c r="F4" s="583"/>
      <c r="G4" s="583"/>
      <c r="H4" s="583"/>
      <c r="I4" s="583"/>
      <c r="J4" s="583"/>
      <c r="K4" s="583"/>
      <c r="L4" s="583"/>
      <c r="M4" s="583" t="s">
        <v>3079</v>
      </c>
      <c r="N4" s="584"/>
      <c r="O4" s="585"/>
      <c r="P4" s="583"/>
      <c r="Q4" s="16"/>
      <c r="R4" s="16"/>
      <c r="S4" s="16"/>
      <c r="T4" s="338"/>
      <c r="U4" s="338"/>
      <c r="V4" s="338"/>
      <c r="W4" s="338"/>
      <c r="X4" s="338"/>
      <c r="Y4" s="338"/>
      <c r="Z4" s="338"/>
      <c r="AA4" s="338"/>
    </row>
    <row r="5" ht="15.75" customHeight="1">
      <c r="A5" s="327">
        <v>1.0</v>
      </c>
      <c r="B5" s="586" t="s">
        <v>3080</v>
      </c>
      <c r="C5" s="587" t="s">
        <v>3081</v>
      </c>
      <c r="D5" s="588" t="s">
        <v>3082</v>
      </c>
      <c r="E5" s="589" t="s">
        <v>274</v>
      </c>
      <c r="F5" s="590"/>
      <c r="G5" s="590"/>
      <c r="H5" s="590"/>
      <c r="I5" s="287"/>
      <c r="J5" s="287"/>
      <c r="K5" s="287"/>
      <c r="L5" s="287"/>
      <c r="M5" s="287"/>
      <c r="N5" s="586"/>
      <c r="O5" s="591"/>
      <c r="P5" s="592"/>
      <c r="Q5" s="342" t="s">
        <v>3005</v>
      </c>
      <c r="R5" s="593"/>
      <c r="S5" s="593" t="s">
        <v>3284</v>
      </c>
      <c r="T5" s="338"/>
      <c r="U5" s="338"/>
      <c r="V5" s="338"/>
      <c r="W5" s="338"/>
      <c r="X5" s="338"/>
      <c r="Y5" s="338"/>
      <c r="Z5" s="338"/>
      <c r="AA5" s="338"/>
    </row>
    <row r="6" ht="15.75" customHeight="1">
      <c r="A6" s="327">
        <f t="shared" ref="A6:A7" si="1">1+A5</f>
        <v>2</v>
      </c>
      <c r="B6" s="11"/>
      <c r="C6" s="587" t="s">
        <v>3084</v>
      </c>
      <c r="D6" s="594" t="s">
        <v>3285</v>
      </c>
      <c r="E6" s="595" t="s">
        <v>274</v>
      </c>
      <c r="F6" s="590"/>
      <c r="G6" s="590"/>
      <c r="H6" s="590"/>
      <c r="I6" s="287"/>
      <c r="J6" s="287"/>
      <c r="K6" s="287"/>
      <c r="L6" s="287"/>
      <c r="M6" s="287"/>
      <c r="N6" s="11"/>
      <c r="O6" s="591"/>
      <c r="P6" s="592"/>
      <c r="Q6" s="342" t="s">
        <v>2649</v>
      </c>
      <c r="R6" s="593"/>
      <c r="S6" s="593"/>
      <c r="T6" s="338"/>
      <c r="U6" s="338"/>
      <c r="V6" s="338"/>
      <c r="W6" s="338"/>
      <c r="X6" s="338"/>
      <c r="Y6" s="338"/>
      <c r="Z6" s="338"/>
      <c r="AA6" s="338"/>
    </row>
    <row r="7" ht="15.75" customHeight="1">
      <c r="A7" s="327">
        <f t="shared" si="1"/>
        <v>3</v>
      </c>
      <c r="B7" s="11"/>
      <c r="C7" s="596" t="s">
        <v>1947</v>
      </c>
      <c r="D7" s="594" t="s">
        <v>3087</v>
      </c>
      <c r="E7" s="595" t="s">
        <v>3088</v>
      </c>
      <c r="F7" s="590"/>
      <c r="G7" s="590"/>
      <c r="H7" s="590"/>
      <c r="I7" s="287"/>
      <c r="J7" s="287"/>
      <c r="K7" s="287"/>
      <c r="L7" s="287"/>
      <c r="M7" s="287"/>
      <c r="N7" s="11"/>
      <c r="O7" s="591"/>
      <c r="P7" s="592"/>
      <c r="Q7" s="342" t="s">
        <v>969</v>
      </c>
      <c r="R7" s="593"/>
      <c r="S7" s="593"/>
      <c r="T7" s="338"/>
      <c r="U7" s="338"/>
      <c r="V7" s="338"/>
      <c r="W7" s="338"/>
      <c r="X7" s="338"/>
      <c r="Y7" s="338"/>
      <c r="Z7" s="338"/>
      <c r="AA7" s="338"/>
    </row>
    <row r="8" ht="15.75" customHeight="1">
      <c r="A8" s="327">
        <v>4.0</v>
      </c>
      <c r="B8" s="11"/>
      <c r="C8" s="597" t="s">
        <v>3286</v>
      </c>
      <c r="D8" s="594" t="s">
        <v>3091</v>
      </c>
      <c r="E8" s="595" t="s">
        <v>24</v>
      </c>
      <c r="F8" s="590"/>
      <c r="G8" s="590"/>
      <c r="H8" s="590"/>
      <c r="I8" s="287"/>
      <c r="J8" s="287"/>
      <c r="K8" s="287"/>
      <c r="L8" s="287"/>
      <c r="M8" s="287"/>
      <c r="N8" s="11"/>
      <c r="O8" s="591"/>
      <c r="P8" s="592"/>
      <c r="Q8" s="342" t="s">
        <v>3007</v>
      </c>
      <c r="R8" s="593"/>
      <c r="S8" s="593"/>
      <c r="T8" s="338"/>
      <c r="U8" s="338"/>
      <c r="V8" s="338"/>
      <c r="W8" s="338"/>
      <c r="X8" s="338"/>
      <c r="Y8" s="338"/>
      <c r="Z8" s="338"/>
      <c r="AA8" s="338"/>
    </row>
    <row r="9" ht="15.75" customHeight="1">
      <c r="A9" s="327">
        <v>5.0</v>
      </c>
      <c r="B9" s="16"/>
      <c r="C9" s="598" t="s">
        <v>3287</v>
      </c>
      <c r="D9" s="599" t="s">
        <v>3093</v>
      </c>
      <c r="E9" s="600"/>
      <c r="F9" s="590"/>
      <c r="G9" s="590"/>
      <c r="H9" s="590"/>
      <c r="I9" s="287"/>
      <c r="J9" s="287"/>
      <c r="K9" s="287"/>
      <c r="L9" s="287"/>
      <c r="M9" s="287"/>
      <c r="N9" s="11"/>
      <c r="O9" s="591"/>
      <c r="P9" s="592"/>
      <c r="Q9" s="342" t="s">
        <v>969</v>
      </c>
      <c r="R9" s="593"/>
      <c r="S9" s="593"/>
      <c r="T9" s="338"/>
      <c r="U9" s="338"/>
      <c r="V9" s="338"/>
      <c r="W9" s="338"/>
      <c r="X9" s="338"/>
      <c r="Y9" s="338"/>
      <c r="Z9" s="338"/>
      <c r="AA9" s="338"/>
    </row>
    <row r="10" ht="15.75" customHeight="1">
      <c r="A10" s="327">
        <f>1+A9</f>
        <v>6</v>
      </c>
      <c r="B10" s="601" t="s">
        <v>3288</v>
      </c>
      <c r="C10" s="602" t="s">
        <v>367</v>
      </c>
      <c r="D10" s="594" t="s">
        <v>3096</v>
      </c>
      <c r="E10" s="595"/>
      <c r="F10" s="590"/>
      <c r="G10" s="590"/>
      <c r="H10" s="590"/>
      <c r="I10" s="287"/>
      <c r="J10" s="287"/>
      <c r="K10" s="287"/>
      <c r="L10" s="287"/>
      <c r="M10" s="287"/>
      <c r="N10" s="11"/>
      <c r="O10" s="591"/>
      <c r="P10" s="287"/>
      <c r="Q10" s="342" t="s">
        <v>1505</v>
      </c>
      <c r="R10" s="533" t="s">
        <v>3289</v>
      </c>
      <c r="S10" s="603"/>
      <c r="T10" s="338"/>
      <c r="U10" s="338"/>
      <c r="V10" s="338"/>
      <c r="W10" s="338"/>
      <c r="X10" s="338"/>
      <c r="Y10" s="338"/>
      <c r="Z10" s="338"/>
      <c r="AA10" s="338"/>
    </row>
    <row r="11" ht="15.75" customHeight="1">
      <c r="A11" s="327">
        <v>7.0</v>
      </c>
      <c r="B11" s="11"/>
      <c r="C11" s="604" t="s">
        <v>417</v>
      </c>
      <c r="D11" s="594" t="s">
        <v>3290</v>
      </c>
      <c r="E11" s="595"/>
      <c r="F11" s="590"/>
      <c r="G11" s="590"/>
      <c r="H11" s="590"/>
      <c r="I11" s="605"/>
      <c r="J11" s="605"/>
      <c r="K11" s="605"/>
      <c r="L11" s="287"/>
      <c r="M11" s="287"/>
      <c r="N11" s="11"/>
      <c r="O11" s="591"/>
      <c r="P11" s="287"/>
      <c r="Q11" s="342" t="s">
        <v>702</v>
      </c>
      <c r="R11" s="606" t="s">
        <v>3291</v>
      </c>
      <c r="S11" s="16"/>
      <c r="T11" s="338"/>
      <c r="U11" s="338"/>
      <c r="V11" s="338"/>
      <c r="W11" s="338"/>
      <c r="X11" s="338"/>
      <c r="Y11" s="338"/>
      <c r="Z11" s="338"/>
      <c r="AA11" s="338"/>
    </row>
    <row r="12" ht="15.75" customHeight="1">
      <c r="A12" s="327">
        <f t="shared" ref="A12:A13" si="2">1+A11</f>
        <v>8</v>
      </c>
      <c r="B12" s="11"/>
      <c r="C12" s="604" t="s">
        <v>3104</v>
      </c>
      <c r="D12" s="594" t="s">
        <v>3290</v>
      </c>
      <c r="E12" s="595"/>
      <c r="F12" s="590"/>
      <c r="G12" s="590"/>
      <c r="H12" s="590"/>
      <c r="I12" s="605"/>
      <c r="J12" s="605"/>
      <c r="K12" s="605"/>
      <c r="L12" s="287"/>
      <c r="M12" s="287"/>
      <c r="N12" s="11"/>
      <c r="O12" s="591"/>
      <c r="P12" s="287"/>
      <c r="Q12" s="342" t="s">
        <v>702</v>
      </c>
      <c r="R12" s="606" t="s">
        <v>3291</v>
      </c>
      <c r="S12" s="533"/>
      <c r="T12" s="338"/>
      <c r="U12" s="338"/>
      <c r="V12" s="338"/>
      <c r="W12" s="338"/>
      <c r="X12" s="338"/>
      <c r="Y12" s="338"/>
      <c r="Z12" s="338"/>
      <c r="AA12" s="338"/>
    </row>
    <row r="13" ht="15.75" customHeight="1">
      <c r="A13" s="327">
        <f t="shared" si="2"/>
        <v>9</v>
      </c>
      <c r="B13" s="11"/>
      <c r="C13" s="604" t="s">
        <v>479</v>
      </c>
      <c r="D13" s="594" t="s">
        <v>3109</v>
      </c>
      <c r="E13" s="595" t="s">
        <v>25</v>
      </c>
      <c r="F13" s="590"/>
      <c r="G13" s="590"/>
      <c r="H13" s="590"/>
      <c r="I13" s="605"/>
      <c r="J13" s="605"/>
      <c r="K13" s="605"/>
      <c r="L13" s="287"/>
      <c r="M13" s="287"/>
      <c r="N13" s="11"/>
      <c r="O13" s="591"/>
      <c r="P13" s="287"/>
      <c r="Q13" s="342" t="s">
        <v>3110</v>
      </c>
      <c r="R13" s="606" t="s">
        <v>3114</v>
      </c>
      <c r="S13" s="533"/>
      <c r="T13" s="338"/>
      <c r="U13" s="338"/>
      <c r="V13" s="338"/>
      <c r="W13" s="338"/>
      <c r="X13" s="338"/>
      <c r="Y13" s="338"/>
      <c r="Z13" s="338"/>
      <c r="AA13" s="338"/>
    </row>
    <row r="14" ht="15.75" customHeight="1">
      <c r="A14" s="327">
        <v>10.0</v>
      </c>
      <c r="B14" s="11"/>
      <c r="C14" s="547" t="s">
        <v>404</v>
      </c>
      <c r="D14" s="594" t="s">
        <v>3116</v>
      </c>
      <c r="E14" s="595" t="s">
        <v>24</v>
      </c>
      <c r="F14" s="590"/>
      <c r="G14" s="590"/>
      <c r="H14" s="590"/>
      <c r="I14" s="605"/>
      <c r="J14" s="605"/>
      <c r="K14" s="605"/>
      <c r="L14" s="287"/>
      <c r="M14" s="287"/>
      <c r="N14" s="11"/>
      <c r="O14" s="591"/>
      <c r="P14" s="287"/>
      <c r="Q14" s="342" t="s">
        <v>532</v>
      </c>
      <c r="R14" s="606" t="s">
        <v>3114</v>
      </c>
      <c r="S14" s="533"/>
      <c r="T14" s="338"/>
      <c r="U14" s="338"/>
      <c r="V14" s="338"/>
      <c r="W14" s="338"/>
      <c r="X14" s="338"/>
      <c r="Y14" s="338"/>
      <c r="Z14" s="338"/>
      <c r="AA14" s="338"/>
    </row>
    <row r="15" ht="15.75" customHeight="1">
      <c r="A15" s="327">
        <f t="shared" ref="A15:A16" si="3">1+A14</f>
        <v>11</v>
      </c>
      <c r="B15" s="11"/>
      <c r="C15" s="547" t="s">
        <v>975</v>
      </c>
      <c r="D15" s="594" t="s">
        <v>3116</v>
      </c>
      <c r="E15" s="595" t="s">
        <v>24</v>
      </c>
      <c r="F15" s="590"/>
      <c r="G15" s="590"/>
      <c r="H15" s="590"/>
      <c r="I15" s="605"/>
      <c r="J15" s="605"/>
      <c r="K15" s="605"/>
      <c r="L15" s="287"/>
      <c r="M15" s="287"/>
      <c r="N15" s="11"/>
      <c r="O15" s="591"/>
      <c r="P15" s="287"/>
      <c r="Q15" s="342" t="s">
        <v>532</v>
      </c>
      <c r="R15" s="606" t="s">
        <v>3114</v>
      </c>
      <c r="S15" s="533"/>
      <c r="T15" s="338"/>
      <c r="U15" s="338"/>
      <c r="V15" s="338"/>
      <c r="W15" s="338"/>
      <c r="X15" s="338"/>
      <c r="Y15" s="338"/>
      <c r="Z15" s="338"/>
      <c r="AA15" s="338"/>
    </row>
    <row r="16" ht="15.75" customHeight="1">
      <c r="A16" s="327">
        <f t="shared" si="3"/>
        <v>12</v>
      </c>
      <c r="B16" s="11"/>
      <c r="C16" s="547" t="s">
        <v>3117</v>
      </c>
      <c r="D16" s="594" t="s">
        <v>3116</v>
      </c>
      <c r="E16" s="595" t="s">
        <v>24</v>
      </c>
      <c r="F16" s="590"/>
      <c r="G16" s="590"/>
      <c r="H16" s="590"/>
      <c r="I16" s="605"/>
      <c r="J16" s="605"/>
      <c r="K16" s="605"/>
      <c r="L16" s="287"/>
      <c r="M16" s="287"/>
      <c r="N16" s="11"/>
      <c r="O16" s="591"/>
      <c r="P16" s="287"/>
      <c r="Q16" s="342" t="s">
        <v>532</v>
      </c>
      <c r="R16" s="606" t="s">
        <v>3114</v>
      </c>
      <c r="S16" s="533"/>
      <c r="T16" s="338"/>
      <c r="U16" s="338"/>
      <c r="V16" s="338"/>
      <c r="W16" s="338"/>
      <c r="X16" s="338"/>
      <c r="Y16" s="338"/>
      <c r="Z16" s="338"/>
      <c r="AA16" s="338"/>
    </row>
    <row r="17" ht="15.75" customHeight="1">
      <c r="A17" s="327">
        <v>13.0</v>
      </c>
      <c r="B17" s="11"/>
      <c r="C17" s="547" t="s">
        <v>3292</v>
      </c>
      <c r="D17" s="594" t="s">
        <v>3293</v>
      </c>
      <c r="E17" s="595" t="s">
        <v>24</v>
      </c>
      <c r="F17" s="590"/>
      <c r="G17" s="590"/>
      <c r="H17" s="590"/>
      <c r="I17" s="605"/>
      <c r="J17" s="605"/>
      <c r="K17" s="605"/>
      <c r="L17" s="287"/>
      <c r="M17" s="287"/>
      <c r="N17" s="11"/>
      <c r="O17" s="591"/>
      <c r="P17" s="287"/>
      <c r="Q17" s="342" t="s">
        <v>2129</v>
      </c>
      <c r="R17" s="606" t="s">
        <v>3294</v>
      </c>
      <c r="S17" s="533"/>
      <c r="T17" s="338"/>
      <c r="U17" s="338"/>
      <c r="V17" s="338"/>
      <c r="W17" s="338"/>
      <c r="X17" s="338"/>
      <c r="Y17" s="338"/>
      <c r="Z17" s="338"/>
      <c r="AA17" s="338"/>
    </row>
    <row r="18" ht="15.75" customHeight="1">
      <c r="A18" s="327">
        <f t="shared" ref="A18:A19" si="4">1+A17</f>
        <v>14</v>
      </c>
      <c r="B18" s="11"/>
      <c r="C18" s="607" t="s">
        <v>392</v>
      </c>
      <c r="D18" s="607" t="s">
        <v>3295</v>
      </c>
      <c r="E18" s="397" t="s">
        <v>24</v>
      </c>
      <c r="F18" s="590"/>
      <c r="G18" s="590"/>
      <c r="H18" s="590"/>
      <c r="I18" s="605"/>
      <c r="J18" s="605"/>
      <c r="K18" s="605"/>
      <c r="L18" s="287"/>
      <c r="M18" s="287"/>
      <c r="N18" s="11"/>
      <c r="O18" s="591"/>
      <c r="P18" s="287"/>
      <c r="Q18" s="342" t="s">
        <v>3296</v>
      </c>
      <c r="R18" s="555" t="s">
        <v>3297</v>
      </c>
      <c r="S18" s="533"/>
      <c r="T18" s="338"/>
      <c r="U18" s="338"/>
      <c r="V18" s="338"/>
      <c r="W18" s="338"/>
      <c r="X18" s="338"/>
      <c r="Y18" s="338"/>
      <c r="Z18" s="338"/>
      <c r="AA18" s="338"/>
    </row>
    <row r="19" ht="15.75" customHeight="1">
      <c r="A19" s="327">
        <f t="shared" si="4"/>
        <v>15</v>
      </c>
      <c r="B19" s="16"/>
      <c r="C19" s="607" t="s">
        <v>925</v>
      </c>
      <c r="D19" s="607" t="s">
        <v>3118</v>
      </c>
      <c r="E19" s="397" t="s">
        <v>24</v>
      </c>
      <c r="F19" s="590"/>
      <c r="G19" s="590"/>
      <c r="H19" s="590"/>
      <c r="I19" s="605"/>
      <c r="J19" s="605"/>
      <c r="K19" s="605"/>
      <c r="L19" s="287"/>
      <c r="M19" s="287"/>
      <c r="N19" s="11"/>
      <c r="O19" s="591"/>
      <c r="P19" s="287"/>
      <c r="Q19" s="342" t="s">
        <v>3296</v>
      </c>
      <c r="R19" s="555" t="s">
        <v>3297</v>
      </c>
      <c r="S19" s="533"/>
      <c r="T19" s="338"/>
      <c r="U19" s="338"/>
      <c r="V19" s="338"/>
      <c r="W19" s="338"/>
      <c r="X19" s="338"/>
      <c r="Y19" s="338"/>
      <c r="Z19" s="338"/>
      <c r="AA19" s="338"/>
    </row>
    <row r="20" ht="15.75" customHeight="1">
      <c r="A20" s="327">
        <v>16.0</v>
      </c>
      <c r="B20" s="601" t="s">
        <v>3123</v>
      </c>
      <c r="C20" s="401" t="s">
        <v>2177</v>
      </c>
      <c r="D20" s="594" t="s">
        <v>3124</v>
      </c>
      <c r="F20" s="590"/>
      <c r="G20" s="590"/>
      <c r="H20" s="590"/>
      <c r="I20" s="605"/>
      <c r="J20" s="605"/>
      <c r="K20" s="605"/>
      <c r="L20" s="287"/>
      <c r="M20" s="287"/>
      <c r="N20" s="11"/>
      <c r="O20" s="591"/>
      <c r="P20" s="287"/>
      <c r="Q20" s="342" t="s">
        <v>702</v>
      </c>
      <c r="R20" s="608" t="s">
        <v>3298</v>
      </c>
      <c r="S20" s="533"/>
      <c r="T20" s="338"/>
      <c r="U20" s="338"/>
      <c r="V20" s="338"/>
      <c r="W20" s="338"/>
      <c r="X20" s="338"/>
      <c r="Y20" s="338"/>
      <c r="Z20" s="338"/>
      <c r="AA20" s="338"/>
    </row>
    <row r="21" ht="15.75" customHeight="1">
      <c r="A21" s="327">
        <f t="shared" ref="A21:A22" si="5">1+A20</f>
        <v>17</v>
      </c>
      <c r="B21" s="11"/>
      <c r="C21" s="547" t="s">
        <v>2251</v>
      </c>
      <c r="D21" s="594" t="s">
        <v>3133</v>
      </c>
      <c r="E21" s="595"/>
      <c r="F21" s="590"/>
      <c r="G21" s="590"/>
      <c r="H21" s="590"/>
      <c r="I21" s="605"/>
      <c r="J21" s="605"/>
      <c r="K21" s="605"/>
      <c r="L21" s="287"/>
      <c r="M21" s="287"/>
      <c r="N21" s="11"/>
      <c r="O21" s="591"/>
      <c r="P21" s="287"/>
      <c r="Q21" s="342" t="s">
        <v>702</v>
      </c>
      <c r="R21" s="608" t="s">
        <v>3299</v>
      </c>
      <c r="S21" s="606"/>
      <c r="T21" s="338"/>
      <c r="U21" s="338"/>
      <c r="V21" s="338"/>
      <c r="W21" s="338"/>
      <c r="X21" s="338"/>
      <c r="Y21" s="338"/>
      <c r="Z21" s="338"/>
      <c r="AA21" s="338"/>
    </row>
    <row r="22" ht="15.75" customHeight="1">
      <c r="A22" s="327">
        <f t="shared" si="5"/>
        <v>18</v>
      </c>
      <c r="B22" s="11"/>
      <c r="C22" s="609" t="s">
        <v>458</v>
      </c>
      <c r="D22" s="594" t="s">
        <v>3136</v>
      </c>
      <c r="E22" s="595"/>
      <c r="F22" s="590"/>
      <c r="G22" s="590"/>
      <c r="H22" s="590"/>
      <c r="I22" s="605"/>
      <c r="J22" s="605"/>
      <c r="K22" s="605"/>
      <c r="L22" s="287"/>
      <c r="M22" s="287"/>
      <c r="N22" s="11"/>
      <c r="O22" s="591"/>
      <c r="P22" s="287"/>
      <c r="Q22" s="342" t="s">
        <v>702</v>
      </c>
      <c r="R22" s="608" t="s">
        <v>3300</v>
      </c>
      <c r="S22" s="606"/>
      <c r="T22" s="338"/>
      <c r="U22" s="338"/>
      <c r="V22" s="338"/>
      <c r="W22" s="338"/>
      <c r="X22" s="338"/>
      <c r="Y22" s="338"/>
      <c r="Z22" s="338"/>
      <c r="AA22" s="338"/>
    </row>
    <row r="23" ht="15.75" customHeight="1">
      <c r="A23" s="327">
        <v>19.0</v>
      </c>
      <c r="B23" s="11"/>
      <c r="C23" s="604" t="s">
        <v>2292</v>
      </c>
      <c r="D23" s="594" t="s">
        <v>3133</v>
      </c>
      <c r="E23" s="595"/>
      <c r="F23" s="590"/>
      <c r="G23" s="590"/>
      <c r="H23" s="590"/>
      <c r="I23" s="605"/>
      <c r="J23" s="605"/>
      <c r="K23" s="605"/>
      <c r="L23" s="287"/>
      <c r="M23" s="287"/>
      <c r="N23" s="11"/>
      <c r="O23" s="591"/>
      <c r="P23" s="287"/>
      <c r="Q23" s="342" t="s">
        <v>702</v>
      </c>
      <c r="R23" s="608" t="s">
        <v>3301</v>
      </c>
      <c r="S23" s="610"/>
      <c r="T23" s="338"/>
      <c r="U23" s="338"/>
      <c r="V23" s="338"/>
      <c r="W23" s="338"/>
      <c r="X23" s="338"/>
      <c r="Y23" s="338"/>
      <c r="Z23" s="338"/>
      <c r="AA23" s="338"/>
    </row>
    <row r="24" ht="15.75" customHeight="1">
      <c r="A24" s="327">
        <f t="shared" ref="A24:A39" si="6">1+A23</f>
        <v>20</v>
      </c>
      <c r="B24" s="11"/>
      <c r="C24" s="604" t="s">
        <v>3302</v>
      </c>
      <c r="D24" s="611" t="s">
        <v>3303</v>
      </c>
      <c r="E24" s="612"/>
      <c r="F24" s="590"/>
      <c r="G24" s="590"/>
      <c r="H24" s="590"/>
      <c r="I24" s="605"/>
      <c r="J24" s="605"/>
      <c r="K24" s="605"/>
      <c r="L24" s="287"/>
      <c r="M24" s="287"/>
      <c r="N24" s="11"/>
      <c r="O24" s="591"/>
      <c r="P24" s="287"/>
      <c r="Q24" s="342" t="s">
        <v>3304</v>
      </c>
      <c r="R24" s="606" t="s">
        <v>3305</v>
      </c>
      <c r="S24" s="533" t="s">
        <v>3306</v>
      </c>
      <c r="T24" s="338"/>
      <c r="U24" s="338"/>
      <c r="V24" s="338"/>
      <c r="W24" s="338"/>
      <c r="X24" s="338"/>
      <c r="Y24" s="338"/>
      <c r="Z24" s="338"/>
      <c r="AA24" s="338"/>
    </row>
    <row r="25" ht="15.75" customHeight="1">
      <c r="A25" s="327">
        <f t="shared" si="6"/>
        <v>21</v>
      </c>
      <c r="B25" s="11"/>
      <c r="C25" s="604" t="s">
        <v>3307</v>
      </c>
      <c r="D25" s="611" t="s">
        <v>3308</v>
      </c>
      <c r="E25" s="612"/>
      <c r="F25" s="590"/>
      <c r="G25" s="590"/>
      <c r="H25" s="590"/>
      <c r="I25" s="605"/>
      <c r="J25" s="605"/>
      <c r="K25" s="605"/>
      <c r="L25" s="287"/>
      <c r="M25" s="287"/>
      <c r="N25" s="11"/>
      <c r="O25" s="591"/>
      <c r="P25" s="287"/>
      <c r="Q25" s="342" t="s">
        <v>3304</v>
      </c>
      <c r="R25" s="606" t="s">
        <v>3305</v>
      </c>
      <c r="S25" s="555" t="s">
        <v>3309</v>
      </c>
      <c r="T25" s="338"/>
      <c r="U25" s="338"/>
      <c r="V25" s="338"/>
      <c r="W25" s="338"/>
      <c r="X25" s="338"/>
      <c r="Y25" s="338"/>
      <c r="Z25" s="338"/>
      <c r="AA25" s="338"/>
    </row>
    <row r="26" ht="15.75" customHeight="1">
      <c r="A26" s="327">
        <f t="shared" si="6"/>
        <v>22</v>
      </c>
      <c r="B26" s="11"/>
      <c r="C26" s="607" t="s">
        <v>623</v>
      </c>
      <c r="D26" s="611" t="s">
        <v>3308</v>
      </c>
      <c r="E26" s="384"/>
      <c r="F26" s="590"/>
      <c r="G26" s="590"/>
      <c r="H26" s="590"/>
      <c r="I26" s="605"/>
      <c r="J26" s="605"/>
      <c r="K26" s="605"/>
      <c r="L26" s="287"/>
      <c r="M26" s="287"/>
      <c r="N26" s="11"/>
      <c r="O26" s="591"/>
      <c r="P26" s="287"/>
      <c r="Q26" s="342" t="s">
        <v>3304</v>
      </c>
      <c r="R26" s="606" t="s">
        <v>3305</v>
      </c>
      <c r="S26" s="613" t="s">
        <v>3310</v>
      </c>
      <c r="T26" s="338"/>
      <c r="U26" s="338"/>
      <c r="V26" s="338"/>
      <c r="W26" s="338"/>
      <c r="X26" s="338"/>
      <c r="Y26" s="338"/>
      <c r="Z26" s="338"/>
      <c r="AA26" s="338"/>
    </row>
    <row r="27" ht="15.75" customHeight="1">
      <c r="A27" s="327">
        <f t="shared" si="6"/>
        <v>23</v>
      </c>
      <c r="B27" s="11"/>
      <c r="C27" s="604" t="s">
        <v>497</v>
      </c>
      <c r="D27" s="594" t="s">
        <v>3136</v>
      </c>
      <c r="E27" s="595"/>
      <c r="F27" s="590"/>
      <c r="G27" s="590"/>
      <c r="H27" s="590"/>
      <c r="I27" s="605"/>
      <c r="J27" s="605"/>
      <c r="K27" s="605"/>
      <c r="L27" s="287"/>
      <c r="M27" s="287"/>
      <c r="N27" s="11"/>
      <c r="O27" s="591"/>
      <c r="P27" s="287"/>
      <c r="Q27" s="342" t="s">
        <v>702</v>
      </c>
      <c r="R27" s="608" t="s">
        <v>3311</v>
      </c>
      <c r="S27" s="606"/>
      <c r="T27" s="338"/>
      <c r="U27" s="338"/>
      <c r="V27" s="338"/>
      <c r="W27" s="338"/>
      <c r="X27" s="338"/>
      <c r="Y27" s="338"/>
      <c r="Z27" s="338"/>
      <c r="AA27" s="338"/>
    </row>
    <row r="28" ht="15.75" customHeight="1">
      <c r="A28" s="327">
        <f t="shared" si="6"/>
        <v>24</v>
      </c>
      <c r="B28" s="11"/>
      <c r="C28" s="614" t="s">
        <v>3139</v>
      </c>
      <c r="D28" s="594" t="s">
        <v>3136</v>
      </c>
      <c r="E28" s="595"/>
      <c r="F28" s="590"/>
      <c r="G28" s="590"/>
      <c r="H28" s="590"/>
      <c r="I28" s="605"/>
      <c r="J28" s="605"/>
      <c r="K28" s="605"/>
      <c r="L28" s="287"/>
      <c r="M28" s="287"/>
      <c r="N28" s="11"/>
      <c r="O28" s="591"/>
      <c r="P28" s="287"/>
      <c r="Q28" s="342" t="s">
        <v>702</v>
      </c>
      <c r="R28" s="608" t="s">
        <v>3312</v>
      </c>
      <c r="S28" s="606"/>
      <c r="T28" s="338"/>
      <c r="U28" s="338"/>
      <c r="V28" s="338"/>
      <c r="W28" s="338"/>
      <c r="X28" s="338"/>
      <c r="Y28" s="338"/>
      <c r="Z28" s="338"/>
      <c r="AA28" s="338"/>
    </row>
    <row r="29" ht="15.75" customHeight="1">
      <c r="A29" s="327">
        <f t="shared" si="6"/>
        <v>25</v>
      </c>
      <c r="B29" s="11"/>
      <c r="C29" s="604" t="s">
        <v>737</v>
      </c>
      <c r="D29" s="594" t="s">
        <v>3136</v>
      </c>
      <c r="E29" s="595"/>
      <c r="F29" s="590"/>
      <c r="G29" s="590"/>
      <c r="H29" s="590"/>
      <c r="I29" s="605"/>
      <c r="J29" s="605"/>
      <c r="K29" s="605"/>
      <c r="L29" s="287"/>
      <c r="M29" s="287"/>
      <c r="N29" s="11"/>
      <c r="O29" s="591"/>
      <c r="P29" s="287"/>
      <c r="Q29" s="342" t="s">
        <v>532</v>
      </c>
      <c r="R29" s="606" t="s">
        <v>3313</v>
      </c>
      <c r="S29" s="606"/>
      <c r="T29" s="338"/>
      <c r="U29" s="338"/>
      <c r="V29" s="338"/>
      <c r="W29" s="338"/>
      <c r="X29" s="338"/>
      <c r="Y29" s="338"/>
      <c r="Z29" s="338"/>
      <c r="AA29" s="338"/>
    </row>
    <row r="30" ht="15.75" customHeight="1">
      <c r="A30" s="327">
        <f t="shared" si="6"/>
        <v>26</v>
      </c>
      <c r="B30" s="11"/>
      <c r="C30" s="604" t="s">
        <v>464</v>
      </c>
      <c r="D30" s="594" t="s">
        <v>3161</v>
      </c>
      <c r="E30" s="595"/>
      <c r="F30" s="590"/>
      <c r="G30" s="590"/>
      <c r="H30" s="590"/>
      <c r="I30" s="605"/>
      <c r="J30" s="605"/>
      <c r="K30" s="605"/>
      <c r="L30" s="287"/>
      <c r="M30" s="287"/>
      <c r="N30" s="11"/>
      <c r="O30" s="591"/>
      <c r="P30" s="287"/>
      <c r="Q30" s="342" t="s">
        <v>1505</v>
      </c>
      <c r="R30" s="533" t="s">
        <v>3314</v>
      </c>
      <c r="S30" s="533"/>
      <c r="T30" s="338"/>
      <c r="U30" s="338"/>
      <c r="V30" s="338"/>
      <c r="W30" s="338"/>
      <c r="X30" s="338"/>
      <c r="Y30" s="338"/>
      <c r="Z30" s="338"/>
      <c r="AA30" s="338"/>
    </row>
    <row r="31" ht="15.75" customHeight="1">
      <c r="A31" s="327">
        <f t="shared" si="6"/>
        <v>27</v>
      </c>
      <c r="B31" s="11"/>
      <c r="C31" s="604" t="s">
        <v>750</v>
      </c>
      <c r="D31" s="594" t="s">
        <v>3161</v>
      </c>
      <c r="E31" s="595"/>
      <c r="F31" s="590"/>
      <c r="G31" s="590"/>
      <c r="H31" s="590"/>
      <c r="I31" s="605"/>
      <c r="J31" s="605"/>
      <c r="K31" s="605"/>
      <c r="L31" s="287"/>
      <c r="M31" s="287"/>
      <c r="N31" s="11"/>
      <c r="O31" s="591"/>
      <c r="P31" s="287"/>
      <c r="Q31" s="342" t="s">
        <v>1505</v>
      </c>
      <c r="R31" s="606" t="s">
        <v>3314</v>
      </c>
      <c r="S31" s="606"/>
      <c r="T31" s="338"/>
      <c r="U31" s="338"/>
      <c r="V31" s="338"/>
      <c r="W31" s="338"/>
      <c r="X31" s="338"/>
      <c r="Y31" s="338"/>
      <c r="Z31" s="338"/>
      <c r="AA31" s="338"/>
    </row>
    <row r="32" ht="15.75" customHeight="1">
      <c r="A32" s="327">
        <f t="shared" si="6"/>
        <v>28</v>
      </c>
      <c r="B32" s="11"/>
      <c r="C32" s="604" t="s">
        <v>450</v>
      </c>
      <c r="D32" s="594" t="s">
        <v>3161</v>
      </c>
      <c r="E32" s="595"/>
      <c r="F32" s="590"/>
      <c r="G32" s="590"/>
      <c r="H32" s="590"/>
      <c r="I32" s="287"/>
      <c r="J32" s="287"/>
      <c r="K32" s="287"/>
      <c r="L32" s="287"/>
      <c r="M32" s="287"/>
      <c r="N32" s="11"/>
      <c r="O32" s="591"/>
      <c r="P32" s="287"/>
      <c r="Q32" s="342" t="s">
        <v>1505</v>
      </c>
      <c r="R32" s="606" t="s">
        <v>3314</v>
      </c>
      <c r="S32" s="606"/>
      <c r="T32" s="338"/>
      <c r="U32" s="338"/>
      <c r="V32" s="338"/>
      <c r="W32" s="338"/>
      <c r="X32" s="338"/>
      <c r="Y32" s="338"/>
      <c r="Z32" s="338"/>
      <c r="AA32" s="338"/>
    </row>
    <row r="33" ht="15.75" customHeight="1">
      <c r="A33" s="327">
        <f t="shared" si="6"/>
        <v>29</v>
      </c>
      <c r="B33" s="11"/>
      <c r="C33" s="604" t="s">
        <v>2416</v>
      </c>
      <c r="D33" s="594" t="s">
        <v>3161</v>
      </c>
      <c r="E33" s="615"/>
      <c r="F33" s="590"/>
      <c r="G33" s="590"/>
      <c r="H33" s="590"/>
      <c r="I33" s="287"/>
      <c r="J33" s="287"/>
      <c r="K33" s="287"/>
      <c r="L33" s="287"/>
      <c r="M33" s="287"/>
      <c r="N33" s="11"/>
      <c r="O33" s="591"/>
      <c r="P33" s="616"/>
      <c r="Q33" s="342" t="s">
        <v>1505</v>
      </c>
      <c r="R33" s="533" t="s">
        <v>3314</v>
      </c>
      <c r="S33" s="533"/>
      <c r="T33" s="338"/>
      <c r="U33" s="338"/>
      <c r="V33" s="338"/>
      <c r="W33" s="338"/>
      <c r="X33" s="338"/>
      <c r="Y33" s="338"/>
      <c r="Z33" s="338"/>
      <c r="AA33" s="338"/>
    </row>
    <row r="34" ht="15.75" customHeight="1">
      <c r="A34" s="327">
        <f t="shared" si="6"/>
        <v>30</v>
      </c>
      <c r="B34" s="11"/>
      <c r="C34" s="604" t="s">
        <v>585</v>
      </c>
      <c r="D34" s="594" t="s">
        <v>3209</v>
      </c>
      <c r="E34" s="617"/>
      <c r="F34" s="590"/>
      <c r="G34" s="590"/>
      <c r="H34" s="590"/>
      <c r="I34" s="287"/>
      <c r="J34" s="287"/>
      <c r="K34" s="287"/>
      <c r="L34" s="287"/>
      <c r="M34" s="287"/>
      <c r="N34" s="11"/>
      <c r="O34" s="591"/>
      <c r="P34" s="616"/>
      <c r="Q34" s="342" t="s">
        <v>1505</v>
      </c>
      <c r="R34" s="555" t="s">
        <v>3314</v>
      </c>
      <c r="S34" s="555"/>
      <c r="T34" s="338"/>
      <c r="U34" s="338"/>
      <c r="V34" s="338"/>
      <c r="W34" s="338"/>
      <c r="X34" s="338"/>
      <c r="Y34" s="338"/>
      <c r="Z34" s="338"/>
      <c r="AA34" s="338"/>
    </row>
    <row r="35" ht="15.75" customHeight="1">
      <c r="A35" s="327">
        <f t="shared" si="6"/>
        <v>31</v>
      </c>
      <c r="B35" s="11"/>
      <c r="C35" s="604" t="s">
        <v>554</v>
      </c>
      <c r="D35" s="594" t="s">
        <v>3209</v>
      </c>
      <c r="E35" s="617"/>
      <c r="F35" s="590"/>
      <c r="G35" s="590"/>
      <c r="H35" s="590"/>
      <c r="I35" s="287"/>
      <c r="J35" s="287"/>
      <c r="K35" s="287"/>
      <c r="L35" s="287"/>
      <c r="M35" s="287"/>
      <c r="N35" s="11"/>
      <c r="O35" s="591"/>
      <c r="P35" s="616"/>
      <c r="Q35" s="342" t="s">
        <v>1505</v>
      </c>
      <c r="R35" s="555" t="s">
        <v>3314</v>
      </c>
      <c r="S35" s="555"/>
      <c r="T35" s="338"/>
      <c r="U35" s="338"/>
      <c r="V35" s="338"/>
      <c r="W35" s="338"/>
      <c r="X35" s="338"/>
      <c r="Y35" s="338"/>
      <c r="Z35" s="338"/>
      <c r="AA35" s="338"/>
    </row>
    <row r="36" ht="15.75" customHeight="1">
      <c r="A36" s="327">
        <f t="shared" si="6"/>
        <v>32</v>
      </c>
      <c r="B36" s="11"/>
      <c r="C36" s="604" t="s">
        <v>475</v>
      </c>
      <c r="D36" s="594" t="s">
        <v>3209</v>
      </c>
      <c r="E36" s="590"/>
      <c r="F36" s="590"/>
      <c r="G36" s="590"/>
      <c r="H36" s="590"/>
      <c r="I36" s="287"/>
      <c r="J36" s="287"/>
      <c r="K36" s="287"/>
      <c r="L36" s="287"/>
      <c r="M36" s="287"/>
      <c r="N36" s="11"/>
      <c r="O36" s="591"/>
      <c r="P36" s="616"/>
      <c r="Q36" s="342" t="s">
        <v>1505</v>
      </c>
      <c r="R36" s="555" t="s">
        <v>3314</v>
      </c>
      <c r="S36" s="555"/>
      <c r="T36" s="338"/>
      <c r="U36" s="338"/>
      <c r="V36" s="338"/>
      <c r="W36" s="338"/>
      <c r="X36" s="338"/>
      <c r="Y36" s="338"/>
      <c r="Z36" s="338"/>
      <c r="AA36" s="338"/>
    </row>
    <row r="37" ht="15.75" customHeight="1">
      <c r="A37" s="327">
        <f t="shared" si="6"/>
        <v>33</v>
      </c>
      <c r="B37" s="11"/>
      <c r="C37" s="604" t="s">
        <v>529</v>
      </c>
      <c r="D37" s="594" t="s">
        <v>3213</v>
      </c>
      <c r="E37" s="590"/>
      <c r="F37" s="590"/>
      <c r="G37" s="590"/>
      <c r="H37" s="590"/>
      <c r="I37" s="287"/>
      <c r="J37" s="287"/>
      <c r="K37" s="287"/>
      <c r="L37" s="287"/>
      <c r="M37" s="287"/>
      <c r="N37" s="11"/>
      <c r="O37" s="591"/>
      <c r="P37" s="616"/>
      <c r="Q37" s="342" t="s">
        <v>1505</v>
      </c>
      <c r="R37" s="610" t="s">
        <v>3314</v>
      </c>
      <c r="S37" s="610"/>
      <c r="T37" s="338"/>
      <c r="U37" s="338"/>
      <c r="V37" s="338"/>
      <c r="W37" s="338"/>
      <c r="X37" s="338"/>
      <c r="Y37" s="338"/>
      <c r="Z37" s="338"/>
      <c r="AA37" s="338"/>
    </row>
    <row r="38" ht="15.75" customHeight="1">
      <c r="A38" s="327">
        <f t="shared" si="6"/>
        <v>34</v>
      </c>
      <c r="B38" s="11"/>
      <c r="C38" s="604" t="s">
        <v>580</v>
      </c>
      <c r="D38" s="594" t="s">
        <v>3161</v>
      </c>
      <c r="E38" s="618"/>
      <c r="F38" s="590"/>
      <c r="G38" s="590"/>
      <c r="H38" s="590"/>
      <c r="I38" s="287"/>
      <c r="J38" s="287"/>
      <c r="K38" s="287"/>
      <c r="L38" s="287"/>
      <c r="M38" s="287"/>
      <c r="N38" s="11"/>
      <c r="O38" s="591"/>
      <c r="P38" s="616"/>
      <c r="Q38" s="342" t="s">
        <v>1505</v>
      </c>
      <c r="R38" s="533" t="s">
        <v>3314</v>
      </c>
      <c r="S38" s="533"/>
      <c r="T38" s="338"/>
      <c r="U38" s="338"/>
      <c r="V38" s="338"/>
      <c r="W38" s="338"/>
      <c r="X38" s="338"/>
      <c r="Y38" s="338"/>
      <c r="Z38" s="338"/>
      <c r="AA38" s="338"/>
    </row>
    <row r="39" ht="15.75" customHeight="1">
      <c r="A39" s="327">
        <f t="shared" si="6"/>
        <v>35</v>
      </c>
      <c r="B39" s="16"/>
      <c r="C39" s="604" t="s">
        <v>3315</v>
      </c>
      <c r="D39" s="599" t="s">
        <v>3136</v>
      </c>
      <c r="E39" s="619"/>
      <c r="F39" s="590"/>
      <c r="G39" s="590"/>
      <c r="H39" s="590"/>
      <c r="I39" s="287"/>
      <c r="J39" s="287"/>
      <c r="K39" s="287"/>
      <c r="L39" s="287"/>
      <c r="M39" s="287"/>
      <c r="N39" s="16"/>
      <c r="O39" s="591"/>
      <c r="P39" s="616"/>
      <c r="Q39" s="342" t="s">
        <v>2129</v>
      </c>
      <c r="R39" s="555" t="s">
        <v>3316</v>
      </c>
      <c r="S39" s="555" t="s">
        <v>3317</v>
      </c>
      <c r="T39" s="338"/>
      <c r="U39" s="338"/>
      <c r="V39" s="338"/>
      <c r="W39" s="338"/>
      <c r="X39" s="338"/>
      <c r="Y39" s="338"/>
      <c r="Z39" s="338"/>
      <c r="AA39" s="338"/>
    </row>
    <row r="40" ht="15.75" customHeight="1">
      <c r="A40" s="338"/>
      <c r="B40" s="338"/>
      <c r="C40" s="338"/>
      <c r="D40" s="338"/>
      <c r="E40" s="338"/>
      <c r="F40" s="338"/>
      <c r="G40" s="338"/>
      <c r="H40" s="338"/>
      <c r="I40" s="338"/>
      <c r="J40" s="338"/>
      <c r="K40" s="338"/>
      <c r="L40" s="338"/>
      <c r="M40" s="338"/>
      <c r="N40" s="338"/>
      <c r="O40" s="338"/>
      <c r="P40" s="338"/>
      <c r="Q40" s="338"/>
      <c r="R40" s="338"/>
      <c r="S40" s="338"/>
      <c r="T40" s="338"/>
      <c r="U40" s="338"/>
      <c r="V40" s="338"/>
      <c r="W40" s="338"/>
      <c r="X40" s="338"/>
      <c r="Y40" s="338"/>
      <c r="Z40" s="338"/>
      <c r="AA40" s="338"/>
    </row>
    <row r="41" ht="15.75" customHeight="1">
      <c r="A41" s="338"/>
      <c r="B41" s="338"/>
      <c r="C41" s="338"/>
      <c r="D41" s="338"/>
      <c r="E41" s="338"/>
      <c r="F41" s="338"/>
      <c r="G41" s="338"/>
      <c r="H41" s="338"/>
      <c r="I41" s="338"/>
      <c r="J41" s="338"/>
      <c r="K41" s="338"/>
      <c r="L41" s="338"/>
      <c r="M41" s="338"/>
      <c r="N41" s="338"/>
      <c r="O41" s="338"/>
      <c r="P41" s="338"/>
      <c r="Q41" s="338"/>
      <c r="R41" s="338"/>
      <c r="S41" s="338"/>
      <c r="T41" s="338"/>
      <c r="U41" s="338"/>
      <c r="V41" s="338"/>
      <c r="W41" s="338"/>
      <c r="X41" s="338"/>
      <c r="Y41" s="338"/>
      <c r="Z41" s="338"/>
      <c r="AA41" s="338"/>
    </row>
    <row r="42" ht="15.75" customHeight="1">
      <c r="A42" s="338"/>
      <c r="B42" s="338"/>
      <c r="C42" s="338"/>
      <c r="D42" s="338"/>
      <c r="E42" s="338"/>
      <c r="F42" s="338"/>
      <c r="G42" s="338"/>
      <c r="H42" s="338"/>
      <c r="I42" s="338"/>
      <c r="J42" s="338"/>
      <c r="K42" s="338"/>
      <c r="L42" s="338"/>
      <c r="M42" s="338"/>
      <c r="N42" s="338"/>
      <c r="O42" s="338"/>
      <c r="P42" s="338"/>
      <c r="Q42" s="338"/>
      <c r="R42" s="338"/>
      <c r="S42" s="338"/>
      <c r="T42" s="338"/>
      <c r="U42" s="338"/>
      <c r="V42" s="338"/>
      <c r="W42" s="338"/>
      <c r="X42" s="338"/>
      <c r="Y42" s="338"/>
      <c r="Z42" s="338"/>
      <c r="AA42" s="338"/>
    </row>
    <row r="43" ht="15.75" customHeight="1">
      <c r="A43" s="338"/>
      <c r="B43" s="338"/>
      <c r="C43" s="338"/>
      <c r="D43" s="338"/>
      <c r="E43" s="338"/>
      <c r="F43" s="338"/>
      <c r="G43" s="338"/>
      <c r="H43" s="338"/>
      <c r="I43" s="338"/>
      <c r="J43" s="338"/>
      <c r="K43" s="338"/>
      <c r="L43" s="338"/>
      <c r="M43" s="338"/>
      <c r="N43" s="338"/>
      <c r="O43" s="338"/>
      <c r="P43" s="338"/>
      <c r="Q43" s="338"/>
      <c r="R43" s="338"/>
      <c r="S43" s="338"/>
      <c r="T43" s="338"/>
      <c r="U43" s="338"/>
      <c r="V43" s="338"/>
      <c r="W43" s="338"/>
      <c r="X43" s="338"/>
      <c r="Y43" s="338"/>
      <c r="Z43" s="338"/>
      <c r="AA43" s="338"/>
    </row>
    <row r="44" ht="15.75" customHeight="1">
      <c r="A44" s="338"/>
      <c r="B44" s="338"/>
      <c r="C44" s="338"/>
      <c r="D44" s="338"/>
      <c r="E44" s="338"/>
      <c r="F44" s="338"/>
      <c r="G44" s="338"/>
      <c r="H44" s="338"/>
      <c r="I44" s="338"/>
      <c r="J44" s="338"/>
      <c r="K44" s="338"/>
      <c r="L44" s="338"/>
      <c r="M44" s="338"/>
      <c r="N44" s="338"/>
      <c r="O44" s="338"/>
      <c r="P44" s="338"/>
      <c r="Q44" s="338"/>
      <c r="R44" s="338"/>
      <c r="S44" s="338"/>
      <c r="T44" s="338"/>
      <c r="U44" s="338"/>
      <c r="V44" s="338"/>
      <c r="W44" s="338"/>
      <c r="X44" s="338"/>
      <c r="Y44" s="338"/>
      <c r="Z44" s="338"/>
      <c r="AA44" s="338"/>
    </row>
    <row r="45" ht="15.75" customHeight="1">
      <c r="A45" s="338"/>
      <c r="B45" s="338"/>
      <c r="C45" s="338"/>
      <c r="D45" s="338"/>
      <c r="E45" s="338"/>
      <c r="F45" s="338"/>
      <c r="G45" s="338"/>
      <c r="H45" s="338"/>
      <c r="I45" s="338"/>
      <c r="J45" s="338"/>
      <c r="K45" s="338"/>
      <c r="L45" s="338"/>
      <c r="M45" s="338"/>
      <c r="N45" s="338"/>
      <c r="O45" s="338"/>
      <c r="P45" s="338"/>
      <c r="Q45" s="338"/>
      <c r="R45" s="338"/>
      <c r="S45" s="338"/>
      <c r="T45" s="338"/>
      <c r="U45" s="338"/>
      <c r="V45" s="338"/>
      <c r="W45" s="338"/>
      <c r="X45" s="338"/>
      <c r="Y45" s="338"/>
      <c r="Z45" s="338"/>
      <c r="AA45" s="338"/>
    </row>
    <row r="46" ht="15.75" customHeight="1">
      <c r="A46" s="338"/>
      <c r="B46" s="338"/>
      <c r="C46" s="338"/>
      <c r="D46" s="338"/>
      <c r="E46" s="338"/>
      <c r="F46" s="338"/>
      <c r="G46" s="338"/>
      <c r="H46" s="338"/>
      <c r="I46" s="338"/>
      <c r="J46" s="338"/>
      <c r="K46" s="338"/>
      <c r="L46" s="338"/>
      <c r="M46" s="338"/>
      <c r="N46" s="338"/>
      <c r="O46" s="338"/>
      <c r="P46" s="338"/>
      <c r="Q46" s="338"/>
      <c r="R46" s="338"/>
      <c r="S46" s="338"/>
      <c r="T46" s="338"/>
      <c r="U46" s="338"/>
      <c r="V46" s="338"/>
      <c r="W46" s="338"/>
      <c r="X46" s="338"/>
      <c r="Y46" s="338"/>
      <c r="Z46" s="338"/>
      <c r="AA46" s="338"/>
    </row>
    <row r="47" ht="15.75" customHeight="1">
      <c r="A47" s="338"/>
      <c r="B47" s="338"/>
      <c r="C47" s="338"/>
      <c r="D47" s="338"/>
      <c r="E47" s="338"/>
      <c r="F47" s="338"/>
      <c r="G47" s="338"/>
      <c r="H47" s="338"/>
      <c r="I47" s="338"/>
      <c r="J47" s="338"/>
      <c r="K47" s="338"/>
      <c r="L47" s="338"/>
      <c r="M47" s="338"/>
      <c r="N47" s="338"/>
      <c r="O47" s="338"/>
      <c r="P47" s="338"/>
      <c r="Q47" s="338"/>
      <c r="R47" s="338"/>
      <c r="S47" s="338"/>
      <c r="T47" s="338"/>
      <c r="U47" s="338"/>
      <c r="V47" s="338"/>
      <c r="W47" s="338"/>
      <c r="X47" s="338"/>
      <c r="Y47" s="338"/>
      <c r="Z47" s="338"/>
      <c r="AA47" s="338"/>
    </row>
    <row r="48" ht="15.75" customHeight="1">
      <c r="A48" s="338"/>
      <c r="B48" s="338"/>
      <c r="C48" s="338"/>
      <c r="D48" s="338"/>
      <c r="E48" s="338"/>
      <c r="F48" s="338"/>
      <c r="G48" s="338"/>
      <c r="H48" s="338"/>
      <c r="I48" s="338"/>
      <c r="J48" s="338"/>
      <c r="K48" s="338"/>
      <c r="L48" s="338"/>
      <c r="M48" s="338"/>
      <c r="N48" s="338"/>
      <c r="O48" s="338"/>
      <c r="P48" s="338"/>
      <c r="Q48" s="338"/>
      <c r="R48" s="338"/>
      <c r="S48" s="338"/>
      <c r="T48" s="338"/>
      <c r="U48" s="338"/>
      <c r="V48" s="338"/>
      <c r="W48" s="338"/>
      <c r="X48" s="338"/>
      <c r="Y48" s="338"/>
      <c r="Z48" s="338"/>
      <c r="AA48" s="338"/>
    </row>
    <row r="49" ht="15.75" customHeight="1">
      <c r="A49" s="338"/>
      <c r="B49" s="338"/>
      <c r="C49" s="338"/>
      <c r="D49" s="338"/>
      <c r="E49" s="338"/>
      <c r="F49" s="338"/>
      <c r="G49" s="338"/>
      <c r="H49" s="338"/>
      <c r="I49" s="338"/>
      <c r="J49" s="338"/>
      <c r="K49" s="338"/>
      <c r="L49" s="338"/>
      <c r="M49" s="338"/>
      <c r="N49" s="338"/>
      <c r="O49" s="338"/>
      <c r="P49" s="338"/>
      <c r="Q49" s="338"/>
      <c r="R49" s="338"/>
      <c r="S49" s="338"/>
      <c r="T49" s="338"/>
      <c r="U49" s="338"/>
      <c r="V49" s="338"/>
      <c r="W49" s="338"/>
      <c r="X49" s="338"/>
      <c r="Y49" s="338"/>
      <c r="Z49" s="338"/>
      <c r="AA49" s="338"/>
    </row>
    <row r="50" ht="15.75" customHeight="1">
      <c r="A50" s="338"/>
      <c r="B50" s="338"/>
      <c r="C50" s="338"/>
      <c r="D50" s="338"/>
      <c r="E50" s="338"/>
      <c r="F50" s="338"/>
      <c r="G50" s="338"/>
      <c r="H50" s="338"/>
      <c r="I50" s="338"/>
      <c r="J50" s="338"/>
      <c r="K50" s="338"/>
      <c r="L50" s="338"/>
      <c r="M50" s="338"/>
      <c r="N50" s="338"/>
      <c r="O50" s="338"/>
      <c r="P50" s="338"/>
      <c r="Q50" s="338"/>
      <c r="R50" s="338"/>
      <c r="S50" s="338"/>
      <c r="T50" s="338"/>
      <c r="U50" s="338"/>
      <c r="V50" s="338"/>
      <c r="W50" s="338"/>
      <c r="X50" s="338"/>
      <c r="Y50" s="338"/>
      <c r="Z50" s="338"/>
      <c r="AA50" s="338"/>
    </row>
    <row r="51" ht="15.75" customHeight="1">
      <c r="A51" s="338"/>
      <c r="B51" s="338"/>
      <c r="C51" s="338"/>
      <c r="D51" s="338"/>
      <c r="E51" s="338"/>
      <c r="F51" s="338"/>
      <c r="G51" s="338"/>
      <c r="H51" s="338"/>
      <c r="I51" s="338"/>
      <c r="J51" s="338"/>
      <c r="K51" s="338"/>
      <c r="L51" s="338"/>
      <c r="M51" s="338"/>
      <c r="N51" s="338"/>
      <c r="O51" s="338"/>
      <c r="P51" s="338"/>
      <c r="Q51" s="338"/>
      <c r="R51" s="338"/>
      <c r="S51" s="338"/>
      <c r="T51" s="338"/>
      <c r="U51" s="338"/>
      <c r="V51" s="338"/>
      <c r="W51" s="338"/>
      <c r="X51" s="338"/>
      <c r="Y51" s="338"/>
      <c r="Z51" s="338"/>
      <c r="AA51" s="338"/>
    </row>
    <row r="52" ht="15.75" customHeight="1">
      <c r="A52" s="338"/>
      <c r="B52" s="338"/>
      <c r="C52" s="338"/>
      <c r="D52" s="338"/>
      <c r="E52" s="338"/>
      <c r="F52" s="338"/>
      <c r="G52" s="338"/>
      <c r="H52" s="338"/>
      <c r="I52" s="338"/>
      <c r="J52" s="338"/>
      <c r="K52" s="338"/>
      <c r="L52" s="338"/>
      <c r="M52" s="338"/>
      <c r="N52" s="338"/>
      <c r="O52" s="338"/>
      <c r="P52" s="338"/>
      <c r="Q52" s="338"/>
      <c r="R52" s="338"/>
      <c r="S52" s="338"/>
      <c r="T52" s="338"/>
      <c r="U52" s="338"/>
      <c r="V52" s="338"/>
      <c r="W52" s="338"/>
      <c r="X52" s="338"/>
      <c r="Y52" s="338"/>
      <c r="Z52" s="338"/>
      <c r="AA52" s="338"/>
    </row>
    <row r="53" ht="15.75" customHeight="1">
      <c r="A53" s="338"/>
      <c r="B53" s="338"/>
      <c r="C53" s="338"/>
      <c r="D53" s="338"/>
      <c r="E53" s="338"/>
      <c r="F53" s="338"/>
      <c r="G53" s="338"/>
      <c r="H53" s="338"/>
      <c r="I53" s="338"/>
      <c r="J53" s="338"/>
      <c r="K53" s="338"/>
      <c r="L53" s="338"/>
      <c r="M53" s="338"/>
      <c r="N53" s="338"/>
      <c r="O53" s="338"/>
      <c r="P53" s="338"/>
      <c r="Q53" s="338"/>
      <c r="R53" s="338"/>
      <c r="S53" s="338"/>
      <c r="T53" s="338"/>
      <c r="U53" s="338"/>
      <c r="V53" s="338"/>
      <c r="W53" s="338"/>
      <c r="X53" s="338"/>
      <c r="Y53" s="338"/>
      <c r="Z53" s="338"/>
      <c r="AA53" s="338"/>
    </row>
    <row r="54" ht="15.75" customHeight="1">
      <c r="A54" s="338"/>
      <c r="B54" s="338"/>
      <c r="C54" s="338"/>
      <c r="D54" s="338"/>
      <c r="E54" s="338"/>
      <c r="F54" s="338"/>
      <c r="G54" s="338"/>
      <c r="H54" s="338"/>
      <c r="I54" s="338"/>
      <c r="J54" s="338"/>
      <c r="K54" s="338"/>
      <c r="L54" s="338"/>
      <c r="M54" s="338"/>
      <c r="N54" s="338"/>
      <c r="O54" s="338"/>
      <c r="P54" s="338"/>
      <c r="Q54" s="338"/>
      <c r="R54" s="338"/>
      <c r="S54" s="338"/>
      <c r="T54" s="338"/>
      <c r="U54" s="338"/>
      <c r="V54" s="338"/>
      <c r="W54" s="338"/>
      <c r="X54" s="338"/>
      <c r="Y54" s="338"/>
      <c r="Z54" s="338"/>
      <c r="AA54" s="338"/>
    </row>
    <row r="55" ht="15.75" customHeight="1">
      <c r="A55" s="338"/>
      <c r="B55" s="338"/>
      <c r="C55" s="338"/>
      <c r="D55" s="338"/>
      <c r="E55" s="338"/>
      <c r="F55" s="338"/>
      <c r="G55" s="338"/>
      <c r="H55" s="338"/>
      <c r="I55" s="338"/>
      <c r="J55" s="338"/>
      <c r="K55" s="338"/>
      <c r="L55" s="338"/>
      <c r="M55" s="338"/>
      <c r="N55" s="338"/>
      <c r="O55" s="338"/>
      <c r="P55" s="338"/>
      <c r="Q55" s="338"/>
      <c r="R55" s="338"/>
      <c r="S55" s="338"/>
      <c r="T55" s="338"/>
      <c r="U55" s="338"/>
      <c r="V55" s="338"/>
      <c r="W55" s="338"/>
      <c r="X55" s="338"/>
      <c r="Y55" s="338"/>
      <c r="Z55" s="338"/>
      <c r="AA55" s="338"/>
    </row>
    <row r="56" ht="15.75" customHeight="1">
      <c r="A56" s="338"/>
      <c r="B56" s="338"/>
      <c r="C56" s="338"/>
      <c r="D56" s="338"/>
      <c r="E56" s="338"/>
      <c r="F56" s="338"/>
      <c r="G56" s="338"/>
      <c r="H56" s="338"/>
      <c r="I56" s="338"/>
      <c r="J56" s="338"/>
      <c r="K56" s="338"/>
      <c r="L56" s="338"/>
      <c r="M56" s="338"/>
      <c r="N56" s="338"/>
      <c r="O56" s="338"/>
      <c r="P56" s="338"/>
      <c r="Q56" s="338"/>
      <c r="R56" s="338"/>
      <c r="S56" s="338"/>
      <c r="T56" s="338"/>
      <c r="U56" s="338"/>
      <c r="V56" s="338"/>
      <c r="W56" s="338"/>
      <c r="X56" s="338"/>
      <c r="Y56" s="338"/>
      <c r="Z56" s="338"/>
      <c r="AA56" s="338"/>
    </row>
    <row r="57" ht="15.75" customHeight="1">
      <c r="A57" s="338"/>
      <c r="B57" s="338"/>
      <c r="C57" s="338"/>
      <c r="D57" s="338"/>
      <c r="E57" s="338"/>
      <c r="F57" s="338"/>
      <c r="G57" s="338"/>
      <c r="H57" s="338"/>
      <c r="I57" s="338"/>
      <c r="J57" s="338"/>
      <c r="K57" s="338"/>
      <c r="L57" s="338"/>
      <c r="M57" s="338"/>
      <c r="N57" s="338"/>
      <c r="O57" s="338"/>
      <c r="P57" s="338"/>
      <c r="Q57" s="338"/>
      <c r="R57" s="338"/>
      <c r="S57" s="338"/>
      <c r="T57" s="338"/>
      <c r="U57" s="338"/>
      <c r="V57" s="338"/>
      <c r="W57" s="338"/>
      <c r="X57" s="338"/>
      <c r="Y57" s="338"/>
      <c r="Z57" s="338"/>
      <c r="AA57" s="338"/>
    </row>
    <row r="58" ht="15.75" customHeight="1">
      <c r="A58" s="338"/>
      <c r="B58" s="338"/>
      <c r="C58" s="338"/>
      <c r="D58" s="338"/>
      <c r="E58" s="338"/>
      <c r="F58" s="338"/>
      <c r="G58" s="338"/>
      <c r="H58" s="338"/>
      <c r="I58" s="338"/>
      <c r="J58" s="338"/>
      <c r="K58" s="338"/>
      <c r="L58" s="338"/>
      <c r="M58" s="338"/>
      <c r="N58" s="338"/>
      <c r="O58" s="338"/>
      <c r="P58" s="338"/>
      <c r="Q58" s="338"/>
      <c r="R58" s="338"/>
      <c r="S58" s="338"/>
      <c r="T58" s="338"/>
      <c r="U58" s="338"/>
      <c r="V58" s="338"/>
      <c r="W58" s="338"/>
      <c r="X58" s="338"/>
      <c r="Y58" s="338"/>
      <c r="Z58" s="338"/>
      <c r="AA58" s="338"/>
    </row>
    <row r="59" ht="15.75" customHeight="1">
      <c r="A59" s="338"/>
      <c r="B59" s="338"/>
      <c r="C59" s="338"/>
      <c r="D59" s="338"/>
      <c r="E59" s="338"/>
      <c r="F59" s="338"/>
      <c r="G59" s="338"/>
      <c r="H59" s="338"/>
      <c r="I59" s="338"/>
      <c r="J59" s="338"/>
      <c r="K59" s="338"/>
      <c r="L59" s="338"/>
      <c r="M59" s="338"/>
      <c r="N59" s="338"/>
      <c r="O59" s="338"/>
      <c r="P59" s="338"/>
      <c r="Q59" s="338"/>
      <c r="R59" s="338"/>
      <c r="S59" s="338"/>
      <c r="T59" s="338"/>
      <c r="U59" s="338"/>
      <c r="V59" s="338"/>
      <c r="W59" s="338"/>
      <c r="X59" s="338"/>
      <c r="Y59" s="338"/>
      <c r="Z59" s="338"/>
      <c r="AA59" s="338"/>
    </row>
    <row r="60" ht="15.75" customHeight="1">
      <c r="A60" s="338"/>
      <c r="B60" s="338"/>
      <c r="C60" s="338"/>
      <c r="D60" s="338"/>
      <c r="E60" s="338"/>
      <c r="F60" s="338"/>
      <c r="G60" s="338"/>
      <c r="H60" s="338"/>
      <c r="I60" s="338"/>
      <c r="J60" s="338"/>
      <c r="K60" s="338"/>
      <c r="L60" s="338"/>
      <c r="M60" s="338"/>
      <c r="N60" s="338"/>
      <c r="O60" s="338"/>
      <c r="P60" s="338"/>
      <c r="Q60" s="338"/>
      <c r="R60" s="338"/>
      <c r="S60" s="338"/>
      <c r="T60" s="338"/>
      <c r="U60" s="338"/>
      <c r="V60" s="338"/>
      <c r="W60" s="338"/>
      <c r="X60" s="338"/>
      <c r="Y60" s="338"/>
      <c r="Z60" s="338"/>
      <c r="AA60" s="338"/>
    </row>
    <row r="61" ht="15.75" customHeight="1">
      <c r="A61" s="338"/>
      <c r="B61" s="338"/>
      <c r="C61" s="338"/>
      <c r="D61" s="338"/>
      <c r="E61" s="338"/>
      <c r="F61" s="338"/>
      <c r="G61" s="338"/>
      <c r="H61" s="338"/>
      <c r="I61" s="338"/>
      <c r="J61" s="338"/>
      <c r="K61" s="338"/>
      <c r="L61" s="338"/>
      <c r="M61" s="338"/>
      <c r="N61" s="338"/>
      <c r="O61" s="338"/>
      <c r="P61" s="338"/>
      <c r="Q61" s="338"/>
      <c r="R61" s="338"/>
      <c r="S61" s="338"/>
      <c r="T61" s="338"/>
      <c r="U61" s="338"/>
      <c r="V61" s="338"/>
      <c r="W61" s="338"/>
      <c r="X61" s="338"/>
      <c r="Y61" s="338"/>
      <c r="Z61" s="338"/>
      <c r="AA61" s="338"/>
    </row>
    <row r="62" ht="15.75" customHeight="1">
      <c r="A62" s="338"/>
      <c r="B62" s="338"/>
      <c r="C62" s="338"/>
      <c r="D62" s="338"/>
      <c r="E62" s="338"/>
      <c r="F62" s="338"/>
      <c r="G62" s="338"/>
      <c r="H62" s="338"/>
      <c r="I62" s="338"/>
      <c r="J62" s="338"/>
      <c r="K62" s="338"/>
      <c r="L62" s="338"/>
      <c r="M62" s="338"/>
      <c r="N62" s="338"/>
      <c r="O62" s="338"/>
      <c r="P62" s="338"/>
      <c r="Q62" s="338"/>
      <c r="R62" s="338"/>
      <c r="S62" s="338"/>
      <c r="T62" s="338"/>
      <c r="U62" s="338"/>
      <c r="V62" s="338"/>
      <c r="W62" s="338"/>
      <c r="X62" s="338"/>
      <c r="Y62" s="338"/>
      <c r="Z62" s="338"/>
      <c r="AA62" s="338"/>
    </row>
    <row r="63" ht="15.75" customHeight="1">
      <c r="A63" s="338"/>
      <c r="B63" s="338"/>
      <c r="C63" s="338"/>
      <c r="D63" s="338"/>
      <c r="E63" s="338"/>
      <c r="F63" s="338"/>
      <c r="G63" s="338"/>
      <c r="H63" s="338"/>
      <c r="I63" s="338"/>
      <c r="J63" s="338"/>
      <c r="K63" s="338"/>
      <c r="L63" s="338"/>
      <c r="M63" s="338"/>
      <c r="N63" s="338"/>
      <c r="O63" s="338"/>
      <c r="P63" s="338"/>
      <c r="Q63" s="338"/>
      <c r="R63" s="338"/>
      <c r="S63" s="338"/>
      <c r="T63" s="338"/>
      <c r="U63" s="338"/>
      <c r="V63" s="338"/>
      <c r="W63" s="338"/>
      <c r="X63" s="338"/>
      <c r="Y63" s="338"/>
      <c r="Z63" s="338"/>
      <c r="AA63" s="338"/>
    </row>
    <row r="64" ht="15.75" customHeight="1">
      <c r="A64" s="338"/>
      <c r="B64" s="338"/>
      <c r="C64" s="338"/>
      <c r="D64" s="338"/>
      <c r="E64" s="338"/>
      <c r="F64" s="338"/>
      <c r="G64" s="338"/>
      <c r="H64" s="338"/>
      <c r="I64" s="338"/>
      <c r="J64" s="338"/>
      <c r="K64" s="338"/>
      <c r="L64" s="338"/>
      <c r="M64" s="338"/>
      <c r="N64" s="338"/>
      <c r="O64" s="338"/>
      <c r="P64" s="338"/>
      <c r="Q64" s="338"/>
      <c r="R64" s="338"/>
      <c r="S64" s="338"/>
      <c r="T64" s="338"/>
      <c r="U64" s="338"/>
      <c r="V64" s="338"/>
      <c r="W64" s="338"/>
      <c r="X64" s="338"/>
      <c r="Y64" s="338"/>
      <c r="Z64" s="338"/>
      <c r="AA64" s="338"/>
    </row>
    <row r="65" ht="15.75" customHeight="1">
      <c r="A65" s="338"/>
      <c r="B65" s="338"/>
      <c r="C65" s="338"/>
      <c r="D65" s="338"/>
      <c r="E65" s="338"/>
      <c r="F65" s="338"/>
      <c r="G65" s="338"/>
      <c r="H65" s="338"/>
      <c r="I65" s="338"/>
      <c r="J65" s="338"/>
      <c r="K65" s="338"/>
      <c r="L65" s="338"/>
      <c r="M65" s="338"/>
      <c r="N65" s="338"/>
      <c r="O65" s="338"/>
      <c r="P65" s="338"/>
      <c r="Q65" s="338"/>
      <c r="R65" s="338"/>
      <c r="S65" s="338"/>
      <c r="T65" s="338"/>
      <c r="U65" s="338"/>
      <c r="V65" s="338"/>
      <c r="W65" s="338"/>
      <c r="X65" s="338"/>
      <c r="Y65" s="338"/>
      <c r="Z65" s="338"/>
      <c r="AA65" s="338"/>
    </row>
    <row r="66" ht="15.75" customHeight="1">
      <c r="A66" s="338"/>
      <c r="B66" s="338"/>
      <c r="C66" s="338"/>
      <c r="D66" s="338"/>
      <c r="E66" s="338"/>
      <c r="F66" s="338"/>
      <c r="G66" s="338"/>
      <c r="H66" s="338"/>
      <c r="I66" s="338"/>
      <c r="J66" s="338"/>
      <c r="K66" s="338"/>
      <c r="L66" s="338"/>
      <c r="M66" s="338"/>
      <c r="N66" s="338"/>
      <c r="O66" s="338"/>
      <c r="P66" s="338"/>
      <c r="Q66" s="338"/>
      <c r="R66" s="338"/>
      <c r="S66" s="338"/>
      <c r="T66" s="338"/>
      <c r="U66" s="338"/>
      <c r="V66" s="338"/>
      <c r="W66" s="338"/>
      <c r="X66" s="338"/>
      <c r="Y66" s="338"/>
      <c r="Z66" s="338"/>
      <c r="AA66" s="338"/>
    </row>
    <row r="67" ht="15.75" customHeight="1">
      <c r="A67" s="338"/>
      <c r="B67" s="338"/>
      <c r="C67" s="338"/>
      <c r="D67" s="338"/>
      <c r="E67" s="338"/>
      <c r="F67" s="338"/>
      <c r="G67" s="338"/>
      <c r="H67" s="338"/>
      <c r="I67" s="338"/>
      <c r="J67" s="338"/>
      <c r="K67" s="338"/>
      <c r="L67" s="338"/>
      <c r="M67" s="338"/>
      <c r="N67" s="338"/>
      <c r="O67" s="338"/>
      <c r="P67" s="338"/>
      <c r="Q67" s="338"/>
      <c r="R67" s="338"/>
      <c r="S67" s="338"/>
      <c r="T67" s="338"/>
      <c r="U67" s="338"/>
      <c r="V67" s="338"/>
      <c r="W67" s="338"/>
      <c r="X67" s="338"/>
      <c r="Y67" s="338"/>
      <c r="Z67" s="338"/>
      <c r="AA67" s="338"/>
    </row>
    <row r="68" ht="15.75" customHeight="1">
      <c r="A68" s="338"/>
      <c r="B68" s="338"/>
      <c r="C68" s="338"/>
      <c r="D68" s="338"/>
      <c r="E68" s="338"/>
      <c r="F68" s="338"/>
      <c r="G68" s="338"/>
      <c r="H68" s="338"/>
      <c r="I68" s="338"/>
      <c r="J68" s="338"/>
      <c r="K68" s="338"/>
      <c r="L68" s="338"/>
      <c r="M68" s="338"/>
      <c r="N68" s="338"/>
      <c r="O68" s="338"/>
      <c r="P68" s="338"/>
      <c r="Q68" s="338"/>
      <c r="R68" s="338"/>
      <c r="S68" s="338"/>
      <c r="T68" s="338"/>
      <c r="U68" s="338"/>
      <c r="V68" s="338"/>
      <c r="W68" s="338"/>
      <c r="X68" s="338"/>
      <c r="Y68" s="338"/>
      <c r="Z68" s="338"/>
      <c r="AA68" s="338"/>
    </row>
    <row r="69" ht="15.75" customHeight="1">
      <c r="A69" s="338"/>
      <c r="B69" s="338"/>
      <c r="C69" s="338"/>
      <c r="D69" s="338"/>
      <c r="E69" s="338"/>
      <c r="F69" s="338"/>
      <c r="G69" s="338"/>
      <c r="H69" s="338"/>
      <c r="I69" s="338"/>
      <c r="J69" s="338"/>
      <c r="K69" s="338"/>
      <c r="L69" s="338"/>
      <c r="M69" s="338"/>
      <c r="N69" s="338"/>
      <c r="O69" s="338"/>
      <c r="P69" s="338"/>
      <c r="Q69" s="338"/>
      <c r="R69" s="338"/>
      <c r="S69" s="338"/>
      <c r="T69" s="338"/>
      <c r="U69" s="338"/>
      <c r="V69" s="338"/>
      <c r="W69" s="338"/>
      <c r="X69" s="338"/>
      <c r="Y69" s="338"/>
      <c r="Z69" s="338"/>
      <c r="AA69" s="338"/>
    </row>
    <row r="70" ht="15.75" customHeight="1">
      <c r="A70" s="338"/>
      <c r="B70" s="338"/>
      <c r="C70" s="338"/>
      <c r="D70" s="338"/>
      <c r="E70" s="338"/>
      <c r="F70" s="338"/>
      <c r="G70" s="338"/>
      <c r="H70" s="338"/>
      <c r="I70" s="338"/>
      <c r="J70" s="338"/>
      <c r="K70" s="338"/>
      <c r="L70" s="338"/>
      <c r="M70" s="338"/>
      <c r="N70" s="338"/>
      <c r="O70" s="338"/>
      <c r="P70" s="338"/>
      <c r="Q70" s="338"/>
      <c r="R70" s="338"/>
      <c r="S70" s="338"/>
      <c r="T70" s="338"/>
      <c r="U70" s="338"/>
      <c r="V70" s="338"/>
      <c r="W70" s="338"/>
      <c r="X70" s="338"/>
      <c r="Y70" s="338"/>
      <c r="Z70" s="338"/>
      <c r="AA70" s="338"/>
    </row>
    <row r="71" ht="15.75" customHeight="1">
      <c r="A71" s="338"/>
      <c r="B71" s="338"/>
      <c r="C71" s="338"/>
      <c r="D71" s="338"/>
      <c r="E71" s="338"/>
      <c r="F71" s="338"/>
      <c r="G71" s="338"/>
      <c r="H71" s="338"/>
      <c r="I71" s="338"/>
      <c r="J71" s="338"/>
      <c r="K71" s="338"/>
      <c r="L71" s="338"/>
      <c r="M71" s="338"/>
      <c r="N71" s="338"/>
      <c r="O71" s="338"/>
      <c r="P71" s="338"/>
      <c r="Q71" s="338"/>
      <c r="R71" s="338"/>
      <c r="S71" s="338"/>
      <c r="T71" s="338"/>
      <c r="U71" s="338"/>
      <c r="V71" s="338"/>
      <c r="W71" s="338"/>
      <c r="X71" s="338"/>
      <c r="Y71" s="338"/>
      <c r="Z71" s="338"/>
      <c r="AA71" s="338"/>
    </row>
    <row r="72" ht="15.75" customHeight="1">
      <c r="A72" s="338"/>
      <c r="B72" s="338"/>
      <c r="C72" s="338"/>
      <c r="D72" s="338"/>
      <c r="E72" s="338"/>
      <c r="F72" s="338"/>
      <c r="G72" s="338"/>
      <c r="H72" s="338"/>
      <c r="I72" s="338"/>
      <c r="J72" s="338"/>
      <c r="K72" s="338"/>
      <c r="L72" s="338"/>
      <c r="M72" s="338"/>
      <c r="N72" s="338"/>
      <c r="O72" s="338"/>
      <c r="P72" s="338"/>
      <c r="Q72" s="338"/>
      <c r="R72" s="338"/>
      <c r="S72" s="338"/>
      <c r="T72" s="338"/>
      <c r="U72" s="338"/>
      <c r="V72" s="338"/>
      <c r="W72" s="338"/>
      <c r="X72" s="338"/>
      <c r="Y72" s="338"/>
      <c r="Z72" s="338"/>
      <c r="AA72" s="338"/>
    </row>
    <row r="73" ht="15.75" customHeight="1">
      <c r="A73" s="338"/>
      <c r="B73" s="338"/>
      <c r="C73" s="338"/>
      <c r="D73" s="338"/>
      <c r="E73" s="338"/>
      <c r="F73" s="338"/>
      <c r="G73" s="338"/>
      <c r="H73" s="338"/>
      <c r="I73" s="338"/>
      <c r="J73" s="338"/>
      <c r="K73" s="338"/>
      <c r="L73" s="338"/>
      <c r="M73" s="338"/>
      <c r="N73" s="338"/>
      <c r="O73" s="338"/>
      <c r="P73" s="338"/>
      <c r="Q73" s="338"/>
      <c r="R73" s="338"/>
      <c r="S73" s="338"/>
      <c r="T73" s="338"/>
      <c r="U73" s="338"/>
      <c r="V73" s="338"/>
      <c r="W73" s="338"/>
      <c r="X73" s="338"/>
      <c r="Y73" s="338"/>
      <c r="Z73" s="338"/>
      <c r="AA73" s="338"/>
    </row>
    <row r="74" ht="15.75" customHeight="1">
      <c r="A74" s="338"/>
      <c r="B74" s="338"/>
      <c r="C74" s="338"/>
      <c r="D74" s="338"/>
      <c r="E74" s="338"/>
      <c r="F74" s="338"/>
      <c r="G74" s="338"/>
      <c r="H74" s="338"/>
      <c r="I74" s="338"/>
      <c r="J74" s="338"/>
      <c r="K74" s="338"/>
      <c r="L74" s="338"/>
      <c r="M74" s="338"/>
      <c r="N74" s="338"/>
      <c r="O74" s="338"/>
      <c r="P74" s="338"/>
      <c r="Q74" s="338"/>
      <c r="R74" s="338"/>
      <c r="S74" s="338"/>
      <c r="T74" s="338"/>
      <c r="U74" s="338"/>
      <c r="V74" s="338"/>
      <c r="W74" s="338"/>
      <c r="X74" s="338"/>
      <c r="Y74" s="338"/>
      <c r="Z74" s="338"/>
      <c r="AA74" s="338"/>
    </row>
    <row r="75" ht="15.75" customHeight="1">
      <c r="A75" s="338"/>
      <c r="B75" s="338"/>
      <c r="C75" s="338"/>
      <c r="D75" s="338"/>
      <c r="E75" s="338"/>
      <c r="F75" s="338"/>
      <c r="G75" s="338"/>
      <c r="H75" s="338"/>
      <c r="I75" s="338"/>
      <c r="J75" s="338"/>
      <c r="K75" s="338"/>
      <c r="L75" s="338"/>
      <c r="M75" s="338"/>
      <c r="N75" s="338"/>
      <c r="O75" s="338"/>
      <c r="P75" s="338"/>
      <c r="Q75" s="338"/>
      <c r="R75" s="338"/>
      <c r="S75" s="338"/>
      <c r="T75" s="338"/>
      <c r="U75" s="338"/>
      <c r="V75" s="338"/>
      <c r="W75" s="338"/>
      <c r="X75" s="338"/>
      <c r="Y75" s="338"/>
      <c r="Z75" s="338"/>
      <c r="AA75" s="338"/>
    </row>
    <row r="76" ht="15.75" customHeight="1">
      <c r="A76" s="338"/>
      <c r="B76" s="338"/>
      <c r="C76" s="338"/>
      <c r="D76" s="338"/>
      <c r="E76" s="338"/>
      <c r="F76" s="338"/>
      <c r="G76" s="338"/>
      <c r="H76" s="338"/>
      <c r="I76" s="338"/>
      <c r="J76" s="338"/>
      <c r="K76" s="338"/>
      <c r="L76" s="338"/>
      <c r="M76" s="338"/>
      <c r="N76" s="338"/>
      <c r="O76" s="338"/>
      <c r="P76" s="338"/>
      <c r="Q76" s="338"/>
      <c r="R76" s="338"/>
      <c r="S76" s="338"/>
      <c r="T76" s="338"/>
      <c r="U76" s="338"/>
      <c r="V76" s="338"/>
      <c r="W76" s="338"/>
      <c r="X76" s="338"/>
      <c r="Y76" s="338"/>
      <c r="Z76" s="338"/>
      <c r="AA76" s="338"/>
    </row>
    <row r="77" ht="15.75" customHeight="1">
      <c r="A77" s="338"/>
      <c r="B77" s="338"/>
      <c r="C77" s="338"/>
      <c r="D77" s="338"/>
      <c r="E77" s="338"/>
      <c r="F77" s="338"/>
      <c r="G77" s="338"/>
      <c r="H77" s="338"/>
      <c r="I77" s="338"/>
      <c r="J77" s="338"/>
      <c r="K77" s="338"/>
      <c r="L77" s="338"/>
      <c r="M77" s="338"/>
      <c r="N77" s="338"/>
      <c r="O77" s="338"/>
      <c r="P77" s="338"/>
      <c r="Q77" s="338"/>
      <c r="R77" s="338"/>
      <c r="S77" s="338"/>
      <c r="T77" s="338"/>
      <c r="U77" s="338"/>
      <c r="V77" s="338"/>
      <c r="W77" s="338"/>
      <c r="X77" s="338"/>
      <c r="Y77" s="338"/>
      <c r="Z77" s="338"/>
      <c r="AA77" s="338"/>
    </row>
    <row r="78" ht="15.75" customHeight="1">
      <c r="A78" s="338"/>
      <c r="B78" s="338"/>
      <c r="C78" s="338"/>
      <c r="D78" s="338"/>
      <c r="E78" s="338"/>
      <c r="F78" s="338"/>
      <c r="G78" s="338"/>
      <c r="H78" s="338"/>
      <c r="I78" s="338"/>
      <c r="J78" s="338"/>
      <c r="K78" s="338"/>
      <c r="L78" s="338"/>
      <c r="M78" s="338"/>
      <c r="N78" s="338"/>
      <c r="O78" s="338"/>
      <c r="P78" s="338"/>
      <c r="Q78" s="338"/>
      <c r="R78" s="338"/>
      <c r="S78" s="338"/>
      <c r="T78" s="338"/>
      <c r="U78" s="338"/>
      <c r="V78" s="338"/>
      <c r="W78" s="338"/>
      <c r="X78" s="338"/>
      <c r="Y78" s="338"/>
      <c r="Z78" s="338"/>
      <c r="AA78" s="338"/>
    </row>
    <row r="79" ht="15.75" customHeight="1">
      <c r="A79" s="338"/>
      <c r="B79" s="338"/>
      <c r="C79" s="338"/>
      <c r="D79" s="338"/>
      <c r="E79" s="338"/>
      <c r="F79" s="338"/>
      <c r="G79" s="338"/>
      <c r="H79" s="338"/>
      <c r="I79" s="338"/>
      <c r="J79" s="338"/>
      <c r="K79" s="338"/>
      <c r="L79" s="338"/>
      <c r="M79" s="338"/>
      <c r="N79" s="338"/>
      <c r="O79" s="338"/>
      <c r="P79" s="338"/>
      <c r="Q79" s="338"/>
      <c r="R79" s="338"/>
      <c r="S79" s="338"/>
      <c r="T79" s="338"/>
      <c r="U79" s="338"/>
      <c r="V79" s="338"/>
      <c r="W79" s="338"/>
      <c r="X79" s="338"/>
      <c r="Y79" s="338"/>
      <c r="Z79" s="338"/>
      <c r="AA79" s="338"/>
    </row>
    <row r="80" ht="15.75" customHeight="1">
      <c r="A80" s="338"/>
      <c r="B80" s="338"/>
      <c r="C80" s="338"/>
      <c r="D80" s="338"/>
      <c r="E80" s="338"/>
      <c r="F80" s="338"/>
      <c r="G80" s="338"/>
      <c r="H80" s="338"/>
      <c r="I80" s="338"/>
      <c r="J80" s="338"/>
      <c r="K80" s="338"/>
      <c r="L80" s="338"/>
      <c r="M80" s="338"/>
      <c r="N80" s="338"/>
      <c r="O80" s="338"/>
      <c r="P80" s="338"/>
      <c r="Q80" s="338"/>
      <c r="R80" s="338"/>
      <c r="S80" s="338"/>
      <c r="T80" s="338"/>
      <c r="U80" s="338"/>
      <c r="V80" s="338"/>
      <c r="W80" s="338"/>
      <c r="X80" s="338"/>
      <c r="Y80" s="338"/>
      <c r="Z80" s="338"/>
      <c r="AA80" s="338"/>
    </row>
    <row r="81" ht="15.75" customHeight="1">
      <c r="A81" s="338"/>
      <c r="B81" s="338"/>
      <c r="C81" s="338"/>
      <c r="D81" s="338"/>
      <c r="E81" s="338"/>
      <c r="F81" s="338"/>
      <c r="G81" s="338"/>
      <c r="H81" s="338"/>
      <c r="I81" s="338"/>
      <c r="J81" s="338"/>
      <c r="K81" s="338"/>
      <c r="L81" s="338"/>
      <c r="M81" s="338"/>
      <c r="N81" s="338"/>
      <c r="O81" s="338"/>
      <c r="P81" s="338"/>
      <c r="Q81" s="338"/>
      <c r="R81" s="338"/>
      <c r="S81" s="338"/>
      <c r="T81" s="338"/>
      <c r="U81" s="338"/>
      <c r="V81" s="338"/>
      <c r="W81" s="338"/>
      <c r="X81" s="338"/>
      <c r="Y81" s="338"/>
      <c r="Z81" s="338"/>
      <c r="AA81" s="338"/>
    </row>
    <row r="82" ht="15.75" customHeight="1">
      <c r="A82" s="338"/>
      <c r="B82" s="338"/>
      <c r="C82" s="338"/>
      <c r="D82" s="338"/>
      <c r="E82" s="338"/>
      <c r="F82" s="338"/>
      <c r="G82" s="338"/>
      <c r="H82" s="338"/>
      <c r="I82" s="338"/>
      <c r="J82" s="338"/>
      <c r="K82" s="338"/>
      <c r="L82" s="338"/>
      <c r="M82" s="338"/>
      <c r="N82" s="338"/>
      <c r="O82" s="338"/>
      <c r="P82" s="338"/>
      <c r="Q82" s="338"/>
      <c r="R82" s="338"/>
      <c r="S82" s="338"/>
      <c r="T82" s="338"/>
      <c r="U82" s="338"/>
      <c r="V82" s="338"/>
      <c r="W82" s="338"/>
      <c r="X82" s="338"/>
      <c r="Y82" s="338"/>
      <c r="Z82" s="338"/>
      <c r="AA82" s="338"/>
    </row>
    <row r="83" ht="15.75" customHeight="1">
      <c r="A83" s="338"/>
      <c r="B83" s="338"/>
      <c r="C83" s="338"/>
      <c r="D83" s="338"/>
      <c r="E83" s="338"/>
      <c r="F83" s="338"/>
      <c r="G83" s="338"/>
      <c r="H83" s="338"/>
      <c r="I83" s="338"/>
      <c r="J83" s="338"/>
      <c r="K83" s="338"/>
      <c r="L83" s="338"/>
      <c r="M83" s="338"/>
      <c r="N83" s="338"/>
      <c r="O83" s="338"/>
      <c r="P83" s="338"/>
      <c r="Q83" s="338"/>
      <c r="R83" s="338"/>
      <c r="S83" s="338"/>
      <c r="T83" s="338"/>
      <c r="U83" s="338"/>
      <c r="V83" s="338"/>
      <c r="W83" s="338"/>
      <c r="X83" s="338"/>
      <c r="Y83" s="338"/>
      <c r="Z83" s="338"/>
      <c r="AA83" s="338"/>
    </row>
    <row r="84" ht="15.75" customHeight="1">
      <c r="A84" s="338"/>
      <c r="B84" s="338"/>
      <c r="C84" s="338"/>
      <c r="D84" s="338"/>
      <c r="E84" s="338"/>
      <c r="F84" s="338"/>
      <c r="G84" s="338"/>
      <c r="H84" s="338"/>
      <c r="I84" s="338"/>
      <c r="J84" s="338"/>
      <c r="K84" s="338"/>
      <c r="L84" s="338"/>
      <c r="M84" s="338"/>
      <c r="N84" s="338"/>
      <c r="O84" s="338"/>
      <c r="P84" s="338"/>
      <c r="Q84" s="338"/>
      <c r="R84" s="338"/>
      <c r="S84" s="338"/>
      <c r="T84" s="338"/>
      <c r="U84" s="338"/>
      <c r="V84" s="338"/>
      <c r="W84" s="338"/>
      <c r="X84" s="338"/>
      <c r="Y84" s="338"/>
      <c r="Z84" s="338"/>
      <c r="AA84" s="338"/>
    </row>
    <row r="85" ht="15.75" customHeight="1">
      <c r="A85" s="338"/>
      <c r="B85" s="338"/>
      <c r="C85" s="338"/>
      <c r="D85" s="338"/>
      <c r="E85" s="338"/>
      <c r="F85" s="338"/>
      <c r="G85" s="338"/>
      <c r="H85" s="338"/>
      <c r="I85" s="338"/>
      <c r="J85" s="338"/>
      <c r="K85" s="338"/>
      <c r="L85" s="338"/>
      <c r="M85" s="338"/>
      <c r="N85" s="338"/>
      <c r="O85" s="338"/>
      <c r="P85" s="338"/>
      <c r="Q85" s="338"/>
      <c r="R85" s="338"/>
      <c r="S85" s="338"/>
      <c r="T85" s="338"/>
      <c r="U85" s="338"/>
      <c r="V85" s="338"/>
      <c r="W85" s="338"/>
      <c r="X85" s="338"/>
      <c r="Y85" s="338"/>
      <c r="Z85" s="338"/>
      <c r="AA85" s="338"/>
    </row>
    <row r="86" ht="15.75" customHeight="1">
      <c r="A86" s="338"/>
      <c r="B86" s="338"/>
      <c r="C86" s="338"/>
      <c r="D86" s="338"/>
      <c r="E86" s="338"/>
      <c r="F86" s="338"/>
      <c r="G86" s="338"/>
      <c r="H86" s="338"/>
      <c r="I86" s="338"/>
      <c r="J86" s="338"/>
      <c r="K86" s="338"/>
      <c r="L86" s="338"/>
      <c r="M86" s="338"/>
      <c r="N86" s="338"/>
      <c r="O86" s="338"/>
      <c r="P86" s="338"/>
      <c r="Q86" s="338"/>
      <c r="R86" s="338"/>
      <c r="S86" s="338"/>
      <c r="T86" s="338"/>
      <c r="U86" s="338"/>
      <c r="V86" s="338"/>
      <c r="W86" s="338"/>
      <c r="X86" s="338"/>
      <c r="Y86" s="338"/>
      <c r="Z86" s="338"/>
      <c r="AA86" s="338"/>
    </row>
    <row r="87" ht="15.75" customHeight="1">
      <c r="A87" s="338"/>
      <c r="B87" s="338"/>
      <c r="C87" s="338"/>
      <c r="D87" s="338"/>
      <c r="E87" s="338"/>
      <c r="F87" s="338"/>
      <c r="G87" s="338"/>
      <c r="H87" s="338"/>
      <c r="I87" s="338"/>
      <c r="J87" s="338"/>
      <c r="K87" s="338"/>
      <c r="L87" s="338"/>
      <c r="M87" s="338"/>
      <c r="N87" s="338"/>
      <c r="O87" s="338"/>
      <c r="P87" s="338"/>
      <c r="Q87" s="338"/>
      <c r="R87" s="338"/>
      <c r="S87" s="338"/>
      <c r="T87" s="338"/>
      <c r="U87" s="338"/>
      <c r="V87" s="338"/>
      <c r="W87" s="338"/>
      <c r="X87" s="338"/>
      <c r="Y87" s="338"/>
      <c r="Z87" s="338"/>
      <c r="AA87" s="338"/>
    </row>
    <row r="88" ht="15.75" customHeight="1">
      <c r="A88" s="338"/>
      <c r="B88" s="338"/>
      <c r="C88" s="338"/>
      <c r="D88" s="338"/>
      <c r="E88" s="338"/>
      <c r="F88" s="338"/>
      <c r="G88" s="338"/>
      <c r="H88" s="338"/>
      <c r="I88" s="338"/>
      <c r="J88" s="338"/>
      <c r="K88" s="338"/>
      <c r="L88" s="338"/>
      <c r="M88" s="338"/>
      <c r="N88" s="338"/>
      <c r="O88" s="338"/>
      <c r="P88" s="338"/>
      <c r="Q88" s="338"/>
      <c r="R88" s="338"/>
      <c r="S88" s="338"/>
      <c r="T88" s="338"/>
      <c r="U88" s="338"/>
      <c r="V88" s="338"/>
      <c r="W88" s="338"/>
      <c r="X88" s="338"/>
      <c r="Y88" s="338"/>
      <c r="Z88" s="338"/>
      <c r="AA88" s="338"/>
    </row>
    <row r="89" ht="15.75" customHeight="1">
      <c r="A89" s="338"/>
      <c r="B89" s="338"/>
      <c r="C89" s="338"/>
      <c r="D89" s="338"/>
      <c r="E89" s="338"/>
      <c r="F89" s="338"/>
      <c r="G89" s="338"/>
      <c r="H89" s="338"/>
      <c r="I89" s="338"/>
      <c r="J89" s="338"/>
      <c r="K89" s="338"/>
      <c r="L89" s="338"/>
      <c r="M89" s="338"/>
      <c r="N89" s="338"/>
      <c r="O89" s="338"/>
      <c r="P89" s="338"/>
      <c r="Q89" s="338"/>
      <c r="R89" s="338"/>
      <c r="S89" s="338"/>
      <c r="T89" s="338"/>
      <c r="U89" s="338"/>
      <c r="V89" s="338"/>
      <c r="W89" s="338"/>
      <c r="X89" s="338"/>
      <c r="Y89" s="338"/>
      <c r="Z89" s="338"/>
      <c r="AA89" s="338"/>
    </row>
    <row r="90" ht="15.75" customHeight="1">
      <c r="A90" s="338"/>
      <c r="B90" s="338"/>
      <c r="C90" s="338"/>
      <c r="D90" s="338"/>
      <c r="E90" s="338"/>
      <c r="F90" s="338"/>
      <c r="G90" s="338"/>
      <c r="H90" s="338"/>
      <c r="I90" s="338"/>
      <c r="J90" s="338"/>
      <c r="K90" s="338"/>
      <c r="L90" s="338"/>
      <c r="M90" s="338"/>
      <c r="N90" s="338"/>
      <c r="O90" s="338"/>
      <c r="P90" s="338"/>
      <c r="Q90" s="338"/>
      <c r="R90" s="338"/>
      <c r="S90" s="338"/>
      <c r="T90" s="338"/>
      <c r="U90" s="338"/>
      <c r="V90" s="338"/>
      <c r="W90" s="338"/>
      <c r="X90" s="338"/>
      <c r="Y90" s="338"/>
      <c r="Z90" s="338"/>
      <c r="AA90" s="338"/>
    </row>
    <row r="91" ht="15.75" customHeight="1">
      <c r="A91" s="338"/>
      <c r="B91" s="338"/>
      <c r="C91" s="338"/>
      <c r="D91" s="338"/>
      <c r="E91" s="338"/>
      <c r="F91" s="338"/>
      <c r="G91" s="338"/>
      <c r="H91" s="338"/>
      <c r="I91" s="338"/>
      <c r="J91" s="338"/>
      <c r="K91" s="338"/>
      <c r="L91" s="338"/>
      <c r="M91" s="338"/>
      <c r="N91" s="338"/>
      <c r="O91" s="338"/>
      <c r="P91" s="338"/>
      <c r="Q91" s="338"/>
      <c r="R91" s="338"/>
      <c r="S91" s="338"/>
      <c r="T91" s="338"/>
      <c r="U91" s="338"/>
      <c r="V91" s="338"/>
      <c r="W91" s="338"/>
      <c r="X91" s="338"/>
      <c r="Y91" s="338"/>
      <c r="Z91" s="338"/>
      <c r="AA91" s="338"/>
    </row>
    <row r="92" ht="15.75" customHeight="1">
      <c r="A92" s="338"/>
      <c r="B92" s="338"/>
      <c r="C92" s="338"/>
      <c r="D92" s="338"/>
      <c r="E92" s="338"/>
      <c r="F92" s="338"/>
      <c r="G92" s="338"/>
      <c r="H92" s="338"/>
      <c r="I92" s="338"/>
      <c r="J92" s="338"/>
      <c r="K92" s="338"/>
      <c r="L92" s="338"/>
      <c r="M92" s="338"/>
      <c r="N92" s="338"/>
      <c r="O92" s="338"/>
      <c r="P92" s="338"/>
      <c r="Q92" s="338"/>
      <c r="R92" s="338"/>
      <c r="S92" s="338"/>
      <c r="T92" s="338"/>
      <c r="U92" s="338"/>
      <c r="V92" s="338"/>
      <c r="W92" s="338"/>
      <c r="X92" s="338"/>
      <c r="Y92" s="338"/>
      <c r="Z92" s="338"/>
      <c r="AA92" s="338"/>
    </row>
    <row r="93" ht="15.75" customHeight="1">
      <c r="A93" s="338"/>
      <c r="B93" s="338"/>
      <c r="C93" s="338"/>
      <c r="D93" s="338"/>
      <c r="E93" s="338"/>
      <c r="F93" s="338"/>
      <c r="G93" s="338"/>
      <c r="H93" s="338"/>
      <c r="I93" s="338"/>
      <c r="J93" s="338"/>
      <c r="K93" s="338"/>
      <c r="L93" s="338"/>
      <c r="M93" s="338"/>
      <c r="N93" s="338"/>
      <c r="O93" s="338"/>
      <c r="P93" s="338"/>
      <c r="Q93" s="338"/>
      <c r="R93" s="338"/>
      <c r="S93" s="338"/>
      <c r="T93" s="338"/>
      <c r="U93" s="338"/>
      <c r="V93" s="338"/>
      <c r="W93" s="338"/>
      <c r="X93" s="338"/>
      <c r="Y93" s="338"/>
      <c r="Z93" s="338"/>
      <c r="AA93" s="338"/>
    </row>
    <row r="94" ht="15.75" customHeight="1">
      <c r="A94" s="338"/>
      <c r="B94" s="338"/>
      <c r="C94" s="338"/>
      <c r="D94" s="338"/>
      <c r="E94" s="338"/>
      <c r="F94" s="338"/>
      <c r="G94" s="338"/>
      <c r="H94" s="338"/>
      <c r="I94" s="338"/>
      <c r="J94" s="338"/>
      <c r="K94" s="338"/>
      <c r="L94" s="338"/>
      <c r="M94" s="338"/>
      <c r="N94" s="338"/>
      <c r="O94" s="338"/>
      <c r="P94" s="338"/>
      <c r="Q94" s="338"/>
      <c r="R94" s="338"/>
      <c r="S94" s="338"/>
      <c r="T94" s="338"/>
      <c r="U94" s="338"/>
      <c r="V94" s="338"/>
      <c r="W94" s="338"/>
      <c r="X94" s="338"/>
      <c r="Y94" s="338"/>
      <c r="Z94" s="338"/>
      <c r="AA94" s="338"/>
    </row>
    <row r="95" ht="15.75" customHeight="1">
      <c r="A95" s="338"/>
      <c r="B95" s="338"/>
      <c r="C95" s="338"/>
      <c r="D95" s="338"/>
      <c r="E95" s="338"/>
      <c r="F95" s="338"/>
      <c r="G95" s="338"/>
      <c r="H95" s="338"/>
      <c r="I95" s="338"/>
      <c r="J95" s="338"/>
      <c r="K95" s="338"/>
      <c r="L95" s="338"/>
      <c r="M95" s="338"/>
      <c r="N95" s="338"/>
      <c r="O95" s="338"/>
      <c r="P95" s="338"/>
      <c r="Q95" s="338"/>
      <c r="R95" s="338"/>
      <c r="S95" s="338"/>
      <c r="T95" s="338"/>
      <c r="U95" s="338"/>
      <c r="V95" s="338"/>
      <c r="W95" s="338"/>
      <c r="X95" s="338"/>
      <c r="Y95" s="338"/>
      <c r="Z95" s="338"/>
      <c r="AA95" s="338"/>
    </row>
    <row r="96" ht="15.75" customHeight="1">
      <c r="A96" s="338"/>
      <c r="B96" s="338"/>
      <c r="C96" s="338"/>
      <c r="D96" s="338"/>
      <c r="E96" s="338"/>
      <c r="F96" s="338"/>
      <c r="G96" s="338"/>
      <c r="H96" s="338"/>
      <c r="I96" s="338"/>
      <c r="J96" s="338"/>
      <c r="K96" s="338"/>
      <c r="L96" s="338"/>
      <c r="M96" s="338"/>
      <c r="N96" s="338"/>
      <c r="O96" s="338"/>
      <c r="P96" s="338"/>
      <c r="Q96" s="338"/>
      <c r="R96" s="338"/>
      <c r="S96" s="338"/>
      <c r="T96" s="338"/>
      <c r="U96" s="338"/>
      <c r="V96" s="338"/>
      <c r="W96" s="338"/>
      <c r="X96" s="338"/>
      <c r="Y96" s="338"/>
      <c r="Z96" s="338"/>
      <c r="AA96" s="338"/>
    </row>
    <row r="97" ht="15.75" customHeight="1">
      <c r="A97" s="338"/>
      <c r="B97" s="338"/>
      <c r="C97" s="338"/>
      <c r="D97" s="338"/>
      <c r="E97" s="338"/>
      <c r="F97" s="338"/>
      <c r="G97" s="338"/>
      <c r="H97" s="338"/>
      <c r="I97" s="338"/>
      <c r="J97" s="338"/>
      <c r="K97" s="338"/>
      <c r="L97" s="338"/>
      <c r="M97" s="338"/>
      <c r="N97" s="338"/>
      <c r="O97" s="338"/>
      <c r="P97" s="338"/>
      <c r="Q97" s="338"/>
      <c r="R97" s="338"/>
      <c r="S97" s="338"/>
      <c r="T97" s="338"/>
      <c r="U97" s="338"/>
      <c r="V97" s="338"/>
      <c r="W97" s="338"/>
      <c r="X97" s="338"/>
      <c r="Y97" s="338"/>
      <c r="Z97" s="338"/>
      <c r="AA97" s="338"/>
    </row>
    <row r="98" ht="15.75" customHeight="1">
      <c r="A98" s="338"/>
      <c r="B98" s="338"/>
      <c r="C98" s="338"/>
      <c r="D98" s="338"/>
      <c r="E98" s="338"/>
      <c r="F98" s="338"/>
      <c r="G98" s="338"/>
      <c r="H98" s="338"/>
      <c r="I98" s="338"/>
      <c r="J98" s="338"/>
      <c r="K98" s="338"/>
      <c r="L98" s="338"/>
      <c r="M98" s="338"/>
      <c r="N98" s="338"/>
      <c r="O98" s="338"/>
      <c r="P98" s="338"/>
      <c r="Q98" s="338"/>
      <c r="R98" s="338"/>
      <c r="S98" s="338"/>
      <c r="T98" s="338"/>
      <c r="U98" s="338"/>
      <c r="V98" s="338"/>
      <c r="W98" s="338"/>
      <c r="X98" s="338"/>
      <c r="Y98" s="338"/>
      <c r="Z98" s="338"/>
      <c r="AA98" s="338"/>
    </row>
    <row r="99" ht="15.75" customHeight="1">
      <c r="A99" s="338"/>
      <c r="B99" s="338"/>
      <c r="C99" s="338"/>
      <c r="D99" s="338"/>
      <c r="E99" s="338"/>
      <c r="F99" s="338"/>
      <c r="G99" s="338"/>
      <c r="H99" s="338"/>
      <c r="I99" s="338"/>
      <c r="J99" s="338"/>
      <c r="K99" s="338"/>
      <c r="L99" s="338"/>
      <c r="M99" s="338"/>
      <c r="N99" s="338"/>
      <c r="O99" s="338"/>
      <c r="P99" s="338"/>
      <c r="Q99" s="338"/>
      <c r="R99" s="338"/>
      <c r="S99" s="338"/>
      <c r="T99" s="338"/>
      <c r="U99" s="338"/>
      <c r="V99" s="338"/>
      <c r="W99" s="338"/>
      <c r="X99" s="338"/>
      <c r="Y99" s="338"/>
      <c r="Z99" s="338"/>
      <c r="AA99" s="338"/>
    </row>
    <row r="100" ht="15.75" customHeight="1">
      <c r="A100" s="338"/>
      <c r="B100" s="338"/>
      <c r="C100" s="338"/>
      <c r="D100" s="338"/>
      <c r="E100" s="338"/>
      <c r="F100" s="338"/>
      <c r="G100" s="338"/>
      <c r="H100" s="338"/>
      <c r="I100" s="338"/>
      <c r="J100" s="338"/>
      <c r="K100" s="338"/>
      <c r="L100" s="338"/>
      <c r="M100" s="338"/>
      <c r="N100" s="338"/>
      <c r="O100" s="338"/>
      <c r="P100" s="338"/>
      <c r="Q100" s="338"/>
      <c r="R100" s="338"/>
      <c r="S100" s="338"/>
      <c r="T100" s="338"/>
      <c r="U100" s="338"/>
      <c r="V100" s="338"/>
      <c r="W100" s="338"/>
      <c r="X100" s="338"/>
      <c r="Y100" s="338"/>
      <c r="Z100" s="338"/>
      <c r="AA100" s="338"/>
    </row>
    <row r="101" ht="15.75" customHeight="1">
      <c r="A101" s="338"/>
      <c r="B101" s="338"/>
      <c r="C101" s="338"/>
      <c r="D101" s="338"/>
      <c r="E101" s="338"/>
      <c r="F101" s="338"/>
      <c r="G101" s="338"/>
      <c r="H101" s="338"/>
      <c r="I101" s="338"/>
      <c r="J101" s="338"/>
      <c r="K101" s="338"/>
      <c r="L101" s="338"/>
      <c r="M101" s="338"/>
      <c r="N101" s="338"/>
      <c r="O101" s="338"/>
      <c r="P101" s="338"/>
      <c r="Q101" s="338"/>
      <c r="R101" s="338"/>
      <c r="S101" s="338"/>
      <c r="T101" s="338"/>
      <c r="U101" s="338"/>
      <c r="V101" s="338"/>
      <c r="W101" s="338"/>
      <c r="X101" s="338"/>
      <c r="Y101" s="338"/>
      <c r="Z101" s="338"/>
      <c r="AA101" s="338"/>
    </row>
    <row r="102" ht="15.75" customHeight="1">
      <c r="A102" s="338"/>
      <c r="B102" s="338"/>
      <c r="C102" s="338"/>
      <c r="D102" s="338"/>
      <c r="E102" s="338"/>
      <c r="F102" s="338"/>
      <c r="G102" s="338"/>
      <c r="H102" s="338"/>
      <c r="I102" s="338"/>
      <c r="J102" s="338"/>
      <c r="K102" s="338"/>
      <c r="L102" s="338"/>
      <c r="M102" s="338"/>
      <c r="N102" s="338"/>
      <c r="O102" s="338"/>
      <c r="P102" s="338"/>
      <c r="Q102" s="338"/>
      <c r="R102" s="338"/>
      <c r="S102" s="338"/>
      <c r="T102" s="338"/>
      <c r="U102" s="338"/>
      <c r="V102" s="338"/>
      <c r="W102" s="338"/>
      <c r="X102" s="338"/>
      <c r="Y102" s="338"/>
      <c r="Z102" s="338"/>
      <c r="AA102" s="338"/>
    </row>
    <row r="103" ht="15.75" customHeight="1">
      <c r="A103" s="338"/>
      <c r="B103" s="338"/>
      <c r="C103" s="338"/>
      <c r="D103" s="338"/>
      <c r="E103" s="338"/>
      <c r="F103" s="338"/>
      <c r="G103" s="338"/>
      <c r="H103" s="338"/>
      <c r="I103" s="338"/>
      <c r="J103" s="338"/>
      <c r="K103" s="338"/>
      <c r="L103" s="338"/>
      <c r="M103" s="338"/>
      <c r="N103" s="338"/>
      <c r="O103" s="338"/>
      <c r="P103" s="338"/>
      <c r="Q103" s="338"/>
      <c r="R103" s="338"/>
      <c r="S103" s="338"/>
      <c r="T103" s="338"/>
      <c r="U103" s="338"/>
      <c r="V103" s="338"/>
      <c r="W103" s="338"/>
      <c r="X103" s="338"/>
      <c r="Y103" s="338"/>
      <c r="Z103" s="338"/>
      <c r="AA103" s="338"/>
    </row>
    <row r="104" ht="15.75" customHeight="1">
      <c r="A104" s="338"/>
      <c r="B104" s="338"/>
      <c r="C104" s="338"/>
      <c r="D104" s="338"/>
      <c r="E104" s="338"/>
      <c r="F104" s="338"/>
      <c r="G104" s="338"/>
      <c r="H104" s="338"/>
      <c r="I104" s="338"/>
      <c r="J104" s="338"/>
      <c r="K104" s="338"/>
      <c r="L104" s="338"/>
      <c r="M104" s="338"/>
      <c r="N104" s="338"/>
      <c r="O104" s="338"/>
      <c r="P104" s="338"/>
      <c r="Q104" s="338"/>
      <c r="R104" s="338"/>
      <c r="S104" s="338"/>
      <c r="T104" s="338"/>
      <c r="U104" s="338"/>
      <c r="V104" s="338"/>
      <c r="W104" s="338"/>
      <c r="X104" s="338"/>
      <c r="Y104" s="338"/>
      <c r="Z104" s="338"/>
      <c r="AA104" s="338"/>
    </row>
    <row r="105" ht="15.75" customHeight="1">
      <c r="A105" s="338"/>
      <c r="B105" s="338"/>
      <c r="C105" s="338"/>
      <c r="D105" s="338"/>
      <c r="E105" s="338"/>
      <c r="F105" s="338"/>
      <c r="G105" s="338"/>
      <c r="H105" s="338"/>
      <c r="I105" s="338"/>
      <c r="J105" s="338"/>
      <c r="K105" s="338"/>
      <c r="L105" s="338"/>
      <c r="M105" s="338"/>
      <c r="N105" s="338"/>
      <c r="O105" s="338"/>
      <c r="P105" s="338"/>
      <c r="Q105" s="338"/>
      <c r="R105" s="338"/>
      <c r="S105" s="338"/>
      <c r="T105" s="338"/>
      <c r="U105" s="338"/>
      <c r="V105" s="338"/>
      <c r="W105" s="338"/>
      <c r="X105" s="338"/>
      <c r="Y105" s="338"/>
      <c r="Z105" s="338"/>
      <c r="AA105" s="338"/>
    </row>
    <row r="106" ht="15.75" customHeight="1">
      <c r="A106" s="338"/>
      <c r="B106" s="338"/>
      <c r="C106" s="338"/>
      <c r="D106" s="338"/>
      <c r="E106" s="338"/>
      <c r="F106" s="338"/>
      <c r="G106" s="338"/>
      <c r="H106" s="338"/>
      <c r="I106" s="338"/>
      <c r="J106" s="338"/>
      <c r="K106" s="338"/>
      <c r="L106" s="338"/>
      <c r="M106" s="338"/>
      <c r="N106" s="338"/>
      <c r="O106" s="338"/>
      <c r="P106" s="338"/>
      <c r="Q106" s="338"/>
      <c r="R106" s="338"/>
      <c r="S106" s="338"/>
      <c r="T106" s="338"/>
      <c r="U106" s="338"/>
      <c r="V106" s="338"/>
      <c r="W106" s="338"/>
      <c r="X106" s="338"/>
      <c r="Y106" s="338"/>
      <c r="Z106" s="338"/>
      <c r="AA106" s="338"/>
    </row>
    <row r="107" ht="15.75" customHeight="1">
      <c r="A107" s="338"/>
      <c r="B107" s="338"/>
      <c r="C107" s="338"/>
      <c r="D107" s="338"/>
      <c r="E107" s="338"/>
      <c r="F107" s="338"/>
      <c r="G107" s="338"/>
      <c r="H107" s="338"/>
      <c r="I107" s="338"/>
      <c r="J107" s="338"/>
      <c r="K107" s="338"/>
      <c r="L107" s="338"/>
      <c r="M107" s="338"/>
      <c r="N107" s="338"/>
      <c r="O107" s="338"/>
      <c r="P107" s="338"/>
      <c r="Q107" s="338"/>
      <c r="R107" s="338"/>
      <c r="S107" s="338"/>
      <c r="T107" s="338"/>
      <c r="U107" s="338"/>
      <c r="V107" s="338"/>
      <c r="W107" s="338"/>
      <c r="X107" s="338"/>
      <c r="Y107" s="338"/>
      <c r="Z107" s="338"/>
      <c r="AA107" s="338"/>
    </row>
    <row r="108" ht="15.75" customHeight="1">
      <c r="A108" s="338"/>
      <c r="B108" s="338"/>
      <c r="C108" s="338"/>
      <c r="D108" s="338"/>
      <c r="E108" s="338"/>
      <c r="F108" s="338"/>
      <c r="G108" s="338"/>
      <c r="H108" s="338"/>
      <c r="I108" s="338"/>
      <c r="J108" s="338"/>
      <c r="K108" s="338"/>
      <c r="L108" s="338"/>
      <c r="M108" s="338"/>
      <c r="N108" s="338"/>
      <c r="O108" s="338"/>
      <c r="P108" s="338"/>
      <c r="Q108" s="338"/>
      <c r="R108" s="338"/>
      <c r="S108" s="338"/>
      <c r="T108" s="338"/>
      <c r="U108" s="338"/>
      <c r="V108" s="338"/>
      <c r="W108" s="338"/>
      <c r="X108" s="338"/>
      <c r="Y108" s="338"/>
      <c r="Z108" s="338"/>
      <c r="AA108" s="338"/>
    </row>
    <row r="109" ht="15.75" customHeight="1">
      <c r="A109" s="338"/>
      <c r="B109" s="338"/>
      <c r="C109" s="338"/>
      <c r="D109" s="338"/>
      <c r="E109" s="338"/>
      <c r="F109" s="338"/>
      <c r="G109" s="338"/>
      <c r="H109" s="338"/>
      <c r="I109" s="338"/>
      <c r="J109" s="338"/>
      <c r="K109" s="338"/>
      <c r="L109" s="338"/>
      <c r="M109" s="338"/>
      <c r="N109" s="338"/>
      <c r="O109" s="338"/>
      <c r="P109" s="338"/>
      <c r="Q109" s="338"/>
      <c r="R109" s="338"/>
      <c r="S109" s="338"/>
      <c r="T109" s="338"/>
      <c r="U109" s="338"/>
      <c r="V109" s="338"/>
      <c r="W109" s="338"/>
      <c r="X109" s="338"/>
      <c r="Y109" s="338"/>
      <c r="Z109" s="338"/>
      <c r="AA109" s="338"/>
    </row>
    <row r="110" ht="15.75" customHeight="1">
      <c r="A110" s="338"/>
      <c r="B110" s="338"/>
      <c r="C110" s="338"/>
      <c r="D110" s="338"/>
      <c r="E110" s="338"/>
      <c r="F110" s="338"/>
      <c r="G110" s="338"/>
      <c r="H110" s="338"/>
      <c r="I110" s="338"/>
      <c r="J110" s="338"/>
      <c r="K110" s="338"/>
      <c r="L110" s="338"/>
      <c r="M110" s="338"/>
      <c r="N110" s="338"/>
      <c r="O110" s="338"/>
      <c r="P110" s="338"/>
      <c r="Q110" s="338"/>
      <c r="R110" s="338"/>
      <c r="S110" s="338"/>
      <c r="T110" s="338"/>
      <c r="U110" s="338"/>
      <c r="V110" s="338"/>
      <c r="W110" s="338"/>
      <c r="X110" s="338"/>
      <c r="Y110" s="338"/>
      <c r="Z110" s="338"/>
      <c r="AA110" s="338"/>
    </row>
    <row r="111" ht="15.75" customHeight="1">
      <c r="A111" s="338"/>
      <c r="B111" s="338"/>
      <c r="C111" s="338"/>
      <c r="D111" s="338"/>
      <c r="E111" s="338"/>
      <c r="F111" s="338"/>
      <c r="G111" s="338"/>
      <c r="H111" s="338"/>
      <c r="I111" s="338"/>
      <c r="J111" s="338"/>
      <c r="K111" s="338"/>
      <c r="L111" s="338"/>
      <c r="M111" s="338"/>
      <c r="N111" s="338"/>
      <c r="O111" s="338"/>
      <c r="P111" s="338"/>
      <c r="Q111" s="338"/>
      <c r="R111" s="338"/>
      <c r="S111" s="338"/>
      <c r="T111" s="338"/>
      <c r="U111" s="338"/>
      <c r="V111" s="338"/>
      <c r="W111" s="338"/>
      <c r="X111" s="338"/>
      <c r="Y111" s="338"/>
      <c r="Z111" s="338"/>
      <c r="AA111" s="338"/>
    </row>
    <row r="112" ht="15.75" customHeight="1">
      <c r="A112" s="338"/>
      <c r="B112" s="338"/>
      <c r="C112" s="338"/>
      <c r="D112" s="338"/>
      <c r="E112" s="338"/>
      <c r="F112" s="338"/>
      <c r="G112" s="338"/>
      <c r="H112" s="338"/>
      <c r="I112" s="338"/>
      <c r="J112" s="338"/>
      <c r="K112" s="338"/>
      <c r="L112" s="338"/>
      <c r="M112" s="338"/>
      <c r="N112" s="338"/>
      <c r="O112" s="338"/>
      <c r="P112" s="338"/>
      <c r="Q112" s="338"/>
      <c r="R112" s="338"/>
      <c r="S112" s="338"/>
      <c r="T112" s="338"/>
      <c r="U112" s="338"/>
      <c r="V112" s="338"/>
      <c r="W112" s="338"/>
      <c r="X112" s="338"/>
      <c r="Y112" s="338"/>
      <c r="Z112" s="338"/>
      <c r="AA112" s="338"/>
    </row>
    <row r="113" ht="15.75" customHeight="1">
      <c r="A113" s="338"/>
      <c r="B113" s="338"/>
      <c r="C113" s="338"/>
      <c r="D113" s="338"/>
      <c r="E113" s="338"/>
      <c r="F113" s="338"/>
      <c r="G113" s="338"/>
      <c r="H113" s="338"/>
      <c r="I113" s="338"/>
      <c r="J113" s="338"/>
      <c r="K113" s="338"/>
      <c r="L113" s="338"/>
      <c r="M113" s="338"/>
      <c r="N113" s="338"/>
      <c r="O113" s="338"/>
      <c r="P113" s="338"/>
      <c r="Q113" s="338"/>
      <c r="R113" s="338"/>
      <c r="S113" s="338"/>
      <c r="T113" s="338"/>
      <c r="U113" s="338"/>
      <c r="V113" s="338"/>
      <c r="W113" s="338"/>
      <c r="X113" s="338"/>
      <c r="Y113" s="338"/>
      <c r="Z113" s="338"/>
      <c r="AA113" s="338"/>
    </row>
    <row r="114" ht="15.75" customHeight="1">
      <c r="A114" s="338"/>
      <c r="B114" s="338"/>
      <c r="C114" s="338"/>
      <c r="D114" s="338"/>
      <c r="E114" s="338"/>
      <c r="F114" s="338"/>
      <c r="G114" s="338"/>
      <c r="H114" s="338"/>
      <c r="I114" s="338"/>
      <c r="J114" s="338"/>
      <c r="K114" s="338"/>
      <c r="L114" s="338"/>
      <c r="M114" s="338"/>
      <c r="N114" s="338"/>
      <c r="O114" s="338"/>
      <c r="P114" s="338"/>
      <c r="Q114" s="338"/>
      <c r="R114" s="338"/>
      <c r="S114" s="338"/>
      <c r="T114" s="338"/>
      <c r="U114" s="338"/>
      <c r="V114" s="338"/>
      <c r="W114" s="338"/>
      <c r="X114" s="338"/>
      <c r="Y114" s="338"/>
      <c r="Z114" s="338"/>
      <c r="AA114" s="338"/>
    </row>
    <row r="115" ht="15.75" customHeight="1">
      <c r="A115" s="338"/>
      <c r="B115" s="338"/>
      <c r="C115" s="338"/>
      <c r="D115" s="338"/>
      <c r="E115" s="338"/>
      <c r="F115" s="338"/>
      <c r="G115" s="338"/>
      <c r="H115" s="338"/>
      <c r="I115" s="338"/>
      <c r="J115" s="338"/>
      <c r="K115" s="338"/>
      <c r="L115" s="338"/>
      <c r="M115" s="338"/>
      <c r="N115" s="338"/>
      <c r="O115" s="338"/>
      <c r="P115" s="338"/>
      <c r="Q115" s="338"/>
      <c r="R115" s="338"/>
      <c r="S115" s="338"/>
      <c r="T115" s="338"/>
      <c r="U115" s="338"/>
      <c r="V115" s="338"/>
      <c r="W115" s="338"/>
      <c r="X115" s="338"/>
      <c r="Y115" s="338"/>
      <c r="Z115" s="338"/>
      <c r="AA115" s="338"/>
    </row>
    <row r="116" ht="15.75" customHeight="1">
      <c r="A116" s="338"/>
      <c r="B116" s="338"/>
      <c r="C116" s="338"/>
      <c r="D116" s="338"/>
      <c r="E116" s="338"/>
      <c r="F116" s="338"/>
      <c r="G116" s="338"/>
      <c r="H116" s="338"/>
      <c r="I116" s="338"/>
      <c r="J116" s="338"/>
      <c r="K116" s="338"/>
      <c r="L116" s="338"/>
      <c r="M116" s="338"/>
      <c r="N116" s="338"/>
      <c r="O116" s="338"/>
      <c r="P116" s="338"/>
      <c r="Q116" s="338"/>
      <c r="R116" s="338"/>
      <c r="S116" s="338"/>
      <c r="T116" s="338"/>
      <c r="U116" s="338"/>
      <c r="V116" s="338"/>
      <c r="W116" s="338"/>
      <c r="X116" s="338"/>
      <c r="Y116" s="338"/>
      <c r="Z116" s="338"/>
      <c r="AA116" s="338"/>
    </row>
    <row r="117" ht="15.75" customHeight="1">
      <c r="A117" s="338"/>
      <c r="B117" s="338"/>
      <c r="C117" s="338"/>
      <c r="D117" s="338"/>
      <c r="E117" s="338"/>
      <c r="F117" s="338"/>
      <c r="G117" s="338"/>
      <c r="H117" s="338"/>
      <c r="I117" s="338"/>
      <c r="J117" s="338"/>
      <c r="K117" s="338"/>
      <c r="L117" s="338"/>
      <c r="M117" s="338"/>
      <c r="N117" s="338"/>
      <c r="O117" s="338"/>
      <c r="P117" s="338"/>
      <c r="Q117" s="338"/>
      <c r="R117" s="338"/>
      <c r="S117" s="338"/>
      <c r="T117" s="338"/>
      <c r="U117" s="338"/>
      <c r="V117" s="338"/>
      <c r="W117" s="338"/>
      <c r="X117" s="338"/>
      <c r="Y117" s="338"/>
      <c r="Z117" s="338"/>
      <c r="AA117" s="338"/>
    </row>
    <row r="118" ht="15.75" customHeight="1">
      <c r="A118" s="338"/>
      <c r="B118" s="338"/>
      <c r="C118" s="338"/>
      <c r="D118" s="338"/>
      <c r="E118" s="338"/>
      <c r="F118" s="338"/>
      <c r="G118" s="338"/>
      <c r="H118" s="338"/>
      <c r="I118" s="338"/>
      <c r="J118" s="338"/>
      <c r="K118" s="338"/>
      <c r="L118" s="338"/>
      <c r="M118" s="338"/>
      <c r="N118" s="338"/>
      <c r="O118" s="338"/>
      <c r="P118" s="338"/>
      <c r="Q118" s="338"/>
      <c r="R118" s="338"/>
      <c r="S118" s="338"/>
      <c r="T118" s="338"/>
      <c r="U118" s="338"/>
      <c r="V118" s="338"/>
      <c r="W118" s="338"/>
      <c r="X118" s="338"/>
      <c r="Y118" s="338"/>
      <c r="Z118" s="338"/>
      <c r="AA118" s="338"/>
    </row>
    <row r="119" ht="15.75" customHeight="1">
      <c r="A119" s="338"/>
      <c r="B119" s="338"/>
      <c r="C119" s="338"/>
      <c r="D119" s="338"/>
      <c r="E119" s="338"/>
      <c r="F119" s="338"/>
      <c r="G119" s="338"/>
      <c r="H119" s="338"/>
      <c r="I119" s="338"/>
      <c r="J119" s="338"/>
      <c r="K119" s="338"/>
      <c r="L119" s="338"/>
      <c r="M119" s="338"/>
      <c r="N119" s="338"/>
      <c r="O119" s="338"/>
      <c r="P119" s="338"/>
      <c r="Q119" s="338"/>
      <c r="R119" s="338"/>
      <c r="S119" s="338"/>
      <c r="T119" s="338"/>
      <c r="U119" s="338"/>
      <c r="V119" s="338"/>
      <c r="W119" s="338"/>
      <c r="X119" s="338"/>
      <c r="Y119" s="338"/>
      <c r="Z119" s="338"/>
      <c r="AA119" s="338"/>
    </row>
    <row r="120" ht="15.75" customHeight="1">
      <c r="A120" s="338"/>
      <c r="B120" s="338"/>
      <c r="C120" s="338"/>
      <c r="D120" s="338"/>
      <c r="E120" s="338"/>
      <c r="F120" s="338"/>
      <c r="G120" s="338"/>
      <c r="H120" s="338"/>
      <c r="I120" s="338"/>
      <c r="J120" s="338"/>
      <c r="K120" s="338"/>
      <c r="L120" s="338"/>
      <c r="M120" s="338"/>
      <c r="N120" s="338"/>
      <c r="O120" s="338"/>
      <c r="P120" s="338"/>
      <c r="Q120" s="338"/>
      <c r="R120" s="338"/>
      <c r="S120" s="338"/>
      <c r="T120" s="338"/>
      <c r="U120" s="338"/>
      <c r="V120" s="338"/>
      <c r="W120" s="338"/>
      <c r="X120" s="338"/>
      <c r="Y120" s="338"/>
      <c r="Z120" s="338"/>
      <c r="AA120" s="338"/>
    </row>
    <row r="121" ht="15.75" customHeight="1">
      <c r="A121" s="338"/>
      <c r="B121" s="338"/>
      <c r="C121" s="338"/>
      <c r="D121" s="338"/>
      <c r="E121" s="338"/>
      <c r="F121" s="338"/>
      <c r="G121" s="338"/>
      <c r="H121" s="338"/>
      <c r="I121" s="338"/>
      <c r="J121" s="338"/>
      <c r="K121" s="338"/>
      <c r="L121" s="338"/>
      <c r="M121" s="338"/>
      <c r="N121" s="338"/>
      <c r="O121" s="338"/>
      <c r="P121" s="338"/>
      <c r="Q121" s="338"/>
      <c r="R121" s="338"/>
      <c r="S121" s="338"/>
      <c r="T121" s="338"/>
      <c r="U121" s="338"/>
      <c r="V121" s="338"/>
      <c r="W121" s="338"/>
      <c r="X121" s="338"/>
      <c r="Y121" s="338"/>
      <c r="Z121" s="338"/>
      <c r="AA121" s="338"/>
    </row>
    <row r="122" ht="15.75" customHeight="1">
      <c r="A122" s="338"/>
      <c r="B122" s="338"/>
      <c r="C122" s="338"/>
      <c r="D122" s="338"/>
      <c r="E122" s="338"/>
      <c r="F122" s="338"/>
      <c r="G122" s="338"/>
      <c r="H122" s="338"/>
      <c r="I122" s="338"/>
      <c r="J122" s="338"/>
      <c r="K122" s="338"/>
      <c r="L122" s="338"/>
      <c r="M122" s="338"/>
      <c r="N122" s="338"/>
      <c r="O122" s="338"/>
      <c r="P122" s="338"/>
      <c r="Q122" s="338"/>
      <c r="R122" s="338"/>
      <c r="S122" s="338"/>
      <c r="T122" s="338"/>
      <c r="U122" s="338"/>
      <c r="V122" s="338"/>
      <c r="W122" s="338"/>
      <c r="X122" s="338"/>
      <c r="Y122" s="338"/>
      <c r="Z122" s="338"/>
      <c r="AA122" s="338"/>
    </row>
    <row r="123" ht="15.75" customHeight="1">
      <c r="A123" s="338"/>
      <c r="B123" s="338"/>
      <c r="C123" s="338"/>
      <c r="D123" s="338"/>
      <c r="E123" s="338"/>
      <c r="F123" s="338"/>
      <c r="G123" s="338"/>
      <c r="H123" s="338"/>
      <c r="I123" s="338"/>
      <c r="J123" s="338"/>
      <c r="K123" s="338"/>
      <c r="L123" s="338"/>
      <c r="M123" s="338"/>
      <c r="N123" s="338"/>
      <c r="O123" s="338"/>
      <c r="P123" s="338"/>
      <c r="Q123" s="338"/>
      <c r="R123" s="338"/>
      <c r="S123" s="338"/>
      <c r="T123" s="338"/>
      <c r="U123" s="338"/>
      <c r="V123" s="338"/>
      <c r="W123" s="338"/>
      <c r="X123" s="338"/>
      <c r="Y123" s="338"/>
      <c r="Z123" s="338"/>
      <c r="AA123" s="338"/>
    </row>
    <row r="124" ht="15.75" customHeight="1">
      <c r="A124" s="338"/>
      <c r="B124" s="338"/>
      <c r="C124" s="338"/>
      <c r="D124" s="338"/>
      <c r="E124" s="338"/>
      <c r="F124" s="338"/>
      <c r="G124" s="338"/>
      <c r="H124" s="338"/>
      <c r="I124" s="338"/>
      <c r="J124" s="338"/>
      <c r="K124" s="338"/>
      <c r="L124" s="338"/>
      <c r="M124" s="338"/>
      <c r="N124" s="338"/>
      <c r="O124" s="338"/>
      <c r="P124" s="338"/>
      <c r="Q124" s="338"/>
      <c r="R124" s="338"/>
      <c r="S124" s="338"/>
      <c r="T124" s="338"/>
      <c r="U124" s="338"/>
      <c r="V124" s="338"/>
      <c r="W124" s="338"/>
      <c r="X124" s="338"/>
      <c r="Y124" s="338"/>
      <c r="Z124" s="338"/>
      <c r="AA124" s="338"/>
    </row>
    <row r="125" ht="15.75" customHeight="1">
      <c r="A125" s="338"/>
      <c r="B125" s="338"/>
      <c r="C125" s="338"/>
      <c r="D125" s="338"/>
      <c r="E125" s="338"/>
      <c r="F125" s="338"/>
      <c r="G125" s="338"/>
      <c r="H125" s="338"/>
      <c r="I125" s="338"/>
      <c r="J125" s="338"/>
      <c r="K125" s="338"/>
      <c r="L125" s="338"/>
      <c r="M125" s="338"/>
      <c r="N125" s="338"/>
      <c r="O125" s="338"/>
      <c r="P125" s="338"/>
      <c r="Q125" s="338"/>
      <c r="R125" s="338"/>
      <c r="S125" s="338"/>
      <c r="T125" s="338"/>
      <c r="U125" s="338"/>
      <c r="V125" s="338"/>
      <c r="W125" s="338"/>
      <c r="X125" s="338"/>
      <c r="Y125" s="338"/>
      <c r="Z125" s="338"/>
      <c r="AA125" s="338"/>
    </row>
    <row r="126" ht="15.75" customHeight="1">
      <c r="A126" s="338"/>
      <c r="B126" s="338"/>
      <c r="C126" s="338"/>
      <c r="D126" s="338"/>
      <c r="E126" s="338"/>
      <c r="F126" s="338"/>
      <c r="G126" s="338"/>
      <c r="H126" s="338"/>
      <c r="I126" s="338"/>
      <c r="J126" s="338"/>
      <c r="K126" s="338"/>
      <c r="L126" s="338"/>
      <c r="M126" s="338"/>
      <c r="N126" s="338"/>
      <c r="O126" s="338"/>
      <c r="P126" s="338"/>
      <c r="Q126" s="338"/>
      <c r="R126" s="338"/>
      <c r="S126" s="338"/>
      <c r="T126" s="338"/>
      <c r="U126" s="338"/>
      <c r="V126" s="338"/>
      <c r="W126" s="338"/>
      <c r="X126" s="338"/>
      <c r="Y126" s="338"/>
      <c r="Z126" s="338"/>
      <c r="AA126" s="338"/>
    </row>
    <row r="127" ht="15.75" customHeight="1">
      <c r="A127" s="338"/>
      <c r="B127" s="338"/>
      <c r="C127" s="338"/>
      <c r="D127" s="338"/>
      <c r="E127" s="338"/>
      <c r="F127" s="338"/>
      <c r="G127" s="338"/>
      <c r="H127" s="338"/>
      <c r="I127" s="338"/>
      <c r="J127" s="338"/>
      <c r="K127" s="338"/>
      <c r="L127" s="338"/>
      <c r="M127" s="338"/>
      <c r="N127" s="338"/>
      <c r="O127" s="338"/>
      <c r="P127" s="338"/>
      <c r="Q127" s="338"/>
      <c r="R127" s="338"/>
      <c r="S127" s="338"/>
      <c r="T127" s="338"/>
      <c r="U127" s="338"/>
      <c r="V127" s="338"/>
      <c r="W127" s="338"/>
      <c r="X127" s="338"/>
      <c r="Y127" s="338"/>
      <c r="Z127" s="338"/>
      <c r="AA127" s="338"/>
    </row>
    <row r="128" ht="15.75" customHeight="1">
      <c r="A128" s="338"/>
      <c r="B128" s="338"/>
      <c r="C128" s="338"/>
      <c r="D128" s="338"/>
      <c r="E128" s="338"/>
      <c r="F128" s="338"/>
      <c r="G128" s="338"/>
      <c r="H128" s="338"/>
      <c r="I128" s="338"/>
      <c r="J128" s="338"/>
      <c r="K128" s="338"/>
      <c r="L128" s="338"/>
      <c r="M128" s="338"/>
      <c r="N128" s="338"/>
      <c r="O128" s="338"/>
      <c r="P128" s="338"/>
      <c r="Q128" s="338"/>
      <c r="R128" s="338"/>
      <c r="S128" s="338"/>
      <c r="T128" s="338"/>
      <c r="U128" s="338"/>
      <c r="V128" s="338"/>
      <c r="W128" s="338"/>
      <c r="X128" s="338"/>
      <c r="Y128" s="338"/>
      <c r="Z128" s="338"/>
      <c r="AA128" s="338"/>
    </row>
    <row r="129" ht="15.75" customHeight="1">
      <c r="A129" s="338"/>
      <c r="B129" s="338"/>
      <c r="C129" s="338"/>
      <c r="D129" s="338"/>
      <c r="E129" s="338"/>
      <c r="F129" s="338"/>
      <c r="G129" s="338"/>
      <c r="H129" s="338"/>
      <c r="I129" s="338"/>
      <c r="J129" s="338"/>
      <c r="K129" s="338"/>
      <c r="L129" s="338"/>
      <c r="M129" s="338"/>
      <c r="N129" s="338"/>
      <c r="O129" s="338"/>
      <c r="P129" s="338"/>
      <c r="Q129" s="338"/>
      <c r="R129" s="338"/>
      <c r="S129" s="338"/>
      <c r="T129" s="338"/>
      <c r="U129" s="338"/>
      <c r="V129" s="338"/>
      <c r="W129" s="338"/>
      <c r="X129" s="338"/>
      <c r="Y129" s="338"/>
      <c r="Z129" s="338"/>
      <c r="AA129" s="338"/>
    </row>
    <row r="130" ht="15.75" customHeight="1">
      <c r="A130" s="338"/>
      <c r="B130" s="338"/>
      <c r="C130" s="338"/>
      <c r="D130" s="338"/>
      <c r="E130" s="338"/>
      <c r="F130" s="338"/>
      <c r="G130" s="338"/>
      <c r="H130" s="338"/>
      <c r="I130" s="338"/>
      <c r="J130" s="338"/>
      <c r="K130" s="338"/>
      <c r="L130" s="338"/>
      <c r="M130" s="338"/>
      <c r="N130" s="338"/>
      <c r="O130" s="338"/>
      <c r="P130" s="338"/>
      <c r="Q130" s="338"/>
      <c r="R130" s="338"/>
      <c r="S130" s="338"/>
      <c r="T130" s="338"/>
      <c r="U130" s="338"/>
      <c r="V130" s="338"/>
      <c r="W130" s="338"/>
      <c r="X130" s="338"/>
      <c r="Y130" s="338"/>
      <c r="Z130" s="338"/>
      <c r="AA130" s="338"/>
    </row>
    <row r="131" ht="15.75" customHeight="1">
      <c r="A131" s="338"/>
      <c r="B131" s="338"/>
      <c r="C131" s="338"/>
      <c r="D131" s="338"/>
      <c r="E131" s="338"/>
      <c r="F131" s="338"/>
      <c r="G131" s="338"/>
      <c r="H131" s="338"/>
      <c r="I131" s="338"/>
      <c r="J131" s="338"/>
      <c r="K131" s="338"/>
      <c r="L131" s="338"/>
      <c r="M131" s="338"/>
      <c r="N131" s="338"/>
      <c r="O131" s="338"/>
      <c r="P131" s="338"/>
      <c r="Q131" s="338"/>
      <c r="R131" s="338"/>
      <c r="S131" s="338"/>
      <c r="T131" s="338"/>
      <c r="U131" s="338"/>
      <c r="V131" s="338"/>
      <c r="W131" s="338"/>
      <c r="X131" s="338"/>
      <c r="Y131" s="338"/>
      <c r="Z131" s="338"/>
      <c r="AA131" s="338"/>
    </row>
    <row r="132" ht="15.75" customHeight="1">
      <c r="A132" s="338"/>
      <c r="B132" s="338"/>
      <c r="C132" s="338"/>
      <c r="D132" s="338"/>
      <c r="E132" s="338"/>
      <c r="F132" s="338"/>
      <c r="G132" s="338"/>
      <c r="H132" s="338"/>
      <c r="I132" s="338"/>
      <c r="J132" s="338"/>
      <c r="K132" s="338"/>
      <c r="L132" s="338"/>
      <c r="M132" s="338"/>
      <c r="N132" s="338"/>
      <c r="O132" s="338"/>
      <c r="P132" s="338"/>
      <c r="Q132" s="338"/>
      <c r="R132" s="338"/>
      <c r="S132" s="338"/>
      <c r="T132" s="338"/>
      <c r="U132" s="338"/>
      <c r="V132" s="338"/>
      <c r="W132" s="338"/>
      <c r="X132" s="338"/>
      <c r="Y132" s="338"/>
      <c r="Z132" s="338"/>
      <c r="AA132" s="338"/>
    </row>
    <row r="133" ht="15.75" customHeight="1">
      <c r="A133" s="338"/>
      <c r="B133" s="338"/>
      <c r="C133" s="338"/>
      <c r="D133" s="338"/>
      <c r="E133" s="338"/>
      <c r="F133" s="338"/>
      <c r="G133" s="338"/>
      <c r="H133" s="338"/>
      <c r="I133" s="338"/>
      <c r="J133" s="338"/>
      <c r="K133" s="338"/>
      <c r="L133" s="338"/>
      <c r="M133" s="338"/>
      <c r="N133" s="338"/>
      <c r="O133" s="338"/>
      <c r="P133" s="338"/>
      <c r="Q133" s="338"/>
      <c r="R133" s="338"/>
      <c r="S133" s="338"/>
      <c r="T133" s="338"/>
      <c r="U133" s="338"/>
      <c r="V133" s="338"/>
      <c r="W133" s="338"/>
      <c r="X133" s="338"/>
      <c r="Y133" s="338"/>
      <c r="Z133" s="338"/>
      <c r="AA133" s="338"/>
    </row>
    <row r="134" ht="15.75" customHeight="1">
      <c r="A134" s="338"/>
      <c r="B134" s="338"/>
      <c r="C134" s="338"/>
      <c r="D134" s="338"/>
      <c r="E134" s="338"/>
      <c r="F134" s="338"/>
      <c r="G134" s="338"/>
      <c r="H134" s="338"/>
      <c r="I134" s="338"/>
      <c r="J134" s="338"/>
      <c r="K134" s="338"/>
      <c r="L134" s="338"/>
      <c r="M134" s="338"/>
      <c r="N134" s="338"/>
      <c r="O134" s="338"/>
      <c r="P134" s="338"/>
      <c r="Q134" s="338"/>
      <c r="R134" s="338"/>
      <c r="S134" s="338"/>
      <c r="T134" s="338"/>
      <c r="U134" s="338"/>
      <c r="V134" s="338"/>
      <c r="W134" s="338"/>
      <c r="X134" s="338"/>
      <c r="Y134" s="338"/>
      <c r="Z134" s="338"/>
      <c r="AA134" s="338"/>
    </row>
    <row r="135" ht="15.75" customHeight="1">
      <c r="A135" s="338"/>
      <c r="B135" s="338"/>
      <c r="C135" s="338"/>
      <c r="D135" s="338"/>
      <c r="E135" s="338"/>
      <c r="F135" s="338"/>
      <c r="G135" s="338"/>
      <c r="H135" s="338"/>
      <c r="I135" s="338"/>
      <c r="J135" s="338"/>
      <c r="K135" s="338"/>
      <c r="L135" s="338"/>
      <c r="M135" s="338"/>
      <c r="N135" s="338"/>
      <c r="O135" s="338"/>
      <c r="P135" s="338"/>
      <c r="Q135" s="338"/>
      <c r="R135" s="338"/>
      <c r="S135" s="338"/>
      <c r="T135" s="338"/>
      <c r="U135" s="338"/>
      <c r="V135" s="338"/>
      <c r="W135" s="338"/>
      <c r="X135" s="338"/>
      <c r="Y135" s="338"/>
      <c r="Z135" s="338"/>
      <c r="AA135" s="338"/>
    </row>
    <row r="136" ht="15.75" customHeight="1">
      <c r="A136" s="338"/>
      <c r="B136" s="338"/>
      <c r="C136" s="338"/>
      <c r="D136" s="338"/>
      <c r="E136" s="338"/>
      <c r="F136" s="338"/>
      <c r="G136" s="338"/>
      <c r="H136" s="338"/>
      <c r="I136" s="338"/>
      <c r="J136" s="338"/>
      <c r="K136" s="338"/>
      <c r="L136" s="338"/>
      <c r="M136" s="338"/>
      <c r="N136" s="338"/>
      <c r="O136" s="338"/>
      <c r="P136" s="338"/>
      <c r="Q136" s="338"/>
      <c r="R136" s="338"/>
      <c r="S136" s="338"/>
      <c r="T136" s="338"/>
      <c r="U136" s="338"/>
      <c r="V136" s="338"/>
      <c r="W136" s="338"/>
      <c r="X136" s="338"/>
      <c r="Y136" s="338"/>
      <c r="Z136" s="338"/>
      <c r="AA136" s="338"/>
    </row>
    <row r="137" ht="15.75" customHeight="1">
      <c r="A137" s="338"/>
      <c r="B137" s="338"/>
      <c r="C137" s="338"/>
      <c r="D137" s="338"/>
      <c r="E137" s="338"/>
      <c r="F137" s="338"/>
      <c r="G137" s="338"/>
      <c r="H137" s="338"/>
      <c r="I137" s="338"/>
      <c r="J137" s="338"/>
      <c r="K137" s="338"/>
      <c r="L137" s="338"/>
      <c r="M137" s="338"/>
      <c r="N137" s="338"/>
      <c r="O137" s="338"/>
      <c r="P137" s="338"/>
      <c r="Q137" s="338"/>
      <c r="R137" s="338"/>
      <c r="S137" s="338"/>
      <c r="T137" s="338"/>
      <c r="U137" s="338"/>
      <c r="V137" s="338"/>
      <c r="W137" s="338"/>
      <c r="X137" s="338"/>
      <c r="Y137" s="338"/>
      <c r="Z137" s="338"/>
      <c r="AA137" s="338"/>
    </row>
    <row r="138" ht="15.75" customHeight="1">
      <c r="A138" s="338"/>
      <c r="B138" s="338"/>
      <c r="C138" s="338"/>
      <c r="D138" s="338"/>
      <c r="E138" s="338"/>
      <c r="F138" s="338"/>
      <c r="G138" s="338"/>
      <c r="H138" s="338"/>
      <c r="I138" s="338"/>
      <c r="J138" s="338"/>
      <c r="K138" s="338"/>
      <c r="L138" s="338"/>
      <c r="M138" s="338"/>
      <c r="N138" s="338"/>
      <c r="O138" s="338"/>
      <c r="P138" s="338"/>
      <c r="Q138" s="338"/>
      <c r="R138" s="338"/>
      <c r="S138" s="338"/>
      <c r="T138" s="338"/>
      <c r="U138" s="338"/>
      <c r="V138" s="338"/>
      <c r="W138" s="338"/>
      <c r="X138" s="338"/>
      <c r="Y138" s="338"/>
      <c r="Z138" s="338"/>
      <c r="AA138" s="338"/>
    </row>
    <row r="139" ht="15.75" customHeight="1">
      <c r="A139" s="338"/>
      <c r="B139" s="338"/>
      <c r="C139" s="338"/>
      <c r="D139" s="338"/>
      <c r="E139" s="338"/>
      <c r="F139" s="338"/>
      <c r="G139" s="338"/>
      <c r="H139" s="338"/>
      <c r="I139" s="338"/>
      <c r="J139" s="338"/>
      <c r="K139" s="338"/>
      <c r="L139" s="338"/>
      <c r="M139" s="338"/>
      <c r="N139" s="338"/>
      <c r="O139" s="338"/>
      <c r="P139" s="338"/>
      <c r="Q139" s="338"/>
      <c r="R139" s="338"/>
      <c r="S139" s="338"/>
      <c r="T139" s="338"/>
      <c r="U139" s="338"/>
      <c r="V139" s="338"/>
      <c r="W139" s="338"/>
      <c r="X139" s="338"/>
      <c r="Y139" s="338"/>
      <c r="Z139" s="338"/>
      <c r="AA139" s="338"/>
    </row>
    <row r="140" ht="15.75" customHeight="1">
      <c r="A140" s="338"/>
      <c r="B140" s="338"/>
      <c r="C140" s="338"/>
      <c r="D140" s="338"/>
      <c r="E140" s="338"/>
      <c r="F140" s="338"/>
      <c r="G140" s="338"/>
      <c r="H140" s="338"/>
      <c r="I140" s="338"/>
      <c r="J140" s="338"/>
      <c r="K140" s="338"/>
      <c r="L140" s="338"/>
      <c r="M140" s="338"/>
      <c r="N140" s="338"/>
      <c r="O140" s="338"/>
      <c r="P140" s="338"/>
      <c r="Q140" s="338"/>
      <c r="R140" s="338"/>
      <c r="S140" s="338"/>
      <c r="T140" s="338"/>
      <c r="U140" s="338"/>
      <c r="V140" s="338"/>
      <c r="W140" s="338"/>
      <c r="X140" s="338"/>
      <c r="Y140" s="338"/>
      <c r="Z140" s="338"/>
      <c r="AA140" s="338"/>
    </row>
    <row r="141" ht="15.75" customHeight="1">
      <c r="A141" s="338"/>
      <c r="B141" s="338"/>
      <c r="C141" s="338"/>
      <c r="D141" s="338"/>
      <c r="E141" s="338"/>
      <c r="F141" s="338"/>
      <c r="G141" s="338"/>
      <c r="H141" s="338"/>
      <c r="I141" s="338"/>
      <c r="J141" s="338"/>
      <c r="K141" s="338"/>
      <c r="L141" s="338"/>
      <c r="M141" s="338"/>
      <c r="N141" s="338"/>
      <c r="O141" s="338"/>
      <c r="P141" s="338"/>
      <c r="Q141" s="338"/>
      <c r="R141" s="338"/>
      <c r="S141" s="338"/>
      <c r="T141" s="338"/>
      <c r="U141" s="338"/>
      <c r="V141" s="338"/>
      <c r="W141" s="338"/>
      <c r="X141" s="338"/>
      <c r="Y141" s="338"/>
      <c r="Z141" s="338"/>
      <c r="AA141" s="338"/>
    </row>
    <row r="142" ht="15.75" customHeight="1">
      <c r="A142" s="338"/>
      <c r="B142" s="338"/>
      <c r="C142" s="338"/>
      <c r="D142" s="338"/>
      <c r="E142" s="338"/>
      <c r="F142" s="338"/>
      <c r="G142" s="338"/>
      <c r="H142" s="338"/>
      <c r="I142" s="338"/>
      <c r="J142" s="338"/>
      <c r="K142" s="338"/>
      <c r="L142" s="338"/>
      <c r="M142" s="338"/>
      <c r="N142" s="338"/>
      <c r="O142" s="338"/>
      <c r="P142" s="338"/>
      <c r="Q142" s="338"/>
      <c r="R142" s="338"/>
      <c r="S142" s="338"/>
      <c r="T142" s="338"/>
      <c r="U142" s="338"/>
      <c r="V142" s="338"/>
      <c r="W142" s="338"/>
      <c r="X142" s="338"/>
      <c r="Y142" s="338"/>
      <c r="Z142" s="338"/>
      <c r="AA142" s="338"/>
    </row>
    <row r="143" ht="15.75" customHeight="1">
      <c r="A143" s="338"/>
      <c r="B143" s="338"/>
      <c r="C143" s="338"/>
      <c r="D143" s="338"/>
      <c r="E143" s="338"/>
      <c r="F143" s="338"/>
      <c r="G143" s="338"/>
      <c r="H143" s="338"/>
      <c r="I143" s="338"/>
      <c r="J143" s="338"/>
      <c r="K143" s="338"/>
      <c r="L143" s="338"/>
      <c r="M143" s="338"/>
      <c r="N143" s="338"/>
      <c r="O143" s="338"/>
      <c r="P143" s="338"/>
      <c r="Q143" s="338"/>
      <c r="R143" s="338"/>
      <c r="S143" s="338"/>
      <c r="T143" s="338"/>
      <c r="U143" s="338"/>
      <c r="V143" s="338"/>
      <c r="W143" s="338"/>
      <c r="X143" s="338"/>
      <c r="Y143" s="338"/>
      <c r="Z143" s="338"/>
      <c r="AA143" s="338"/>
    </row>
    <row r="144" ht="15.75" customHeight="1">
      <c r="A144" s="338"/>
      <c r="B144" s="338"/>
      <c r="C144" s="338"/>
      <c r="D144" s="338"/>
      <c r="E144" s="338"/>
      <c r="F144" s="338"/>
      <c r="G144" s="338"/>
      <c r="H144" s="338"/>
      <c r="I144" s="338"/>
      <c r="J144" s="338"/>
      <c r="K144" s="338"/>
      <c r="L144" s="338"/>
      <c r="M144" s="338"/>
      <c r="N144" s="338"/>
      <c r="O144" s="338"/>
      <c r="P144" s="338"/>
      <c r="Q144" s="338"/>
      <c r="R144" s="338"/>
      <c r="S144" s="338"/>
      <c r="T144" s="338"/>
      <c r="U144" s="338"/>
      <c r="V144" s="338"/>
      <c r="W144" s="338"/>
      <c r="X144" s="338"/>
      <c r="Y144" s="338"/>
      <c r="Z144" s="338"/>
      <c r="AA144" s="338"/>
    </row>
    <row r="145" ht="15.75" customHeight="1">
      <c r="A145" s="338"/>
      <c r="B145" s="338"/>
      <c r="C145" s="338"/>
      <c r="D145" s="338"/>
      <c r="E145" s="338"/>
      <c r="F145" s="338"/>
      <c r="G145" s="338"/>
      <c r="H145" s="338"/>
      <c r="I145" s="338"/>
      <c r="J145" s="338"/>
      <c r="K145" s="338"/>
      <c r="L145" s="338"/>
      <c r="M145" s="338"/>
      <c r="N145" s="338"/>
      <c r="O145" s="338"/>
      <c r="P145" s="338"/>
      <c r="Q145" s="338"/>
      <c r="R145" s="338"/>
      <c r="S145" s="338"/>
      <c r="T145" s="338"/>
      <c r="U145" s="338"/>
      <c r="V145" s="338"/>
      <c r="W145" s="338"/>
      <c r="X145" s="338"/>
      <c r="Y145" s="338"/>
      <c r="Z145" s="338"/>
      <c r="AA145" s="338"/>
    </row>
    <row r="146" ht="15.75" customHeight="1">
      <c r="A146" s="338"/>
      <c r="B146" s="338"/>
      <c r="C146" s="338"/>
      <c r="D146" s="338"/>
      <c r="E146" s="338"/>
      <c r="F146" s="338"/>
      <c r="G146" s="338"/>
      <c r="H146" s="338"/>
      <c r="I146" s="338"/>
      <c r="J146" s="338"/>
      <c r="K146" s="338"/>
      <c r="L146" s="338"/>
      <c r="M146" s="338"/>
      <c r="N146" s="338"/>
      <c r="O146" s="338"/>
      <c r="P146" s="338"/>
      <c r="Q146" s="338"/>
      <c r="R146" s="338"/>
      <c r="S146" s="338"/>
      <c r="T146" s="338"/>
      <c r="U146" s="338"/>
      <c r="V146" s="338"/>
      <c r="W146" s="338"/>
      <c r="X146" s="338"/>
      <c r="Y146" s="338"/>
      <c r="Z146" s="338"/>
      <c r="AA146" s="338"/>
    </row>
    <row r="147" ht="15.75" customHeight="1">
      <c r="A147" s="338"/>
      <c r="B147" s="338"/>
      <c r="C147" s="338"/>
      <c r="D147" s="338"/>
      <c r="E147" s="338"/>
      <c r="F147" s="338"/>
      <c r="G147" s="338"/>
      <c r="H147" s="338"/>
      <c r="I147" s="338"/>
      <c r="J147" s="338"/>
      <c r="K147" s="338"/>
      <c r="L147" s="338"/>
      <c r="M147" s="338"/>
      <c r="N147" s="338"/>
      <c r="O147" s="338"/>
      <c r="P147" s="338"/>
      <c r="Q147" s="338"/>
      <c r="R147" s="338"/>
      <c r="S147" s="338"/>
      <c r="T147" s="338"/>
      <c r="U147" s="338"/>
      <c r="V147" s="338"/>
      <c r="W147" s="338"/>
      <c r="X147" s="338"/>
      <c r="Y147" s="338"/>
      <c r="Z147" s="338"/>
      <c r="AA147" s="338"/>
    </row>
    <row r="148" ht="15.75" customHeight="1">
      <c r="A148" s="338"/>
      <c r="B148" s="338"/>
      <c r="C148" s="338"/>
      <c r="D148" s="338"/>
      <c r="E148" s="338"/>
      <c r="F148" s="338"/>
      <c r="G148" s="338"/>
      <c r="H148" s="338"/>
      <c r="I148" s="338"/>
      <c r="J148" s="338"/>
      <c r="K148" s="338"/>
      <c r="L148" s="338"/>
      <c r="M148" s="338"/>
      <c r="N148" s="338"/>
      <c r="O148" s="338"/>
      <c r="P148" s="338"/>
      <c r="Q148" s="338"/>
      <c r="R148" s="338"/>
      <c r="S148" s="338"/>
      <c r="T148" s="338"/>
      <c r="U148" s="338"/>
      <c r="V148" s="338"/>
      <c r="W148" s="338"/>
      <c r="X148" s="338"/>
      <c r="Y148" s="338"/>
      <c r="Z148" s="338"/>
      <c r="AA148" s="338"/>
    </row>
    <row r="149" ht="15.75" customHeight="1">
      <c r="A149" s="338"/>
      <c r="B149" s="338"/>
      <c r="C149" s="338"/>
      <c r="D149" s="338"/>
      <c r="E149" s="338"/>
      <c r="F149" s="338"/>
      <c r="G149" s="338"/>
      <c r="H149" s="338"/>
      <c r="I149" s="338"/>
      <c r="J149" s="338"/>
      <c r="K149" s="338"/>
      <c r="L149" s="338"/>
      <c r="M149" s="338"/>
      <c r="N149" s="338"/>
      <c r="O149" s="338"/>
      <c r="P149" s="338"/>
      <c r="Q149" s="338"/>
      <c r="R149" s="338"/>
      <c r="S149" s="338"/>
      <c r="T149" s="338"/>
      <c r="U149" s="338"/>
      <c r="V149" s="338"/>
      <c r="W149" s="338"/>
      <c r="X149" s="338"/>
      <c r="Y149" s="338"/>
      <c r="Z149" s="338"/>
      <c r="AA149" s="338"/>
    </row>
    <row r="150" ht="15.75" customHeight="1">
      <c r="A150" s="338"/>
      <c r="B150" s="338"/>
      <c r="C150" s="338"/>
      <c r="D150" s="338"/>
      <c r="E150" s="338"/>
      <c r="F150" s="338"/>
      <c r="G150" s="338"/>
      <c r="H150" s="338"/>
      <c r="I150" s="338"/>
      <c r="J150" s="338"/>
      <c r="K150" s="338"/>
      <c r="L150" s="338"/>
      <c r="M150" s="338"/>
      <c r="N150" s="338"/>
      <c r="O150" s="338"/>
      <c r="P150" s="338"/>
      <c r="Q150" s="338"/>
      <c r="R150" s="338"/>
      <c r="S150" s="338"/>
      <c r="T150" s="338"/>
      <c r="U150" s="338"/>
      <c r="V150" s="338"/>
      <c r="W150" s="338"/>
      <c r="X150" s="338"/>
      <c r="Y150" s="338"/>
      <c r="Z150" s="338"/>
      <c r="AA150" s="338"/>
    </row>
    <row r="151" ht="15.75" customHeight="1">
      <c r="A151" s="338"/>
      <c r="B151" s="338"/>
      <c r="C151" s="338"/>
      <c r="D151" s="338"/>
      <c r="E151" s="338"/>
      <c r="F151" s="338"/>
      <c r="G151" s="338"/>
      <c r="H151" s="338"/>
      <c r="I151" s="338"/>
      <c r="J151" s="338"/>
      <c r="K151" s="338"/>
      <c r="L151" s="338"/>
      <c r="M151" s="338"/>
      <c r="N151" s="338"/>
      <c r="O151" s="338"/>
      <c r="P151" s="338"/>
      <c r="Q151" s="338"/>
      <c r="R151" s="338"/>
      <c r="S151" s="338"/>
      <c r="T151" s="338"/>
      <c r="U151" s="338"/>
      <c r="V151" s="338"/>
      <c r="W151" s="338"/>
      <c r="X151" s="338"/>
      <c r="Y151" s="338"/>
      <c r="Z151" s="338"/>
      <c r="AA151" s="338"/>
    </row>
    <row r="152" ht="15.75" customHeight="1">
      <c r="A152" s="338"/>
      <c r="B152" s="338"/>
      <c r="C152" s="338"/>
      <c r="D152" s="338"/>
      <c r="E152" s="338"/>
      <c r="F152" s="338"/>
      <c r="G152" s="338"/>
      <c r="H152" s="338"/>
      <c r="I152" s="338"/>
      <c r="J152" s="338"/>
      <c r="K152" s="338"/>
      <c r="L152" s="338"/>
      <c r="M152" s="338"/>
      <c r="N152" s="338"/>
      <c r="O152" s="338"/>
      <c r="P152" s="338"/>
      <c r="Q152" s="338"/>
      <c r="R152" s="338"/>
      <c r="S152" s="338"/>
      <c r="T152" s="338"/>
      <c r="U152" s="338"/>
      <c r="V152" s="338"/>
      <c r="W152" s="338"/>
      <c r="X152" s="338"/>
      <c r="Y152" s="338"/>
      <c r="Z152" s="338"/>
      <c r="AA152" s="338"/>
    </row>
    <row r="153" ht="15.75" customHeight="1">
      <c r="A153" s="338"/>
      <c r="B153" s="338"/>
      <c r="C153" s="338"/>
      <c r="D153" s="338"/>
      <c r="E153" s="338"/>
      <c r="F153" s="338"/>
      <c r="G153" s="338"/>
      <c r="H153" s="338"/>
      <c r="I153" s="338"/>
      <c r="J153" s="338"/>
      <c r="K153" s="338"/>
      <c r="L153" s="338"/>
      <c r="M153" s="338"/>
      <c r="N153" s="338"/>
      <c r="O153" s="338"/>
      <c r="P153" s="338"/>
      <c r="Q153" s="338"/>
      <c r="R153" s="338"/>
      <c r="S153" s="338"/>
      <c r="T153" s="338"/>
      <c r="U153" s="338"/>
      <c r="V153" s="338"/>
      <c r="W153" s="338"/>
      <c r="X153" s="338"/>
      <c r="Y153" s="338"/>
      <c r="Z153" s="338"/>
      <c r="AA153" s="338"/>
    </row>
    <row r="154" ht="15.75" customHeight="1">
      <c r="A154" s="338"/>
      <c r="B154" s="338"/>
      <c r="C154" s="338"/>
      <c r="D154" s="338"/>
      <c r="E154" s="338"/>
      <c r="F154" s="338"/>
      <c r="G154" s="338"/>
      <c r="H154" s="338"/>
      <c r="I154" s="338"/>
      <c r="J154" s="338"/>
      <c r="K154" s="338"/>
      <c r="L154" s="338"/>
      <c r="M154" s="338"/>
      <c r="N154" s="338"/>
      <c r="O154" s="338"/>
      <c r="P154" s="338"/>
      <c r="Q154" s="338"/>
      <c r="R154" s="338"/>
      <c r="S154" s="338"/>
      <c r="T154" s="338"/>
      <c r="U154" s="338"/>
      <c r="V154" s="338"/>
      <c r="W154" s="338"/>
      <c r="X154" s="338"/>
      <c r="Y154" s="338"/>
      <c r="Z154" s="338"/>
      <c r="AA154" s="338"/>
    </row>
    <row r="155" ht="15.75" customHeight="1">
      <c r="A155" s="338"/>
      <c r="B155" s="338"/>
      <c r="C155" s="338"/>
      <c r="D155" s="338"/>
      <c r="E155" s="338"/>
      <c r="F155" s="338"/>
      <c r="G155" s="338"/>
      <c r="H155" s="338"/>
      <c r="I155" s="338"/>
      <c r="J155" s="338"/>
      <c r="K155" s="338"/>
      <c r="L155" s="338"/>
      <c r="M155" s="338"/>
      <c r="N155" s="338"/>
      <c r="O155" s="338"/>
      <c r="P155" s="338"/>
      <c r="Q155" s="338"/>
      <c r="R155" s="338"/>
      <c r="S155" s="338"/>
      <c r="T155" s="338"/>
      <c r="U155" s="338"/>
      <c r="V155" s="338"/>
      <c r="W155" s="338"/>
      <c r="X155" s="338"/>
      <c r="Y155" s="338"/>
      <c r="Z155" s="338"/>
      <c r="AA155" s="338"/>
    </row>
    <row r="156" ht="15.75" customHeight="1">
      <c r="A156" s="338"/>
      <c r="B156" s="338"/>
      <c r="C156" s="338"/>
      <c r="D156" s="338"/>
      <c r="E156" s="338"/>
      <c r="F156" s="338"/>
      <c r="G156" s="338"/>
      <c r="H156" s="338"/>
      <c r="I156" s="338"/>
      <c r="J156" s="338"/>
      <c r="K156" s="338"/>
      <c r="L156" s="338"/>
      <c r="M156" s="338"/>
      <c r="N156" s="338"/>
      <c r="O156" s="338"/>
      <c r="P156" s="338"/>
      <c r="Q156" s="338"/>
      <c r="R156" s="338"/>
      <c r="S156" s="338"/>
      <c r="T156" s="338"/>
      <c r="U156" s="338"/>
      <c r="V156" s="338"/>
      <c r="W156" s="338"/>
      <c r="X156" s="338"/>
      <c r="Y156" s="338"/>
      <c r="Z156" s="338"/>
      <c r="AA156" s="338"/>
    </row>
    <row r="157" ht="15.75" customHeight="1">
      <c r="A157" s="338"/>
      <c r="B157" s="338"/>
      <c r="C157" s="338"/>
      <c r="D157" s="338"/>
      <c r="E157" s="338"/>
      <c r="F157" s="338"/>
      <c r="G157" s="338"/>
      <c r="H157" s="338"/>
      <c r="I157" s="338"/>
      <c r="J157" s="338"/>
      <c r="K157" s="338"/>
      <c r="L157" s="338"/>
      <c r="M157" s="338"/>
      <c r="N157" s="338"/>
      <c r="O157" s="338"/>
      <c r="P157" s="338"/>
      <c r="Q157" s="338"/>
      <c r="R157" s="338"/>
      <c r="S157" s="338"/>
      <c r="T157" s="338"/>
      <c r="U157" s="338"/>
      <c r="V157" s="338"/>
      <c r="W157" s="338"/>
      <c r="X157" s="338"/>
      <c r="Y157" s="338"/>
      <c r="Z157" s="338"/>
      <c r="AA157" s="338"/>
    </row>
    <row r="158" ht="15.75" customHeight="1">
      <c r="A158" s="338"/>
      <c r="B158" s="338"/>
      <c r="C158" s="338"/>
      <c r="D158" s="338"/>
      <c r="E158" s="338"/>
      <c r="F158" s="338"/>
      <c r="G158" s="338"/>
      <c r="H158" s="338"/>
      <c r="I158" s="338"/>
      <c r="J158" s="338"/>
      <c r="K158" s="338"/>
      <c r="L158" s="338"/>
      <c r="M158" s="338"/>
      <c r="N158" s="338"/>
      <c r="O158" s="338"/>
      <c r="P158" s="338"/>
      <c r="Q158" s="338"/>
      <c r="R158" s="338"/>
      <c r="S158" s="338"/>
      <c r="T158" s="338"/>
      <c r="U158" s="338"/>
      <c r="V158" s="338"/>
      <c r="W158" s="338"/>
      <c r="X158" s="338"/>
      <c r="Y158" s="338"/>
      <c r="Z158" s="338"/>
      <c r="AA158" s="338"/>
    </row>
    <row r="159" ht="15.75" customHeight="1">
      <c r="A159" s="338"/>
      <c r="B159" s="338"/>
      <c r="C159" s="338"/>
      <c r="D159" s="338"/>
      <c r="E159" s="338"/>
      <c r="F159" s="338"/>
      <c r="G159" s="338"/>
      <c r="H159" s="338"/>
      <c r="I159" s="338"/>
      <c r="J159" s="338"/>
      <c r="K159" s="338"/>
      <c r="L159" s="338"/>
      <c r="M159" s="338"/>
      <c r="N159" s="338"/>
      <c r="O159" s="338"/>
      <c r="P159" s="338"/>
      <c r="Q159" s="338"/>
      <c r="R159" s="338"/>
      <c r="S159" s="338"/>
      <c r="T159" s="338"/>
      <c r="U159" s="338"/>
      <c r="V159" s="338"/>
      <c r="W159" s="338"/>
      <c r="X159" s="338"/>
      <c r="Y159" s="338"/>
      <c r="Z159" s="338"/>
      <c r="AA159" s="338"/>
    </row>
    <row r="160" ht="15.75" customHeight="1">
      <c r="A160" s="338"/>
      <c r="B160" s="338"/>
      <c r="C160" s="338"/>
      <c r="D160" s="338"/>
      <c r="E160" s="338"/>
      <c r="F160" s="338"/>
      <c r="G160" s="338"/>
      <c r="H160" s="338"/>
      <c r="I160" s="338"/>
      <c r="J160" s="338"/>
      <c r="K160" s="338"/>
      <c r="L160" s="338"/>
      <c r="M160" s="338"/>
      <c r="N160" s="338"/>
      <c r="O160" s="338"/>
      <c r="P160" s="338"/>
      <c r="Q160" s="338"/>
      <c r="R160" s="338"/>
      <c r="S160" s="338"/>
      <c r="T160" s="338"/>
      <c r="U160" s="338"/>
      <c r="V160" s="338"/>
      <c r="W160" s="338"/>
      <c r="X160" s="338"/>
      <c r="Y160" s="338"/>
      <c r="Z160" s="338"/>
      <c r="AA160" s="338"/>
    </row>
    <row r="161" ht="15.75" customHeight="1">
      <c r="A161" s="338"/>
      <c r="B161" s="338"/>
      <c r="C161" s="338"/>
      <c r="D161" s="338"/>
      <c r="E161" s="338"/>
      <c r="F161" s="338"/>
      <c r="G161" s="338"/>
      <c r="H161" s="338"/>
      <c r="I161" s="338"/>
      <c r="J161" s="338"/>
      <c r="K161" s="338"/>
      <c r="L161" s="338"/>
      <c r="M161" s="338"/>
      <c r="N161" s="338"/>
      <c r="O161" s="338"/>
      <c r="P161" s="338"/>
      <c r="Q161" s="338"/>
      <c r="R161" s="338"/>
      <c r="S161" s="338"/>
      <c r="T161" s="338"/>
      <c r="U161" s="338"/>
      <c r="V161" s="338"/>
      <c r="W161" s="338"/>
      <c r="X161" s="338"/>
      <c r="Y161" s="338"/>
      <c r="Z161" s="338"/>
      <c r="AA161" s="338"/>
    </row>
    <row r="162" ht="15.75" customHeight="1">
      <c r="A162" s="338"/>
      <c r="B162" s="338"/>
      <c r="C162" s="338"/>
      <c r="D162" s="338"/>
      <c r="E162" s="338"/>
      <c r="F162" s="338"/>
      <c r="G162" s="338"/>
      <c r="H162" s="338"/>
      <c r="I162" s="338"/>
      <c r="J162" s="338"/>
      <c r="K162" s="338"/>
      <c r="L162" s="338"/>
      <c r="M162" s="338"/>
      <c r="N162" s="338"/>
      <c r="O162" s="338"/>
      <c r="P162" s="338"/>
      <c r="Q162" s="338"/>
      <c r="R162" s="338"/>
      <c r="S162" s="338"/>
      <c r="T162" s="338"/>
      <c r="U162" s="338"/>
      <c r="V162" s="338"/>
      <c r="W162" s="338"/>
      <c r="X162" s="338"/>
      <c r="Y162" s="338"/>
      <c r="Z162" s="338"/>
      <c r="AA162" s="338"/>
    </row>
    <row r="163" ht="15.75" customHeight="1">
      <c r="A163" s="338"/>
      <c r="B163" s="338"/>
      <c r="C163" s="338"/>
      <c r="D163" s="338"/>
      <c r="E163" s="338"/>
      <c r="F163" s="338"/>
      <c r="G163" s="338"/>
      <c r="H163" s="338"/>
      <c r="I163" s="338"/>
      <c r="J163" s="338"/>
      <c r="K163" s="338"/>
      <c r="L163" s="338"/>
      <c r="M163" s="338"/>
      <c r="N163" s="338"/>
      <c r="O163" s="338"/>
      <c r="P163" s="338"/>
      <c r="Q163" s="338"/>
      <c r="R163" s="338"/>
      <c r="S163" s="338"/>
      <c r="T163" s="338"/>
      <c r="U163" s="338"/>
      <c r="V163" s="338"/>
      <c r="W163" s="338"/>
      <c r="X163" s="338"/>
      <c r="Y163" s="338"/>
      <c r="Z163" s="338"/>
      <c r="AA163" s="338"/>
    </row>
    <row r="164" ht="15.75" customHeight="1">
      <c r="A164" s="338"/>
      <c r="B164" s="338"/>
      <c r="C164" s="338"/>
      <c r="D164" s="338"/>
      <c r="E164" s="338"/>
      <c r="F164" s="338"/>
      <c r="G164" s="338"/>
      <c r="H164" s="338"/>
      <c r="I164" s="338"/>
      <c r="J164" s="338"/>
      <c r="K164" s="338"/>
      <c r="L164" s="338"/>
      <c r="M164" s="338"/>
      <c r="N164" s="338"/>
      <c r="O164" s="338"/>
      <c r="P164" s="338"/>
      <c r="Q164" s="338"/>
      <c r="R164" s="338"/>
      <c r="S164" s="338"/>
      <c r="T164" s="338"/>
      <c r="U164" s="338"/>
      <c r="V164" s="338"/>
      <c r="W164" s="338"/>
      <c r="X164" s="338"/>
      <c r="Y164" s="338"/>
      <c r="Z164" s="338"/>
      <c r="AA164" s="338"/>
    </row>
    <row r="165" ht="15.75" customHeight="1">
      <c r="A165" s="338"/>
      <c r="B165" s="338"/>
      <c r="C165" s="338"/>
      <c r="D165" s="338"/>
      <c r="E165" s="338"/>
      <c r="F165" s="338"/>
      <c r="G165" s="338"/>
      <c r="H165" s="338"/>
      <c r="I165" s="338"/>
      <c r="J165" s="338"/>
      <c r="K165" s="338"/>
      <c r="L165" s="338"/>
      <c r="M165" s="338"/>
      <c r="N165" s="338"/>
      <c r="O165" s="338"/>
      <c r="P165" s="338"/>
      <c r="Q165" s="338"/>
      <c r="R165" s="338"/>
      <c r="S165" s="338"/>
      <c r="T165" s="338"/>
      <c r="U165" s="338"/>
      <c r="V165" s="338"/>
      <c r="W165" s="338"/>
      <c r="X165" s="338"/>
      <c r="Y165" s="338"/>
      <c r="Z165" s="338"/>
      <c r="AA165" s="338"/>
    </row>
    <row r="166" ht="15.75" customHeight="1">
      <c r="A166" s="338"/>
      <c r="B166" s="338"/>
      <c r="C166" s="338"/>
      <c r="D166" s="338"/>
      <c r="E166" s="338"/>
      <c r="F166" s="338"/>
      <c r="G166" s="338"/>
      <c r="H166" s="338"/>
      <c r="I166" s="338"/>
      <c r="J166" s="338"/>
      <c r="K166" s="338"/>
      <c r="L166" s="338"/>
      <c r="M166" s="338"/>
      <c r="N166" s="338"/>
      <c r="O166" s="338"/>
      <c r="P166" s="338"/>
      <c r="Q166" s="338"/>
      <c r="R166" s="338"/>
      <c r="S166" s="338"/>
      <c r="T166" s="338"/>
      <c r="U166" s="338"/>
      <c r="V166" s="338"/>
      <c r="W166" s="338"/>
      <c r="X166" s="338"/>
      <c r="Y166" s="338"/>
      <c r="Z166" s="338"/>
      <c r="AA166" s="338"/>
    </row>
    <row r="167" ht="15.75" customHeight="1">
      <c r="A167" s="338"/>
      <c r="B167" s="338"/>
      <c r="C167" s="338"/>
      <c r="D167" s="338"/>
      <c r="E167" s="338"/>
      <c r="F167" s="338"/>
      <c r="G167" s="338"/>
      <c r="H167" s="338"/>
      <c r="I167" s="338"/>
      <c r="J167" s="338"/>
      <c r="K167" s="338"/>
      <c r="L167" s="338"/>
      <c r="M167" s="338"/>
      <c r="N167" s="338"/>
      <c r="O167" s="338"/>
      <c r="P167" s="338"/>
      <c r="Q167" s="338"/>
      <c r="R167" s="338"/>
      <c r="S167" s="338"/>
      <c r="T167" s="338"/>
      <c r="U167" s="338"/>
      <c r="V167" s="338"/>
      <c r="W167" s="338"/>
      <c r="X167" s="338"/>
      <c r="Y167" s="338"/>
      <c r="Z167" s="338"/>
      <c r="AA167" s="338"/>
    </row>
    <row r="168" ht="15.75" customHeight="1">
      <c r="A168" s="338"/>
      <c r="B168" s="338"/>
      <c r="C168" s="338"/>
      <c r="D168" s="338"/>
      <c r="E168" s="338"/>
      <c r="F168" s="338"/>
      <c r="G168" s="338"/>
      <c r="H168" s="338"/>
      <c r="I168" s="338"/>
      <c r="J168" s="338"/>
      <c r="K168" s="338"/>
      <c r="L168" s="338"/>
      <c r="M168" s="338"/>
      <c r="N168" s="338"/>
      <c r="O168" s="338"/>
      <c r="P168" s="338"/>
      <c r="Q168" s="338"/>
      <c r="R168" s="338"/>
      <c r="S168" s="338"/>
      <c r="T168" s="338"/>
      <c r="U168" s="338"/>
      <c r="V168" s="338"/>
      <c r="W168" s="338"/>
      <c r="X168" s="338"/>
      <c r="Y168" s="338"/>
      <c r="Z168" s="338"/>
      <c r="AA168" s="338"/>
    </row>
    <row r="169" ht="15.75" customHeight="1">
      <c r="A169" s="338"/>
      <c r="B169" s="338"/>
      <c r="C169" s="338"/>
      <c r="D169" s="338"/>
      <c r="E169" s="338"/>
      <c r="F169" s="338"/>
      <c r="G169" s="338"/>
      <c r="H169" s="338"/>
      <c r="I169" s="338"/>
      <c r="J169" s="338"/>
      <c r="K169" s="338"/>
      <c r="L169" s="338"/>
      <c r="M169" s="338"/>
      <c r="N169" s="338"/>
      <c r="O169" s="338"/>
      <c r="P169" s="338"/>
      <c r="Q169" s="338"/>
      <c r="R169" s="338"/>
      <c r="S169" s="338"/>
      <c r="T169" s="338"/>
      <c r="U169" s="338"/>
      <c r="V169" s="338"/>
      <c r="W169" s="338"/>
      <c r="X169" s="338"/>
      <c r="Y169" s="338"/>
      <c r="Z169" s="338"/>
      <c r="AA169" s="338"/>
    </row>
    <row r="170" ht="15.75" customHeight="1">
      <c r="A170" s="338"/>
      <c r="B170" s="338"/>
      <c r="C170" s="338"/>
      <c r="D170" s="338"/>
      <c r="E170" s="338"/>
      <c r="F170" s="338"/>
      <c r="G170" s="338"/>
      <c r="H170" s="338"/>
      <c r="I170" s="338"/>
      <c r="J170" s="338"/>
      <c r="K170" s="338"/>
      <c r="L170" s="338"/>
      <c r="M170" s="338"/>
      <c r="N170" s="338"/>
      <c r="O170" s="338"/>
      <c r="P170" s="338"/>
      <c r="Q170" s="338"/>
      <c r="R170" s="338"/>
      <c r="S170" s="338"/>
      <c r="T170" s="338"/>
      <c r="U170" s="338"/>
      <c r="V170" s="338"/>
      <c r="W170" s="338"/>
      <c r="X170" s="338"/>
      <c r="Y170" s="338"/>
      <c r="Z170" s="338"/>
      <c r="AA170" s="338"/>
    </row>
    <row r="171" ht="15.75" customHeight="1">
      <c r="A171" s="338"/>
      <c r="B171" s="338"/>
      <c r="C171" s="338"/>
      <c r="D171" s="338"/>
      <c r="E171" s="338"/>
      <c r="F171" s="338"/>
      <c r="G171" s="338"/>
      <c r="H171" s="338"/>
      <c r="I171" s="338"/>
      <c r="J171" s="338"/>
      <c r="K171" s="338"/>
      <c r="L171" s="338"/>
      <c r="M171" s="338"/>
      <c r="N171" s="338"/>
      <c r="O171" s="338"/>
      <c r="P171" s="338"/>
      <c r="Q171" s="338"/>
      <c r="R171" s="338"/>
      <c r="S171" s="338"/>
      <c r="T171" s="338"/>
      <c r="U171" s="338"/>
      <c r="V171" s="338"/>
      <c r="W171" s="338"/>
      <c r="X171" s="338"/>
      <c r="Y171" s="338"/>
      <c r="Z171" s="338"/>
      <c r="AA171" s="338"/>
    </row>
    <row r="172" ht="15.75" customHeight="1">
      <c r="A172" s="338"/>
      <c r="B172" s="338"/>
      <c r="C172" s="338"/>
      <c r="D172" s="338"/>
      <c r="E172" s="338"/>
      <c r="F172" s="338"/>
      <c r="G172" s="338"/>
      <c r="H172" s="338"/>
      <c r="I172" s="338"/>
      <c r="J172" s="338"/>
      <c r="K172" s="338"/>
      <c r="L172" s="338"/>
      <c r="M172" s="338"/>
      <c r="N172" s="338"/>
      <c r="O172" s="338"/>
      <c r="P172" s="338"/>
      <c r="Q172" s="338"/>
      <c r="R172" s="338"/>
      <c r="S172" s="338"/>
      <c r="T172" s="338"/>
      <c r="U172" s="338"/>
      <c r="V172" s="338"/>
      <c r="W172" s="338"/>
      <c r="X172" s="338"/>
      <c r="Y172" s="338"/>
      <c r="Z172" s="338"/>
      <c r="AA172" s="338"/>
    </row>
    <row r="173" ht="15.75" customHeight="1">
      <c r="A173" s="338"/>
      <c r="B173" s="338"/>
      <c r="C173" s="338"/>
      <c r="D173" s="338"/>
      <c r="E173" s="338"/>
      <c r="F173" s="338"/>
      <c r="G173" s="338"/>
      <c r="H173" s="338"/>
      <c r="I173" s="338"/>
      <c r="J173" s="338"/>
      <c r="K173" s="338"/>
      <c r="L173" s="338"/>
      <c r="M173" s="338"/>
      <c r="N173" s="338"/>
      <c r="O173" s="338"/>
      <c r="P173" s="338"/>
      <c r="Q173" s="338"/>
      <c r="R173" s="338"/>
      <c r="S173" s="338"/>
      <c r="T173" s="338"/>
      <c r="U173" s="338"/>
      <c r="V173" s="338"/>
      <c r="W173" s="338"/>
      <c r="X173" s="338"/>
      <c r="Y173" s="338"/>
      <c r="Z173" s="338"/>
      <c r="AA173" s="338"/>
    </row>
    <row r="174" ht="15.75" customHeight="1">
      <c r="A174" s="338"/>
      <c r="B174" s="338"/>
      <c r="C174" s="338"/>
      <c r="D174" s="338"/>
      <c r="E174" s="338"/>
      <c r="F174" s="338"/>
      <c r="G174" s="338"/>
      <c r="H174" s="338"/>
      <c r="I174" s="338"/>
      <c r="J174" s="338"/>
      <c r="K174" s="338"/>
      <c r="L174" s="338"/>
      <c r="M174" s="338"/>
      <c r="N174" s="338"/>
      <c r="O174" s="338"/>
      <c r="P174" s="338"/>
      <c r="Q174" s="338"/>
      <c r="R174" s="338"/>
      <c r="S174" s="338"/>
      <c r="T174" s="338"/>
      <c r="U174" s="338"/>
      <c r="V174" s="338"/>
      <c r="W174" s="338"/>
      <c r="X174" s="338"/>
      <c r="Y174" s="338"/>
      <c r="Z174" s="338"/>
      <c r="AA174" s="338"/>
    </row>
    <row r="175" ht="15.75" customHeight="1">
      <c r="A175" s="338"/>
      <c r="B175" s="338"/>
      <c r="C175" s="338"/>
      <c r="D175" s="338"/>
      <c r="E175" s="338"/>
      <c r="F175" s="338"/>
      <c r="G175" s="338"/>
      <c r="H175" s="338"/>
      <c r="I175" s="338"/>
      <c r="J175" s="338"/>
      <c r="K175" s="338"/>
      <c r="L175" s="338"/>
      <c r="M175" s="338"/>
      <c r="N175" s="338"/>
      <c r="O175" s="338"/>
      <c r="P175" s="338"/>
      <c r="Q175" s="338"/>
      <c r="R175" s="338"/>
      <c r="S175" s="338"/>
      <c r="T175" s="338"/>
      <c r="U175" s="338"/>
      <c r="V175" s="338"/>
      <c r="W175" s="338"/>
      <c r="X175" s="338"/>
      <c r="Y175" s="338"/>
      <c r="Z175" s="338"/>
      <c r="AA175" s="338"/>
    </row>
    <row r="176" ht="15.75" customHeight="1">
      <c r="A176" s="338"/>
      <c r="B176" s="338"/>
      <c r="C176" s="338"/>
      <c r="D176" s="338"/>
      <c r="E176" s="338"/>
      <c r="F176" s="338"/>
      <c r="G176" s="338"/>
      <c r="H176" s="338"/>
      <c r="I176" s="338"/>
      <c r="J176" s="338"/>
      <c r="K176" s="338"/>
      <c r="L176" s="338"/>
      <c r="M176" s="338"/>
      <c r="N176" s="338"/>
      <c r="O176" s="338"/>
      <c r="P176" s="338"/>
      <c r="Q176" s="338"/>
      <c r="R176" s="338"/>
      <c r="S176" s="338"/>
      <c r="T176" s="338"/>
      <c r="U176" s="338"/>
      <c r="V176" s="338"/>
      <c r="W176" s="338"/>
      <c r="X176" s="338"/>
      <c r="Y176" s="338"/>
      <c r="Z176" s="338"/>
      <c r="AA176" s="338"/>
    </row>
    <row r="177" ht="15.75" customHeight="1">
      <c r="A177" s="338"/>
      <c r="B177" s="338"/>
      <c r="C177" s="338"/>
      <c r="D177" s="338"/>
      <c r="E177" s="338"/>
      <c r="F177" s="338"/>
      <c r="G177" s="338"/>
      <c r="H177" s="338"/>
      <c r="I177" s="338"/>
      <c r="J177" s="338"/>
      <c r="K177" s="338"/>
      <c r="L177" s="338"/>
      <c r="M177" s="338"/>
      <c r="N177" s="338"/>
      <c r="O177" s="338"/>
      <c r="P177" s="338"/>
      <c r="Q177" s="338"/>
      <c r="R177" s="338"/>
      <c r="S177" s="338"/>
      <c r="T177" s="338"/>
      <c r="U177" s="338"/>
      <c r="V177" s="338"/>
      <c r="W177" s="338"/>
      <c r="X177" s="338"/>
      <c r="Y177" s="338"/>
      <c r="Z177" s="338"/>
      <c r="AA177" s="338"/>
    </row>
    <row r="178" ht="15.75" customHeight="1">
      <c r="A178" s="338"/>
      <c r="B178" s="338"/>
      <c r="C178" s="338"/>
      <c r="D178" s="338"/>
      <c r="E178" s="338"/>
      <c r="F178" s="338"/>
      <c r="G178" s="338"/>
      <c r="H178" s="338"/>
      <c r="I178" s="338"/>
      <c r="J178" s="338"/>
      <c r="K178" s="338"/>
      <c r="L178" s="338"/>
      <c r="M178" s="338"/>
      <c r="N178" s="338"/>
      <c r="O178" s="338"/>
      <c r="P178" s="338"/>
      <c r="Q178" s="338"/>
      <c r="R178" s="338"/>
      <c r="S178" s="338"/>
      <c r="T178" s="338"/>
      <c r="U178" s="338"/>
      <c r="V178" s="338"/>
      <c r="W178" s="338"/>
      <c r="X178" s="338"/>
      <c r="Y178" s="338"/>
      <c r="Z178" s="338"/>
      <c r="AA178" s="338"/>
    </row>
    <row r="179" ht="15.75" customHeight="1">
      <c r="A179" s="338"/>
      <c r="B179" s="338"/>
      <c r="C179" s="338"/>
      <c r="D179" s="338"/>
      <c r="E179" s="338"/>
      <c r="F179" s="338"/>
      <c r="G179" s="338"/>
      <c r="H179" s="338"/>
      <c r="I179" s="338"/>
      <c r="J179" s="338"/>
      <c r="K179" s="338"/>
      <c r="L179" s="338"/>
      <c r="M179" s="338"/>
      <c r="N179" s="338"/>
      <c r="O179" s="338"/>
      <c r="P179" s="338"/>
      <c r="Q179" s="338"/>
      <c r="R179" s="338"/>
      <c r="S179" s="338"/>
      <c r="T179" s="338"/>
      <c r="U179" s="338"/>
      <c r="V179" s="338"/>
      <c r="W179" s="338"/>
      <c r="X179" s="338"/>
      <c r="Y179" s="338"/>
      <c r="Z179" s="338"/>
      <c r="AA179" s="338"/>
    </row>
    <row r="180" ht="15.75" customHeight="1">
      <c r="A180" s="338"/>
      <c r="B180" s="338"/>
      <c r="C180" s="338"/>
      <c r="D180" s="338"/>
      <c r="E180" s="338"/>
      <c r="F180" s="338"/>
      <c r="G180" s="338"/>
      <c r="H180" s="338"/>
      <c r="I180" s="338"/>
      <c r="J180" s="338"/>
      <c r="K180" s="338"/>
      <c r="L180" s="338"/>
      <c r="M180" s="338"/>
      <c r="N180" s="338"/>
      <c r="O180" s="338"/>
      <c r="P180" s="338"/>
      <c r="Q180" s="338"/>
      <c r="R180" s="338"/>
      <c r="S180" s="338"/>
      <c r="T180" s="338"/>
      <c r="U180" s="338"/>
      <c r="V180" s="338"/>
      <c r="W180" s="338"/>
      <c r="X180" s="338"/>
      <c r="Y180" s="338"/>
      <c r="Z180" s="338"/>
      <c r="AA180" s="338"/>
    </row>
    <row r="181" ht="15.75" customHeight="1">
      <c r="A181" s="338"/>
      <c r="B181" s="338"/>
      <c r="C181" s="338"/>
      <c r="D181" s="338"/>
      <c r="E181" s="338"/>
      <c r="F181" s="338"/>
      <c r="G181" s="338"/>
      <c r="H181" s="338"/>
      <c r="I181" s="338"/>
      <c r="J181" s="338"/>
      <c r="K181" s="338"/>
      <c r="L181" s="338"/>
      <c r="M181" s="338"/>
      <c r="N181" s="338"/>
      <c r="O181" s="338"/>
      <c r="P181" s="338"/>
      <c r="Q181" s="338"/>
      <c r="R181" s="338"/>
      <c r="S181" s="338"/>
      <c r="T181" s="338"/>
      <c r="U181" s="338"/>
      <c r="V181" s="338"/>
      <c r="W181" s="338"/>
      <c r="X181" s="338"/>
      <c r="Y181" s="338"/>
      <c r="Z181" s="338"/>
      <c r="AA181" s="338"/>
    </row>
    <row r="182" ht="15.75" customHeight="1">
      <c r="A182" s="338"/>
      <c r="B182" s="338"/>
      <c r="C182" s="338"/>
      <c r="D182" s="338"/>
      <c r="E182" s="338"/>
      <c r="F182" s="338"/>
      <c r="G182" s="338"/>
      <c r="H182" s="338"/>
      <c r="I182" s="338"/>
      <c r="J182" s="338"/>
      <c r="K182" s="338"/>
      <c r="L182" s="338"/>
      <c r="M182" s="338"/>
      <c r="N182" s="338"/>
      <c r="O182" s="338"/>
      <c r="P182" s="338"/>
      <c r="Q182" s="338"/>
      <c r="R182" s="338"/>
      <c r="S182" s="338"/>
      <c r="T182" s="338"/>
      <c r="U182" s="338"/>
      <c r="V182" s="338"/>
      <c r="W182" s="338"/>
      <c r="X182" s="338"/>
      <c r="Y182" s="338"/>
      <c r="Z182" s="338"/>
      <c r="AA182" s="338"/>
    </row>
    <row r="183" ht="15.75" customHeight="1">
      <c r="A183" s="338"/>
      <c r="B183" s="338"/>
      <c r="C183" s="338"/>
      <c r="D183" s="338"/>
      <c r="E183" s="338"/>
      <c r="F183" s="338"/>
      <c r="G183" s="338"/>
      <c r="H183" s="338"/>
      <c r="I183" s="338"/>
      <c r="J183" s="338"/>
      <c r="K183" s="338"/>
      <c r="L183" s="338"/>
      <c r="M183" s="338"/>
      <c r="N183" s="338"/>
      <c r="O183" s="338"/>
      <c r="P183" s="338"/>
      <c r="Q183" s="338"/>
      <c r="R183" s="338"/>
      <c r="S183" s="338"/>
      <c r="T183" s="338"/>
      <c r="U183" s="338"/>
      <c r="V183" s="338"/>
      <c r="W183" s="338"/>
      <c r="X183" s="338"/>
      <c r="Y183" s="338"/>
      <c r="Z183" s="338"/>
      <c r="AA183" s="338"/>
    </row>
    <row r="184" ht="15.75" customHeight="1">
      <c r="A184" s="338"/>
      <c r="B184" s="338"/>
      <c r="C184" s="338"/>
      <c r="D184" s="338"/>
      <c r="E184" s="338"/>
      <c r="F184" s="338"/>
      <c r="G184" s="338"/>
      <c r="H184" s="338"/>
      <c r="I184" s="338"/>
      <c r="J184" s="338"/>
      <c r="K184" s="338"/>
      <c r="L184" s="338"/>
      <c r="M184" s="338"/>
      <c r="N184" s="338"/>
      <c r="O184" s="338"/>
      <c r="P184" s="338"/>
      <c r="Q184" s="338"/>
      <c r="R184" s="338"/>
      <c r="S184" s="338"/>
      <c r="T184" s="338"/>
      <c r="U184" s="338"/>
      <c r="V184" s="338"/>
      <c r="W184" s="338"/>
      <c r="X184" s="338"/>
      <c r="Y184" s="338"/>
      <c r="Z184" s="338"/>
      <c r="AA184" s="338"/>
    </row>
    <row r="185" ht="15.75" customHeight="1">
      <c r="A185" s="338"/>
      <c r="B185" s="338"/>
      <c r="C185" s="338"/>
      <c r="D185" s="338"/>
      <c r="E185" s="338"/>
      <c r="F185" s="338"/>
      <c r="G185" s="338"/>
      <c r="H185" s="338"/>
      <c r="I185" s="338"/>
      <c r="J185" s="338"/>
      <c r="K185" s="338"/>
      <c r="L185" s="338"/>
      <c r="M185" s="338"/>
      <c r="N185" s="338"/>
      <c r="O185" s="338"/>
      <c r="P185" s="338"/>
      <c r="Q185" s="338"/>
      <c r="R185" s="338"/>
      <c r="S185" s="338"/>
      <c r="T185" s="338"/>
      <c r="U185" s="338"/>
      <c r="V185" s="338"/>
      <c r="W185" s="338"/>
      <c r="X185" s="338"/>
      <c r="Y185" s="338"/>
      <c r="Z185" s="338"/>
      <c r="AA185" s="338"/>
    </row>
    <row r="186" ht="15.75" customHeight="1">
      <c r="A186" s="338"/>
      <c r="B186" s="338"/>
      <c r="C186" s="338"/>
      <c r="D186" s="338"/>
      <c r="E186" s="338"/>
      <c r="F186" s="338"/>
      <c r="G186" s="338"/>
      <c r="H186" s="338"/>
      <c r="I186" s="338"/>
      <c r="J186" s="338"/>
      <c r="K186" s="338"/>
      <c r="L186" s="338"/>
      <c r="M186" s="338"/>
      <c r="N186" s="338"/>
      <c r="O186" s="338"/>
      <c r="P186" s="338"/>
      <c r="Q186" s="338"/>
      <c r="R186" s="338"/>
      <c r="S186" s="338"/>
      <c r="T186" s="338"/>
      <c r="U186" s="338"/>
      <c r="V186" s="338"/>
      <c r="W186" s="338"/>
      <c r="X186" s="338"/>
      <c r="Y186" s="338"/>
      <c r="Z186" s="338"/>
      <c r="AA186" s="338"/>
    </row>
    <row r="187" ht="15.75" customHeight="1">
      <c r="A187" s="338"/>
      <c r="B187" s="338"/>
      <c r="C187" s="338"/>
      <c r="D187" s="338"/>
      <c r="E187" s="338"/>
      <c r="F187" s="338"/>
      <c r="G187" s="338"/>
      <c r="H187" s="338"/>
      <c r="I187" s="338"/>
      <c r="J187" s="338"/>
      <c r="K187" s="338"/>
      <c r="L187" s="338"/>
      <c r="M187" s="338"/>
      <c r="N187" s="338"/>
      <c r="O187" s="338"/>
      <c r="P187" s="338"/>
      <c r="Q187" s="338"/>
      <c r="R187" s="338"/>
      <c r="S187" s="338"/>
      <c r="T187" s="338"/>
      <c r="U187" s="338"/>
      <c r="V187" s="338"/>
      <c r="W187" s="338"/>
      <c r="X187" s="338"/>
      <c r="Y187" s="338"/>
      <c r="Z187" s="338"/>
      <c r="AA187" s="338"/>
    </row>
    <row r="188" ht="15.75" customHeight="1">
      <c r="A188" s="338"/>
      <c r="B188" s="338"/>
      <c r="C188" s="338"/>
      <c r="D188" s="338"/>
      <c r="E188" s="338"/>
      <c r="F188" s="338"/>
      <c r="G188" s="338"/>
      <c r="H188" s="338"/>
      <c r="I188" s="338"/>
      <c r="J188" s="338"/>
      <c r="K188" s="338"/>
      <c r="L188" s="338"/>
      <c r="M188" s="338"/>
      <c r="N188" s="338"/>
      <c r="O188" s="338"/>
      <c r="P188" s="338"/>
      <c r="Q188" s="338"/>
      <c r="R188" s="338"/>
      <c r="S188" s="338"/>
      <c r="T188" s="338"/>
      <c r="U188" s="338"/>
      <c r="V188" s="338"/>
      <c r="W188" s="338"/>
      <c r="X188" s="338"/>
      <c r="Y188" s="338"/>
      <c r="Z188" s="338"/>
      <c r="AA188" s="338"/>
    </row>
    <row r="189" ht="15.75" customHeight="1">
      <c r="A189" s="338"/>
      <c r="B189" s="338"/>
      <c r="C189" s="338"/>
      <c r="D189" s="338"/>
      <c r="E189" s="338"/>
      <c r="F189" s="338"/>
      <c r="G189" s="338"/>
      <c r="H189" s="338"/>
      <c r="I189" s="338"/>
      <c r="J189" s="338"/>
      <c r="K189" s="338"/>
      <c r="L189" s="338"/>
      <c r="M189" s="338"/>
      <c r="N189" s="338"/>
      <c r="O189" s="338"/>
      <c r="P189" s="338"/>
      <c r="Q189" s="338"/>
      <c r="R189" s="338"/>
      <c r="S189" s="338"/>
      <c r="T189" s="338"/>
      <c r="U189" s="338"/>
      <c r="V189" s="338"/>
      <c r="W189" s="338"/>
      <c r="X189" s="338"/>
      <c r="Y189" s="338"/>
      <c r="Z189" s="338"/>
      <c r="AA189" s="338"/>
    </row>
    <row r="190" ht="15.75" customHeight="1">
      <c r="A190" s="338"/>
      <c r="B190" s="338"/>
      <c r="C190" s="338"/>
      <c r="D190" s="338"/>
      <c r="E190" s="338"/>
      <c r="F190" s="338"/>
      <c r="G190" s="338"/>
      <c r="H190" s="338"/>
      <c r="I190" s="338"/>
      <c r="J190" s="338"/>
      <c r="K190" s="338"/>
      <c r="L190" s="338"/>
      <c r="M190" s="338"/>
      <c r="N190" s="338"/>
      <c r="O190" s="338"/>
      <c r="P190" s="338"/>
      <c r="Q190" s="338"/>
      <c r="R190" s="338"/>
      <c r="S190" s="338"/>
      <c r="T190" s="338"/>
      <c r="U190" s="338"/>
      <c r="V190" s="338"/>
      <c r="W190" s="338"/>
      <c r="X190" s="338"/>
      <c r="Y190" s="338"/>
      <c r="Z190" s="338"/>
      <c r="AA190" s="338"/>
    </row>
    <row r="191" ht="15.75" customHeight="1">
      <c r="A191" s="338"/>
      <c r="B191" s="338"/>
      <c r="C191" s="338"/>
      <c r="D191" s="338"/>
      <c r="E191" s="338"/>
      <c r="F191" s="338"/>
      <c r="G191" s="338"/>
      <c r="H191" s="338"/>
      <c r="I191" s="338"/>
      <c r="J191" s="338"/>
      <c r="K191" s="338"/>
      <c r="L191" s="338"/>
      <c r="M191" s="338"/>
      <c r="N191" s="338"/>
      <c r="O191" s="338"/>
      <c r="P191" s="338"/>
      <c r="Q191" s="338"/>
      <c r="R191" s="338"/>
      <c r="S191" s="338"/>
      <c r="T191" s="338"/>
      <c r="U191" s="338"/>
      <c r="V191" s="338"/>
      <c r="W191" s="338"/>
      <c r="X191" s="338"/>
      <c r="Y191" s="338"/>
      <c r="Z191" s="338"/>
      <c r="AA191" s="338"/>
    </row>
    <row r="192" ht="15.75" customHeight="1">
      <c r="A192" s="338"/>
      <c r="B192" s="338"/>
      <c r="C192" s="338"/>
      <c r="D192" s="338"/>
      <c r="E192" s="338"/>
      <c r="F192" s="338"/>
      <c r="G192" s="338"/>
      <c r="H192" s="338"/>
      <c r="I192" s="338"/>
      <c r="J192" s="338"/>
      <c r="K192" s="338"/>
      <c r="L192" s="338"/>
      <c r="M192" s="338"/>
      <c r="N192" s="338"/>
      <c r="O192" s="338"/>
      <c r="P192" s="338"/>
      <c r="Q192" s="338"/>
      <c r="R192" s="338"/>
      <c r="S192" s="338"/>
      <c r="T192" s="338"/>
      <c r="U192" s="338"/>
      <c r="V192" s="338"/>
      <c r="W192" s="338"/>
      <c r="X192" s="338"/>
      <c r="Y192" s="338"/>
      <c r="Z192" s="338"/>
      <c r="AA192" s="338"/>
    </row>
    <row r="193" ht="15.75" customHeight="1">
      <c r="A193" s="338"/>
      <c r="B193" s="338"/>
      <c r="C193" s="338"/>
      <c r="D193" s="338"/>
      <c r="E193" s="338"/>
      <c r="F193" s="338"/>
      <c r="G193" s="338"/>
      <c r="H193" s="338"/>
      <c r="I193" s="338"/>
      <c r="J193" s="338"/>
      <c r="K193" s="338"/>
      <c r="L193" s="338"/>
      <c r="M193" s="338"/>
      <c r="N193" s="338"/>
      <c r="O193" s="338"/>
      <c r="P193" s="338"/>
      <c r="Q193" s="338"/>
      <c r="R193" s="338"/>
      <c r="S193" s="338"/>
      <c r="T193" s="338"/>
      <c r="U193" s="338"/>
      <c r="V193" s="338"/>
      <c r="W193" s="338"/>
      <c r="X193" s="338"/>
      <c r="Y193" s="338"/>
      <c r="Z193" s="338"/>
      <c r="AA193" s="338"/>
    </row>
    <row r="194" ht="15.75" customHeight="1">
      <c r="A194" s="338"/>
      <c r="B194" s="338"/>
      <c r="C194" s="338"/>
      <c r="D194" s="338"/>
      <c r="E194" s="338"/>
      <c r="F194" s="338"/>
      <c r="G194" s="338"/>
      <c r="H194" s="338"/>
      <c r="I194" s="338"/>
      <c r="J194" s="338"/>
      <c r="K194" s="338"/>
      <c r="L194" s="338"/>
      <c r="M194" s="338"/>
      <c r="N194" s="338"/>
      <c r="O194" s="338"/>
      <c r="P194" s="338"/>
      <c r="Q194" s="338"/>
      <c r="R194" s="338"/>
      <c r="S194" s="338"/>
      <c r="T194" s="338"/>
      <c r="U194" s="338"/>
      <c r="V194" s="338"/>
      <c r="W194" s="338"/>
      <c r="X194" s="338"/>
      <c r="Y194" s="338"/>
      <c r="Z194" s="338"/>
      <c r="AA194" s="338"/>
    </row>
    <row r="195" ht="15.75" customHeight="1">
      <c r="A195" s="338"/>
      <c r="B195" s="338"/>
      <c r="C195" s="338"/>
      <c r="D195" s="338"/>
      <c r="E195" s="338"/>
      <c r="F195" s="338"/>
      <c r="G195" s="338"/>
      <c r="H195" s="338"/>
      <c r="I195" s="338"/>
      <c r="J195" s="338"/>
      <c r="K195" s="338"/>
      <c r="L195" s="338"/>
      <c r="M195" s="338"/>
      <c r="N195" s="338"/>
      <c r="O195" s="338"/>
      <c r="P195" s="338"/>
      <c r="Q195" s="338"/>
      <c r="R195" s="338"/>
      <c r="S195" s="338"/>
      <c r="T195" s="338"/>
      <c r="U195" s="338"/>
      <c r="V195" s="338"/>
      <c r="W195" s="338"/>
      <c r="X195" s="338"/>
      <c r="Y195" s="338"/>
      <c r="Z195" s="338"/>
      <c r="AA195" s="338"/>
    </row>
    <row r="196" ht="15.75" customHeight="1">
      <c r="A196" s="338"/>
      <c r="B196" s="338"/>
      <c r="C196" s="338"/>
      <c r="D196" s="338"/>
      <c r="E196" s="338"/>
      <c r="F196" s="338"/>
      <c r="G196" s="338"/>
      <c r="H196" s="338"/>
      <c r="I196" s="338"/>
      <c r="J196" s="338"/>
      <c r="K196" s="338"/>
      <c r="L196" s="338"/>
      <c r="M196" s="338"/>
      <c r="N196" s="338"/>
      <c r="O196" s="338"/>
      <c r="P196" s="338"/>
      <c r="Q196" s="338"/>
      <c r="R196" s="338"/>
      <c r="S196" s="338"/>
      <c r="T196" s="338"/>
      <c r="U196" s="338"/>
      <c r="V196" s="338"/>
      <c r="W196" s="338"/>
      <c r="X196" s="338"/>
      <c r="Y196" s="338"/>
      <c r="Z196" s="338"/>
      <c r="AA196" s="338"/>
    </row>
    <row r="197" ht="15.75" customHeight="1">
      <c r="A197" s="338"/>
      <c r="B197" s="338"/>
      <c r="C197" s="338"/>
      <c r="D197" s="338"/>
      <c r="E197" s="338"/>
      <c r="F197" s="338"/>
      <c r="G197" s="338"/>
      <c r="H197" s="338"/>
      <c r="I197" s="338"/>
      <c r="J197" s="338"/>
      <c r="K197" s="338"/>
      <c r="L197" s="338"/>
      <c r="M197" s="338"/>
      <c r="N197" s="338"/>
      <c r="O197" s="338"/>
      <c r="P197" s="338"/>
      <c r="Q197" s="338"/>
      <c r="R197" s="338"/>
      <c r="S197" s="338"/>
      <c r="T197" s="338"/>
      <c r="U197" s="338"/>
      <c r="V197" s="338"/>
      <c r="W197" s="338"/>
      <c r="X197" s="338"/>
      <c r="Y197" s="338"/>
      <c r="Z197" s="338"/>
      <c r="AA197" s="338"/>
    </row>
    <row r="198" ht="15.75" customHeight="1">
      <c r="A198" s="338"/>
      <c r="B198" s="338"/>
      <c r="C198" s="338"/>
      <c r="D198" s="338"/>
      <c r="E198" s="338"/>
      <c r="F198" s="338"/>
      <c r="G198" s="338"/>
      <c r="H198" s="338"/>
      <c r="I198" s="338"/>
      <c r="J198" s="338"/>
      <c r="K198" s="338"/>
      <c r="L198" s="338"/>
      <c r="M198" s="338"/>
      <c r="N198" s="338"/>
      <c r="O198" s="338"/>
      <c r="P198" s="338"/>
      <c r="Q198" s="338"/>
      <c r="R198" s="338"/>
      <c r="S198" s="338"/>
      <c r="T198" s="338"/>
      <c r="U198" s="338"/>
      <c r="V198" s="338"/>
      <c r="W198" s="338"/>
      <c r="X198" s="338"/>
      <c r="Y198" s="338"/>
      <c r="Z198" s="338"/>
      <c r="AA198" s="338"/>
    </row>
    <row r="199" ht="15.75" customHeight="1">
      <c r="A199" s="338"/>
      <c r="B199" s="338"/>
      <c r="C199" s="338"/>
      <c r="D199" s="338"/>
      <c r="E199" s="338"/>
      <c r="F199" s="338"/>
      <c r="G199" s="338"/>
      <c r="H199" s="338"/>
      <c r="I199" s="338"/>
      <c r="J199" s="338"/>
      <c r="K199" s="338"/>
      <c r="L199" s="338"/>
      <c r="M199" s="338"/>
      <c r="N199" s="338"/>
      <c r="O199" s="338"/>
      <c r="P199" s="338"/>
      <c r="Q199" s="338"/>
      <c r="R199" s="338"/>
      <c r="S199" s="338"/>
      <c r="T199" s="338"/>
      <c r="U199" s="338"/>
      <c r="V199" s="338"/>
      <c r="W199" s="338"/>
      <c r="X199" s="338"/>
      <c r="Y199" s="338"/>
      <c r="Z199" s="338"/>
      <c r="AA199" s="338"/>
    </row>
    <row r="200" ht="15.75" customHeight="1">
      <c r="A200" s="338"/>
      <c r="B200" s="338"/>
      <c r="C200" s="338"/>
      <c r="D200" s="338"/>
      <c r="E200" s="338"/>
      <c r="F200" s="338"/>
      <c r="G200" s="338"/>
      <c r="H200" s="338"/>
      <c r="I200" s="338"/>
      <c r="J200" s="338"/>
      <c r="K200" s="338"/>
      <c r="L200" s="338"/>
      <c r="M200" s="338"/>
      <c r="N200" s="338"/>
      <c r="O200" s="338"/>
      <c r="P200" s="338"/>
      <c r="Q200" s="338"/>
      <c r="R200" s="338"/>
      <c r="S200" s="338"/>
      <c r="T200" s="338"/>
      <c r="U200" s="338"/>
      <c r="V200" s="338"/>
      <c r="W200" s="338"/>
      <c r="X200" s="338"/>
      <c r="Y200" s="338"/>
      <c r="Z200" s="338"/>
      <c r="AA200" s="338"/>
    </row>
    <row r="201" ht="15.75" customHeight="1">
      <c r="A201" s="338"/>
      <c r="B201" s="338"/>
      <c r="C201" s="338"/>
      <c r="D201" s="338"/>
      <c r="E201" s="338"/>
      <c r="F201" s="338"/>
      <c r="G201" s="338"/>
      <c r="H201" s="338"/>
      <c r="I201" s="338"/>
      <c r="J201" s="338"/>
      <c r="K201" s="338"/>
      <c r="L201" s="338"/>
      <c r="M201" s="338"/>
      <c r="N201" s="338"/>
      <c r="O201" s="338"/>
      <c r="P201" s="338"/>
      <c r="Q201" s="338"/>
      <c r="R201" s="338"/>
      <c r="S201" s="338"/>
      <c r="T201" s="338"/>
      <c r="U201" s="338"/>
      <c r="V201" s="338"/>
      <c r="W201" s="338"/>
      <c r="X201" s="338"/>
      <c r="Y201" s="338"/>
      <c r="Z201" s="338"/>
      <c r="AA201" s="338"/>
    </row>
    <row r="202" ht="15.75" customHeight="1">
      <c r="A202" s="338"/>
      <c r="B202" s="338"/>
      <c r="C202" s="338"/>
      <c r="D202" s="338"/>
      <c r="E202" s="338"/>
      <c r="F202" s="338"/>
      <c r="G202" s="338"/>
      <c r="H202" s="338"/>
      <c r="I202" s="338"/>
      <c r="J202" s="338"/>
      <c r="K202" s="338"/>
      <c r="L202" s="338"/>
      <c r="M202" s="338"/>
      <c r="N202" s="338"/>
      <c r="O202" s="338"/>
      <c r="P202" s="338"/>
      <c r="Q202" s="338"/>
      <c r="R202" s="338"/>
      <c r="S202" s="338"/>
      <c r="T202" s="338"/>
      <c r="U202" s="338"/>
      <c r="V202" s="338"/>
      <c r="W202" s="338"/>
      <c r="X202" s="338"/>
      <c r="Y202" s="338"/>
      <c r="Z202" s="338"/>
      <c r="AA202" s="338"/>
    </row>
    <row r="203" ht="15.75" customHeight="1">
      <c r="A203" s="338"/>
      <c r="B203" s="338"/>
      <c r="C203" s="338"/>
      <c r="D203" s="338"/>
      <c r="E203" s="338"/>
      <c r="F203" s="338"/>
      <c r="G203" s="338"/>
      <c r="H203" s="338"/>
      <c r="I203" s="338"/>
      <c r="J203" s="338"/>
      <c r="K203" s="338"/>
      <c r="L203" s="338"/>
      <c r="M203" s="338"/>
      <c r="N203" s="338"/>
      <c r="O203" s="338"/>
      <c r="P203" s="338"/>
      <c r="Q203" s="338"/>
      <c r="R203" s="338"/>
      <c r="S203" s="338"/>
      <c r="T203" s="338"/>
      <c r="U203" s="338"/>
      <c r="V203" s="338"/>
      <c r="W203" s="338"/>
      <c r="X203" s="338"/>
      <c r="Y203" s="338"/>
      <c r="Z203" s="338"/>
      <c r="AA203" s="338"/>
    </row>
    <row r="204" ht="15.75" customHeight="1">
      <c r="A204" s="338"/>
      <c r="B204" s="338"/>
      <c r="C204" s="338"/>
      <c r="D204" s="338"/>
      <c r="E204" s="338"/>
      <c r="F204" s="338"/>
      <c r="G204" s="338"/>
      <c r="H204" s="338"/>
      <c r="I204" s="338"/>
      <c r="J204" s="338"/>
      <c r="K204" s="338"/>
      <c r="L204" s="338"/>
      <c r="M204" s="338"/>
      <c r="N204" s="338"/>
      <c r="O204" s="338"/>
      <c r="P204" s="338"/>
      <c r="Q204" s="338"/>
      <c r="R204" s="338"/>
      <c r="S204" s="338"/>
      <c r="T204" s="338"/>
      <c r="U204" s="338"/>
      <c r="V204" s="338"/>
      <c r="W204" s="338"/>
      <c r="X204" s="338"/>
      <c r="Y204" s="338"/>
      <c r="Z204" s="338"/>
      <c r="AA204" s="338"/>
    </row>
    <row r="205" ht="15.75" customHeight="1">
      <c r="A205" s="338"/>
      <c r="B205" s="338"/>
      <c r="C205" s="338"/>
      <c r="D205" s="338"/>
      <c r="E205" s="338"/>
      <c r="F205" s="338"/>
      <c r="G205" s="338"/>
      <c r="H205" s="338"/>
      <c r="I205" s="338"/>
      <c r="J205" s="338"/>
      <c r="K205" s="338"/>
      <c r="L205" s="338"/>
      <c r="M205" s="338"/>
      <c r="N205" s="338"/>
      <c r="O205" s="338"/>
      <c r="P205" s="338"/>
      <c r="Q205" s="338"/>
      <c r="R205" s="338"/>
      <c r="S205" s="338"/>
      <c r="T205" s="338"/>
      <c r="U205" s="338"/>
      <c r="V205" s="338"/>
      <c r="W205" s="338"/>
      <c r="X205" s="338"/>
      <c r="Y205" s="338"/>
      <c r="Z205" s="338"/>
      <c r="AA205" s="338"/>
    </row>
    <row r="206" ht="15.75" customHeight="1">
      <c r="A206" s="338"/>
      <c r="B206" s="338"/>
      <c r="C206" s="338"/>
      <c r="D206" s="338"/>
      <c r="E206" s="338"/>
      <c r="F206" s="338"/>
      <c r="G206" s="338"/>
      <c r="H206" s="338"/>
      <c r="I206" s="338"/>
      <c r="J206" s="338"/>
      <c r="K206" s="338"/>
      <c r="L206" s="338"/>
      <c r="M206" s="338"/>
      <c r="N206" s="338"/>
      <c r="O206" s="338"/>
      <c r="P206" s="338"/>
      <c r="Q206" s="338"/>
      <c r="R206" s="338"/>
      <c r="S206" s="338"/>
      <c r="T206" s="338"/>
      <c r="U206" s="338"/>
      <c r="V206" s="338"/>
      <c r="W206" s="338"/>
      <c r="X206" s="338"/>
      <c r="Y206" s="338"/>
      <c r="Z206" s="338"/>
      <c r="AA206" s="338"/>
    </row>
    <row r="207" ht="15.75" customHeight="1">
      <c r="A207" s="338"/>
      <c r="B207" s="338"/>
      <c r="C207" s="338"/>
      <c r="D207" s="338"/>
      <c r="E207" s="338"/>
      <c r="F207" s="338"/>
      <c r="G207" s="338"/>
      <c r="H207" s="338"/>
      <c r="I207" s="338"/>
      <c r="J207" s="338"/>
      <c r="K207" s="338"/>
      <c r="L207" s="338"/>
      <c r="M207" s="338"/>
      <c r="N207" s="338"/>
      <c r="O207" s="338"/>
      <c r="P207" s="338"/>
      <c r="Q207" s="338"/>
      <c r="R207" s="338"/>
      <c r="S207" s="338"/>
      <c r="T207" s="338"/>
      <c r="U207" s="338"/>
      <c r="V207" s="338"/>
      <c r="W207" s="338"/>
      <c r="X207" s="338"/>
      <c r="Y207" s="338"/>
      <c r="Z207" s="338"/>
      <c r="AA207" s="338"/>
    </row>
    <row r="208" ht="15.75" customHeight="1">
      <c r="A208" s="338"/>
      <c r="B208" s="338"/>
      <c r="C208" s="338"/>
      <c r="D208" s="338"/>
      <c r="E208" s="338"/>
      <c r="F208" s="338"/>
      <c r="G208" s="338"/>
      <c r="H208" s="338"/>
      <c r="I208" s="338"/>
      <c r="J208" s="338"/>
      <c r="K208" s="338"/>
      <c r="L208" s="338"/>
      <c r="M208" s="338"/>
      <c r="N208" s="338"/>
      <c r="O208" s="338"/>
      <c r="P208" s="338"/>
      <c r="Q208" s="338"/>
      <c r="R208" s="338"/>
      <c r="S208" s="338"/>
      <c r="T208" s="338"/>
      <c r="U208" s="338"/>
      <c r="V208" s="338"/>
      <c r="W208" s="338"/>
      <c r="X208" s="338"/>
      <c r="Y208" s="338"/>
      <c r="Z208" s="338"/>
      <c r="AA208" s="338"/>
    </row>
    <row r="209" ht="15.75" customHeight="1">
      <c r="A209" s="338"/>
      <c r="B209" s="338"/>
      <c r="C209" s="338"/>
      <c r="D209" s="338"/>
      <c r="E209" s="338"/>
      <c r="F209" s="338"/>
      <c r="G209" s="338"/>
      <c r="H209" s="338"/>
      <c r="I209" s="338"/>
      <c r="J209" s="338"/>
      <c r="K209" s="338"/>
      <c r="L209" s="338"/>
      <c r="M209" s="338"/>
      <c r="N209" s="338"/>
      <c r="O209" s="338"/>
      <c r="P209" s="338"/>
      <c r="Q209" s="338"/>
      <c r="R209" s="338"/>
      <c r="S209" s="338"/>
      <c r="T209" s="338"/>
      <c r="U209" s="338"/>
      <c r="V209" s="338"/>
      <c r="W209" s="338"/>
      <c r="X209" s="338"/>
      <c r="Y209" s="338"/>
      <c r="Z209" s="338"/>
      <c r="AA209" s="338"/>
    </row>
    <row r="210" ht="15.75" customHeight="1">
      <c r="A210" s="338"/>
      <c r="B210" s="338"/>
      <c r="C210" s="338"/>
      <c r="D210" s="338"/>
      <c r="E210" s="338"/>
      <c r="F210" s="338"/>
      <c r="G210" s="338"/>
      <c r="H210" s="338"/>
      <c r="I210" s="338"/>
      <c r="J210" s="338"/>
      <c r="K210" s="338"/>
      <c r="L210" s="338"/>
      <c r="M210" s="338"/>
      <c r="N210" s="338"/>
      <c r="O210" s="338"/>
      <c r="P210" s="338"/>
      <c r="Q210" s="338"/>
      <c r="R210" s="338"/>
      <c r="S210" s="338"/>
      <c r="T210" s="338"/>
      <c r="U210" s="338"/>
      <c r="V210" s="338"/>
      <c r="W210" s="338"/>
      <c r="X210" s="338"/>
      <c r="Y210" s="338"/>
      <c r="Z210" s="338"/>
      <c r="AA210" s="338"/>
    </row>
    <row r="211" ht="15.75" customHeight="1">
      <c r="A211" s="338"/>
      <c r="B211" s="338"/>
      <c r="C211" s="338"/>
      <c r="D211" s="338"/>
      <c r="E211" s="338"/>
      <c r="F211" s="338"/>
      <c r="G211" s="338"/>
      <c r="H211" s="338"/>
      <c r="I211" s="338"/>
      <c r="J211" s="338"/>
      <c r="K211" s="338"/>
      <c r="L211" s="338"/>
      <c r="M211" s="338"/>
      <c r="N211" s="338"/>
      <c r="O211" s="338"/>
      <c r="P211" s="338"/>
      <c r="Q211" s="338"/>
      <c r="R211" s="338"/>
      <c r="S211" s="338"/>
      <c r="T211" s="338"/>
      <c r="U211" s="338"/>
      <c r="V211" s="338"/>
      <c r="W211" s="338"/>
      <c r="X211" s="338"/>
      <c r="Y211" s="338"/>
      <c r="Z211" s="338"/>
      <c r="AA211" s="338"/>
    </row>
    <row r="212" ht="15.75" customHeight="1">
      <c r="A212" s="338"/>
      <c r="B212" s="338"/>
      <c r="C212" s="338"/>
      <c r="D212" s="338"/>
      <c r="E212" s="338"/>
      <c r="F212" s="338"/>
      <c r="G212" s="338"/>
      <c r="H212" s="338"/>
      <c r="I212" s="338"/>
      <c r="J212" s="338"/>
      <c r="K212" s="338"/>
      <c r="L212" s="338"/>
      <c r="M212" s="338"/>
      <c r="N212" s="338"/>
      <c r="O212" s="338"/>
      <c r="P212" s="338"/>
      <c r="Q212" s="338"/>
      <c r="R212" s="338"/>
      <c r="S212" s="338"/>
      <c r="T212" s="338"/>
      <c r="U212" s="338"/>
      <c r="V212" s="338"/>
      <c r="W212" s="338"/>
      <c r="X212" s="338"/>
      <c r="Y212" s="338"/>
      <c r="Z212" s="338"/>
      <c r="AA212" s="338"/>
    </row>
    <row r="213" ht="15.75" customHeight="1">
      <c r="A213" s="338"/>
      <c r="B213" s="338"/>
      <c r="C213" s="338"/>
      <c r="D213" s="338"/>
      <c r="E213" s="338"/>
      <c r="F213" s="338"/>
      <c r="G213" s="338"/>
      <c r="H213" s="338"/>
      <c r="I213" s="338"/>
      <c r="J213" s="338"/>
      <c r="K213" s="338"/>
      <c r="L213" s="338"/>
      <c r="M213" s="338"/>
      <c r="N213" s="338"/>
      <c r="O213" s="338"/>
      <c r="P213" s="338"/>
      <c r="Q213" s="338"/>
      <c r="R213" s="338"/>
      <c r="S213" s="338"/>
      <c r="T213" s="338"/>
      <c r="U213" s="338"/>
      <c r="V213" s="338"/>
      <c r="W213" s="338"/>
      <c r="X213" s="338"/>
      <c r="Y213" s="338"/>
      <c r="Z213" s="338"/>
      <c r="AA213" s="338"/>
    </row>
    <row r="214" ht="15.75" customHeight="1">
      <c r="A214" s="338"/>
      <c r="B214" s="338"/>
      <c r="C214" s="338"/>
      <c r="D214" s="338"/>
      <c r="E214" s="338"/>
      <c r="F214" s="338"/>
      <c r="G214" s="338"/>
      <c r="H214" s="338"/>
      <c r="I214" s="338"/>
      <c r="J214" s="338"/>
      <c r="K214" s="338"/>
      <c r="L214" s="338"/>
      <c r="M214" s="338"/>
      <c r="N214" s="338"/>
      <c r="O214" s="338"/>
      <c r="P214" s="338"/>
      <c r="Q214" s="338"/>
      <c r="R214" s="338"/>
      <c r="S214" s="338"/>
      <c r="T214" s="338"/>
      <c r="U214" s="338"/>
      <c r="V214" s="338"/>
      <c r="W214" s="338"/>
      <c r="X214" s="338"/>
      <c r="Y214" s="338"/>
      <c r="Z214" s="338"/>
      <c r="AA214" s="338"/>
    </row>
    <row r="215" ht="15.75" customHeight="1">
      <c r="A215" s="338"/>
      <c r="B215" s="338"/>
      <c r="C215" s="338"/>
      <c r="D215" s="338"/>
      <c r="E215" s="338"/>
      <c r="F215" s="338"/>
      <c r="G215" s="338"/>
      <c r="H215" s="338"/>
      <c r="I215" s="338"/>
      <c r="J215" s="338"/>
      <c r="K215" s="338"/>
      <c r="L215" s="338"/>
      <c r="M215" s="338"/>
      <c r="N215" s="338"/>
      <c r="O215" s="338"/>
      <c r="P215" s="338"/>
      <c r="Q215" s="338"/>
      <c r="R215" s="338"/>
      <c r="S215" s="338"/>
      <c r="T215" s="338"/>
      <c r="U215" s="338"/>
      <c r="V215" s="338"/>
      <c r="W215" s="338"/>
      <c r="X215" s="338"/>
      <c r="Y215" s="338"/>
      <c r="Z215" s="338"/>
      <c r="AA215" s="338"/>
    </row>
    <row r="216" ht="15.75" customHeight="1">
      <c r="A216" s="338"/>
      <c r="B216" s="338"/>
      <c r="C216" s="338"/>
      <c r="D216" s="338"/>
      <c r="E216" s="338"/>
      <c r="F216" s="338"/>
      <c r="G216" s="338"/>
      <c r="H216" s="338"/>
      <c r="I216" s="338"/>
      <c r="J216" s="338"/>
      <c r="K216" s="338"/>
      <c r="L216" s="338"/>
      <c r="M216" s="338"/>
      <c r="N216" s="338"/>
      <c r="O216" s="338"/>
      <c r="P216" s="338"/>
      <c r="Q216" s="338"/>
      <c r="R216" s="338"/>
      <c r="S216" s="338"/>
      <c r="T216" s="338"/>
      <c r="U216" s="338"/>
      <c r="V216" s="338"/>
      <c r="W216" s="338"/>
      <c r="X216" s="338"/>
      <c r="Y216" s="338"/>
      <c r="Z216" s="338"/>
      <c r="AA216" s="338"/>
    </row>
    <row r="217" ht="15.75" customHeight="1">
      <c r="A217" s="338"/>
      <c r="B217" s="338"/>
      <c r="C217" s="338"/>
      <c r="D217" s="338"/>
      <c r="E217" s="338"/>
      <c r="F217" s="338"/>
      <c r="G217" s="338"/>
      <c r="H217" s="338"/>
      <c r="I217" s="338"/>
      <c r="J217" s="338"/>
      <c r="K217" s="338"/>
      <c r="L217" s="338"/>
      <c r="M217" s="338"/>
      <c r="N217" s="338"/>
      <c r="O217" s="338"/>
      <c r="P217" s="338"/>
      <c r="Q217" s="338"/>
      <c r="R217" s="338"/>
      <c r="S217" s="338"/>
      <c r="T217" s="338"/>
      <c r="U217" s="338"/>
      <c r="V217" s="338"/>
      <c r="W217" s="338"/>
      <c r="X217" s="338"/>
      <c r="Y217" s="338"/>
      <c r="Z217" s="338"/>
      <c r="AA217" s="338"/>
    </row>
    <row r="218" ht="15.75" customHeight="1">
      <c r="A218" s="338"/>
      <c r="B218" s="338"/>
      <c r="C218" s="338"/>
      <c r="D218" s="338"/>
      <c r="E218" s="338"/>
      <c r="F218" s="338"/>
      <c r="G218" s="338"/>
      <c r="H218" s="338"/>
      <c r="I218" s="338"/>
      <c r="J218" s="338"/>
      <c r="K218" s="338"/>
      <c r="L218" s="338"/>
      <c r="M218" s="338"/>
      <c r="N218" s="338"/>
      <c r="O218" s="338"/>
      <c r="P218" s="338"/>
      <c r="Q218" s="338"/>
      <c r="R218" s="338"/>
      <c r="S218" s="338"/>
      <c r="T218" s="338"/>
      <c r="U218" s="338"/>
      <c r="V218" s="338"/>
      <c r="W218" s="338"/>
      <c r="X218" s="338"/>
      <c r="Y218" s="338"/>
      <c r="Z218" s="338"/>
      <c r="AA218" s="338"/>
    </row>
    <row r="219" ht="15.75" customHeight="1">
      <c r="A219" s="338"/>
      <c r="B219" s="338"/>
      <c r="C219" s="338"/>
      <c r="D219" s="338"/>
      <c r="E219" s="338"/>
      <c r="F219" s="338"/>
      <c r="G219" s="338"/>
      <c r="H219" s="338"/>
      <c r="I219" s="338"/>
      <c r="J219" s="338"/>
      <c r="K219" s="338"/>
      <c r="L219" s="338"/>
      <c r="M219" s="338"/>
      <c r="N219" s="338"/>
      <c r="O219" s="338"/>
      <c r="P219" s="338"/>
      <c r="Q219" s="338"/>
      <c r="R219" s="338"/>
      <c r="S219" s="338"/>
      <c r="T219" s="338"/>
      <c r="U219" s="338"/>
      <c r="V219" s="338"/>
      <c r="W219" s="338"/>
      <c r="X219" s="338"/>
      <c r="Y219" s="338"/>
      <c r="Z219" s="338"/>
      <c r="AA219" s="338"/>
    </row>
    <row r="220" ht="15.75" customHeight="1">
      <c r="A220" s="338"/>
      <c r="B220" s="338"/>
      <c r="C220" s="338"/>
      <c r="D220" s="338"/>
      <c r="E220" s="338"/>
      <c r="F220" s="338"/>
      <c r="G220" s="338"/>
      <c r="H220" s="338"/>
      <c r="I220" s="338"/>
      <c r="J220" s="338"/>
      <c r="K220" s="338"/>
      <c r="L220" s="338"/>
      <c r="M220" s="338"/>
      <c r="N220" s="338"/>
      <c r="O220" s="338"/>
      <c r="P220" s="338"/>
      <c r="Q220" s="338"/>
      <c r="R220" s="338"/>
      <c r="S220" s="338"/>
      <c r="T220" s="338"/>
      <c r="U220" s="338"/>
      <c r="V220" s="338"/>
      <c r="W220" s="338"/>
      <c r="X220" s="338"/>
      <c r="Y220" s="338"/>
      <c r="Z220" s="338"/>
      <c r="AA220" s="338"/>
    </row>
    <row r="221" ht="15.75" customHeight="1">
      <c r="A221" s="338"/>
      <c r="B221" s="338"/>
      <c r="C221" s="338"/>
      <c r="D221" s="338"/>
      <c r="E221" s="338"/>
      <c r="F221" s="338"/>
      <c r="G221" s="338"/>
      <c r="H221" s="338"/>
      <c r="I221" s="338"/>
      <c r="J221" s="338"/>
      <c r="K221" s="338"/>
      <c r="L221" s="338"/>
      <c r="M221" s="338"/>
      <c r="N221" s="338"/>
      <c r="O221" s="338"/>
      <c r="P221" s="338"/>
      <c r="Q221" s="338"/>
      <c r="R221" s="338"/>
      <c r="S221" s="338"/>
      <c r="T221" s="338"/>
      <c r="U221" s="338"/>
      <c r="V221" s="338"/>
      <c r="W221" s="338"/>
      <c r="X221" s="338"/>
      <c r="Y221" s="338"/>
      <c r="Z221" s="338"/>
      <c r="AA221" s="338"/>
    </row>
    <row r="222" ht="15.75" customHeight="1">
      <c r="A222" s="338"/>
      <c r="B222" s="338"/>
      <c r="C222" s="338"/>
      <c r="D222" s="338"/>
      <c r="E222" s="338"/>
      <c r="F222" s="338"/>
      <c r="G222" s="338"/>
      <c r="H222" s="338"/>
      <c r="I222" s="338"/>
      <c r="J222" s="338"/>
      <c r="K222" s="338"/>
      <c r="L222" s="338"/>
      <c r="M222" s="338"/>
      <c r="N222" s="338"/>
      <c r="O222" s="338"/>
      <c r="P222" s="338"/>
      <c r="Q222" s="338"/>
      <c r="R222" s="338"/>
      <c r="S222" s="338"/>
      <c r="T222" s="338"/>
      <c r="U222" s="338"/>
      <c r="V222" s="338"/>
      <c r="W222" s="338"/>
      <c r="X222" s="338"/>
      <c r="Y222" s="338"/>
      <c r="Z222" s="338"/>
      <c r="AA222" s="338"/>
    </row>
    <row r="223" ht="15.75" customHeight="1">
      <c r="A223" s="338"/>
      <c r="B223" s="338"/>
      <c r="C223" s="338"/>
      <c r="D223" s="338"/>
      <c r="E223" s="338"/>
      <c r="F223" s="338"/>
      <c r="G223" s="338"/>
      <c r="H223" s="338"/>
      <c r="I223" s="338"/>
      <c r="J223" s="338"/>
      <c r="K223" s="338"/>
      <c r="L223" s="338"/>
      <c r="M223" s="338"/>
      <c r="N223" s="338"/>
      <c r="O223" s="338"/>
      <c r="P223" s="338"/>
      <c r="Q223" s="338"/>
      <c r="R223" s="338"/>
      <c r="S223" s="338"/>
      <c r="T223" s="338"/>
      <c r="U223" s="338"/>
      <c r="V223" s="338"/>
      <c r="W223" s="338"/>
      <c r="X223" s="338"/>
      <c r="Y223" s="338"/>
      <c r="Z223" s="338"/>
      <c r="AA223" s="338"/>
    </row>
    <row r="224" ht="15.75" customHeight="1">
      <c r="A224" s="338"/>
      <c r="B224" s="338"/>
      <c r="C224" s="338"/>
      <c r="D224" s="338"/>
      <c r="E224" s="338"/>
      <c r="F224" s="338"/>
      <c r="G224" s="338"/>
      <c r="H224" s="338"/>
      <c r="I224" s="338"/>
      <c r="J224" s="338"/>
      <c r="K224" s="338"/>
      <c r="L224" s="338"/>
      <c r="M224" s="338"/>
      <c r="N224" s="338"/>
      <c r="O224" s="338"/>
      <c r="P224" s="338"/>
      <c r="Q224" s="338"/>
      <c r="R224" s="338"/>
      <c r="S224" s="338"/>
      <c r="T224" s="338"/>
      <c r="U224" s="338"/>
      <c r="V224" s="338"/>
      <c r="W224" s="338"/>
      <c r="X224" s="338"/>
      <c r="Y224" s="338"/>
      <c r="Z224" s="338"/>
      <c r="AA224" s="338"/>
    </row>
    <row r="225" ht="15.75" customHeight="1">
      <c r="A225" s="338"/>
      <c r="B225" s="338"/>
      <c r="C225" s="338"/>
      <c r="D225" s="338"/>
      <c r="E225" s="338"/>
      <c r="F225" s="338"/>
      <c r="G225" s="338"/>
      <c r="H225" s="338"/>
      <c r="I225" s="338"/>
      <c r="J225" s="338"/>
      <c r="K225" s="338"/>
      <c r="L225" s="338"/>
      <c r="M225" s="338"/>
      <c r="N225" s="338"/>
      <c r="O225" s="338"/>
      <c r="P225" s="338"/>
      <c r="Q225" s="338"/>
      <c r="R225" s="338"/>
      <c r="S225" s="338"/>
      <c r="T225" s="338"/>
      <c r="U225" s="338"/>
      <c r="V225" s="338"/>
      <c r="W225" s="338"/>
      <c r="X225" s="338"/>
      <c r="Y225" s="338"/>
      <c r="Z225" s="338"/>
      <c r="AA225" s="338"/>
    </row>
    <row r="226" ht="15.75" customHeight="1">
      <c r="A226" s="338"/>
      <c r="B226" s="338"/>
      <c r="C226" s="338"/>
      <c r="D226" s="338"/>
      <c r="E226" s="338"/>
      <c r="F226" s="338"/>
      <c r="G226" s="338"/>
      <c r="H226" s="338"/>
      <c r="I226" s="338"/>
      <c r="J226" s="338"/>
      <c r="K226" s="338"/>
      <c r="L226" s="338"/>
      <c r="M226" s="338"/>
      <c r="N226" s="338"/>
      <c r="O226" s="338"/>
      <c r="P226" s="338"/>
      <c r="Q226" s="338"/>
      <c r="R226" s="338"/>
      <c r="S226" s="338"/>
      <c r="T226" s="338"/>
      <c r="U226" s="338"/>
      <c r="V226" s="338"/>
      <c r="W226" s="338"/>
      <c r="X226" s="338"/>
      <c r="Y226" s="338"/>
      <c r="Z226" s="338"/>
      <c r="AA226" s="338"/>
    </row>
    <row r="227" ht="15.75" customHeight="1">
      <c r="A227" s="338"/>
      <c r="B227" s="338"/>
      <c r="C227" s="338"/>
      <c r="D227" s="338"/>
      <c r="E227" s="338"/>
      <c r="F227" s="338"/>
      <c r="G227" s="338"/>
      <c r="H227" s="338"/>
      <c r="I227" s="338"/>
      <c r="J227" s="338"/>
      <c r="K227" s="338"/>
      <c r="L227" s="338"/>
      <c r="M227" s="338"/>
      <c r="N227" s="338"/>
      <c r="O227" s="338"/>
      <c r="P227" s="338"/>
      <c r="Q227" s="338"/>
      <c r="R227" s="338"/>
      <c r="S227" s="338"/>
      <c r="T227" s="338"/>
      <c r="U227" s="338"/>
      <c r="V227" s="338"/>
      <c r="W227" s="338"/>
      <c r="X227" s="338"/>
      <c r="Y227" s="338"/>
      <c r="Z227" s="338"/>
      <c r="AA227" s="338"/>
    </row>
    <row r="228" ht="15.75" customHeight="1">
      <c r="A228" s="338"/>
      <c r="B228" s="338"/>
      <c r="C228" s="338"/>
      <c r="D228" s="338"/>
      <c r="E228" s="338"/>
      <c r="F228" s="338"/>
      <c r="G228" s="338"/>
      <c r="H228" s="338"/>
      <c r="I228" s="338"/>
      <c r="J228" s="338"/>
      <c r="K228" s="338"/>
      <c r="L228" s="338"/>
      <c r="M228" s="338"/>
      <c r="N228" s="338"/>
      <c r="O228" s="338"/>
      <c r="P228" s="338"/>
      <c r="Q228" s="338"/>
      <c r="R228" s="338"/>
      <c r="S228" s="338"/>
      <c r="T228" s="338"/>
      <c r="U228" s="338"/>
      <c r="V228" s="338"/>
      <c r="W228" s="338"/>
      <c r="X228" s="338"/>
      <c r="Y228" s="338"/>
      <c r="Z228" s="338"/>
      <c r="AA228" s="338"/>
    </row>
    <row r="229" ht="15.75" customHeight="1">
      <c r="A229" s="338"/>
      <c r="B229" s="338"/>
      <c r="C229" s="338"/>
      <c r="D229" s="338"/>
      <c r="E229" s="338"/>
      <c r="F229" s="338"/>
      <c r="G229" s="338"/>
      <c r="H229" s="338"/>
      <c r="I229" s="338"/>
      <c r="J229" s="338"/>
      <c r="K229" s="338"/>
      <c r="L229" s="338"/>
      <c r="M229" s="338"/>
      <c r="N229" s="338"/>
      <c r="O229" s="338"/>
      <c r="P229" s="338"/>
      <c r="Q229" s="338"/>
      <c r="R229" s="338"/>
      <c r="S229" s="338"/>
      <c r="T229" s="338"/>
      <c r="U229" s="338"/>
      <c r="V229" s="338"/>
      <c r="W229" s="338"/>
      <c r="X229" s="338"/>
      <c r="Y229" s="338"/>
      <c r="Z229" s="338"/>
      <c r="AA229" s="338"/>
    </row>
    <row r="230" ht="15.75" customHeight="1">
      <c r="A230" s="338"/>
      <c r="B230" s="338"/>
      <c r="C230" s="338"/>
      <c r="D230" s="338"/>
      <c r="E230" s="338"/>
      <c r="F230" s="338"/>
      <c r="G230" s="338"/>
      <c r="H230" s="338"/>
      <c r="I230" s="338"/>
      <c r="J230" s="338"/>
      <c r="K230" s="338"/>
      <c r="L230" s="338"/>
      <c r="M230" s="338"/>
      <c r="N230" s="338"/>
      <c r="O230" s="338"/>
      <c r="P230" s="338"/>
      <c r="Q230" s="338"/>
      <c r="R230" s="338"/>
      <c r="S230" s="338"/>
      <c r="T230" s="338"/>
      <c r="U230" s="338"/>
      <c r="V230" s="338"/>
      <c r="W230" s="338"/>
      <c r="X230" s="338"/>
      <c r="Y230" s="338"/>
      <c r="Z230" s="338"/>
      <c r="AA230" s="338"/>
    </row>
    <row r="231" ht="15.75" customHeight="1">
      <c r="A231" s="338"/>
      <c r="B231" s="338"/>
      <c r="C231" s="338"/>
      <c r="D231" s="338"/>
      <c r="E231" s="338"/>
      <c r="F231" s="338"/>
      <c r="G231" s="338"/>
      <c r="H231" s="338"/>
      <c r="I231" s="338"/>
      <c r="J231" s="338"/>
      <c r="K231" s="338"/>
      <c r="L231" s="338"/>
      <c r="M231" s="338"/>
      <c r="N231" s="338"/>
      <c r="O231" s="338"/>
      <c r="P231" s="338"/>
      <c r="Q231" s="338"/>
      <c r="R231" s="338"/>
      <c r="S231" s="338"/>
      <c r="T231" s="338"/>
      <c r="U231" s="338"/>
      <c r="V231" s="338"/>
      <c r="W231" s="338"/>
      <c r="X231" s="338"/>
      <c r="Y231" s="338"/>
      <c r="Z231" s="338"/>
      <c r="AA231" s="338"/>
    </row>
    <row r="232" ht="15.75" customHeight="1">
      <c r="A232" s="338"/>
      <c r="B232" s="338"/>
      <c r="C232" s="338"/>
      <c r="D232" s="338"/>
      <c r="E232" s="338"/>
      <c r="F232" s="338"/>
      <c r="G232" s="338"/>
      <c r="H232" s="338"/>
      <c r="I232" s="338"/>
      <c r="J232" s="338"/>
      <c r="K232" s="338"/>
      <c r="L232" s="338"/>
      <c r="M232" s="338"/>
      <c r="N232" s="338"/>
      <c r="O232" s="338"/>
      <c r="P232" s="338"/>
      <c r="Q232" s="338"/>
      <c r="R232" s="338"/>
      <c r="S232" s="338"/>
      <c r="T232" s="338"/>
      <c r="U232" s="338"/>
      <c r="V232" s="338"/>
      <c r="W232" s="338"/>
      <c r="X232" s="338"/>
      <c r="Y232" s="338"/>
      <c r="Z232" s="338"/>
      <c r="AA232" s="338"/>
    </row>
    <row r="233" ht="15.75" customHeight="1">
      <c r="A233" s="338"/>
      <c r="B233" s="338"/>
      <c r="C233" s="338"/>
      <c r="D233" s="338"/>
      <c r="E233" s="338"/>
      <c r="F233" s="338"/>
      <c r="G233" s="338"/>
      <c r="H233" s="338"/>
      <c r="I233" s="338"/>
      <c r="J233" s="338"/>
      <c r="K233" s="338"/>
      <c r="L233" s="338"/>
      <c r="M233" s="338"/>
      <c r="N233" s="338"/>
      <c r="O233" s="338"/>
      <c r="P233" s="338"/>
      <c r="Q233" s="338"/>
      <c r="R233" s="338"/>
      <c r="S233" s="338"/>
      <c r="T233" s="338"/>
      <c r="U233" s="338"/>
      <c r="V233" s="338"/>
      <c r="W233" s="338"/>
      <c r="X233" s="338"/>
      <c r="Y233" s="338"/>
      <c r="Z233" s="338"/>
      <c r="AA233" s="338"/>
    </row>
    <row r="234" ht="15.75" customHeight="1">
      <c r="A234" s="338"/>
      <c r="B234" s="338"/>
      <c r="C234" s="338"/>
      <c r="D234" s="338"/>
      <c r="E234" s="338"/>
      <c r="F234" s="338"/>
      <c r="G234" s="338"/>
      <c r="H234" s="338"/>
      <c r="I234" s="338"/>
      <c r="J234" s="338"/>
      <c r="K234" s="338"/>
      <c r="L234" s="338"/>
      <c r="M234" s="338"/>
      <c r="N234" s="338"/>
      <c r="O234" s="338"/>
      <c r="P234" s="338"/>
      <c r="Q234" s="338"/>
      <c r="R234" s="338"/>
      <c r="S234" s="338"/>
      <c r="T234" s="338"/>
      <c r="U234" s="338"/>
      <c r="V234" s="338"/>
      <c r="W234" s="338"/>
      <c r="X234" s="338"/>
      <c r="Y234" s="338"/>
      <c r="Z234" s="338"/>
      <c r="AA234" s="338"/>
    </row>
    <row r="235" ht="15.75" customHeight="1">
      <c r="A235" s="338"/>
      <c r="B235" s="338"/>
      <c r="C235" s="338"/>
      <c r="D235" s="338"/>
      <c r="E235" s="338"/>
      <c r="F235" s="338"/>
      <c r="G235" s="338"/>
      <c r="H235" s="338"/>
      <c r="I235" s="338"/>
      <c r="J235" s="338"/>
      <c r="K235" s="338"/>
      <c r="L235" s="338"/>
      <c r="M235" s="338"/>
      <c r="N235" s="338"/>
      <c r="O235" s="338"/>
      <c r="P235" s="338"/>
      <c r="Q235" s="338"/>
      <c r="R235" s="338"/>
      <c r="S235" s="338"/>
      <c r="T235" s="338"/>
      <c r="U235" s="338"/>
      <c r="V235" s="338"/>
      <c r="W235" s="338"/>
      <c r="X235" s="338"/>
      <c r="Y235" s="338"/>
      <c r="Z235" s="338"/>
      <c r="AA235" s="338"/>
    </row>
    <row r="236" ht="15.75" customHeight="1">
      <c r="A236" s="338"/>
      <c r="B236" s="338"/>
      <c r="C236" s="338"/>
      <c r="D236" s="338"/>
      <c r="E236" s="338"/>
      <c r="F236" s="338"/>
      <c r="G236" s="338"/>
      <c r="H236" s="338"/>
      <c r="I236" s="338"/>
      <c r="J236" s="338"/>
      <c r="K236" s="338"/>
      <c r="L236" s="338"/>
      <c r="M236" s="338"/>
      <c r="N236" s="338"/>
      <c r="O236" s="338"/>
      <c r="P236" s="338"/>
      <c r="Q236" s="338"/>
      <c r="R236" s="338"/>
      <c r="S236" s="338"/>
      <c r="T236" s="338"/>
      <c r="U236" s="338"/>
      <c r="V236" s="338"/>
      <c r="W236" s="338"/>
      <c r="X236" s="338"/>
      <c r="Y236" s="338"/>
      <c r="Z236" s="338"/>
      <c r="AA236" s="338"/>
    </row>
    <row r="237" ht="15.75" customHeight="1">
      <c r="A237" s="338"/>
      <c r="B237" s="338"/>
      <c r="C237" s="338"/>
      <c r="D237" s="338"/>
      <c r="E237" s="338"/>
      <c r="F237" s="338"/>
      <c r="G237" s="338"/>
      <c r="H237" s="338"/>
      <c r="I237" s="338"/>
      <c r="J237" s="338"/>
      <c r="K237" s="338"/>
      <c r="L237" s="338"/>
      <c r="M237" s="338"/>
      <c r="N237" s="338"/>
      <c r="O237" s="338"/>
      <c r="P237" s="338"/>
      <c r="Q237" s="338"/>
      <c r="R237" s="338"/>
      <c r="S237" s="338"/>
      <c r="T237" s="338"/>
      <c r="U237" s="338"/>
      <c r="V237" s="338"/>
      <c r="W237" s="338"/>
      <c r="X237" s="338"/>
      <c r="Y237" s="338"/>
      <c r="Z237" s="338"/>
      <c r="AA237" s="338"/>
    </row>
    <row r="238" ht="15.75" customHeight="1">
      <c r="A238" s="338"/>
      <c r="B238" s="338"/>
      <c r="C238" s="338"/>
      <c r="D238" s="338"/>
      <c r="E238" s="338"/>
      <c r="F238" s="338"/>
      <c r="G238" s="338"/>
      <c r="H238" s="338"/>
      <c r="I238" s="338"/>
      <c r="J238" s="338"/>
      <c r="K238" s="338"/>
      <c r="L238" s="338"/>
      <c r="M238" s="338"/>
      <c r="N238" s="338"/>
      <c r="O238" s="338"/>
      <c r="P238" s="338"/>
      <c r="Q238" s="338"/>
      <c r="R238" s="338"/>
      <c r="S238" s="338"/>
      <c r="T238" s="338"/>
      <c r="U238" s="338"/>
      <c r="V238" s="338"/>
      <c r="W238" s="338"/>
      <c r="X238" s="338"/>
      <c r="Y238" s="338"/>
      <c r="Z238" s="338"/>
      <c r="AA238" s="338"/>
    </row>
    <row r="239" ht="15.75" customHeight="1">
      <c r="A239" s="338"/>
      <c r="B239" s="338"/>
      <c r="C239" s="338"/>
      <c r="D239" s="338"/>
      <c r="E239" s="338"/>
      <c r="F239" s="338"/>
      <c r="G239" s="338"/>
      <c r="H239" s="338"/>
      <c r="I239" s="338"/>
      <c r="J239" s="338"/>
      <c r="K239" s="338"/>
      <c r="L239" s="338"/>
      <c r="M239" s="338"/>
      <c r="N239" s="338"/>
      <c r="O239" s="338"/>
      <c r="P239" s="338"/>
      <c r="Q239" s="338"/>
      <c r="R239" s="338"/>
      <c r="S239" s="338"/>
      <c r="T239" s="338"/>
      <c r="U239" s="338"/>
      <c r="V239" s="338"/>
      <c r="W239" s="338"/>
      <c r="X239" s="338"/>
      <c r="Y239" s="338"/>
      <c r="Z239" s="338"/>
      <c r="AA239" s="338"/>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
    <mergeCell ref="N1:N3"/>
    <mergeCell ref="O1:O3"/>
    <mergeCell ref="P1:P3"/>
    <mergeCell ref="Q1:Q4"/>
    <mergeCell ref="R1:R4"/>
    <mergeCell ref="S1:S4"/>
    <mergeCell ref="N5:N39"/>
    <mergeCell ref="S10:S11"/>
    <mergeCell ref="G2:G3"/>
    <mergeCell ref="H2:H3"/>
    <mergeCell ref="B5:B9"/>
    <mergeCell ref="B10:B19"/>
    <mergeCell ref="B20:B39"/>
    <mergeCell ref="I2:L2"/>
    <mergeCell ref="M2:M3"/>
    <mergeCell ref="A1:A3"/>
    <mergeCell ref="B1:B3"/>
    <mergeCell ref="C1:C3"/>
    <mergeCell ref="D1:D3"/>
    <mergeCell ref="E1:E3"/>
    <mergeCell ref="F1:F3"/>
    <mergeCell ref="G1:M1"/>
  </mergeCells>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8.25"/>
    <col customWidth="1" min="2" max="3" width="11.0"/>
    <col customWidth="1" min="4" max="4" width="22.0"/>
    <col customWidth="1" min="5" max="6" width="11.0"/>
    <col customWidth="1" min="7" max="7" width="18.75"/>
    <col customWidth="1" min="8" max="8" width="24.88"/>
    <col customWidth="1" min="9" max="26" width="11.0"/>
  </cols>
  <sheetData>
    <row r="1" ht="15.75" customHeight="1">
      <c r="A1" s="620" t="s">
        <v>2997</v>
      </c>
      <c r="B1" s="621" t="s">
        <v>3318</v>
      </c>
      <c r="C1" s="621" t="s">
        <v>3319</v>
      </c>
      <c r="D1" s="621" t="s">
        <v>3320</v>
      </c>
      <c r="E1" s="621" t="s">
        <v>3321</v>
      </c>
      <c r="F1" s="621" t="s">
        <v>3322</v>
      </c>
      <c r="G1" s="622" t="s">
        <v>3323</v>
      </c>
      <c r="H1" s="621" t="s">
        <v>3324</v>
      </c>
      <c r="I1" s="621" t="s">
        <v>3325</v>
      </c>
      <c r="J1" s="621" t="s">
        <v>3326</v>
      </c>
      <c r="K1" s="621" t="s">
        <v>3327</v>
      </c>
      <c r="L1" s="623"/>
      <c r="M1" s="338"/>
      <c r="N1" s="338"/>
      <c r="O1" s="338"/>
      <c r="P1" s="338"/>
      <c r="Q1" s="338"/>
      <c r="R1" s="338"/>
      <c r="S1" s="338"/>
      <c r="T1" s="338"/>
      <c r="U1" s="338"/>
      <c r="V1" s="338"/>
      <c r="W1" s="338"/>
      <c r="X1" s="338"/>
      <c r="Y1" s="338"/>
      <c r="Z1" s="338"/>
    </row>
    <row r="2" ht="15.75" customHeight="1">
      <c r="A2" s="624" t="s">
        <v>3328</v>
      </c>
      <c r="B2" s="625" t="s">
        <v>3329</v>
      </c>
      <c r="C2" s="625">
        <v>6.0</v>
      </c>
      <c r="D2" s="626" t="s">
        <v>3330</v>
      </c>
      <c r="E2" s="627"/>
      <c r="F2" s="625">
        <v>18.0</v>
      </c>
      <c r="G2" s="627"/>
      <c r="H2" s="627"/>
      <c r="I2" s="627"/>
      <c r="J2" s="628">
        <v>0.0</v>
      </c>
      <c r="K2" s="628">
        <v>50.0</v>
      </c>
      <c r="L2" s="629"/>
      <c r="M2" s="338"/>
      <c r="N2" s="338"/>
      <c r="O2" s="338"/>
      <c r="P2" s="338"/>
      <c r="Q2" s="338"/>
      <c r="R2" s="338"/>
      <c r="S2" s="338"/>
      <c r="T2" s="338"/>
      <c r="U2" s="338"/>
      <c r="V2" s="338"/>
      <c r="W2" s="338"/>
      <c r="X2" s="338"/>
      <c r="Y2" s="338"/>
      <c r="Z2" s="338"/>
    </row>
    <row r="3" ht="15.75" customHeight="1">
      <c r="A3" s="630" t="s">
        <v>3328</v>
      </c>
      <c r="B3" s="631" t="s">
        <v>2944</v>
      </c>
      <c r="C3" s="631">
        <v>1.0</v>
      </c>
      <c r="D3" s="552" t="s">
        <v>3331</v>
      </c>
      <c r="E3" s="632"/>
      <c r="F3" s="633"/>
      <c r="G3" s="633"/>
      <c r="H3" s="633"/>
      <c r="I3" s="632"/>
      <c r="J3" s="632"/>
      <c r="K3" s="632"/>
      <c r="L3" s="629"/>
      <c r="M3" s="338"/>
      <c r="N3" s="338"/>
      <c r="O3" s="338"/>
      <c r="P3" s="338"/>
      <c r="Q3" s="338"/>
      <c r="R3" s="338"/>
      <c r="S3" s="338"/>
      <c r="T3" s="338"/>
      <c r="U3" s="338"/>
      <c r="V3" s="338"/>
      <c r="W3" s="338"/>
      <c r="X3" s="338"/>
      <c r="Y3" s="338"/>
      <c r="Z3" s="338"/>
    </row>
    <row r="4" ht="15.75" customHeight="1">
      <c r="A4" s="630" t="s">
        <v>3328</v>
      </c>
      <c r="B4" s="631" t="s">
        <v>3332</v>
      </c>
      <c r="C4" s="632"/>
      <c r="D4" s="632"/>
      <c r="E4" s="632"/>
      <c r="F4" s="634">
        <v>45292.0</v>
      </c>
      <c r="G4" s="552" t="s">
        <v>3333</v>
      </c>
      <c r="H4" s="632"/>
      <c r="I4" s="632"/>
      <c r="J4" s="632"/>
      <c r="K4" s="632"/>
      <c r="L4" s="629"/>
      <c r="M4" s="338"/>
      <c r="N4" s="338"/>
      <c r="O4" s="338"/>
      <c r="P4" s="338"/>
      <c r="Q4" s="338"/>
      <c r="R4" s="338"/>
      <c r="S4" s="338"/>
      <c r="T4" s="338"/>
      <c r="U4" s="338"/>
      <c r="V4" s="338"/>
      <c r="W4" s="338"/>
      <c r="X4" s="338"/>
      <c r="Y4" s="338"/>
      <c r="Z4" s="338"/>
    </row>
    <row r="5" ht="15.75" customHeight="1">
      <c r="A5" s="630" t="s">
        <v>3328</v>
      </c>
      <c r="B5" s="631" t="s">
        <v>3332</v>
      </c>
      <c r="C5" s="632"/>
      <c r="D5" s="632"/>
      <c r="E5" s="632"/>
      <c r="F5" s="632"/>
      <c r="G5" s="632"/>
      <c r="H5" s="552" t="s">
        <v>3334</v>
      </c>
      <c r="I5" s="632"/>
      <c r="J5" s="632"/>
      <c r="K5" s="632"/>
      <c r="L5" s="629"/>
      <c r="M5" s="338"/>
      <c r="N5" s="338"/>
      <c r="O5" s="338"/>
      <c r="P5" s="338"/>
      <c r="Q5" s="338"/>
      <c r="R5" s="338"/>
      <c r="S5" s="338"/>
      <c r="T5" s="338"/>
      <c r="U5" s="338"/>
      <c r="V5" s="338"/>
      <c r="W5" s="338"/>
      <c r="X5" s="338"/>
      <c r="Y5" s="338"/>
      <c r="Z5" s="338"/>
    </row>
    <row r="6" ht="15.75" customHeight="1">
      <c r="A6" s="630" t="s">
        <v>3328</v>
      </c>
      <c r="B6" s="631" t="s">
        <v>3332</v>
      </c>
      <c r="C6" s="632"/>
      <c r="D6" s="632"/>
      <c r="E6" s="632"/>
      <c r="F6" s="632"/>
      <c r="G6" s="632"/>
      <c r="H6" s="552" t="s">
        <v>3335</v>
      </c>
      <c r="I6" s="632"/>
      <c r="J6" s="632"/>
      <c r="K6" s="632"/>
      <c r="L6" s="629"/>
      <c r="M6" s="338"/>
      <c r="N6" s="338"/>
      <c r="O6" s="338"/>
      <c r="P6" s="338"/>
      <c r="Q6" s="338"/>
      <c r="R6" s="338"/>
      <c r="S6" s="338"/>
      <c r="T6" s="338"/>
      <c r="U6" s="338"/>
      <c r="V6" s="338"/>
      <c r="W6" s="338"/>
      <c r="X6" s="338"/>
      <c r="Y6" s="338"/>
      <c r="Z6" s="338"/>
    </row>
    <row r="7" ht="15.75" customHeight="1">
      <c r="A7" s="630" t="s">
        <v>3328</v>
      </c>
      <c r="B7" s="631" t="s">
        <v>3332</v>
      </c>
      <c r="C7" s="632"/>
      <c r="D7" s="632"/>
      <c r="E7" s="632"/>
      <c r="F7" s="632"/>
      <c r="G7" s="632"/>
      <c r="H7" s="552" t="s">
        <v>3336</v>
      </c>
      <c r="I7" s="632"/>
      <c r="J7" s="632"/>
      <c r="K7" s="632"/>
      <c r="L7" s="629"/>
      <c r="M7" s="338"/>
      <c r="N7" s="338"/>
      <c r="O7" s="338"/>
      <c r="P7" s="338"/>
      <c r="Q7" s="338"/>
      <c r="R7" s="338"/>
      <c r="S7" s="338"/>
      <c r="T7" s="338"/>
      <c r="U7" s="338"/>
      <c r="V7" s="338"/>
      <c r="W7" s="338"/>
      <c r="X7" s="338"/>
      <c r="Y7" s="338"/>
      <c r="Z7" s="338"/>
    </row>
    <row r="8" ht="15.75" customHeight="1">
      <c r="A8" s="630" t="s">
        <v>3328</v>
      </c>
      <c r="B8" s="631" t="s">
        <v>3332</v>
      </c>
      <c r="C8" s="632"/>
      <c r="D8" s="632"/>
      <c r="E8" s="632"/>
      <c r="F8" s="634">
        <v>45323.0</v>
      </c>
      <c r="G8" s="552" t="s">
        <v>3337</v>
      </c>
      <c r="H8" s="632"/>
      <c r="I8" s="632"/>
      <c r="J8" s="632"/>
      <c r="K8" s="632"/>
      <c r="L8" s="629"/>
      <c r="M8" s="338"/>
      <c r="N8" s="338"/>
      <c r="O8" s="338"/>
      <c r="P8" s="338"/>
      <c r="Q8" s="338"/>
      <c r="R8" s="338"/>
      <c r="S8" s="338"/>
      <c r="T8" s="338"/>
      <c r="U8" s="338"/>
      <c r="V8" s="338"/>
      <c r="W8" s="338"/>
      <c r="X8" s="338"/>
      <c r="Y8" s="338"/>
      <c r="Z8" s="338"/>
    </row>
    <row r="9" ht="15.75" customHeight="1">
      <c r="A9" s="630" t="s">
        <v>3328</v>
      </c>
      <c r="B9" s="631" t="s">
        <v>3332</v>
      </c>
      <c r="C9" s="632"/>
      <c r="D9" s="632"/>
      <c r="E9" s="632"/>
      <c r="F9" s="632"/>
      <c r="G9" s="632"/>
      <c r="H9" s="552" t="s">
        <v>3338</v>
      </c>
      <c r="I9" s="632"/>
      <c r="J9" s="632"/>
      <c r="K9" s="632"/>
      <c r="L9" s="629"/>
      <c r="M9" s="338"/>
      <c r="N9" s="338"/>
      <c r="O9" s="338"/>
      <c r="P9" s="338"/>
      <c r="Q9" s="338"/>
      <c r="R9" s="338"/>
      <c r="S9" s="338"/>
      <c r="T9" s="338"/>
      <c r="U9" s="338"/>
      <c r="V9" s="338"/>
      <c r="W9" s="338"/>
      <c r="X9" s="338"/>
      <c r="Y9" s="338"/>
      <c r="Z9" s="338"/>
    </row>
    <row r="10" ht="15.75" customHeight="1">
      <c r="A10" s="630" t="s">
        <v>3328</v>
      </c>
      <c r="B10" s="631" t="s">
        <v>3332</v>
      </c>
      <c r="C10" s="632"/>
      <c r="D10" s="632"/>
      <c r="E10" s="632"/>
      <c r="F10" s="632"/>
      <c r="G10" s="632"/>
      <c r="H10" s="552" t="s">
        <v>3339</v>
      </c>
      <c r="I10" s="632"/>
      <c r="J10" s="632"/>
      <c r="K10" s="632"/>
      <c r="L10" s="629"/>
      <c r="M10" s="338"/>
      <c r="N10" s="338"/>
      <c r="O10" s="338"/>
      <c r="P10" s="338"/>
      <c r="Q10" s="338"/>
      <c r="R10" s="338"/>
      <c r="S10" s="338"/>
      <c r="T10" s="338"/>
      <c r="U10" s="338"/>
      <c r="V10" s="338"/>
      <c r="W10" s="338"/>
      <c r="X10" s="338"/>
      <c r="Y10" s="338"/>
      <c r="Z10" s="338"/>
    </row>
    <row r="11" ht="15.75" customHeight="1">
      <c r="A11" s="630" t="s">
        <v>3328</v>
      </c>
      <c r="B11" s="631" t="s">
        <v>3332</v>
      </c>
      <c r="C11" s="632"/>
      <c r="D11" s="632"/>
      <c r="E11" s="632"/>
      <c r="F11" s="634">
        <v>45352.0</v>
      </c>
      <c r="G11" s="552" t="s">
        <v>3340</v>
      </c>
      <c r="H11" s="632"/>
      <c r="I11" s="632"/>
      <c r="J11" s="632"/>
      <c r="K11" s="632"/>
      <c r="L11" s="629"/>
      <c r="M11" s="338"/>
      <c r="N11" s="338"/>
      <c r="O11" s="338"/>
      <c r="P11" s="338"/>
      <c r="Q11" s="338"/>
      <c r="R11" s="338"/>
      <c r="S11" s="338"/>
      <c r="T11" s="338"/>
      <c r="U11" s="338"/>
      <c r="V11" s="338"/>
      <c r="W11" s="338"/>
      <c r="X11" s="338"/>
      <c r="Y11" s="338"/>
      <c r="Z11" s="338"/>
    </row>
    <row r="12" ht="15.75" customHeight="1">
      <c r="A12" s="630" t="s">
        <v>3328</v>
      </c>
      <c r="B12" s="631" t="s">
        <v>3332</v>
      </c>
      <c r="C12" s="632"/>
      <c r="D12" s="632"/>
      <c r="E12" s="632"/>
      <c r="F12" s="632"/>
      <c r="G12" s="632"/>
      <c r="H12" s="552" t="s">
        <v>3341</v>
      </c>
      <c r="I12" s="632"/>
      <c r="J12" s="632"/>
      <c r="K12" s="632"/>
      <c r="L12" s="629"/>
      <c r="M12" s="338"/>
      <c r="N12" s="338"/>
      <c r="O12" s="338"/>
      <c r="P12" s="338"/>
      <c r="Q12" s="338"/>
      <c r="R12" s="338"/>
      <c r="S12" s="338"/>
      <c r="T12" s="338"/>
      <c r="U12" s="338"/>
      <c r="V12" s="338"/>
      <c r="W12" s="338"/>
      <c r="X12" s="338"/>
      <c r="Y12" s="338"/>
      <c r="Z12" s="338"/>
    </row>
    <row r="13" ht="15.75" customHeight="1">
      <c r="A13" s="630" t="s">
        <v>3328</v>
      </c>
      <c r="B13" s="631" t="s">
        <v>3332</v>
      </c>
      <c r="C13" s="632"/>
      <c r="D13" s="632"/>
      <c r="E13" s="632"/>
      <c r="F13" s="632"/>
      <c r="G13" s="632"/>
      <c r="H13" s="552" t="s">
        <v>3342</v>
      </c>
      <c r="I13" s="632"/>
      <c r="J13" s="632"/>
      <c r="K13" s="632"/>
      <c r="L13" s="629"/>
      <c r="M13" s="338"/>
      <c r="N13" s="338"/>
      <c r="O13" s="338"/>
      <c r="P13" s="338"/>
      <c r="Q13" s="338"/>
      <c r="R13" s="338"/>
      <c r="S13" s="338"/>
      <c r="T13" s="338"/>
      <c r="U13" s="338"/>
      <c r="V13" s="338"/>
      <c r="W13" s="338"/>
      <c r="X13" s="338"/>
      <c r="Y13" s="338"/>
      <c r="Z13" s="338"/>
    </row>
    <row r="14" ht="15.75" customHeight="1">
      <c r="A14" s="630" t="s">
        <v>3328</v>
      </c>
      <c r="B14" s="631" t="s">
        <v>3332</v>
      </c>
      <c r="C14" s="632"/>
      <c r="D14" s="632"/>
      <c r="E14" s="632"/>
      <c r="F14" s="632"/>
      <c r="G14" s="632"/>
      <c r="H14" s="552" t="s">
        <v>3343</v>
      </c>
      <c r="I14" s="632"/>
      <c r="J14" s="632"/>
      <c r="K14" s="632"/>
      <c r="L14" s="629"/>
      <c r="M14" s="338"/>
      <c r="N14" s="338"/>
      <c r="O14" s="338"/>
      <c r="P14" s="338"/>
      <c r="Q14" s="338"/>
      <c r="R14" s="338"/>
      <c r="S14" s="338"/>
      <c r="T14" s="338"/>
      <c r="U14" s="338"/>
      <c r="V14" s="338"/>
      <c r="W14" s="338"/>
      <c r="X14" s="338"/>
      <c r="Y14" s="338"/>
      <c r="Z14" s="338"/>
    </row>
    <row r="15" ht="15.75" customHeight="1">
      <c r="A15" s="630" t="s">
        <v>3328</v>
      </c>
      <c r="B15" s="631" t="s">
        <v>3344</v>
      </c>
      <c r="C15" s="632"/>
      <c r="D15" s="632"/>
      <c r="E15" s="632"/>
      <c r="F15" s="633"/>
      <c r="G15" s="547" t="s">
        <v>3345</v>
      </c>
      <c r="H15" s="632"/>
      <c r="I15" s="632"/>
      <c r="J15" s="632"/>
      <c r="K15" s="617">
        <v>10.0</v>
      </c>
      <c r="L15" s="629"/>
      <c r="M15" s="338"/>
      <c r="N15" s="338"/>
      <c r="O15" s="338"/>
      <c r="P15" s="338"/>
      <c r="Q15" s="338"/>
      <c r="R15" s="338"/>
      <c r="S15" s="338"/>
      <c r="T15" s="338"/>
      <c r="U15" s="338"/>
      <c r="V15" s="338"/>
      <c r="W15" s="338"/>
      <c r="X15" s="338"/>
      <c r="Y15" s="338"/>
      <c r="Z15" s="338"/>
    </row>
    <row r="16" ht="15.75" customHeight="1">
      <c r="A16" s="630" t="s">
        <v>3328</v>
      </c>
      <c r="B16" s="631" t="s">
        <v>2944</v>
      </c>
      <c r="C16" s="631">
        <v>2.0</v>
      </c>
      <c r="D16" s="552" t="s">
        <v>3346</v>
      </c>
      <c r="E16" s="632"/>
      <c r="F16" s="633"/>
      <c r="G16" s="633"/>
      <c r="H16" s="632"/>
      <c r="I16" s="632"/>
      <c r="J16" s="632"/>
      <c r="K16" s="632"/>
      <c r="L16" s="629"/>
      <c r="M16" s="338"/>
      <c r="N16" s="338"/>
      <c r="O16" s="338"/>
      <c r="P16" s="338"/>
      <c r="Q16" s="338"/>
      <c r="R16" s="338"/>
      <c r="S16" s="338"/>
      <c r="T16" s="338"/>
      <c r="U16" s="338"/>
      <c r="V16" s="338"/>
      <c r="W16" s="338"/>
      <c r="X16" s="338"/>
      <c r="Y16" s="338"/>
      <c r="Z16" s="338"/>
    </row>
    <row r="17" ht="15.75" customHeight="1">
      <c r="A17" s="630" t="s">
        <v>3328</v>
      </c>
      <c r="B17" s="631" t="s">
        <v>3332</v>
      </c>
      <c r="C17" s="632"/>
      <c r="D17" s="632"/>
      <c r="E17" s="632"/>
      <c r="F17" s="634">
        <v>45293.0</v>
      </c>
      <c r="G17" s="552" t="s">
        <v>3347</v>
      </c>
      <c r="H17" s="632"/>
      <c r="I17" s="632"/>
      <c r="J17" s="632"/>
      <c r="K17" s="632"/>
      <c r="L17" s="629"/>
      <c r="M17" s="338"/>
      <c r="N17" s="338"/>
      <c r="O17" s="338"/>
      <c r="P17" s="338"/>
      <c r="Q17" s="338"/>
      <c r="R17" s="338"/>
      <c r="S17" s="338"/>
      <c r="T17" s="338"/>
      <c r="U17" s="338"/>
      <c r="V17" s="338"/>
      <c r="W17" s="338"/>
      <c r="X17" s="338"/>
      <c r="Y17" s="338"/>
      <c r="Z17" s="338"/>
    </row>
    <row r="18" ht="15.75" customHeight="1">
      <c r="A18" s="630" t="s">
        <v>3328</v>
      </c>
      <c r="B18" s="631" t="s">
        <v>3332</v>
      </c>
      <c r="C18" s="632"/>
      <c r="D18" s="632"/>
      <c r="E18" s="632"/>
      <c r="F18" s="632"/>
      <c r="G18" s="632"/>
      <c r="H18" s="552" t="s">
        <v>3348</v>
      </c>
      <c r="I18" s="632"/>
      <c r="J18" s="632"/>
      <c r="K18" s="632"/>
      <c r="L18" s="629"/>
      <c r="M18" s="338"/>
      <c r="N18" s="338"/>
      <c r="O18" s="338"/>
      <c r="P18" s="338"/>
      <c r="Q18" s="338"/>
      <c r="R18" s="338"/>
      <c r="S18" s="338"/>
      <c r="T18" s="338"/>
      <c r="U18" s="338"/>
      <c r="V18" s="338"/>
      <c r="W18" s="338"/>
      <c r="X18" s="338"/>
      <c r="Y18" s="338"/>
      <c r="Z18" s="338"/>
    </row>
    <row r="19" ht="15.75" customHeight="1">
      <c r="A19" s="630" t="s">
        <v>3328</v>
      </c>
      <c r="B19" s="631" t="s">
        <v>3332</v>
      </c>
      <c r="C19" s="632"/>
      <c r="D19" s="632"/>
      <c r="E19" s="632"/>
      <c r="F19" s="632"/>
      <c r="G19" s="632"/>
      <c r="H19" s="552" t="s">
        <v>3349</v>
      </c>
      <c r="I19" s="632"/>
      <c r="J19" s="632"/>
      <c r="K19" s="632"/>
      <c r="L19" s="629"/>
      <c r="M19" s="338"/>
      <c r="N19" s="338"/>
      <c r="O19" s="338"/>
      <c r="P19" s="338"/>
      <c r="Q19" s="338"/>
      <c r="R19" s="338"/>
      <c r="S19" s="338"/>
      <c r="T19" s="338"/>
      <c r="U19" s="338"/>
      <c r="V19" s="338"/>
      <c r="W19" s="338"/>
      <c r="X19" s="338"/>
      <c r="Y19" s="338"/>
      <c r="Z19" s="338"/>
    </row>
    <row r="20" ht="15.75" customHeight="1">
      <c r="A20" s="630" t="s">
        <v>3328</v>
      </c>
      <c r="B20" s="631" t="s">
        <v>3332</v>
      </c>
      <c r="C20" s="632"/>
      <c r="D20" s="632"/>
      <c r="E20" s="632"/>
      <c r="F20" s="632"/>
      <c r="G20" s="632"/>
      <c r="H20" s="552" t="s">
        <v>3350</v>
      </c>
      <c r="I20" s="632"/>
      <c r="J20" s="632"/>
      <c r="K20" s="632"/>
      <c r="L20" s="629"/>
      <c r="M20" s="338"/>
      <c r="N20" s="338"/>
      <c r="O20" s="338"/>
      <c r="P20" s="338"/>
      <c r="Q20" s="338"/>
      <c r="R20" s="338"/>
      <c r="S20" s="338"/>
      <c r="T20" s="338"/>
      <c r="U20" s="338"/>
      <c r="V20" s="338"/>
      <c r="W20" s="338"/>
      <c r="X20" s="338"/>
      <c r="Y20" s="338"/>
      <c r="Z20" s="338"/>
    </row>
    <row r="21" ht="15.75" customHeight="1">
      <c r="A21" s="630" t="s">
        <v>3328</v>
      </c>
      <c r="B21" s="631" t="s">
        <v>3332</v>
      </c>
      <c r="C21" s="632"/>
      <c r="D21" s="632"/>
      <c r="E21" s="632"/>
      <c r="F21" s="632"/>
      <c r="G21" s="632"/>
      <c r="H21" s="552" t="s">
        <v>3351</v>
      </c>
      <c r="I21" s="632"/>
      <c r="J21" s="632"/>
      <c r="K21" s="632"/>
      <c r="L21" s="629"/>
      <c r="M21" s="338"/>
      <c r="N21" s="338"/>
      <c r="O21" s="338"/>
      <c r="P21" s="338"/>
      <c r="Q21" s="338"/>
      <c r="R21" s="338"/>
      <c r="S21" s="338"/>
      <c r="T21" s="338"/>
      <c r="U21" s="338"/>
      <c r="V21" s="338"/>
      <c r="W21" s="338"/>
      <c r="X21" s="338"/>
      <c r="Y21" s="338"/>
      <c r="Z21" s="338"/>
    </row>
    <row r="22" ht="15.75" customHeight="1">
      <c r="A22" s="630" t="s">
        <v>3328</v>
      </c>
      <c r="B22" s="631" t="s">
        <v>3332</v>
      </c>
      <c r="C22" s="632"/>
      <c r="D22" s="632"/>
      <c r="E22" s="632"/>
      <c r="F22" s="634">
        <v>45324.0</v>
      </c>
      <c r="G22" s="552" t="s">
        <v>3352</v>
      </c>
      <c r="H22" s="632"/>
      <c r="I22" s="632"/>
      <c r="J22" s="632"/>
      <c r="K22" s="632"/>
      <c r="L22" s="629"/>
      <c r="M22" s="338"/>
      <c r="N22" s="338"/>
      <c r="O22" s="338"/>
      <c r="P22" s="338"/>
      <c r="Q22" s="338"/>
      <c r="R22" s="338"/>
      <c r="S22" s="338"/>
      <c r="T22" s="338"/>
      <c r="U22" s="338"/>
      <c r="V22" s="338"/>
      <c r="W22" s="338"/>
      <c r="X22" s="338"/>
      <c r="Y22" s="338"/>
      <c r="Z22" s="338"/>
    </row>
    <row r="23" ht="15.75" customHeight="1">
      <c r="A23" s="630" t="s">
        <v>3328</v>
      </c>
      <c r="B23" s="631" t="s">
        <v>3332</v>
      </c>
      <c r="C23" s="632"/>
      <c r="D23" s="632"/>
      <c r="E23" s="632"/>
      <c r="F23" s="632"/>
      <c r="G23" s="632"/>
      <c r="H23" s="552" t="s">
        <v>3353</v>
      </c>
      <c r="I23" s="632"/>
      <c r="J23" s="632"/>
      <c r="K23" s="632"/>
      <c r="L23" s="629"/>
      <c r="M23" s="338"/>
      <c r="N23" s="338"/>
      <c r="O23" s="338"/>
      <c r="P23" s="338"/>
      <c r="Q23" s="338"/>
      <c r="R23" s="338"/>
      <c r="S23" s="338"/>
      <c r="T23" s="338"/>
      <c r="U23" s="338"/>
      <c r="V23" s="338"/>
      <c r="W23" s="338"/>
      <c r="X23" s="338"/>
      <c r="Y23" s="338"/>
      <c r="Z23" s="338"/>
    </row>
    <row r="24" ht="15.75" customHeight="1">
      <c r="A24" s="630" t="s">
        <v>3328</v>
      </c>
      <c r="B24" s="631" t="s">
        <v>3332</v>
      </c>
      <c r="C24" s="632"/>
      <c r="D24" s="632"/>
      <c r="E24" s="632"/>
      <c r="F24" s="632"/>
      <c r="G24" s="632"/>
      <c r="H24" s="552" t="s">
        <v>3354</v>
      </c>
      <c r="I24" s="632"/>
      <c r="J24" s="632"/>
      <c r="K24" s="632"/>
      <c r="L24" s="629"/>
      <c r="M24" s="338"/>
      <c r="N24" s="338"/>
      <c r="O24" s="338"/>
      <c r="P24" s="338"/>
      <c r="Q24" s="338"/>
      <c r="R24" s="338"/>
      <c r="S24" s="338"/>
      <c r="T24" s="338"/>
      <c r="U24" s="338"/>
      <c r="V24" s="338"/>
      <c r="W24" s="338"/>
      <c r="X24" s="338"/>
      <c r="Y24" s="338"/>
      <c r="Z24" s="338"/>
    </row>
    <row r="25" ht="15.75" customHeight="1">
      <c r="A25" s="630" t="s">
        <v>3328</v>
      </c>
      <c r="B25" s="631" t="s">
        <v>3344</v>
      </c>
      <c r="C25" s="632"/>
      <c r="D25" s="632"/>
      <c r="E25" s="632"/>
      <c r="F25" s="633"/>
      <c r="G25" s="547" t="s">
        <v>3355</v>
      </c>
      <c r="H25" s="632"/>
      <c r="I25" s="632"/>
      <c r="J25" s="632"/>
      <c r="K25" s="617">
        <v>5.0</v>
      </c>
      <c r="L25" s="629"/>
      <c r="M25" s="338"/>
      <c r="N25" s="338"/>
      <c r="O25" s="338"/>
      <c r="P25" s="338"/>
      <c r="Q25" s="338"/>
      <c r="R25" s="338"/>
      <c r="S25" s="338"/>
      <c r="T25" s="338"/>
      <c r="U25" s="338"/>
      <c r="V25" s="338"/>
      <c r="W25" s="338"/>
      <c r="X25" s="338"/>
      <c r="Y25" s="338"/>
      <c r="Z25" s="338"/>
    </row>
    <row r="26" ht="15.75" customHeight="1">
      <c r="A26" s="630" t="s">
        <v>3328</v>
      </c>
      <c r="B26" s="631" t="s">
        <v>2944</v>
      </c>
      <c r="C26" s="631">
        <v>3.0</v>
      </c>
      <c r="D26" s="552" t="s">
        <v>3356</v>
      </c>
      <c r="E26" s="632"/>
      <c r="F26" s="633"/>
      <c r="G26" s="633"/>
      <c r="H26" s="632"/>
      <c r="I26" s="632"/>
      <c r="J26" s="632"/>
      <c r="K26" s="632"/>
      <c r="L26" s="629"/>
      <c r="M26" s="338"/>
      <c r="N26" s="338"/>
      <c r="O26" s="338"/>
      <c r="P26" s="338"/>
      <c r="Q26" s="338"/>
      <c r="R26" s="338"/>
      <c r="S26" s="338"/>
      <c r="T26" s="338"/>
      <c r="U26" s="338"/>
      <c r="V26" s="338"/>
      <c r="W26" s="338"/>
      <c r="X26" s="338"/>
      <c r="Y26" s="338"/>
      <c r="Z26" s="338"/>
    </row>
    <row r="27" ht="15.75" customHeight="1">
      <c r="A27" s="630" t="s">
        <v>3328</v>
      </c>
      <c r="B27" s="631" t="s">
        <v>3332</v>
      </c>
      <c r="C27" s="632"/>
      <c r="D27" s="632"/>
      <c r="E27" s="632"/>
      <c r="F27" s="634">
        <v>45294.0</v>
      </c>
      <c r="G27" s="635" t="s">
        <v>3357</v>
      </c>
      <c r="H27" s="632"/>
      <c r="I27" s="632"/>
      <c r="J27" s="632"/>
      <c r="K27" s="632"/>
      <c r="L27" s="629"/>
      <c r="M27" s="338"/>
      <c r="N27" s="338"/>
      <c r="O27" s="338"/>
      <c r="P27" s="338"/>
      <c r="Q27" s="338"/>
      <c r="R27" s="338"/>
      <c r="S27" s="338"/>
      <c r="T27" s="338"/>
      <c r="U27" s="338"/>
      <c r="V27" s="338"/>
      <c r="W27" s="338"/>
      <c r="X27" s="338"/>
      <c r="Y27" s="338"/>
      <c r="Z27" s="338"/>
    </row>
    <row r="28" ht="15.75" customHeight="1">
      <c r="A28" s="630" t="s">
        <v>3328</v>
      </c>
      <c r="B28" s="631" t="s">
        <v>3332</v>
      </c>
      <c r="C28" s="632"/>
      <c r="D28" s="632"/>
      <c r="E28" s="632"/>
      <c r="F28" s="634">
        <v>45325.0</v>
      </c>
      <c r="G28" s="552" t="s">
        <v>3358</v>
      </c>
      <c r="H28" s="632"/>
      <c r="I28" s="632"/>
      <c r="J28" s="632"/>
      <c r="K28" s="632"/>
      <c r="L28" s="629"/>
      <c r="M28" s="338"/>
      <c r="N28" s="338"/>
      <c r="O28" s="338"/>
      <c r="P28" s="338"/>
      <c r="Q28" s="338"/>
      <c r="R28" s="338"/>
      <c r="S28" s="338"/>
      <c r="T28" s="338"/>
      <c r="U28" s="338"/>
      <c r="V28" s="338"/>
      <c r="W28" s="338"/>
      <c r="X28" s="338"/>
      <c r="Y28" s="338"/>
      <c r="Z28" s="338"/>
    </row>
    <row r="29" ht="15.75" customHeight="1">
      <c r="A29" s="630" t="s">
        <v>3328</v>
      </c>
      <c r="B29" s="631" t="s">
        <v>3332</v>
      </c>
      <c r="C29" s="632"/>
      <c r="D29" s="632"/>
      <c r="E29" s="632"/>
      <c r="F29" s="633"/>
      <c r="G29" s="633"/>
      <c r="H29" s="552" t="s">
        <v>3359</v>
      </c>
      <c r="I29" s="632"/>
      <c r="J29" s="632"/>
      <c r="K29" s="632"/>
      <c r="L29" s="629"/>
      <c r="M29" s="338"/>
      <c r="N29" s="338"/>
      <c r="O29" s="338"/>
      <c r="P29" s="338"/>
      <c r="Q29" s="338"/>
      <c r="R29" s="338"/>
      <c r="S29" s="338"/>
      <c r="T29" s="338"/>
      <c r="U29" s="338"/>
      <c r="V29" s="338"/>
      <c r="W29" s="338"/>
      <c r="X29" s="338"/>
      <c r="Y29" s="338"/>
      <c r="Z29" s="338"/>
    </row>
    <row r="30" ht="15.75" customHeight="1">
      <c r="A30" s="630" t="s">
        <v>3328</v>
      </c>
      <c r="B30" s="631" t="s">
        <v>3332</v>
      </c>
      <c r="C30" s="633"/>
      <c r="D30" s="633"/>
      <c r="E30" s="633"/>
      <c r="F30" s="633"/>
      <c r="G30" s="633"/>
      <c r="H30" s="552" t="s">
        <v>3360</v>
      </c>
      <c r="I30" s="632"/>
      <c r="J30" s="632"/>
      <c r="K30" s="632"/>
      <c r="L30" s="629"/>
      <c r="M30" s="338"/>
      <c r="N30" s="338"/>
      <c r="O30" s="338"/>
      <c r="P30" s="338"/>
      <c r="Q30" s="338"/>
      <c r="R30" s="338"/>
      <c r="S30" s="338"/>
      <c r="T30" s="338"/>
      <c r="U30" s="338"/>
      <c r="V30" s="338"/>
      <c r="W30" s="338"/>
      <c r="X30" s="338"/>
      <c r="Y30" s="338"/>
      <c r="Z30" s="338"/>
    </row>
    <row r="31" ht="15.75" customHeight="1">
      <c r="A31" s="630" t="s">
        <v>3328</v>
      </c>
      <c r="B31" s="631" t="s">
        <v>3332</v>
      </c>
      <c r="C31" s="632"/>
      <c r="D31" s="632"/>
      <c r="E31" s="632"/>
      <c r="F31" s="636">
        <v>45354.0</v>
      </c>
      <c r="G31" s="547" t="s">
        <v>3361</v>
      </c>
      <c r="H31" s="632"/>
      <c r="I31" s="632"/>
      <c r="J31" s="632"/>
      <c r="K31" s="632"/>
      <c r="L31" s="629"/>
      <c r="M31" s="338"/>
      <c r="N31" s="338"/>
      <c r="O31" s="338"/>
      <c r="P31" s="338"/>
      <c r="Q31" s="338"/>
      <c r="R31" s="338"/>
      <c r="S31" s="338"/>
      <c r="T31" s="338"/>
      <c r="U31" s="338"/>
      <c r="V31" s="338"/>
      <c r="W31" s="338"/>
      <c r="X31" s="338"/>
      <c r="Y31" s="338"/>
      <c r="Z31" s="338"/>
    </row>
    <row r="32" ht="15.75" customHeight="1">
      <c r="A32" s="630" t="s">
        <v>3328</v>
      </c>
      <c r="B32" s="631" t="s">
        <v>3332</v>
      </c>
      <c r="C32" s="632"/>
      <c r="D32" s="632"/>
      <c r="E32" s="632"/>
      <c r="F32" s="633"/>
      <c r="G32" s="633"/>
      <c r="H32" s="552" t="s">
        <v>3362</v>
      </c>
      <c r="I32" s="632"/>
      <c r="J32" s="632"/>
      <c r="K32" s="632"/>
      <c r="L32" s="629"/>
      <c r="M32" s="338"/>
      <c r="N32" s="338"/>
      <c r="O32" s="338"/>
      <c r="P32" s="338"/>
      <c r="Q32" s="338"/>
      <c r="R32" s="338"/>
      <c r="S32" s="338"/>
      <c r="T32" s="338"/>
      <c r="U32" s="338"/>
      <c r="V32" s="338"/>
      <c r="W32" s="338"/>
      <c r="X32" s="338"/>
      <c r="Y32" s="338"/>
      <c r="Z32" s="338"/>
    </row>
    <row r="33" ht="15.75" customHeight="1">
      <c r="A33" s="630" t="s">
        <v>3328</v>
      </c>
      <c r="B33" s="631" t="s">
        <v>3332</v>
      </c>
      <c r="C33" s="632"/>
      <c r="D33" s="632"/>
      <c r="E33" s="632"/>
      <c r="F33" s="633"/>
      <c r="G33" s="633"/>
      <c r="H33" s="552" t="s">
        <v>3363</v>
      </c>
      <c r="I33" s="632"/>
      <c r="J33" s="632"/>
      <c r="K33" s="632"/>
      <c r="L33" s="629"/>
      <c r="M33" s="338"/>
      <c r="N33" s="338"/>
      <c r="O33" s="338"/>
      <c r="P33" s="338"/>
      <c r="Q33" s="338"/>
      <c r="R33" s="338"/>
      <c r="S33" s="338"/>
      <c r="T33" s="338"/>
      <c r="U33" s="338"/>
      <c r="V33" s="338"/>
      <c r="W33" s="338"/>
      <c r="X33" s="338"/>
      <c r="Y33" s="338"/>
      <c r="Z33" s="338"/>
    </row>
    <row r="34" ht="15.75" customHeight="1">
      <c r="A34" s="630" t="s">
        <v>3328</v>
      </c>
      <c r="B34" s="631" t="s">
        <v>3332</v>
      </c>
      <c r="C34" s="632"/>
      <c r="D34" s="632"/>
      <c r="E34" s="632"/>
      <c r="F34" s="633"/>
      <c r="G34" s="633"/>
      <c r="H34" s="552" t="s">
        <v>3364</v>
      </c>
      <c r="I34" s="632"/>
      <c r="J34" s="632"/>
      <c r="K34" s="632"/>
      <c r="L34" s="629"/>
      <c r="M34" s="338"/>
      <c r="N34" s="338"/>
      <c r="O34" s="338"/>
      <c r="P34" s="338"/>
      <c r="Q34" s="338"/>
      <c r="R34" s="338"/>
      <c r="S34" s="338"/>
      <c r="T34" s="338"/>
      <c r="U34" s="338"/>
      <c r="V34" s="338"/>
      <c r="W34" s="338"/>
      <c r="X34" s="338"/>
      <c r="Y34" s="338"/>
      <c r="Z34" s="338"/>
    </row>
    <row r="35" ht="15.75" customHeight="1">
      <c r="A35" s="630" t="s">
        <v>3328</v>
      </c>
      <c r="B35" s="631" t="s">
        <v>3332</v>
      </c>
      <c r="C35" s="632"/>
      <c r="D35" s="632"/>
      <c r="E35" s="632"/>
      <c r="F35" s="632"/>
      <c r="G35" s="632"/>
      <c r="H35" s="552" t="s">
        <v>3365</v>
      </c>
      <c r="I35" s="632"/>
      <c r="J35" s="632"/>
      <c r="K35" s="632"/>
      <c r="L35" s="629"/>
      <c r="M35" s="338"/>
      <c r="N35" s="338"/>
      <c r="O35" s="338"/>
      <c r="P35" s="338"/>
      <c r="Q35" s="338"/>
      <c r="R35" s="338"/>
      <c r="S35" s="338"/>
      <c r="T35" s="338"/>
      <c r="U35" s="338"/>
      <c r="V35" s="338"/>
      <c r="W35" s="338"/>
      <c r="X35" s="338"/>
      <c r="Y35" s="338"/>
      <c r="Z35" s="338"/>
    </row>
    <row r="36" ht="15.75" customHeight="1">
      <c r="A36" s="630" t="s">
        <v>3328</v>
      </c>
      <c r="B36" s="631" t="s">
        <v>3332</v>
      </c>
      <c r="C36" s="632"/>
      <c r="D36" s="632"/>
      <c r="E36" s="632"/>
      <c r="F36" s="637">
        <v>45385.0</v>
      </c>
      <c r="G36" s="638" t="s">
        <v>3366</v>
      </c>
      <c r="H36" s="639"/>
      <c r="I36" s="639"/>
      <c r="J36" s="639"/>
      <c r="K36" s="640"/>
      <c r="L36" s="641" t="s">
        <v>3367</v>
      </c>
      <c r="M36" s="338"/>
      <c r="N36" s="338"/>
      <c r="O36" s="338"/>
      <c r="P36" s="338"/>
      <c r="Q36" s="338"/>
      <c r="R36" s="338"/>
      <c r="S36" s="338"/>
      <c r="T36" s="338"/>
      <c r="U36" s="338"/>
      <c r="V36" s="338"/>
      <c r="W36" s="338"/>
      <c r="X36" s="338"/>
      <c r="Y36" s="338"/>
      <c r="Z36" s="338"/>
    </row>
    <row r="37" ht="15.75" customHeight="1">
      <c r="A37" s="630" t="s">
        <v>3328</v>
      </c>
      <c r="B37" s="631" t="s">
        <v>3332</v>
      </c>
      <c r="C37" s="633"/>
      <c r="D37" s="633"/>
      <c r="E37" s="633"/>
      <c r="F37" s="642"/>
      <c r="G37" s="639"/>
      <c r="H37" s="638" t="s">
        <v>3368</v>
      </c>
      <c r="I37" s="639"/>
      <c r="J37" s="639"/>
      <c r="K37" s="640"/>
      <c r="L37" s="11"/>
      <c r="M37" s="338"/>
      <c r="N37" s="338"/>
      <c r="O37" s="338"/>
      <c r="P37" s="338"/>
      <c r="Q37" s="338"/>
      <c r="R37" s="338"/>
      <c r="S37" s="338"/>
      <c r="T37" s="338"/>
      <c r="U37" s="338"/>
      <c r="V37" s="338"/>
      <c r="W37" s="338"/>
      <c r="X37" s="338"/>
      <c r="Y37" s="338"/>
      <c r="Z37" s="338"/>
    </row>
    <row r="38" ht="15.75" customHeight="1">
      <c r="A38" s="630" t="s">
        <v>3328</v>
      </c>
      <c r="B38" s="631" t="s">
        <v>3332</v>
      </c>
      <c r="C38" s="632"/>
      <c r="D38" s="632"/>
      <c r="E38" s="632"/>
      <c r="F38" s="642"/>
      <c r="G38" s="639"/>
      <c r="H38" s="638" t="s">
        <v>3369</v>
      </c>
      <c r="I38" s="639"/>
      <c r="J38" s="639"/>
      <c r="K38" s="640"/>
      <c r="L38" s="11"/>
      <c r="M38" s="338"/>
      <c r="N38" s="338"/>
      <c r="O38" s="338"/>
      <c r="P38" s="338"/>
      <c r="Q38" s="338"/>
      <c r="R38" s="338"/>
      <c r="S38" s="338"/>
      <c r="T38" s="338"/>
      <c r="U38" s="338"/>
      <c r="V38" s="338"/>
      <c r="W38" s="338"/>
      <c r="X38" s="338"/>
      <c r="Y38" s="338"/>
      <c r="Z38" s="338"/>
    </row>
    <row r="39" ht="15.75" customHeight="1">
      <c r="A39" s="630" t="s">
        <v>3328</v>
      </c>
      <c r="B39" s="631" t="s">
        <v>3332</v>
      </c>
      <c r="C39" s="632"/>
      <c r="D39" s="632"/>
      <c r="E39" s="632"/>
      <c r="F39" s="642"/>
      <c r="G39" s="639"/>
      <c r="H39" s="638" t="s">
        <v>3370</v>
      </c>
      <c r="I39" s="639"/>
      <c r="J39" s="639"/>
      <c r="K39" s="640"/>
      <c r="L39" s="11"/>
      <c r="M39" s="338"/>
      <c r="N39" s="338"/>
      <c r="O39" s="338"/>
      <c r="P39" s="338"/>
      <c r="Q39" s="338"/>
      <c r="R39" s="338"/>
      <c r="S39" s="338"/>
      <c r="T39" s="338"/>
      <c r="U39" s="338"/>
      <c r="V39" s="338"/>
      <c r="W39" s="338"/>
      <c r="X39" s="338"/>
      <c r="Y39" s="338"/>
      <c r="Z39" s="338"/>
    </row>
    <row r="40" ht="15.75" customHeight="1">
      <c r="A40" s="630" t="s">
        <v>3328</v>
      </c>
      <c r="B40" s="631" t="s">
        <v>3332</v>
      </c>
      <c r="C40" s="632"/>
      <c r="D40" s="632"/>
      <c r="E40" s="632"/>
      <c r="F40" s="642"/>
      <c r="G40" s="639"/>
      <c r="H40" s="643" t="s">
        <v>3371</v>
      </c>
      <c r="I40" s="639"/>
      <c r="J40" s="639"/>
      <c r="K40" s="640"/>
      <c r="L40" s="11"/>
      <c r="M40" s="338"/>
      <c r="N40" s="338"/>
      <c r="O40" s="338"/>
      <c r="P40" s="338"/>
      <c r="Q40" s="338"/>
      <c r="R40" s="338"/>
      <c r="S40" s="338"/>
      <c r="T40" s="338"/>
      <c r="U40" s="338"/>
      <c r="V40" s="338"/>
      <c r="W40" s="338"/>
      <c r="X40" s="338"/>
      <c r="Y40" s="338"/>
      <c r="Z40" s="338"/>
    </row>
    <row r="41" ht="32.25" customHeight="1">
      <c r="A41" s="630" t="s">
        <v>3328</v>
      </c>
      <c r="B41" s="631" t="s">
        <v>3332</v>
      </c>
      <c r="C41" s="632"/>
      <c r="D41" s="632"/>
      <c r="E41" s="632"/>
      <c r="F41" s="642"/>
      <c r="G41" s="639"/>
      <c r="H41" s="638" t="s">
        <v>3372</v>
      </c>
      <c r="I41" s="639"/>
      <c r="J41" s="639"/>
      <c r="K41" s="640"/>
      <c r="L41" s="16"/>
      <c r="M41" s="338"/>
      <c r="N41" s="338"/>
      <c r="O41" s="338"/>
      <c r="P41" s="338"/>
      <c r="Q41" s="338"/>
      <c r="R41" s="338"/>
      <c r="S41" s="338"/>
      <c r="T41" s="338"/>
      <c r="U41" s="338"/>
      <c r="V41" s="338"/>
      <c r="W41" s="338"/>
      <c r="X41" s="338"/>
      <c r="Y41" s="338"/>
      <c r="Z41" s="338"/>
    </row>
    <row r="42" ht="15.75" customHeight="1">
      <c r="A42" s="630" t="s">
        <v>3328</v>
      </c>
      <c r="B42" s="631" t="s">
        <v>3332</v>
      </c>
      <c r="C42" s="632"/>
      <c r="D42" s="632"/>
      <c r="E42" s="632"/>
      <c r="F42" s="634">
        <v>45415.0</v>
      </c>
      <c r="G42" s="552" t="s">
        <v>3373</v>
      </c>
      <c r="H42" s="632"/>
      <c r="I42" s="632"/>
      <c r="J42" s="632"/>
      <c r="K42" s="632"/>
      <c r="L42" s="629"/>
      <c r="M42" s="338"/>
      <c r="N42" s="338"/>
      <c r="O42" s="338"/>
      <c r="P42" s="338"/>
      <c r="Q42" s="338"/>
      <c r="R42" s="338"/>
      <c r="S42" s="338"/>
      <c r="T42" s="338"/>
      <c r="U42" s="338"/>
      <c r="V42" s="338"/>
      <c r="W42" s="338"/>
      <c r="X42" s="338"/>
      <c r="Y42" s="338"/>
      <c r="Z42" s="338"/>
    </row>
    <row r="43" ht="30.75" customHeight="1">
      <c r="A43" s="630" t="s">
        <v>3328</v>
      </c>
      <c r="B43" s="631" t="s">
        <v>3332</v>
      </c>
      <c r="C43" s="632"/>
      <c r="D43" s="632"/>
      <c r="E43" s="632"/>
      <c r="F43" s="632"/>
      <c r="G43" s="632"/>
      <c r="H43" s="552" t="s">
        <v>3374</v>
      </c>
      <c r="I43" s="632"/>
      <c r="J43" s="632"/>
      <c r="K43" s="632"/>
      <c r="L43" s="629"/>
      <c r="M43" s="338"/>
      <c r="N43" s="338"/>
      <c r="O43" s="338"/>
      <c r="P43" s="338"/>
      <c r="Q43" s="338"/>
      <c r="R43" s="338"/>
      <c r="S43" s="338"/>
      <c r="T43" s="338"/>
      <c r="U43" s="338"/>
      <c r="V43" s="338"/>
      <c r="W43" s="338"/>
      <c r="X43" s="338"/>
      <c r="Y43" s="338"/>
      <c r="Z43" s="338"/>
    </row>
    <row r="44" ht="27.0" customHeight="1">
      <c r="A44" s="630" t="s">
        <v>3328</v>
      </c>
      <c r="B44" s="631" t="s">
        <v>3332</v>
      </c>
      <c r="C44" s="632"/>
      <c r="D44" s="632"/>
      <c r="E44" s="632"/>
      <c r="F44" s="632"/>
      <c r="G44" s="632"/>
      <c r="H44" s="552" t="s">
        <v>3375</v>
      </c>
      <c r="I44" s="632"/>
      <c r="J44" s="632"/>
      <c r="K44" s="632"/>
      <c r="L44" s="629"/>
      <c r="M44" s="338"/>
      <c r="N44" s="338"/>
      <c r="O44" s="338"/>
      <c r="P44" s="338"/>
      <c r="Q44" s="338"/>
      <c r="R44" s="338"/>
      <c r="S44" s="338"/>
      <c r="T44" s="338"/>
      <c r="U44" s="338"/>
      <c r="V44" s="338"/>
      <c r="W44" s="338"/>
      <c r="X44" s="338"/>
      <c r="Y44" s="338"/>
      <c r="Z44" s="338"/>
    </row>
    <row r="45" ht="15.75" customHeight="1">
      <c r="A45" s="630" t="s">
        <v>3328</v>
      </c>
      <c r="B45" s="631" t="s">
        <v>3332</v>
      </c>
      <c r="C45" s="632"/>
      <c r="D45" s="632"/>
      <c r="E45" s="632"/>
      <c r="F45" s="634">
        <v>45446.0</v>
      </c>
      <c r="G45" s="635" t="s">
        <v>3376</v>
      </c>
      <c r="H45" s="632"/>
      <c r="I45" s="632"/>
      <c r="J45" s="632"/>
      <c r="K45" s="632"/>
      <c r="L45" s="629"/>
      <c r="M45" s="338"/>
      <c r="N45" s="338"/>
      <c r="O45" s="338"/>
      <c r="P45" s="338"/>
      <c r="Q45" s="338"/>
      <c r="R45" s="338"/>
      <c r="S45" s="338"/>
      <c r="T45" s="338"/>
      <c r="U45" s="338"/>
      <c r="V45" s="338"/>
      <c r="W45" s="338"/>
      <c r="X45" s="338"/>
      <c r="Y45" s="338"/>
      <c r="Z45" s="338"/>
    </row>
    <row r="46" ht="15.75" customHeight="1">
      <c r="A46" s="630" t="s">
        <v>3328</v>
      </c>
      <c r="B46" s="631" t="s">
        <v>3332</v>
      </c>
      <c r="C46" s="632"/>
      <c r="D46" s="632"/>
      <c r="E46" s="632"/>
      <c r="F46" s="632"/>
      <c r="G46" s="632"/>
      <c r="H46" s="552" t="s">
        <v>3377</v>
      </c>
      <c r="I46" s="632"/>
      <c r="J46" s="632"/>
      <c r="K46" s="632"/>
      <c r="L46" s="629"/>
      <c r="M46" s="338"/>
      <c r="N46" s="338"/>
      <c r="O46" s="338"/>
      <c r="P46" s="338"/>
      <c r="Q46" s="338"/>
      <c r="R46" s="338"/>
      <c r="S46" s="338"/>
      <c r="T46" s="338"/>
      <c r="U46" s="338"/>
      <c r="V46" s="338"/>
      <c r="W46" s="338"/>
      <c r="X46" s="338"/>
      <c r="Y46" s="338"/>
      <c r="Z46" s="338"/>
    </row>
    <row r="47" ht="15.75" customHeight="1">
      <c r="A47" s="630" t="s">
        <v>3328</v>
      </c>
      <c r="B47" s="631" t="s">
        <v>3332</v>
      </c>
      <c r="C47" s="632"/>
      <c r="D47" s="632"/>
      <c r="E47" s="632"/>
      <c r="F47" s="632"/>
      <c r="G47" s="632"/>
      <c r="H47" s="552" t="s">
        <v>3378</v>
      </c>
      <c r="I47" s="632"/>
      <c r="J47" s="632"/>
      <c r="K47" s="632"/>
      <c r="L47" s="629"/>
      <c r="M47" s="338"/>
      <c r="N47" s="338"/>
      <c r="O47" s="338"/>
      <c r="P47" s="338"/>
      <c r="Q47" s="338"/>
      <c r="R47" s="338"/>
      <c r="S47" s="338"/>
      <c r="T47" s="338"/>
      <c r="U47" s="338"/>
      <c r="V47" s="338"/>
      <c r="W47" s="338"/>
      <c r="X47" s="338"/>
      <c r="Y47" s="338"/>
      <c r="Z47" s="338"/>
    </row>
    <row r="48" ht="15.75" customHeight="1">
      <c r="A48" s="630" t="s">
        <v>3328</v>
      </c>
      <c r="B48" s="631" t="s">
        <v>3332</v>
      </c>
      <c r="C48" s="632"/>
      <c r="D48" s="632"/>
      <c r="E48" s="632"/>
      <c r="F48" s="632"/>
      <c r="G48" s="632"/>
      <c r="H48" s="552" t="s">
        <v>3379</v>
      </c>
      <c r="I48" s="632"/>
      <c r="J48" s="632"/>
      <c r="K48" s="632"/>
      <c r="L48" s="629"/>
      <c r="M48" s="338"/>
      <c r="N48" s="338"/>
      <c r="O48" s="338"/>
      <c r="P48" s="338"/>
      <c r="Q48" s="338"/>
      <c r="R48" s="338"/>
      <c r="S48" s="338"/>
      <c r="T48" s="338"/>
      <c r="U48" s="338"/>
      <c r="V48" s="338"/>
      <c r="W48" s="338"/>
      <c r="X48" s="338"/>
      <c r="Y48" s="338"/>
      <c r="Z48" s="338"/>
    </row>
    <row r="49" ht="15.75" customHeight="1">
      <c r="A49" s="630" t="s">
        <v>3328</v>
      </c>
      <c r="B49" s="631" t="s">
        <v>3344</v>
      </c>
      <c r="C49" s="632"/>
      <c r="D49" s="632"/>
      <c r="E49" s="632"/>
      <c r="F49" s="633"/>
      <c r="G49" s="547" t="s">
        <v>3380</v>
      </c>
      <c r="H49" s="632"/>
      <c r="I49" s="632"/>
      <c r="J49" s="632"/>
      <c r="K49" s="631">
        <v>20.0</v>
      </c>
      <c r="L49" s="629"/>
      <c r="M49" s="338"/>
      <c r="N49" s="338"/>
      <c r="O49" s="338"/>
      <c r="P49" s="338"/>
      <c r="Q49" s="338"/>
      <c r="R49" s="338"/>
      <c r="S49" s="338"/>
      <c r="T49" s="338"/>
      <c r="U49" s="338"/>
      <c r="V49" s="338"/>
      <c r="W49" s="338"/>
      <c r="X49" s="338"/>
      <c r="Y49" s="338"/>
      <c r="Z49" s="338"/>
    </row>
    <row r="50" ht="15.75" customHeight="1">
      <c r="A50" s="630" t="s">
        <v>3328</v>
      </c>
      <c r="B50" s="631" t="s">
        <v>2944</v>
      </c>
      <c r="C50" s="631">
        <v>4.0</v>
      </c>
      <c r="D50" s="552" t="s">
        <v>3381</v>
      </c>
      <c r="E50" s="632"/>
      <c r="F50" s="633"/>
      <c r="G50" s="633"/>
      <c r="H50" s="632"/>
      <c r="I50" s="632"/>
      <c r="J50" s="632"/>
      <c r="K50" s="632"/>
      <c r="L50" s="629"/>
      <c r="M50" s="338"/>
      <c r="N50" s="338"/>
      <c r="O50" s="338"/>
      <c r="P50" s="338"/>
      <c r="Q50" s="338"/>
      <c r="R50" s="338"/>
      <c r="S50" s="338"/>
      <c r="T50" s="338"/>
      <c r="U50" s="338"/>
      <c r="V50" s="338"/>
      <c r="W50" s="338"/>
      <c r="X50" s="338"/>
      <c r="Y50" s="338"/>
      <c r="Z50" s="338"/>
    </row>
    <row r="51" ht="15.75" customHeight="1">
      <c r="A51" s="630" t="s">
        <v>3328</v>
      </c>
      <c r="B51" s="631" t="s">
        <v>3332</v>
      </c>
      <c r="C51" s="632"/>
      <c r="D51" s="632"/>
      <c r="E51" s="632"/>
      <c r="F51" s="634">
        <v>45295.0</v>
      </c>
      <c r="G51" s="552" t="s">
        <v>3382</v>
      </c>
      <c r="H51" s="632"/>
      <c r="I51" s="632"/>
      <c r="J51" s="632"/>
      <c r="K51" s="632"/>
      <c r="L51" s="629"/>
      <c r="M51" s="338"/>
      <c r="N51" s="338"/>
      <c r="O51" s="338"/>
      <c r="P51" s="338"/>
      <c r="Q51" s="338"/>
      <c r="R51" s="338"/>
      <c r="S51" s="338"/>
      <c r="T51" s="338"/>
      <c r="U51" s="338"/>
      <c r="V51" s="338"/>
      <c r="W51" s="338"/>
      <c r="X51" s="338"/>
      <c r="Y51" s="338"/>
      <c r="Z51" s="338"/>
    </row>
    <row r="52" ht="15.75" customHeight="1">
      <c r="A52" s="630" t="s">
        <v>3328</v>
      </c>
      <c r="B52" s="631" t="s">
        <v>3332</v>
      </c>
      <c r="C52" s="632"/>
      <c r="D52" s="632"/>
      <c r="E52" s="632"/>
      <c r="F52" s="634">
        <v>45326.0</v>
      </c>
      <c r="G52" s="552" t="s">
        <v>3383</v>
      </c>
      <c r="H52" s="632"/>
      <c r="I52" s="632"/>
      <c r="J52" s="632"/>
      <c r="K52" s="632"/>
      <c r="L52" s="629"/>
      <c r="M52" s="338"/>
      <c r="N52" s="338"/>
      <c r="O52" s="338"/>
      <c r="P52" s="338"/>
      <c r="Q52" s="338"/>
      <c r="R52" s="338"/>
      <c r="S52" s="338"/>
      <c r="T52" s="338"/>
      <c r="U52" s="338"/>
      <c r="V52" s="338"/>
      <c r="W52" s="338"/>
      <c r="X52" s="338"/>
      <c r="Y52" s="338"/>
      <c r="Z52" s="338"/>
    </row>
    <row r="53" ht="15.75" customHeight="1">
      <c r="A53" s="630" t="s">
        <v>3328</v>
      </c>
      <c r="B53" s="631" t="s">
        <v>3332</v>
      </c>
      <c r="C53" s="632"/>
      <c r="D53" s="632"/>
      <c r="E53" s="632"/>
      <c r="F53" s="632"/>
      <c r="G53" s="632"/>
      <c r="H53" s="552" t="s">
        <v>3384</v>
      </c>
      <c r="I53" s="632"/>
      <c r="J53" s="632"/>
      <c r="K53" s="632"/>
      <c r="L53" s="629"/>
      <c r="M53" s="338"/>
      <c r="N53" s="338"/>
      <c r="O53" s="338"/>
      <c r="P53" s="338"/>
      <c r="Q53" s="338"/>
      <c r="R53" s="338"/>
      <c r="S53" s="338"/>
      <c r="T53" s="338"/>
      <c r="U53" s="338"/>
      <c r="V53" s="338"/>
      <c r="W53" s="338"/>
      <c r="X53" s="338"/>
      <c r="Y53" s="338"/>
      <c r="Z53" s="338"/>
    </row>
    <row r="54" ht="15.75" customHeight="1">
      <c r="A54" s="630" t="s">
        <v>3328</v>
      </c>
      <c r="B54" s="631" t="s">
        <v>3332</v>
      </c>
      <c r="C54" s="632"/>
      <c r="D54" s="632"/>
      <c r="E54" s="632"/>
      <c r="F54" s="632"/>
      <c r="G54" s="633"/>
      <c r="H54" s="552" t="s">
        <v>3385</v>
      </c>
      <c r="I54" s="632"/>
      <c r="J54" s="632"/>
      <c r="K54" s="632"/>
      <c r="L54" s="629"/>
      <c r="M54" s="338"/>
      <c r="N54" s="338"/>
      <c r="O54" s="338"/>
      <c r="P54" s="338"/>
      <c r="Q54" s="338"/>
      <c r="R54" s="338"/>
      <c r="S54" s="338"/>
      <c r="T54" s="338"/>
      <c r="U54" s="338"/>
      <c r="V54" s="338"/>
      <c r="W54" s="338"/>
      <c r="X54" s="338"/>
      <c r="Y54" s="338"/>
      <c r="Z54" s="338"/>
    </row>
    <row r="55" ht="15.75" customHeight="1">
      <c r="A55" s="630" t="s">
        <v>3328</v>
      </c>
      <c r="B55" s="631" t="s">
        <v>3332</v>
      </c>
      <c r="C55" s="632"/>
      <c r="D55" s="632"/>
      <c r="E55" s="632"/>
      <c r="F55" s="632"/>
      <c r="G55" s="633"/>
      <c r="H55" s="552" t="s">
        <v>3386</v>
      </c>
      <c r="I55" s="632"/>
      <c r="J55" s="632"/>
      <c r="K55" s="632"/>
      <c r="L55" s="629"/>
      <c r="M55" s="338"/>
      <c r="N55" s="338"/>
      <c r="O55" s="338"/>
      <c r="P55" s="338"/>
      <c r="Q55" s="338"/>
      <c r="R55" s="338"/>
      <c r="S55" s="338"/>
      <c r="T55" s="338"/>
      <c r="U55" s="338"/>
      <c r="V55" s="338"/>
      <c r="W55" s="338"/>
      <c r="X55" s="338"/>
      <c r="Y55" s="338"/>
      <c r="Z55" s="338"/>
    </row>
    <row r="56" ht="15.75" customHeight="1">
      <c r="A56" s="630" t="s">
        <v>3328</v>
      </c>
      <c r="B56" s="631" t="s">
        <v>3332</v>
      </c>
      <c r="C56" s="632"/>
      <c r="D56" s="632"/>
      <c r="E56" s="632"/>
      <c r="F56" s="632"/>
      <c r="G56" s="633"/>
      <c r="H56" s="552" t="s">
        <v>3387</v>
      </c>
      <c r="I56" s="632"/>
      <c r="J56" s="632"/>
      <c r="K56" s="632"/>
      <c r="L56" s="629"/>
      <c r="M56" s="338"/>
      <c r="N56" s="338"/>
      <c r="O56" s="338"/>
      <c r="P56" s="338"/>
      <c r="Q56" s="338"/>
      <c r="R56" s="338"/>
      <c r="S56" s="338"/>
      <c r="T56" s="338"/>
      <c r="U56" s="338"/>
      <c r="V56" s="338"/>
      <c r="W56" s="338"/>
      <c r="X56" s="338"/>
      <c r="Y56" s="338"/>
      <c r="Z56" s="338"/>
    </row>
    <row r="57" ht="15.75" customHeight="1">
      <c r="A57" s="630" t="s">
        <v>3328</v>
      </c>
      <c r="B57" s="631" t="s">
        <v>3332</v>
      </c>
      <c r="C57" s="632"/>
      <c r="D57" s="632"/>
      <c r="E57" s="632"/>
      <c r="F57" s="634">
        <v>45355.0</v>
      </c>
      <c r="G57" s="552" t="s">
        <v>3388</v>
      </c>
      <c r="H57" s="632"/>
      <c r="I57" s="632"/>
      <c r="J57" s="632"/>
      <c r="K57" s="632"/>
      <c r="L57" s="629"/>
      <c r="M57" s="338"/>
      <c r="N57" s="338"/>
      <c r="O57" s="338"/>
      <c r="P57" s="338"/>
      <c r="Q57" s="338"/>
      <c r="R57" s="338"/>
      <c r="S57" s="338"/>
      <c r="T57" s="338"/>
      <c r="U57" s="338"/>
      <c r="V57" s="338"/>
      <c r="W57" s="338"/>
      <c r="X57" s="338"/>
      <c r="Y57" s="338"/>
      <c r="Z57" s="338"/>
    </row>
    <row r="58" ht="15.75" customHeight="1">
      <c r="A58" s="630" t="s">
        <v>3328</v>
      </c>
      <c r="B58" s="631" t="s">
        <v>3332</v>
      </c>
      <c r="C58" s="632"/>
      <c r="D58" s="632"/>
      <c r="E58" s="632"/>
      <c r="F58" s="632"/>
      <c r="G58" s="632"/>
      <c r="H58" s="552" t="s">
        <v>3384</v>
      </c>
      <c r="I58" s="632"/>
      <c r="J58" s="632"/>
      <c r="K58" s="632"/>
      <c r="L58" s="629"/>
      <c r="M58" s="338"/>
      <c r="N58" s="338"/>
      <c r="O58" s="338"/>
      <c r="P58" s="338"/>
      <c r="Q58" s="338"/>
      <c r="R58" s="338"/>
      <c r="S58" s="338"/>
      <c r="T58" s="338"/>
      <c r="U58" s="338"/>
      <c r="V58" s="338"/>
      <c r="W58" s="338"/>
      <c r="X58" s="338"/>
      <c r="Y58" s="338"/>
      <c r="Z58" s="338"/>
    </row>
    <row r="59" ht="15.75" customHeight="1">
      <c r="A59" s="630" t="s">
        <v>3328</v>
      </c>
      <c r="B59" s="631" t="s">
        <v>3332</v>
      </c>
      <c r="C59" s="632"/>
      <c r="D59" s="632"/>
      <c r="E59" s="632"/>
      <c r="F59" s="632"/>
      <c r="G59" s="632"/>
      <c r="H59" s="552" t="s">
        <v>3385</v>
      </c>
      <c r="I59" s="632"/>
      <c r="J59" s="632"/>
      <c r="K59" s="632"/>
      <c r="L59" s="629"/>
      <c r="M59" s="338"/>
      <c r="N59" s="338"/>
      <c r="O59" s="338"/>
      <c r="P59" s="338"/>
      <c r="Q59" s="338"/>
      <c r="R59" s="338"/>
      <c r="S59" s="338"/>
      <c r="T59" s="338"/>
      <c r="U59" s="338"/>
      <c r="V59" s="338"/>
      <c r="W59" s="338"/>
      <c r="X59" s="338"/>
      <c r="Y59" s="338"/>
      <c r="Z59" s="338"/>
    </row>
    <row r="60" ht="15.75" customHeight="1">
      <c r="A60" s="630" t="s">
        <v>3328</v>
      </c>
      <c r="B60" s="631" t="s">
        <v>3332</v>
      </c>
      <c r="C60" s="632"/>
      <c r="D60" s="632"/>
      <c r="E60" s="632"/>
      <c r="F60" s="632"/>
      <c r="G60" s="632"/>
      <c r="H60" s="552" t="s">
        <v>3386</v>
      </c>
      <c r="I60" s="632"/>
      <c r="J60" s="632"/>
      <c r="K60" s="632"/>
      <c r="L60" s="629"/>
      <c r="M60" s="338"/>
      <c r="N60" s="338"/>
      <c r="O60" s="338"/>
      <c r="P60" s="338"/>
      <c r="Q60" s="338"/>
      <c r="R60" s="338"/>
      <c r="S60" s="338"/>
      <c r="T60" s="338"/>
      <c r="U60" s="338"/>
      <c r="V60" s="338"/>
      <c r="W60" s="338"/>
      <c r="X60" s="338"/>
      <c r="Y60" s="338"/>
      <c r="Z60" s="338"/>
    </row>
    <row r="61" ht="15.75" customHeight="1">
      <c r="A61" s="630" t="s">
        <v>3328</v>
      </c>
      <c r="B61" s="631" t="s">
        <v>3332</v>
      </c>
      <c r="C61" s="632"/>
      <c r="D61" s="632"/>
      <c r="E61" s="632"/>
      <c r="F61" s="632"/>
      <c r="G61" s="632"/>
      <c r="H61" s="552" t="s">
        <v>3389</v>
      </c>
      <c r="I61" s="632"/>
      <c r="J61" s="632"/>
      <c r="K61" s="632"/>
      <c r="L61" s="629"/>
      <c r="M61" s="338"/>
      <c r="N61" s="338"/>
      <c r="O61" s="338"/>
      <c r="P61" s="338"/>
      <c r="Q61" s="338"/>
      <c r="R61" s="338"/>
      <c r="S61" s="338"/>
      <c r="T61" s="338"/>
      <c r="U61" s="338"/>
      <c r="V61" s="338"/>
      <c r="W61" s="338"/>
      <c r="X61" s="338"/>
      <c r="Y61" s="338"/>
      <c r="Z61" s="338"/>
    </row>
    <row r="62" ht="15.75" customHeight="1">
      <c r="A62" s="630" t="s">
        <v>3328</v>
      </c>
      <c r="B62" s="631" t="s">
        <v>3332</v>
      </c>
      <c r="C62" s="632"/>
      <c r="D62" s="632"/>
      <c r="E62" s="632"/>
      <c r="F62" s="632"/>
      <c r="G62" s="632"/>
      <c r="H62" s="552" t="s">
        <v>3390</v>
      </c>
      <c r="I62" s="632"/>
      <c r="J62" s="632"/>
      <c r="K62" s="632"/>
      <c r="L62" s="629"/>
      <c r="M62" s="338"/>
      <c r="N62" s="338"/>
      <c r="O62" s="338"/>
      <c r="P62" s="338"/>
      <c r="Q62" s="338"/>
      <c r="R62" s="338"/>
      <c r="S62" s="338"/>
      <c r="T62" s="338"/>
      <c r="U62" s="338"/>
      <c r="V62" s="338"/>
      <c r="W62" s="338"/>
      <c r="X62" s="338"/>
      <c r="Y62" s="338"/>
      <c r="Z62" s="338"/>
    </row>
    <row r="63" ht="15.75" customHeight="1">
      <c r="A63" s="630" t="s">
        <v>3328</v>
      </c>
      <c r="B63" s="631" t="s">
        <v>3344</v>
      </c>
      <c r="C63" s="632"/>
      <c r="D63" s="632"/>
      <c r="E63" s="632"/>
      <c r="F63" s="633"/>
      <c r="G63" s="547" t="s">
        <v>3391</v>
      </c>
      <c r="H63" s="632"/>
      <c r="I63" s="632"/>
      <c r="J63" s="632"/>
      <c r="K63" s="631">
        <v>10.0</v>
      </c>
      <c r="L63" s="629"/>
      <c r="M63" s="338"/>
      <c r="N63" s="338"/>
      <c r="O63" s="338"/>
      <c r="P63" s="338"/>
      <c r="Q63" s="338"/>
      <c r="R63" s="338"/>
      <c r="S63" s="338"/>
      <c r="T63" s="338"/>
      <c r="U63" s="338"/>
      <c r="V63" s="338"/>
      <c r="W63" s="338"/>
      <c r="X63" s="338"/>
      <c r="Y63" s="338"/>
      <c r="Z63" s="338"/>
    </row>
    <row r="64" ht="15.75" customHeight="1">
      <c r="A64" s="630" t="s">
        <v>3328</v>
      </c>
      <c r="B64" s="631" t="s">
        <v>2944</v>
      </c>
      <c r="C64" s="631">
        <v>5.0</v>
      </c>
      <c r="D64" s="552" t="s">
        <v>3392</v>
      </c>
      <c r="E64" s="632"/>
      <c r="F64" s="633"/>
      <c r="G64" s="633"/>
      <c r="H64" s="632"/>
      <c r="I64" s="632"/>
      <c r="J64" s="632"/>
      <c r="K64" s="632"/>
      <c r="L64" s="629"/>
      <c r="M64" s="338"/>
      <c r="N64" s="338"/>
      <c r="O64" s="338"/>
      <c r="P64" s="338"/>
      <c r="Q64" s="338"/>
      <c r="R64" s="338"/>
      <c r="S64" s="338"/>
      <c r="T64" s="338"/>
      <c r="U64" s="338"/>
      <c r="V64" s="338"/>
      <c r="W64" s="338"/>
      <c r="X64" s="338"/>
      <c r="Y64" s="338"/>
      <c r="Z64" s="338"/>
    </row>
    <row r="65" ht="15.75" customHeight="1">
      <c r="A65" s="630" t="s">
        <v>3328</v>
      </c>
      <c r="B65" s="631" t="s">
        <v>3332</v>
      </c>
      <c r="C65" s="632"/>
      <c r="D65" s="632"/>
      <c r="E65" s="632"/>
      <c r="F65" s="634">
        <v>45296.0</v>
      </c>
      <c r="G65" s="552" t="s">
        <v>3393</v>
      </c>
      <c r="H65" s="632"/>
      <c r="I65" s="632"/>
      <c r="J65" s="632"/>
      <c r="K65" s="632"/>
      <c r="L65" s="629"/>
      <c r="M65" s="338"/>
      <c r="N65" s="338"/>
      <c r="O65" s="338"/>
      <c r="P65" s="338"/>
      <c r="Q65" s="338"/>
      <c r="R65" s="338"/>
      <c r="S65" s="338"/>
      <c r="T65" s="338"/>
      <c r="U65" s="338"/>
      <c r="V65" s="338"/>
      <c r="W65" s="338"/>
      <c r="X65" s="338"/>
      <c r="Y65" s="338"/>
      <c r="Z65" s="338"/>
    </row>
    <row r="66" ht="15.75" customHeight="1">
      <c r="A66" s="630" t="s">
        <v>3328</v>
      </c>
      <c r="B66" s="631" t="s">
        <v>3332</v>
      </c>
      <c r="C66" s="632"/>
      <c r="D66" s="632"/>
      <c r="E66" s="632"/>
      <c r="F66" s="634">
        <v>45327.0</v>
      </c>
      <c r="G66" s="552" t="s">
        <v>3394</v>
      </c>
      <c r="H66" s="633"/>
      <c r="I66" s="632"/>
      <c r="J66" s="632"/>
      <c r="K66" s="632"/>
      <c r="L66" s="629"/>
      <c r="M66" s="338"/>
      <c r="N66" s="338"/>
      <c r="O66" s="338"/>
      <c r="P66" s="338"/>
      <c r="Q66" s="338"/>
      <c r="R66" s="338"/>
      <c r="S66" s="338"/>
      <c r="T66" s="338"/>
      <c r="U66" s="338"/>
      <c r="V66" s="338"/>
      <c r="W66" s="338"/>
      <c r="X66" s="338"/>
      <c r="Y66" s="338"/>
      <c r="Z66" s="338"/>
    </row>
    <row r="67" ht="15.75" customHeight="1">
      <c r="A67" s="630" t="s">
        <v>3328</v>
      </c>
      <c r="B67" s="631" t="s">
        <v>3332</v>
      </c>
      <c r="C67" s="632"/>
      <c r="D67" s="632"/>
      <c r="E67" s="632"/>
      <c r="F67" s="634">
        <v>45356.0</v>
      </c>
      <c r="G67" s="552" t="s">
        <v>3395</v>
      </c>
      <c r="H67" s="633"/>
      <c r="I67" s="632"/>
      <c r="J67" s="632"/>
      <c r="K67" s="632"/>
      <c r="L67" s="629"/>
      <c r="M67" s="338"/>
      <c r="N67" s="338"/>
      <c r="O67" s="338"/>
      <c r="P67" s="338"/>
      <c r="Q67" s="338"/>
      <c r="R67" s="338"/>
      <c r="S67" s="338"/>
      <c r="T67" s="338"/>
      <c r="U67" s="338"/>
      <c r="V67" s="338"/>
      <c r="W67" s="338"/>
      <c r="X67" s="338"/>
      <c r="Y67" s="338"/>
      <c r="Z67" s="338"/>
    </row>
    <row r="68" ht="35.25" customHeight="1">
      <c r="A68" s="630" t="s">
        <v>3328</v>
      </c>
      <c r="B68" s="631" t="s">
        <v>3332</v>
      </c>
      <c r="C68" s="632"/>
      <c r="D68" s="632"/>
      <c r="E68" s="632"/>
      <c r="F68" s="634">
        <v>45387.0</v>
      </c>
      <c r="G68" s="644" t="s">
        <v>3396</v>
      </c>
      <c r="H68" s="645" t="s">
        <v>3397</v>
      </c>
      <c r="I68" s="645"/>
      <c r="J68" s="645"/>
      <c r="K68" s="645"/>
      <c r="L68" s="646" t="s">
        <v>3398</v>
      </c>
      <c r="M68" s="338"/>
      <c r="N68" s="338"/>
      <c r="O68" s="338"/>
      <c r="P68" s="338"/>
      <c r="Q68" s="338"/>
      <c r="R68" s="338"/>
      <c r="S68" s="338"/>
      <c r="T68" s="338"/>
      <c r="U68" s="338"/>
      <c r="V68" s="338"/>
      <c r="W68" s="338"/>
      <c r="X68" s="338"/>
      <c r="Y68" s="338"/>
      <c r="Z68" s="338"/>
    </row>
    <row r="69" ht="35.25" customHeight="1">
      <c r="A69" s="630"/>
      <c r="B69" s="631"/>
      <c r="C69" s="632"/>
      <c r="D69" s="632"/>
      <c r="E69" s="632"/>
      <c r="F69" s="632"/>
      <c r="G69" s="644"/>
      <c r="H69" s="645" t="s">
        <v>3399</v>
      </c>
      <c r="I69" s="645"/>
      <c r="J69" s="645"/>
      <c r="K69" s="647"/>
      <c r="L69" s="454"/>
      <c r="M69" s="338"/>
      <c r="N69" s="338"/>
      <c r="O69" s="338"/>
      <c r="P69" s="338"/>
      <c r="Q69" s="338"/>
      <c r="R69" s="338"/>
      <c r="S69" s="338"/>
      <c r="T69" s="338"/>
      <c r="U69" s="338"/>
      <c r="V69" s="338"/>
      <c r="W69" s="338"/>
      <c r="X69" s="338"/>
      <c r="Y69" s="338"/>
      <c r="Z69" s="338"/>
    </row>
    <row r="70" ht="35.25" customHeight="1">
      <c r="A70" s="630"/>
      <c r="B70" s="631"/>
      <c r="C70" s="632"/>
      <c r="D70" s="632"/>
      <c r="E70" s="632"/>
      <c r="F70" s="632"/>
      <c r="G70" s="644"/>
      <c r="H70" s="645" t="s">
        <v>3400</v>
      </c>
      <c r="I70" s="645"/>
      <c r="J70" s="645"/>
      <c r="K70" s="647"/>
      <c r="L70" s="454"/>
      <c r="M70" s="338"/>
      <c r="N70" s="338"/>
      <c r="O70" s="338"/>
      <c r="P70" s="338"/>
      <c r="Q70" s="338"/>
      <c r="R70" s="338"/>
      <c r="S70" s="338"/>
      <c r="T70" s="338"/>
      <c r="U70" s="338"/>
      <c r="V70" s="338"/>
      <c r="W70" s="338"/>
      <c r="X70" s="338"/>
      <c r="Y70" s="338"/>
      <c r="Z70" s="338"/>
    </row>
    <row r="71" ht="35.25" customHeight="1">
      <c r="A71" s="630"/>
      <c r="B71" s="631"/>
      <c r="C71" s="632"/>
      <c r="D71" s="632"/>
      <c r="E71" s="632"/>
      <c r="F71" s="632"/>
      <c r="G71" s="644"/>
      <c r="H71" s="645" t="s">
        <v>3401</v>
      </c>
      <c r="I71" s="645"/>
      <c r="J71" s="645"/>
      <c r="K71" s="647"/>
      <c r="L71" s="454"/>
      <c r="M71" s="338"/>
      <c r="N71" s="338"/>
      <c r="O71" s="338"/>
      <c r="P71" s="338"/>
      <c r="Q71" s="338"/>
      <c r="R71" s="338"/>
      <c r="S71" s="338"/>
      <c r="T71" s="338"/>
      <c r="U71" s="338"/>
      <c r="V71" s="338"/>
      <c r="W71" s="338"/>
      <c r="X71" s="338"/>
      <c r="Y71" s="338"/>
      <c r="Z71" s="338"/>
    </row>
    <row r="72" ht="35.25" customHeight="1">
      <c r="A72" s="630"/>
      <c r="B72" s="631"/>
      <c r="C72" s="632"/>
      <c r="D72" s="632"/>
      <c r="E72" s="632"/>
      <c r="F72" s="632"/>
      <c r="G72" s="644"/>
      <c r="H72" s="645" t="s">
        <v>3402</v>
      </c>
      <c r="I72" s="645"/>
      <c r="J72" s="645"/>
      <c r="K72" s="647"/>
      <c r="L72" s="456"/>
      <c r="M72" s="338"/>
      <c r="N72" s="338"/>
      <c r="O72" s="338"/>
      <c r="P72" s="338"/>
      <c r="Q72" s="338"/>
      <c r="R72" s="338"/>
      <c r="S72" s="338"/>
      <c r="T72" s="338"/>
      <c r="U72" s="338"/>
      <c r="V72" s="338"/>
      <c r="W72" s="338"/>
      <c r="X72" s="338"/>
      <c r="Y72" s="338"/>
      <c r="Z72" s="338"/>
    </row>
    <row r="73" ht="20.25" customHeight="1">
      <c r="A73" s="630" t="s">
        <v>3328</v>
      </c>
      <c r="B73" s="631" t="s">
        <v>3344</v>
      </c>
      <c r="C73" s="632"/>
      <c r="D73" s="632"/>
      <c r="E73" s="632"/>
      <c r="F73" s="632"/>
      <c r="G73" s="552" t="s">
        <v>3403</v>
      </c>
      <c r="H73" s="632"/>
      <c r="I73" s="632"/>
      <c r="J73" s="632"/>
      <c r="K73" s="631">
        <v>5.0</v>
      </c>
      <c r="L73" s="629"/>
      <c r="M73" s="338"/>
      <c r="N73" s="338"/>
      <c r="O73" s="338"/>
      <c r="P73" s="338"/>
      <c r="Q73" s="338"/>
      <c r="R73" s="338"/>
      <c r="S73" s="338"/>
      <c r="T73" s="338"/>
      <c r="U73" s="338"/>
      <c r="V73" s="338"/>
      <c r="W73" s="338"/>
      <c r="X73" s="338"/>
      <c r="Y73" s="338"/>
      <c r="Z73" s="338"/>
    </row>
    <row r="74" ht="15.75" customHeight="1">
      <c r="A74" s="630" t="s">
        <v>3328</v>
      </c>
      <c r="B74" s="631" t="s">
        <v>2944</v>
      </c>
      <c r="C74" s="631">
        <v>6.0</v>
      </c>
      <c r="D74" s="552" t="s">
        <v>3404</v>
      </c>
      <c r="E74" s="632"/>
      <c r="F74" s="632"/>
      <c r="G74" s="632"/>
      <c r="H74" s="632"/>
      <c r="I74" s="632"/>
      <c r="J74" s="632"/>
      <c r="K74" s="632"/>
      <c r="L74" s="629"/>
      <c r="M74" s="338"/>
      <c r="N74" s="338"/>
      <c r="O74" s="338"/>
      <c r="P74" s="338"/>
      <c r="Q74" s="338"/>
      <c r="R74" s="338"/>
      <c r="S74" s="338"/>
      <c r="T74" s="338"/>
      <c r="U74" s="338"/>
      <c r="V74" s="338"/>
      <c r="W74" s="338"/>
      <c r="X74" s="338"/>
      <c r="Y74" s="338"/>
      <c r="Z74" s="338"/>
    </row>
    <row r="75" ht="15.75" customHeight="1">
      <c r="A75" s="338"/>
      <c r="B75" s="338"/>
      <c r="C75" s="338"/>
      <c r="D75" s="338"/>
      <c r="E75" s="338"/>
      <c r="F75" s="338"/>
      <c r="G75" s="338"/>
      <c r="H75" s="338"/>
      <c r="I75" s="338"/>
      <c r="J75" s="338"/>
      <c r="K75" s="338"/>
      <c r="L75" s="338"/>
      <c r="M75" s="338"/>
      <c r="N75" s="338"/>
      <c r="O75" s="338"/>
      <c r="P75" s="338"/>
      <c r="Q75" s="338"/>
      <c r="R75" s="338"/>
      <c r="S75" s="338"/>
      <c r="T75" s="338"/>
      <c r="U75" s="338"/>
      <c r="V75" s="338"/>
      <c r="W75" s="338"/>
      <c r="X75" s="338"/>
      <c r="Y75" s="338"/>
      <c r="Z75" s="338"/>
    </row>
    <row r="76" ht="15.75" customHeight="1">
      <c r="A76" s="338"/>
      <c r="B76" s="338"/>
      <c r="C76" s="338"/>
      <c r="D76" s="338"/>
      <c r="E76" s="338"/>
      <c r="F76" s="338"/>
      <c r="G76" s="338"/>
      <c r="H76" s="338"/>
      <c r="I76" s="338"/>
      <c r="J76" s="338"/>
      <c r="K76" s="338"/>
      <c r="L76" s="338"/>
      <c r="M76" s="338"/>
      <c r="N76" s="338"/>
      <c r="O76" s="338"/>
      <c r="P76" s="338"/>
      <c r="Q76" s="338"/>
      <c r="R76" s="338"/>
      <c r="S76" s="338"/>
      <c r="T76" s="338"/>
      <c r="U76" s="338"/>
      <c r="V76" s="338"/>
      <c r="W76" s="338"/>
      <c r="X76" s="338"/>
      <c r="Y76" s="338"/>
      <c r="Z76" s="338"/>
    </row>
    <row r="77" ht="15.75" customHeight="1">
      <c r="A77" s="338"/>
      <c r="B77" s="338"/>
      <c r="C77" s="338"/>
      <c r="D77" s="338"/>
      <c r="E77" s="338"/>
      <c r="F77" s="338"/>
      <c r="G77" s="338"/>
      <c r="H77" s="338"/>
      <c r="I77" s="338"/>
      <c r="J77" s="338"/>
      <c r="K77" s="338"/>
      <c r="L77" s="338"/>
      <c r="M77" s="338"/>
      <c r="N77" s="338"/>
      <c r="O77" s="338"/>
      <c r="P77" s="338"/>
      <c r="Q77" s="338"/>
      <c r="R77" s="338"/>
      <c r="S77" s="338"/>
      <c r="T77" s="338"/>
      <c r="U77" s="338"/>
      <c r="V77" s="338"/>
      <c r="W77" s="338"/>
      <c r="X77" s="338"/>
      <c r="Y77" s="338"/>
      <c r="Z77" s="338"/>
    </row>
    <row r="78" ht="15.75" customHeight="1">
      <c r="A78" s="338"/>
      <c r="B78" s="338"/>
      <c r="C78" s="338"/>
      <c r="D78" s="338"/>
      <c r="E78" s="338"/>
      <c r="F78" s="338"/>
      <c r="G78" s="338"/>
      <c r="H78" s="338"/>
      <c r="I78" s="338"/>
      <c r="J78" s="338"/>
      <c r="K78" s="338"/>
      <c r="L78" s="338"/>
      <c r="M78" s="338"/>
      <c r="N78" s="338"/>
      <c r="O78" s="338"/>
      <c r="P78" s="338"/>
      <c r="Q78" s="338"/>
      <c r="R78" s="338"/>
      <c r="S78" s="338"/>
      <c r="T78" s="338"/>
      <c r="U78" s="338"/>
      <c r="V78" s="338"/>
      <c r="W78" s="338"/>
      <c r="X78" s="338"/>
      <c r="Y78" s="338"/>
      <c r="Z78" s="338"/>
    </row>
    <row r="79" ht="15.75" customHeight="1">
      <c r="A79" s="338"/>
      <c r="B79" s="338"/>
      <c r="C79" s="338"/>
      <c r="D79" s="338"/>
      <c r="E79" s="338"/>
      <c r="F79" s="338"/>
      <c r="G79" s="338"/>
      <c r="H79" s="338"/>
      <c r="I79" s="338"/>
      <c r="J79" s="338"/>
      <c r="K79" s="338"/>
      <c r="L79" s="338"/>
      <c r="M79" s="338"/>
      <c r="N79" s="338"/>
      <c r="O79" s="338"/>
      <c r="P79" s="338"/>
      <c r="Q79" s="338"/>
      <c r="R79" s="338"/>
      <c r="S79" s="338"/>
      <c r="T79" s="338"/>
      <c r="U79" s="338"/>
      <c r="V79" s="338"/>
      <c r="W79" s="338"/>
      <c r="X79" s="338"/>
      <c r="Y79" s="338"/>
      <c r="Z79" s="338"/>
    </row>
    <row r="80" ht="15.75" customHeight="1">
      <c r="A80" s="338"/>
      <c r="B80" s="338"/>
      <c r="C80" s="338"/>
      <c r="D80" s="338"/>
      <c r="E80" s="338"/>
      <c r="F80" s="338"/>
      <c r="G80" s="338"/>
      <c r="H80" s="338"/>
      <c r="I80" s="338"/>
      <c r="J80" s="338"/>
      <c r="K80" s="338"/>
      <c r="L80" s="338"/>
      <c r="M80" s="338"/>
      <c r="N80" s="338"/>
      <c r="O80" s="338"/>
      <c r="P80" s="338"/>
      <c r="Q80" s="338"/>
      <c r="R80" s="338"/>
      <c r="S80" s="338"/>
      <c r="T80" s="338"/>
      <c r="U80" s="338"/>
      <c r="V80" s="338"/>
      <c r="W80" s="338"/>
      <c r="X80" s="338"/>
      <c r="Y80" s="338"/>
      <c r="Z80" s="338"/>
    </row>
    <row r="81" ht="15.75" customHeight="1">
      <c r="A81" s="338"/>
      <c r="B81" s="338"/>
      <c r="C81" s="338"/>
      <c r="D81" s="338"/>
      <c r="E81" s="338"/>
      <c r="F81" s="338"/>
      <c r="G81" s="338"/>
      <c r="H81" s="338"/>
      <c r="I81" s="338"/>
      <c r="J81" s="338"/>
      <c r="K81" s="338"/>
      <c r="L81" s="338"/>
      <c r="M81" s="338"/>
      <c r="N81" s="338"/>
      <c r="O81" s="338"/>
      <c r="P81" s="338"/>
      <c r="Q81" s="338"/>
      <c r="R81" s="338"/>
      <c r="S81" s="338"/>
      <c r="T81" s="338"/>
      <c r="U81" s="338"/>
      <c r="V81" s="338"/>
      <c r="W81" s="338"/>
      <c r="X81" s="338"/>
      <c r="Y81" s="338"/>
      <c r="Z81" s="338"/>
    </row>
    <row r="82" ht="15.75" customHeight="1">
      <c r="A82" s="338"/>
      <c r="B82" s="338"/>
      <c r="C82" s="338"/>
      <c r="D82" s="338"/>
      <c r="E82" s="338"/>
      <c r="F82" s="338"/>
      <c r="G82" s="338"/>
      <c r="H82" s="338"/>
      <c r="I82" s="338"/>
      <c r="J82" s="338"/>
      <c r="K82" s="338"/>
      <c r="L82" s="338"/>
      <c r="M82" s="338"/>
      <c r="N82" s="338"/>
      <c r="O82" s="338"/>
      <c r="P82" s="338"/>
      <c r="Q82" s="338"/>
      <c r="R82" s="338"/>
      <c r="S82" s="338"/>
      <c r="T82" s="338"/>
      <c r="U82" s="338"/>
      <c r="V82" s="338"/>
      <c r="W82" s="338"/>
      <c r="X82" s="338"/>
      <c r="Y82" s="338"/>
      <c r="Z82" s="338"/>
    </row>
    <row r="83" ht="15.75" customHeight="1">
      <c r="A83" s="338"/>
      <c r="B83" s="338"/>
      <c r="C83" s="338"/>
      <c r="D83" s="338"/>
      <c r="E83" s="338"/>
      <c r="F83" s="338"/>
      <c r="G83" s="338"/>
      <c r="H83" s="338"/>
      <c r="I83" s="338"/>
      <c r="J83" s="338"/>
      <c r="K83" s="338"/>
      <c r="L83" s="338"/>
      <c r="M83" s="338"/>
      <c r="N83" s="338"/>
      <c r="O83" s="338"/>
      <c r="P83" s="338"/>
      <c r="Q83" s="338"/>
      <c r="R83" s="338"/>
      <c r="S83" s="338"/>
      <c r="T83" s="338"/>
      <c r="U83" s="338"/>
      <c r="V83" s="338"/>
      <c r="W83" s="338"/>
      <c r="X83" s="338"/>
      <c r="Y83" s="338"/>
      <c r="Z83" s="338"/>
    </row>
    <row r="84" ht="15.75" customHeight="1">
      <c r="A84" s="338"/>
      <c r="B84" s="338"/>
      <c r="C84" s="338"/>
      <c r="D84" s="338"/>
      <c r="E84" s="338"/>
      <c r="F84" s="338"/>
      <c r="G84" s="338"/>
      <c r="H84" s="338"/>
      <c r="I84" s="338"/>
      <c r="J84" s="338"/>
      <c r="K84" s="338"/>
      <c r="L84" s="338"/>
      <c r="M84" s="338"/>
      <c r="N84" s="338"/>
      <c r="O84" s="338"/>
      <c r="P84" s="338"/>
      <c r="Q84" s="338"/>
      <c r="R84" s="338"/>
      <c r="S84" s="338"/>
      <c r="T84" s="338"/>
      <c r="U84" s="338"/>
      <c r="V84" s="338"/>
      <c r="W84" s="338"/>
      <c r="X84" s="338"/>
      <c r="Y84" s="338"/>
      <c r="Z84" s="338"/>
    </row>
    <row r="85" ht="15.75" customHeight="1">
      <c r="A85" s="338"/>
      <c r="B85" s="338"/>
      <c r="C85" s="338"/>
      <c r="D85" s="338"/>
      <c r="E85" s="338"/>
      <c r="F85" s="338"/>
      <c r="G85" s="338"/>
      <c r="H85" s="338"/>
      <c r="I85" s="338"/>
      <c r="J85" s="338"/>
      <c r="K85" s="338"/>
      <c r="L85" s="338"/>
      <c r="M85" s="338"/>
      <c r="N85" s="338"/>
      <c r="O85" s="338"/>
      <c r="P85" s="338"/>
      <c r="Q85" s="338"/>
      <c r="R85" s="338"/>
      <c r="S85" s="338"/>
      <c r="T85" s="338"/>
      <c r="U85" s="338"/>
      <c r="V85" s="338"/>
      <c r="W85" s="338"/>
      <c r="X85" s="338"/>
      <c r="Y85" s="338"/>
      <c r="Z85" s="338"/>
    </row>
    <row r="86" ht="15.75" customHeight="1">
      <c r="A86" s="338"/>
      <c r="B86" s="338"/>
      <c r="C86" s="338"/>
      <c r="D86" s="338"/>
      <c r="E86" s="338"/>
      <c r="F86" s="338"/>
      <c r="G86" s="338"/>
      <c r="H86" s="338"/>
      <c r="I86" s="338"/>
      <c r="J86" s="338"/>
      <c r="K86" s="338"/>
      <c r="L86" s="338"/>
      <c r="M86" s="338"/>
      <c r="N86" s="338"/>
      <c r="O86" s="338"/>
      <c r="P86" s="338"/>
      <c r="Q86" s="338"/>
      <c r="R86" s="338"/>
      <c r="S86" s="338"/>
      <c r="T86" s="338"/>
      <c r="U86" s="338"/>
      <c r="V86" s="338"/>
      <c r="W86" s="338"/>
      <c r="X86" s="338"/>
      <c r="Y86" s="338"/>
      <c r="Z86" s="338"/>
    </row>
    <row r="87" ht="15.75" customHeight="1">
      <c r="A87" s="338"/>
      <c r="B87" s="338"/>
      <c r="C87" s="338"/>
      <c r="D87" s="338"/>
      <c r="E87" s="338"/>
      <c r="F87" s="338"/>
      <c r="G87" s="338"/>
      <c r="H87" s="338"/>
      <c r="I87" s="338"/>
      <c r="J87" s="338"/>
      <c r="K87" s="338"/>
      <c r="L87" s="338"/>
      <c r="M87" s="338"/>
      <c r="N87" s="338"/>
      <c r="O87" s="338"/>
      <c r="P87" s="338"/>
      <c r="Q87" s="338"/>
      <c r="R87" s="338"/>
      <c r="S87" s="338"/>
      <c r="T87" s="338"/>
      <c r="U87" s="338"/>
      <c r="V87" s="338"/>
      <c r="W87" s="338"/>
      <c r="X87" s="338"/>
      <c r="Y87" s="338"/>
      <c r="Z87" s="338"/>
    </row>
    <row r="88" ht="15.75" customHeight="1">
      <c r="A88" s="338"/>
      <c r="B88" s="338"/>
      <c r="C88" s="338"/>
      <c r="D88" s="338"/>
      <c r="E88" s="338"/>
      <c r="F88" s="338"/>
      <c r="G88" s="338"/>
      <c r="H88" s="338"/>
      <c r="I88" s="338"/>
      <c r="J88" s="338"/>
      <c r="K88" s="338"/>
      <c r="L88" s="338"/>
      <c r="M88" s="338"/>
      <c r="N88" s="338"/>
      <c r="O88" s="338"/>
      <c r="P88" s="338"/>
      <c r="Q88" s="338"/>
      <c r="R88" s="338"/>
      <c r="S88" s="338"/>
      <c r="T88" s="338"/>
      <c r="U88" s="338"/>
      <c r="V88" s="338"/>
      <c r="W88" s="338"/>
      <c r="X88" s="338"/>
      <c r="Y88" s="338"/>
      <c r="Z88" s="338"/>
    </row>
    <row r="89" ht="15.75" customHeight="1">
      <c r="A89" s="338"/>
      <c r="B89" s="338"/>
      <c r="C89" s="338"/>
      <c r="D89" s="338"/>
      <c r="E89" s="338"/>
      <c r="F89" s="338"/>
      <c r="G89" s="338"/>
      <c r="H89" s="338"/>
      <c r="I89" s="338"/>
      <c r="J89" s="338"/>
      <c r="K89" s="338"/>
      <c r="L89" s="338"/>
      <c r="M89" s="338"/>
      <c r="N89" s="338"/>
      <c r="O89" s="338"/>
      <c r="P89" s="338"/>
      <c r="Q89" s="338"/>
      <c r="R89" s="338"/>
      <c r="S89" s="338"/>
      <c r="T89" s="338"/>
      <c r="U89" s="338"/>
      <c r="V89" s="338"/>
      <c r="W89" s="338"/>
      <c r="X89" s="338"/>
      <c r="Y89" s="338"/>
      <c r="Z89" s="338"/>
    </row>
    <row r="90" ht="15.75" customHeight="1">
      <c r="A90" s="338"/>
      <c r="B90" s="338"/>
      <c r="C90" s="338"/>
      <c r="D90" s="338"/>
      <c r="E90" s="338"/>
      <c r="F90" s="338"/>
      <c r="G90" s="338"/>
      <c r="H90" s="338"/>
      <c r="I90" s="338"/>
      <c r="J90" s="338"/>
      <c r="K90" s="338"/>
      <c r="L90" s="338"/>
      <c r="M90" s="338"/>
      <c r="N90" s="338"/>
      <c r="O90" s="338"/>
      <c r="P90" s="338"/>
      <c r="Q90" s="338"/>
      <c r="R90" s="338"/>
      <c r="S90" s="338"/>
      <c r="T90" s="338"/>
      <c r="U90" s="338"/>
      <c r="V90" s="338"/>
      <c r="W90" s="338"/>
      <c r="X90" s="338"/>
      <c r="Y90" s="338"/>
      <c r="Z90" s="338"/>
    </row>
    <row r="91" ht="15.75" customHeight="1">
      <c r="A91" s="338"/>
      <c r="B91" s="338"/>
      <c r="C91" s="338"/>
      <c r="D91" s="338"/>
      <c r="E91" s="338"/>
      <c r="F91" s="338"/>
      <c r="G91" s="338"/>
      <c r="H91" s="338"/>
      <c r="I91" s="338"/>
      <c r="J91" s="338"/>
      <c r="K91" s="338"/>
      <c r="L91" s="338"/>
      <c r="M91" s="338"/>
      <c r="N91" s="338"/>
      <c r="O91" s="338"/>
      <c r="P91" s="338"/>
      <c r="Q91" s="338"/>
      <c r="R91" s="338"/>
      <c r="S91" s="338"/>
      <c r="T91" s="338"/>
      <c r="U91" s="338"/>
      <c r="V91" s="338"/>
      <c r="W91" s="338"/>
      <c r="X91" s="338"/>
      <c r="Y91" s="338"/>
      <c r="Z91" s="338"/>
    </row>
    <row r="92" ht="15.75" customHeight="1">
      <c r="A92" s="338"/>
      <c r="B92" s="338"/>
      <c r="C92" s="338"/>
      <c r="D92" s="338"/>
      <c r="E92" s="338"/>
      <c r="F92" s="338"/>
      <c r="G92" s="338"/>
      <c r="H92" s="338"/>
      <c r="I92" s="338"/>
      <c r="J92" s="338"/>
      <c r="K92" s="338"/>
      <c r="L92" s="338"/>
      <c r="M92" s="338"/>
      <c r="N92" s="338"/>
      <c r="O92" s="338"/>
      <c r="P92" s="338"/>
      <c r="Q92" s="338"/>
      <c r="R92" s="338"/>
      <c r="S92" s="338"/>
      <c r="T92" s="338"/>
      <c r="U92" s="338"/>
      <c r="V92" s="338"/>
      <c r="W92" s="338"/>
      <c r="X92" s="338"/>
      <c r="Y92" s="338"/>
      <c r="Z92" s="338"/>
    </row>
    <row r="93" ht="15.75" customHeight="1">
      <c r="A93" s="338"/>
      <c r="B93" s="338"/>
      <c r="C93" s="338"/>
      <c r="D93" s="338"/>
      <c r="E93" s="338"/>
      <c r="F93" s="338"/>
      <c r="G93" s="338"/>
      <c r="H93" s="338"/>
      <c r="I93" s="338"/>
      <c r="J93" s="338"/>
      <c r="K93" s="338"/>
      <c r="L93" s="338"/>
      <c r="M93" s="338"/>
      <c r="N93" s="338"/>
      <c r="O93" s="338"/>
      <c r="P93" s="338"/>
      <c r="Q93" s="338"/>
      <c r="R93" s="338"/>
      <c r="S93" s="338"/>
      <c r="T93" s="338"/>
      <c r="U93" s="338"/>
      <c r="V93" s="338"/>
      <c r="W93" s="338"/>
      <c r="X93" s="338"/>
      <c r="Y93" s="338"/>
      <c r="Z93" s="338"/>
    </row>
    <row r="94" ht="15.75" customHeight="1">
      <c r="A94" s="338"/>
      <c r="B94" s="338"/>
      <c r="C94" s="338"/>
      <c r="D94" s="338"/>
      <c r="E94" s="338"/>
      <c r="F94" s="338"/>
      <c r="G94" s="338"/>
      <c r="H94" s="338"/>
      <c r="I94" s="338"/>
      <c r="J94" s="338"/>
      <c r="K94" s="338"/>
      <c r="L94" s="338"/>
      <c r="M94" s="338"/>
      <c r="N94" s="338"/>
      <c r="O94" s="338"/>
      <c r="P94" s="338"/>
      <c r="Q94" s="338"/>
      <c r="R94" s="338"/>
      <c r="S94" s="338"/>
      <c r="T94" s="338"/>
      <c r="U94" s="338"/>
      <c r="V94" s="338"/>
      <c r="W94" s="338"/>
      <c r="X94" s="338"/>
      <c r="Y94" s="338"/>
      <c r="Z94" s="338"/>
    </row>
    <row r="95" ht="15.75" customHeight="1">
      <c r="A95" s="338"/>
      <c r="B95" s="338"/>
      <c r="C95" s="338"/>
      <c r="D95" s="338"/>
      <c r="E95" s="338"/>
      <c r="F95" s="338"/>
      <c r="G95" s="338"/>
      <c r="H95" s="338"/>
      <c r="I95" s="338"/>
      <c r="J95" s="338"/>
      <c r="K95" s="338"/>
      <c r="L95" s="338"/>
      <c r="M95" s="338"/>
      <c r="N95" s="338"/>
      <c r="O95" s="338"/>
      <c r="P95" s="338"/>
      <c r="Q95" s="338"/>
      <c r="R95" s="338"/>
      <c r="S95" s="338"/>
      <c r="T95" s="338"/>
      <c r="U95" s="338"/>
      <c r="V95" s="338"/>
      <c r="W95" s="338"/>
      <c r="X95" s="338"/>
      <c r="Y95" s="338"/>
      <c r="Z95" s="338"/>
    </row>
    <row r="96" ht="15.75" customHeight="1">
      <c r="A96" s="338"/>
      <c r="B96" s="338"/>
      <c r="C96" s="338"/>
      <c r="D96" s="338"/>
      <c r="E96" s="338"/>
      <c r="F96" s="338"/>
      <c r="G96" s="338"/>
      <c r="H96" s="338"/>
      <c r="I96" s="338"/>
      <c r="J96" s="338"/>
      <c r="K96" s="338"/>
      <c r="L96" s="338"/>
      <c r="M96" s="338"/>
      <c r="N96" s="338"/>
      <c r="O96" s="338"/>
      <c r="P96" s="338"/>
      <c r="Q96" s="338"/>
      <c r="R96" s="338"/>
      <c r="S96" s="338"/>
      <c r="T96" s="338"/>
      <c r="U96" s="338"/>
      <c r="V96" s="338"/>
      <c r="W96" s="338"/>
      <c r="X96" s="338"/>
      <c r="Y96" s="338"/>
      <c r="Z96" s="338"/>
    </row>
    <row r="97" ht="15.75" customHeight="1">
      <c r="A97" s="338"/>
      <c r="B97" s="338"/>
      <c r="C97" s="338"/>
      <c r="D97" s="338"/>
      <c r="E97" s="338"/>
      <c r="F97" s="338"/>
      <c r="G97" s="338"/>
      <c r="H97" s="338"/>
      <c r="I97" s="338"/>
      <c r="J97" s="338"/>
      <c r="K97" s="338"/>
      <c r="L97" s="338"/>
      <c r="M97" s="338"/>
      <c r="N97" s="338"/>
      <c r="O97" s="338"/>
      <c r="P97" s="338"/>
      <c r="Q97" s="338"/>
      <c r="R97" s="338"/>
      <c r="S97" s="338"/>
      <c r="T97" s="338"/>
      <c r="U97" s="338"/>
      <c r="V97" s="338"/>
      <c r="W97" s="338"/>
      <c r="X97" s="338"/>
      <c r="Y97" s="338"/>
      <c r="Z97" s="338"/>
    </row>
    <row r="98" ht="15.75" customHeight="1">
      <c r="A98" s="338"/>
      <c r="B98" s="338"/>
      <c r="C98" s="338"/>
      <c r="D98" s="338"/>
      <c r="E98" s="338"/>
      <c r="F98" s="338"/>
      <c r="G98" s="338"/>
      <c r="H98" s="338"/>
      <c r="I98" s="338"/>
      <c r="J98" s="338"/>
      <c r="K98" s="338"/>
      <c r="L98" s="338"/>
      <c r="M98" s="338"/>
      <c r="N98" s="338"/>
      <c r="O98" s="338"/>
      <c r="P98" s="338"/>
      <c r="Q98" s="338"/>
      <c r="R98" s="338"/>
      <c r="S98" s="338"/>
      <c r="T98" s="338"/>
      <c r="U98" s="338"/>
      <c r="V98" s="338"/>
      <c r="W98" s="338"/>
      <c r="X98" s="338"/>
      <c r="Y98" s="338"/>
      <c r="Z98" s="338"/>
    </row>
    <row r="99" ht="15.75" customHeight="1">
      <c r="A99" s="338"/>
      <c r="B99" s="338"/>
      <c r="C99" s="338"/>
      <c r="D99" s="338"/>
      <c r="E99" s="338"/>
      <c r="F99" s="338"/>
      <c r="G99" s="338"/>
      <c r="H99" s="338"/>
      <c r="I99" s="338"/>
      <c r="J99" s="338"/>
      <c r="K99" s="338"/>
      <c r="L99" s="338"/>
      <c r="M99" s="338"/>
      <c r="N99" s="338"/>
      <c r="O99" s="338"/>
      <c r="P99" s="338"/>
      <c r="Q99" s="338"/>
      <c r="R99" s="338"/>
      <c r="S99" s="338"/>
      <c r="T99" s="338"/>
      <c r="U99" s="338"/>
      <c r="V99" s="338"/>
      <c r="W99" s="338"/>
      <c r="X99" s="338"/>
      <c r="Y99" s="338"/>
      <c r="Z99" s="338"/>
    </row>
    <row r="100" ht="15.75" customHeight="1">
      <c r="A100" s="338"/>
      <c r="B100" s="338"/>
      <c r="C100" s="338"/>
      <c r="D100" s="338"/>
      <c r="E100" s="338"/>
      <c r="F100" s="338"/>
      <c r="G100" s="338"/>
      <c r="H100" s="338"/>
      <c r="I100" s="338"/>
      <c r="J100" s="338"/>
      <c r="K100" s="338"/>
      <c r="L100" s="338"/>
      <c r="M100" s="338"/>
      <c r="N100" s="338"/>
      <c r="O100" s="338"/>
      <c r="P100" s="338"/>
      <c r="Q100" s="338"/>
      <c r="R100" s="338"/>
      <c r="S100" s="338"/>
      <c r="T100" s="338"/>
      <c r="U100" s="338"/>
      <c r="V100" s="338"/>
      <c r="W100" s="338"/>
      <c r="X100" s="338"/>
      <c r="Y100" s="338"/>
      <c r="Z100" s="338"/>
    </row>
    <row r="101" ht="15.75" customHeight="1">
      <c r="A101" s="338"/>
      <c r="B101" s="338"/>
      <c r="C101" s="338"/>
      <c r="D101" s="338"/>
      <c r="E101" s="338"/>
      <c r="F101" s="338"/>
      <c r="G101" s="338"/>
      <c r="H101" s="338"/>
      <c r="I101" s="338"/>
      <c r="J101" s="338"/>
      <c r="K101" s="338"/>
      <c r="L101" s="338"/>
      <c r="M101" s="338"/>
      <c r="N101" s="338"/>
      <c r="O101" s="338"/>
      <c r="P101" s="338"/>
      <c r="Q101" s="338"/>
      <c r="R101" s="338"/>
      <c r="S101" s="338"/>
      <c r="T101" s="338"/>
      <c r="U101" s="338"/>
      <c r="V101" s="338"/>
      <c r="W101" s="338"/>
      <c r="X101" s="338"/>
      <c r="Y101" s="338"/>
      <c r="Z101" s="338"/>
    </row>
    <row r="102" ht="15.75" customHeight="1">
      <c r="A102" s="338"/>
      <c r="B102" s="338"/>
      <c r="C102" s="338"/>
      <c r="D102" s="338"/>
      <c r="E102" s="338"/>
      <c r="F102" s="338"/>
      <c r="G102" s="338"/>
      <c r="H102" s="338"/>
      <c r="I102" s="338"/>
      <c r="J102" s="338"/>
      <c r="K102" s="338"/>
      <c r="L102" s="338"/>
      <c r="M102" s="338"/>
      <c r="N102" s="338"/>
      <c r="O102" s="338"/>
      <c r="P102" s="338"/>
      <c r="Q102" s="338"/>
      <c r="R102" s="338"/>
      <c r="S102" s="338"/>
      <c r="T102" s="338"/>
      <c r="U102" s="338"/>
      <c r="V102" s="338"/>
      <c r="W102" s="338"/>
      <c r="X102" s="338"/>
      <c r="Y102" s="338"/>
      <c r="Z102" s="338"/>
    </row>
    <row r="103" ht="15.75" customHeight="1">
      <c r="A103" s="338"/>
      <c r="B103" s="338"/>
      <c r="C103" s="338"/>
      <c r="D103" s="338"/>
      <c r="E103" s="338"/>
      <c r="F103" s="338"/>
      <c r="G103" s="338"/>
      <c r="H103" s="338"/>
      <c r="I103" s="338"/>
      <c r="J103" s="338"/>
      <c r="K103" s="338"/>
      <c r="L103" s="338"/>
      <c r="M103" s="338"/>
      <c r="N103" s="338"/>
      <c r="O103" s="338"/>
      <c r="P103" s="338"/>
      <c r="Q103" s="338"/>
      <c r="R103" s="338"/>
      <c r="S103" s="338"/>
      <c r="T103" s="338"/>
      <c r="U103" s="338"/>
      <c r="V103" s="338"/>
      <c r="W103" s="338"/>
      <c r="X103" s="338"/>
      <c r="Y103" s="338"/>
      <c r="Z103" s="338"/>
    </row>
    <row r="104" ht="15.75" customHeight="1">
      <c r="A104" s="338"/>
      <c r="B104" s="338"/>
      <c r="C104" s="338"/>
      <c r="D104" s="338"/>
      <c r="E104" s="338"/>
      <c r="F104" s="338"/>
      <c r="G104" s="338"/>
      <c r="H104" s="338"/>
      <c r="I104" s="338"/>
      <c r="J104" s="338"/>
      <c r="K104" s="338"/>
      <c r="L104" s="338"/>
      <c r="M104" s="338"/>
      <c r="N104" s="338"/>
      <c r="O104" s="338"/>
      <c r="P104" s="338"/>
      <c r="Q104" s="338"/>
      <c r="R104" s="338"/>
      <c r="S104" s="338"/>
      <c r="T104" s="338"/>
      <c r="U104" s="338"/>
      <c r="V104" s="338"/>
      <c r="W104" s="338"/>
      <c r="X104" s="338"/>
      <c r="Y104" s="338"/>
      <c r="Z104" s="338"/>
    </row>
    <row r="105" ht="15.75" customHeight="1">
      <c r="A105" s="338"/>
      <c r="B105" s="338"/>
      <c r="C105" s="338"/>
      <c r="D105" s="338"/>
      <c r="E105" s="338"/>
      <c r="F105" s="338"/>
      <c r="G105" s="338"/>
      <c r="H105" s="338"/>
      <c r="I105" s="338"/>
      <c r="J105" s="338"/>
      <c r="K105" s="338"/>
      <c r="L105" s="338"/>
      <c r="M105" s="338"/>
      <c r="N105" s="338"/>
      <c r="O105" s="338"/>
      <c r="P105" s="338"/>
      <c r="Q105" s="338"/>
      <c r="R105" s="338"/>
      <c r="S105" s="338"/>
      <c r="T105" s="338"/>
      <c r="U105" s="338"/>
      <c r="V105" s="338"/>
      <c r="W105" s="338"/>
      <c r="X105" s="338"/>
      <c r="Y105" s="338"/>
      <c r="Z105" s="338"/>
    </row>
    <row r="106" ht="15.75" customHeight="1">
      <c r="A106" s="338"/>
      <c r="B106" s="338"/>
      <c r="C106" s="338"/>
      <c r="D106" s="338"/>
      <c r="E106" s="338"/>
      <c r="F106" s="338"/>
      <c r="G106" s="338"/>
      <c r="H106" s="338"/>
      <c r="I106" s="338"/>
      <c r="J106" s="338"/>
      <c r="K106" s="338"/>
      <c r="L106" s="338"/>
      <c r="M106" s="338"/>
      <c r="N106" s="338"/>
      <c r="O106" s="338"/>
      <c r="P106" s="338"/>
      <c r="Q106" s="338"/>
      <c r="R106" s="338"/>
      <c r="S106" s="338"/>
      <c r="T106" s="338"/>
      <c r="U106" s="338"/>
      <c r="V106" s="338"/>
      <c r="W106" s="338"/>
      <c r="X106" s="338"/>
      <c r="Y106" s="338"/>
      <c r="Z106" s="338"/>
    </row>
    <row r="107" ht="15.75" customHeight="1">
      <c r="A107" s="338"/>
      <c r="B107" s="338"/>
      <c r="C107" s="338"/>
      <c r="D107" s="338"/>
      <c r="E107" s="338"/>
      <c r="F107" s="338"/>
      <c r="G107" s="338"/>
      <c r="H107" s="338"/>
      <c r="I107" s="338"/>
      <c r="J107" s="338"/>
      <c r="K107" s="338"/>
      <c r="L107" s="338"/>
      <c r="M107" s="338"/>
      <c r="N107" s="338"/>
      <c r="O107" s="338"/>
      <c r="P107" s="338"/>
      <c r="Q107" s="338"/>
      <c r="R107" s="338"/>
      <c r="S107" s="338"/>
      <c r="T107" s="338"/>
      <c r="U107" s="338"/>
      <c r="V107" s="338"/>
      <c r="W107" s="338"/>
      <c r="X107" s="338"/>
      <c r="Y107" s="338"/>
      <c r="Z107" s="338"/>
    </row>
    <row r="108" ht="15.75" customHeight="1">
      <c r="A108" s="338"/>
      <c r="B108" s="338"/>
      <c r="C108" s="338"/>
      <c r="D108" s="338"/>
      <c r="E108" s="338"/>
      <c r="F108" s="338"/>
      <c r="G108" s="338"/>
      <c r="H108" s="338"/>
      <c r="I108" s="338"/>
      <c r="J108" s="338"/>
      <c r="K108" s="338"/>
      <c r="L108" s="338"/>
      <c r="M108" s="338"/>
      <c r="N108" s="338"/>
      <c r="O108" s="338"/>
      <c r="P108" s="338"/>
      <c r="Q108" s="338"/>
      <c r="R108" s="338"/>
      <c r="S108" s="338"/>
      <c r="T108" s="338"/>
      <c r="U108" s="338"/>
      <c r="V108" s="338"/>
      <c r="W108" s="338"/>
      <c r="X108" s="338"/>
      <c r="Y108" s="338"/>
      <c r="Z108" s="338"/>
    </row>
    <row r="109" ht="15.75" customHeight="1">
      <c r="A109" s="338"/>
      <c r="B109" s="338"/>
      <c r="C109" s="338"/>
      <c r="D109" s="338"/>
      <c r="E109" s="338"/>
      <c r="F109" s="338"/>
      <c r="G109" s="338"/>
      <c r="H109" s="338"/>
      <c r="I109" s="338"/>
      <c r="J109" s="338"/>
      <c r="K109" s="338"/>
      <c r="L109" s="338"/>
      <c r="M109" s="338"/>
      <c r="N109" s="338"/>
      <c r="O109" s="338"/>
      <c r="P109" s="338"/>
      <c r="Q109" s="338"/>
      <c r="R109" s="338"/>
      <c r="S109" s="338"/>
      <c r="T109" s="338"/>
      <c r="U109" s="338"/>
      <c r="V109" s="338"/>
      <c r="W109" s="338"/>
      <c r="X109" s="338"/>
      <c r="Y109" s="338"/>
      <c r="Z109" s="338"/>
    </row>
    <row r="110" ht="15.75" customHeight="1">
      <c r="A110" s="338"/>
      <c r="B110" s="338"/>
      <c r="C110" s="338"/>
      <c r="D110" s="338"/>
      <c r="E110" s="338"/>
      <c r="F110" s="338"/>
      <c r="G110" s="338"/>
      <c r="H110" s="338"/>
      <c r="I110" s="338"/>
      <c r="J110" s="338"/>
      <c r="K110" s="338"/>
      <c r="L110" s="338"/>
      <c r="M110" s="338"/>
      <c r="N110" s="338"/>
      <c r="O110" s="338"/>
      <c r="P110" s="338"/>
      <c r="Q110" s="338"/>
      <c r="R110" s="338"/>
      <c r="S110" s="338"/>
      <c r="T110" s="338"/>
      <c r="U110" s="338"/>
      <c r="V110" s="338"/>
      <c r="W110" s="338"/>
      <c r="X110" s="338"/>
      <c r="Y110" s="338"/>
      <c r="Z110" s="338"/>
    </row>
    <row r="111" ht="15.75" customHeight="1">
      <c r="A111" s="338"/>
      <c r="B111" s="338"/>
      <c r="C111" s="338"/>
      <c r="D111" s="338"/>
      <c r="E111" s="338"/>
      <c r="F111" s="338"/>
      <c r="G111" s="338"/>
      <c r="H111" s="338"/>
      <c r="I111" s="338"/>
      <c r="J111" s="338"/>
      <c r="K111" s="338"/>
      <c r="L111" s="338"/>
      <c r="M111" s="338"/>
      <c r="N111" s="338"/>
      <c r="O111" s="338"/>
      <c r="P111" s="338"/>
      <c r="Q111" s="338"/>
      <c r="R111" s="338"/>
      <c r="S111" s="338"/>
      <c r="T111" s="338"/>
      <c r="U111" s="338"/>
      <c r="V111" s="338"/>
      <c r="W111" s="338"/>
      <c r="X111" s="338"/>
      <c r="Y111" s="338"/>
      <c r="Z111" s="338"/>
    </row>
    <row r="112" ht="15.75" customHeight="1">
      <c r="A112" s="338"/>
      <c r="B112" s="338"/>
      <c r="C112" s="338"/>
      <c r="D112" s="338"/>
      <c r="E112" s="338"/>
      <c r="F112" s="338"/>
      <c r="G112" s="338"/>
      <c r="H112" s="338"/>
      <c r="I112" s="338"/>
      <c r="J112" s="338"/>
      <c r="K112" s="338"/>
      <c r="L112" s="338"/>
      <c r="M112" s="338"/>
      <c r="N112" s="338"/>
      <c r="O112" s="338"/>
      <c r="P112" s="338"/>
      <c r="Q112" s="338"/>
      <c r="R112" s="338"/>
      <c r="S112" s="338"/>
      <c r="T112" s="338"/>
      <c r="U112" s="338"/>
      <c r="V112" s="338"/>
      <c r="W112" s="338"/>
      <c r="X112" s="338"/>
      <c r="Y112" s="338"/>
      <c r="Z112" s="338"/>
    </row>
    <row r="113" ht="15.75" customHeight="1">
      <c r="A113" s="338"/>
      <c r="B113" s="338"/>
      <c r="C113" s="338"/>
      <c r="D113" s="338"/>
      <c r="E113" s="338"/>
      <c r="F113" s="338"/>
      <c r="G113" s="338"/>
      <c r="H113" s="338"/>
      <c r="I113" s="338"/>
      <c r="J113" s="338"/>
      <c r="K113" s="338"/>
      <c r="L113" s="338"/>
      <c r="M113" s="338"/>
      <c r="N113" s="338"/>
      <c r="O113" s="338"/>
      <c r="P113" s="338"/>
      <c r="Q113" s="338"/>
      <c r="R113" s="338"/>
      <c r="S113" s="338"/>
      <c r="T113" s="338"/>
      <c r="U113" s="338"/>
      <c r="V113" s="338"/>
      <c r="W113" s="338"/>
      <c r="X113" s="338"/>
      <c r="Y113" s="338"/>
      <c r="Z113" s="338"/>
    </row>
    <row r="114" ht="15.75" customHeight="1">
      <c r="A114" s="338"/>
      <c r="B114" s="338"/>
      <c r="C114" s="338"/>
      <c r="D114" s="338"/>
      <c r="E114" s="338"/>
      <c r="F114" s="338"/>
      <c r="G114" s="338"/>
      <c r="H114" s="338"/>
      <c r="I114" s="338"/>
      <c r="J114" s="338"/>
      <c r="K114" s="338"/>
      <c r="L114" s="338"/>
      <c r="M114" s="338"/>
      <c r="N114" s="338"/>
      <c r="O114" s="338"/>
      <c r="P114" s="338"/>
      <c r="Q114" s="338"/>
      <c r="R114" s="338"/>
      <c r="S114" s="338"/>
      <c r="T114" s="338"/>
      <c r="U114" s="338"/>
      <c r="V114" s="338"/>
      <c r="W114" s="338"/>
      <c r="X114" s="338"/>
      <c r="Y114" s="338"/>
      <c r="Z114" s="338"/>
    </row>
    <row r="115" ht="15.75" customHeight="1">
      <c r="A115" s="338"/>
      <c r="B115" s="338"/>
      <c r="C115" s="338"/>
      <c r="D115" s="338"/>
      <c r="E115" s="338"/>
      <c r="F115" s="338"/>
      <c r="G115" s="338"/>
      <c r="H115" s="338"/>
      <c r="I115" s="338"/>
      <c r="J115" s="338"/>
      <c r="K115" s="338"/>
      <c r="L115" s="338"/>
      <c r="M115" s="338"/>
      <c r="N115" s="338"/>
      <c r="O115" s="338"/>
      <c r="P115" s="338"/>
      <c r="Q115" s="338"/>
      <c r="R115" s="338"/>
      <c r="S115" s="338"/>
      <c r="T115" s="338"/>
      <c r="U115" s="338"/>
      <c r="V115" s="338"/>
      <c r="W115" s="338"/>
      <c r="X115" s="338"/>
      <c r="Y115" s="338"/>
      <c r="Z115" s="338"/>
    </row>
    <row r="116" ht="15.75" customHeight="1">
      <c r="A116" s="338"/>
      <c r="B116" s="338"/>
      <c r="C116" s="338"/>
      <c r="D116" s="338"/>
      <c r="E116" s="338"/>
      <c r="F116" s="338"/>
      <c r="G116" s="338"/>
      <c r="H116" s="338"/>
      <c r="I116" s="338"/>
      <c r="J116" s="338"/>
      <c r="K116" s="338"/>
      <c r="L116" s="338"/>
      <c r="M116" s="338"/>
      <c r="N116" s="338"/>
      <c r="O116" s="338"/>
      <c r="P116" s="338"/>
      <c r="Q116" s="338"/>
      <c r="R116" s="338"/>
      <c r="S116" s="338"/>
      <c r="T116" s="338"/>
      <c r="U116" s="338"/>
      <c r="V116" s="338"/>
      <c r="W116" s="338"/>
      <c r="X116" s="338"/>
      <c r="Y116" s="338"/>
      <c r="Z116" s="338"/>
    </row>
    <row r="117" ht="15.75" customHeight="1">
      <c r="A117" s="338"/>
      <c r="B117" s="338"/>
      <c r="C117" s="338"/>
      <c r="D117" s="338"/>
      <c r="E117" s="338"/>
      <c r="F117" s="338"/>
      <c r="G117" s="338"/>
      <c r="H117" s="338"/>
      <c r="I117" s="338"/>
      <c r="J117" s="338"/>
      <c r="K117" s="338"/>
      <c r="L117" s="338"/>
      <c r="M117" s="338"/>
      <c r="N117" s="338"/>
      <c r="O117" s="338"/>
      <c r="P117" s="338"/>
      <c r="Q117" s="338"/>
      <c r="R117" s="338"/>
      <c r="S117" s="338"/>
      <c r="T117" s="338"/>
      <c r="U117" s="338"/>
      <c r="V117" s="338"/>
      <c r="W117" s="338"/>
      <c r="X117" s="338"/>
      <c r="Y117" s="338"/>
      <c r="Z117" s="338"/>
    </row>
    <row r="118" ht="15.75" customHeight="1">
      <c r="A118" s="338"/>
      <c r="B118" s="338"/>
      <c r="C118" s="338"/>
      <c r="D118" s="338"/>
      <c r="E118" s="338"/>
      <c r="F118" s="338"/>
      <c r="G118" s="338"/>
      <c r="H118" s="338"/>
      <c r="I118" s="338"/>
      <c r="J118" s="338"/>
      <c r="K118" s="338"/>
      <c r="L118" s="338"/>
      <c r="M118" s="338"/>
      <c r="N118" s="338"/>
      <c r="O118" s="338"/>
      <c r="P118" s="338"/>
      <c r="Q118" s="338"/>
      <c r="R118" s="338"/>
      <c r="S118" s="338"/>
      <c r="T118" s="338"/>
      <c r="U118" s="338"/>
      <c r="V118" s="338"/>
      <c r="W118" s="338"/>
      <c r="X118" s="338"/>
      <c r="Y118" s="338"/>
      <c r="Z118" s="338"/>
    </row>
    <row r="119" ht="15.75" customHeight="1">
      <c r="A119" s="338"/>
      <c r="B119" s="338"/>
      <c r="C119" s="338"/>
      <c r="D119" s="338"/>
      <c r="E119" s="338"/>
      <c r="F119" s="338"/>
      <c r="G119" s="338"/>
      <c r="H119" s="338"/>
      <c r="I119" s="338"/>
      <c r="J119" s="338"/>
      <c r="K119" s="338"/>
      <c r="L119" s="338"/>
      <c r="M119" s="338"/>
      <c r="N119" s="338"/>
      <c r="O119" s="338"/>
      <c r="P119" s="338"/>
      <c r="Q119" s="338"/>
      <c r="R119" s="338"/>
      <c r="S119" s="338"/>
      <c r="T119" s="338"/>
      <c r="U119" s="338"/>
      <c r="V119" s="338"/>
      <c r="W119" s="338"/>
      <c r="X119" s="338"/>
      <c r="Y119" s="338"/>
      <c r="Z119" s="338"/>
    </row>
    <row r="120" ht="15.75" customHeight="1">
      <c r="A120" s="338"/>
      <c r="B120" s="338"/>
      <c r="C120" s="338"/>
      <c r="D120" s="338"/>
      <c r="E120" s="338"/>
      <c r="F120" s="338"/>
      <c r="G120" s="338"/>
      <c r="H120" s="338"/>
      <c r="I120" s="338"/>
      <c r="J120" s="338"/>
      <c r="K120" s="338"/>
      <c r="L120" s="338"/>
      <c r="M120" s="338"/>
      <c r="N120" s="338"/>
      <c r="O120" s="338"/>
      <c r="P120" s="338"/>
      <c r="Q120" s="338"/>
      <c r="R120" s="338"/>
      <c r="S120" s="338"/>
      <c r="T120" s="338"/>
      <c r="U120" s="338"/>
      <c r="V120" s="338"/>
      <c r="W120" s="338"/>
      <c r="X120" s="338"/>
      <c r="Y120" s="338"/>
      <c r="Z120" s="338"/>
    </row>
    <row r="121" ht="15.75" customHeight="1">
      <c r="A121" s="338"/>
      <c r="B121" s="338"/>
      <c r="C121" s="338"/>
      <c r="D121" s="338"/>
      <c r="E121" s="338"/>
      <c r="F121" s="338"/>
      <c r="G121" s="338"/>
      <c r="H121" s="338"/>
      <c r="I121" s="338"/>
      <c r="J121" s="338"/>
      <c r="K121" s="338"/>
      <c r="L121" s="338"/>
      <c r="M121" s="338"/>
      <c r="N121" s="338"/>
      <c r="O121" s="338"/>
      <c r="P121" s="338"/>
      <c r="Q121" s="338"/>
      <c r="R121" s="338"/>
      <c r="S121" s="338"/>
      <c r="T121" s="338"/>
      <c r="U121" s="338"/>
      <c r="V121" s="338"/>
      <c r="W121" s="338"/>
      <c r="X121" s="338"/>
      <c r="Y121" s="338"/>
      <c r="Z121" s="338"/>
    </row>
    <row r="122" ht="15.75" customHeight="1">
      <c r="A122" s="338"/>
      <c r="B122" s="338"/>
      <c r="C122" s="338"/>
      <c r="D122" s="338"/>
      <c r="E122" s="338"/>
      <c r="F122" s="338"/>
      <c r="G122" s="338"/>
      <c r="H122" s="338"/>
      <c r="I122" s="338"/>
      <c r="J122" s="338"/>
      <c r="K122" s="338"/>
      <c r="L122" s="338"/>
      <c r="M122" s="338"/>
      <c r="N122" s="338"/>
      <c r="O122" s="338"/>
      <c r="P122" s="338"/>
      <c r="Q122" s="338"/>
      <c r="R122" s="338"/>
      <c r="S122" s="338"/>
      <c r="T122" s="338"/>
      <c r="U122" s="338"/>
      <c r="V122" s="338"/>
      <c r="W122" s="338"/>
      <c r="X122" s="338"/>
      <c r="Y122" s="338"/>
      <c r="Z122" s="338"/>
    </row>
    <row r="123" ht="15.75" customHeight="1">
      <c r="A123" s="338"/>
      <c r="B123" s="338"/>
      <c r="C123" s="338"/>
      <c r="D123" s="338"/>
      <c r="E123" s="338"/>
      <c r="F123" s="338"/>
      <c r="G123" s="338"/>
      <c r="H123" s="338"/>
      <c r="I123" s="338"/>
      <c r="J123" s="338"/>
      <c r="K123" s="338"/>
      <c r="L123" s="338"/>
      <c r="M123" s="338"/>
      <c r="N123" s="338"/>
      <c r="O123" s="338"/>
      <c r="P123" s="338"/>
      <c r="Q123" s="338"/>
      <c r="R123" s="338"/>
      <c r="S123" s="338"/>
      <c r="T123" s="338"/>
      <c r="U123" s="338"/>
      <c r="V123" s="338"/>
      <c r="W123" s="338"/>
      <c r="X123" s="338"/>
      <c r="Y123" s="338"/>
      <c r="Z123" s="338"/>
    </row>
    <row r="124" ht="15.75" customHeight="1">
      <c r="A124" s="338"/>
      <c r="B124" s="338"/>
      <c r="C124" s="338"/>
      <c r="D124" s="338"/>
      <c r="E124" s="338"/>
      <c r="F124" s="338"/>
      <c r="G124" s="338"/>
      <c r="H124" s="338"/>
      <c r="I124" s="338"/>
      <c r="J124" s="338"/>
      <c r="K124" s="338"/>
      <c r="L124" s="338"/>
      <c r="M124" s="338"/>
      <c r="N124" s="338"/>
      <c r="O124" s="338"/>
      <c r="P124" s="338"/>
      <c r="Q124" s="338"/>
      <c r="R124" s="338"/>
      <c r="S124" s="338"/>
      <c r="T124" s="338"/>
      <c r="U124" s="338"/>
      <c r="V124" s="338"/>
      <c r="W124" s="338"/>
      <c r="X124" s="338"/>
      <c r="Y124" s="338"/>
      <c r="Z124" s="338"/>
    </row>
    <row r="125" ht="15.75" customHeight="1">
      <c r="A125" s="338"/>
      <c r="B125" s="338"/>
      <c r="C125" s="338"/>
      <c r="D125" s="338"/>
      <c r="E125" s="338"/>
      <c r="F125" s="338"/>
      <c r="G125" s="338"/>
      <c r="H125" s="338"/>
      <c r="I125" s="338"/>
      <c r="J125" s="338"/>
      <c r="K125" s="338"/>
      <c r="L125" s="338"/>
      <c r="M125" s="338"/>
      <c r="N125" s="338"/>
      <c r="O125" s="338"/>
      <c r="P125" s="338"/>
      <c r="Q125" s="338"/>
      <c r="R125" s="338"/>
      <c r="S125" s="338"/>
      <c r="T125" s="338"/>
      <c r="U125" s="338"/>
      <c r="V125" s="338"/>
      <c r="W125" s="338"/>
      <c r="X125" s="338"/>
      <c r="Y125" s="338"/>
      <c r="Z125" s="338"/>
    </row>
    <row r="126" ht="15.75" customHeight="1">
      <c r="A126" s="338"/>
      <c r="B126" s="338"/>
      <c r="C126" s="338"/>
      <c r="D126" s="338"/>
      <c r="E126" s="338"/>
      <c r="F126" s="338"/>
      <c r="G126" s="338"/>
      <c r="H126" s="338"/>
      <c r="I126" s="338"/>
      <c r="J126" s="338"/>
      <c r="K126" s="338"/>
      <c r="L126" s="338"/>
      <c r="M126" s="338"/>
      <c r="N126" s="338"/>
      <c r="O126" s="338"/>
      <c r="P126" s="338"/>
      <c r="Q126" s="338"/>
      <c r="R126" s="338"/>
      <c r="S126" s="338"/>
      <c r="T126" s="338"/>
      <c r="U126" s="338"/>
      <c r="V126" s="338"/>
      <c r="W126" s="338"/>
      <c r="X126" s="338"/>
      <c r="Y126" s="338"/>
      <c r="Z126" s="338"/>
    </row>
    <row r="127" ht="15.75" customHeight="1">
      <c r="A127" s="338"/>
      <c r="B127" s="338"/>
      <c r="C127" s="338"/>
      <c r="D127" s="338"/>
      <c r="E127" s="338"/>
      <c r="F127" s="338"/>
      <c r="G127" s="338"/>
      <c r="H127" s="338"/>
      <c r="I127" s="338"/>
      <c r="J127" s="338"/>
      <c r="K127" s="338"/>
      <c r="L127" s="338"/>
      <c r="M127" s="338"/>
      <c r="N127" s="338"/>
      <c r="O127" s="338"/>
      <c r="P127" s="338"/>
      <c r="Q127" s="338"/>
      <c r="R127" s="338"/>
      <c r="S127" s="338"/>
      <c r="T127" s="338"/>
      <c r="U127" s="338"/>
      <c r="V127" s="338"/>
      <c r="W127" s="338"/>
      <c r="X127" s="338"/>
      <c r="Y127" s="338"/>
      <c r="Z127" s="338"/>
    </row>
    <row r="128" ht="15.75" customHeight="1">
      <c r="A128" s="338"/>
      <c r="B128" s="338"/>
      <c r="C128" s="338"/>
      <c r="D128" s="338"/>
      <c r="E128" s="338"/>
      <c r="F128" s="338"/>
      <c r="G128" s="338"/>
      <c r="H128" s="338"/>
      <c r="I128" s="338"/>
      <c r="J128" s="338"/>
      <c r="K128" s="338"/>
      <c r="L128" s="338"/>
      <c r="M128" s="338"/>
      <c r="N128" s="338"/>
      <c r="O128" s="338"/>
      <c r="P128" s="338"/>
      <c r="Q128" s="338"/>
      <c r="R128" s="338"/>
      <c r="S128" s="338"/>
      <c r="T128" s="338"/>
      <c r="U128" s="338"/>
      <c r="V128" s="338"/>
      <c r="W128" s="338"/>
      <c r="X128" s="338"/>
      <c r="Y128" s="338"/>
      <c r="Z128" s="338"/>
    </row>
    <row r="129" ht="15.75" customHeight="1">
      <c r="A129" s="338"/>
      <c r="B129" s="338"/>
      <c r="C129" s="338"/>
      <c r="D129" s="338"/>
      <c r="E129" s="338"/>
      <c r="F129" s="338"/>
      <c r="G129" s="338"/>
      <c r="H129" s="338"/>
      <c r="I129" s="338"/>
      <c r="J129" s="338"/>
      <c r="K129" s="338"/>
      <c r="L129" s="338"/>
      <c r="M129" s="338"/>
      <c r="N129" s="338"/>
      <c r="O129" s="338"/>
      <c r="P129" s="338"/>
      <c r="Q129" s="338"/>
      <c r="R129" s="338"/>
      <c r="S129" s="338"/>
      <c r="T129" s="338"/>
      <c r="U129" s="338"/>
      <c r="V129" s="338"/>
      <c r="W129" s="338"/>
      <c r="X129" s="338"/>
      <c r="Y129" s="338"/>
      <c r="Z129" s="338"/>
    </row>
    <row r="130" ht="15.75" customHeight="1">
      <c r="A130" s="338"/>
      <c r="B130" s="338"/>
      <c r="C130" s="338"/>
      <c r="D130" s="338"/>
      <c r="E130" s="338"/>
      <c r="F130" s="338"/>
      <c r="G130" s="338"/>
      <c r="H130" s="338"/>
      <c r="I130" s="338"/>
      <c r="J130" s="338"/>
      <c r="K130" s="338"/>
      <c r="L130" s="338"/>
      <c r="M130" s="338"/>
      <c r="N130" s="338"/>
      <c r="O130" s="338"/>
      <c r="P130" s="338"/>
      <c r="Q130" s="338"/>
      <c r="R130" s="338"/>
      <c r="S130" s="338"/>
      <c r="T130" s="338"/>
      <c r="U130" s="338"/>
      <c r="V130" s="338"/>
      <c r="W130" s="338"/>
      <c r="X130" s="338"/>
      <c r="Y130" s="338"/>
      <c r="Z130" s="338"/>
    </row>
    <row r="131" ht="15.75" customHeight="1">
      <c r="A131" s="338"/>
      <c r="B131" s="338"/>
      <c r="C131" s="338"/>
      <c r="D131" s="338"/>
      <c r="E131" s="338"/>
      <c r="F131" s="338"/>
      <c r="G131" s="338"/>
      <c r="H131" s="338"/>
      <c r="I131" s="338"/>
      <c r="J131" s="338"/>
      <c r="K131" s="338"/>
      <c r="L131" s="338"/>
      <c r="M131" s="338"/>
      <c r="N131" s="338"/>
      <c r="O131" s="338"/>
      <c r="P131" s="338"/>
      <c r="Q131" s="338"/>
      <c r="R131" s="338"/>
      <c r="S131" s="338"/>
      <c r="T131" s="338"/>
      <c r="U131" s="338"/>
      <c r="V131" s="338"/>
      <c r="W131" s="338"/>
      <c r="X131" s="338"/>
      <c r="Y131" s="338"/>
      <c r="Z131" s="338"/>
    </row>
    <row r="132" ht="15.75" customHeight="1">
      <c r="A132" s="338"/>
      <c r="B132" s="338"/>
      <c r="C132" s="338"/>
      <c r="D132" s="338"/>
      <c r="E132" s="338"/>
      <c r="F132" s="338"/>
      <c r="G132" s="338"/>
      <c r="H132" s="338"/>
      <c r="I132" s="338"/>
      <c r="J132" s="338"/>
      <c r="K132" s="338"/>
      <c r="L132" s="338"/>
      <c r="M132" s="338"/>
      <c r="N132" s="338"/>
      <c r="O132" s="338"/>
      <c r="P132" s="338"/>
      <c r="Q132" s="338"/>
      <c r="R132" s="338"/>
      <c r="S132" s="338"/>
      <c r="T132" s="338"/>
      <c r="U132" s="338"/>
      <c r="V132" s="338"/>
      <c r="W132" s="338"/>
      <c r="X132" s="338"/>
      <c r="Y132" s="338"/>
      <c r="Z132" s="338"/>
    </row>
    <row r="133" ht="15.75" customHeight="1">
      <c r="A133" s="338"/>
      <c r="B133" s="338"/>
      <c r="C133" s="338"/>
      <c r="D133" s="338"/>
      <c r="E133" s="338"/>
      <c r="F133" s="338"/>
      <c r="G133" s="338"/>
      <c r="H133" s="338"/>
      <c r="I133" s="338"/>
      <c r="J133" s="338"/>
      <c r="K133" s="338"/>
      <c r="L133" s="338"/>
      <c r="M133" s="338"/>
      <c r="N133" s="338"/>
      <c r="O133" s="338"/>
      <c r="P133" s="338"/>
      <c r="Q133" s="338"/>
      <c r="R133" s="338"/>
      <c r="S133" s="338"/>
      <c r="T133" s="338"/>
      <c r="U133" s="338"/>
      <c r="V133" s="338"/>
      <c r="W133" s="338"/>
      <c r="X133" s="338"/>
      <c r="Y133" s="338"/>
      <c r="Z133" s="338"/>
    </row>
    <row r="134" ht="15.75" customHeight="1">
      <c r="A134" s="338"/>
      <c r="B134" s="338"/>
      <c r="C134" s="338"/>
      <c r="D134" s="338"/>
      <c r="E134" s="338"/>
      <c r="F134" s="338"/>
      <c r="G134" s="338"/>
      <c r="H134" s="338"/>
      <c r="I134" s="338"/>
      <c r="J134" s="338"/>
      <c r="K134" s="338"/>
      <c r="L134" s="338"/>
      <c r="M134" s="338"/>
      <c r="N134" s="338"/>
      <c r="O134" s="338"/>
      <c r="P134" s="338"/>
      <c r="Q134" s="338"/>
      <c r="R134" s="338"/>
      <c r="S134" s="338"/>
      <c r="T134" s="338"/>
      <c r="U134" s="338"/>
      <c r="V134" s="338"/>
      <c r="W134" s="338"/>
      <c r="X134" s="338"/>
      <c r="Y134" s="338"/>
      <c r="Z134" s="338"/>
    </row>
    <row r="135" ht="15.75" customHeight="1">
      <c r="A135" s="338"/>
      <c r="B135" s="338"/>
      <c r="C135" s="338"/>
      <c r="D135" s="338"/>
      <c r="E135" s="338"/>
      <c r="F135" s="338"/>
      <c r="G135" s="338"/>
      <c r="H135" s="338"/>
      <c r="I135" s="338"/>
      <c r="J135" s="338"/>
      <c r="K135" s="338"/>
      <c r="L135" s="338"/>
      <c r="M135" s="338"/>
      <c r="N135" s="338"/>
      <c r="O135" s="338"/>
      <c r="P135" s="338"/>
      <c r="Q135" s="338"/>
      <c r="R135" s="338"/>
      <c r="S135" s="338"/>
      <c r="T135" s="338"/>
      <c r="U135" s="338"/>
      <c r="V135" s="338"/>
      <c r="W135" s="338"/>
      <c r="X135" s="338"/>
      <c r="Y135" s="338"/>
      <c r="Z135" s="338"/>
    </row>
    <row r="136" ht="15.75" customHeight="1">
      <c r="A136" s="338"/>
      <c r="B136" s="338"/>
      <c r="C136" s="338"/>
      <c r="D136" s="338"/>
      <c r="E136" s="338"/>
      <c r="F136" s="338"/>
      <c r="G136" s="338"/>
      <c r="H136" s="338"/>
      <c r="I136" s="338"/>
      <c r="J136" s="338"/>
      <c r="K136" s="338"/>
      <c r="L136" s="338"/>
      <c r="M136" s="338"/>
      <c r="N136" s="338"/>
      <c r="O136" s="338"/>
      <c r="P136" s="338"/>
      <c r="Q136" s="338"/>
      <c r="R136" s="338"/>
      <c r="S136" s="338"/>
      <c r="T136" s="338"/>
      <c r="U136" s="338"/>
      <c r="V136" s="338"/>
      <c r="W136" s="338"/>
      <c r="X136" s="338"/>
      <c r="Y136" s="338"/>
      <c r="Z136" s="338"/>
    </row>
    <row r="137" ht="15.75" customHeight="1">
      <c r="A137" s="338"/>
      <c r="B137" s="338"/>
      <c r="C137" s="338"/>
      <c r="D137" s="338"/>
      <c r="E137" s="338"/>
      <c r="F137" s="338"/>
      <c r="G137" s="338"/>
      <c r="H137" s="338"/>
      <c r="I137" s="338"/>
      <c r="J137" s="338"/>
      <c r="K137" s="338"/>
      <c r="L137" s="338"/>
      <c r="M137" s="338"/>
      <c r="N137" s="338"/>
      <c r="O137" s="338"/>
      <c r="P137" s="338"/>
      <c r="Q137" s="338"/>
      <c r="R137" s="338"/>
      <c r="S137" s="338"/>
      <c r="T137" s="338"/>
      <c r="U137" s="338"/>
      <c r="V137" s="338"/>
      <c r="W137" s="338"/>
      <c r="X137" s="338"/>
      <c r="Y137" s="338"/>
      <c r="Z137" s="338"/>
    </row>
    <row r="138" ht="15.75" customHeight="1">
      <c r="A138" s="338"/>
      <c r="B138" s="338"/>
      <c r="C138" s="338"/>
      <c r="D138" s="338"/>
      <c r="E138" s="338"/>
      <c r="F138" s="338"/>
      <c r="G138" s="338"/>
      <c r="H138" s="338"/>
      <c r="I138" s="338"/>
      <c r="J138" s="338"/>
      <c r="K138" s="338"/>
      <c r="L138" s="338"/>
      <c r="M138" s="338"/>
      <c r="N138" s="338"/>
      <c r="O138" s="338"/>
      <c r="P138" s="338"/>
      <c r="Q138" s="338"/>
      <c r="R138" s="338"/>
      <c r="S138" s="338"/>
      <c r="T138" s="338"/>
      <c r="U138" s="338"/>
      <c r="V138" s="338"/>
      <c r="W138" s="338"/>
      <c r="X138" s="338"/>
      <c r="Y138" s="338"/>
      <c r="Z138" s="338"/>
    </row>
    <row r="139" ht="15.75" customHeight="1">
      <c r="A139" s="338"/>
      <c r="B139" s="338"/>
      <c r="C139" s="338"/>
      <c r="D139" s="338"/>
      <c r="E139" s="338"/>
      <c r="F139" s="338"/>
      <c r="G139" s="338"/>
      <c r="H139" s="338"/>
      <c r="I139" s="338"/>
      <c r="J139" s="338"/>
      <c r="K139" s="338"/>
      <c r="L139" s="338"/>
      <c r="M139" s="338"/>
      <c r="N139" s="338"/>
      <c r="O139" s="338"/>
      <c r="P139" s="338"/>
      <c r="Q139" s="338"/>
      <c r="R139" s="338"/>
      <c r="S139" s="338"/>
      <c r="T139" s="338"/>
      <c r="U139" s="338"/>
      <c r="V139" s="338"/>
      <c r="W139" s="338"/>
      <c r="X139" s="338"/>
      <c r="Y139" s="338"/>
      <c r="Z139" s="338"/>
    </row>
    <row r="140" ht="15.75" customHeight="1">
      <c r="A140" s="338"/>
      <c r="B140" s="338"/>
      <c r="C140" s="338"/>
      <c r="D140" s="338"/>
      <c r="E140" s="338"/>
      <c r="F140" s="338"/>
      <c r="G140" s="338"/>
      <c r="H140" s="338"/>
      <c r="I140" s="338"/>
      <c r="J140" s="338"/>
      <c r="K140" s="338"/>
      <c r="L140" s="338"/>
      <c r="M140" s="338"/>
      <c r="N140" s="338"/>
      <c r="O140" s="338"/>
      <c r="P140" s="338"/>
      <c r="Q140" s="338"/>
      <c r="R140" s="338"/>
      <c r="S140" s="338"/>
      <c r="T140" s="338"/>
      <c r="U140" s="338"/>
      <c r="V140" s="338"/>
      <c r="W140" s="338"/>
      <c r="X140" s="338"/>
      <c r="Y140" s="338"/>
      <c r="Z140" s="338"/>
    </row>
    <row r="141" ht="15.75" customHeight="1">
      <c r="A141" s="338"/>
      <c r="B141" s="338"/>
      <c r="C141" s="338"/>
      <c r="D141" s="338"/>
      <c r="E141" s="338"/>
      <c r="F141" s="338"/>
      <c r="G141" s="338"/>
      <c r="H141" s="338"/>
      <c r="I141" s="338"/>
      <c r="J141" s="338"/>
      <c r="K141" s="338"/>
      <c r="L141" s="338"/>
      <c r="M141" s="338"/>
      <c r="N141" s="338"/>
      <c r="O141" s="338"/>
      <c r="P141" s="338"/>
      <c r="Q141" s="338"/>
      <c r="R141" s="338"/>
      <c r="S141" s="338"/>
      <c r="T141" s="338"/>
      <c r="U141" s="338"/>
      <c r="V141" s="338"/>
      <c r="W141" s="338"/>
      <c r="X141" s="338"/>
      <c r="Y141" s="338"/>
      <c r="Z141" s="338"/>
    </row>
    <row r="142" ht="15.75" customHeight="1">
      <c r="A142" s="338"/>
      <c r="B142" s="338"/>
      <c r="C142" s="338"/>
      <c r="D142" s="338"/>
      <c r="E142" s="338"/>
      <c r="F142" s="338"/>
      <c r="G142" s="338"/>
      <c r="H142" s="338"/>
      <c r="I142" s="338"/>
      <c r="J142" s="338"/>
      <c r="K142" s="338"/>
      <c r="L142" s="338"/>
      <c r="M142" s="338"/>
      <c r="N142" s="338"/>
      <c r="O142" s="338"/>
      <c r="P142" s="338"/>
      <c r="Q142" s="338"/>
      <c r="R142" s="338"/>
      <c r="S142" s="338"/>
      <c r="T142" s="338"/>
      <c r="U142" s="338"/>
      <c r="V142" s="338"/>
      <c r="W142" s="338"/>
      <c r="X142" s="338"/>
      <c r="Y142" s="338"/>
      <c r="Z142" s="338"/>
    </row>
    <row r="143" ht="15.75" customHeight="1">
      <c r="A143" s="338"/>
      <c r="B143" s="338"/>
      <c r="C143" s="338"/>
      <c r="D143" s="338"/>
      <c r="E143" s="338"/>
      <c r="F143" s="338"/>
      <c r="G143" s="338"/>
      <c r="H143" s="338"/>
      <c r="I143" s="338"/>
      <c r="J143" s="338"/>
      <c r="K143" s="338"/>
      <c r="L143" s="338"/>
      <c r="M143" s="338"/>
      <c r="N143" s="338"/>
      <c r="O143" s="338"/>
      <c r="P143" s="338"/>
      <c r="Q143" s="338"/>
      <c r="R143" s="338"/>
      <c r="S143" s="338"/>
      <c r="T143" s="338"/>
      <c r="U143" s="338"/>
      <c r="V143" s="338"/>
      <c r="W143" s="338"/>
      <c r="X143" s="338"/>
      <c r="Y143" s="338"/>
      <c r="Z143" s="338"/>
    </row>
    <row r="144" ht="15.75" customHeight="1">
      <c r="A144" s="338"/>
      <c r="B144" s="338"/>
      <c r="C144" s="338"/>
      <c r="D144" s="338"/>
      <c r="E144" s="338"/>
      <c r="F144" s="338"/>
      <c r="G144" s="338"/>
      <c r="H144" s="338"/>
      <c r="I144" s="338"/>
      <c r="J144" s="338"/>
      <c r="K144" s="338"/>
      <c r="L144" s="338"/>
      <c r="M144" s="338"/>
      <c r="N144" s="338"/>
      <c r="O144" s="338"/>
      <c r="P144" s="338"/>
      <c r="Q144" s="338"/>
      <c r="R144" s="338"/>
      <c r="S144" s="338"/>
      <c r="T144" s="338"/>
      <c r="U144" s="338"/>
      <c r="V144" s="338"/>
      <c r="W144" s="338"/>
      <c r="X144" s="338"/>
      <c r="Y144" s="338"/>
      <c r="Z144" s="338"/>
    </row>
    <row r="145" ht="15.75" customHeight="1">
      <c r="A145" s="338"/>
      <c r="B145" s="338"/>
      <c r="C145" s="338"/>
      <c r="D145" s="338"/>
      <c r="E145" s="338"/>
      <c r="F145" s="338"/>
      <c r="G145" s="338"/>
      <c r="H145" s="338"/>
      <c r="I145" s="338"/>
      <c r="J145" s="338"/>
      <c r="K145" s="338"/>
      <c r="L145" s="338"/>
      <c r="M145" s="338"/>
      <c r="N145" s="338"/>
      <c r="O145" s="338"/>
      <c r="P145" s="338"/>
      <c r="Q145" s="338"/>
      <c r="R145" s="338"/>
      <c r="S145" s="338"/>
      <c r="T145" s="338"/>
      <c r="U145" s="338"/>
      <c r="V145" s="338"/>
      <c r="W145" s="338"/>
      <c r="X145" s="338"/>
      <c r="Y145" s="338"/>
      <c r="Z145" s="338"/>
    </row>
    <row r="146" ht="15.75" customHeight="1">
      <c r="A146" s="338"/>
      <c r="B146" s="338"/>
      <c r="C146" s="338"/>
      <c r="D146" s="338"/>
      <c r="E146" s="338"/>
      <c r="F146" s="338"/>
      <c r="G146" s="338"/>
      <c r="H146" s="338"/>
      <c r="I146" s="338"/>
      <c r="J146" s="338"/>
      <c r="K146" s="338"/>
      <c r="L146" s="338"/>
      <c r="M146" s="338"/>
      <c r="N146" s="338"/>
      <c r="O146" s="338"/>
      <c r="P146" s="338"/>
      <c r="Q146" s="338"/>
      <c r="R146" s="338"/>
      <c r="S146" s="338"/>
      <c r="T146" s="338"/>
      <c r="U146" s="338"/>
      <c r="V146" s="338"/>
      <c r="W146" s="338"/>
      <c r="X146" s="338"/>
      <c r="Y146" s="338"/>
      <c r="Z146" s="338"/>
    </row>
    <row r="147" ht="15.75" customHeight="1">
      <c r="A147" s="338"/>
      <c r="B147" s="338"/>
      <c r="C147" s="338"/>
      <c r="D147" s="338"/>
      <c r="E147" s="338"/>
      <c r="F147" s="338"/>
      <c r="G147" s="338"/>
      <c r="H147" s="338"/>
      <c r="I147" s="338"/>
      <c r="J147" s="338"/>
      <c r="K147" s="338"/>
      <c r="L147" s="338"/>
      <c r="M147" s="338"/>
      <c r="N147" s="338"/>
      <c r="O147" s="338"/>
      <c r="P147" s="338"/>
      <c r="Q147" s="338"/>
      <c r="R147" s="338"/>
      <c r="S147" s="338"/>
      <c r="T147" s="338"/>
      <c r="U147" s="338"/>
      <c r="V147" s="338"/>
      <c r="W147" s="338"/>
      <c r="X147" s="338"/>
      <c r="Y147" s="338"/>
      <c r="Z147" s="338"/>
    </row>
    <row r="148" ht="15.75" customHeight="1">
      <c r="A148" s="338"/>
      <c r="B148" s="338"/>
      <c r="C148" s="338"/>
      <c r="D148" s="338"/>
      <c r="E148" s="338"/>
      <c r="F148" s="338"/>
      <c r="G148" s="338"/>
      <c r="H148" s="338"/>
      <c r="I148" s="338"/>
      <c r="J148" s="338"/>
      <c r="K148" s="338"/>
      <c r="L148" s="338"/>
      <c r="M148" s="338"/>
      <c r="N148" s="338"/>
      <c r="O148" s="338"/>
      <c r="P148" s="338"/>
      <c r="Q148" s="338"/>
      <c r="R148" s="338"/>
      <c r="S148" s="338"/>
      <c r="T148" s="338"/>
      <c r="U148" s="338"/>
      <c r="V148" s="338"/>
      <c r="W148" s="338"/>
      <c r="X148" s="338"/>
      <c r="Y148" s="338"/>
      <c r="Z148" s="338"/>
    </row>
    <row r="149" ht="15.75" customHeight="1">
      <c r="A149" s="338"/>
      <c r="B149" s="338"/>
      <c r="C149" s="338"/>
      <c r="D149" s="338"/>
      <c r="E149" s="338"/>
      <c r="F149" s="338"/>
      <c r="G149" s="338"/>
      <c r="H149" s="338"/>
      <c r="I149" s="338"/>
      <c r="J149" s="338"/>
      <c r="K149" s="338"/>
      <c r="L149" s="338"/>
      <c r="M149" s="338"/>
      <c r="N149" s="338"/>
      <c r="O149" s="338"/>
      <c r="P149" s="338"/>
      <c r="Q149" s="338"/>
      <c r="R149" s="338"/>
      <c r="S149" s="338"/>
      <c r="T149" s="338"/>
      <c r="U149" s="338"/>
      <c r="V149" s="338"/>
      <c r="W149" s="338"/>
      <c r="X149" s="338"/>
      <c r="Y149" s="338"/>
      <c r="Z149" s="338"/>
    </row>
    <row r="150" ht="15.75" customHeight="1">
      <c r="A150" s="338"/>
      <c r="B150" s="338"/>
      <c r="C150" s="338"/>
      <c r="D150" s="338"/>
      <c r="E150" s="338"/>
      <c r="F150" s="338"/>
      <c r="G150" s="338"/>
      <c r="H150" s="338"/>
      <c r="I150" s="338"/>
      <c r="J150" s="338"/>
      <c r="K150" s="338"/>
      <c r="L150" s="338"/>
      <c r="M150" s="338"/>
      <c r="N150" s="338"/>
      <c r="O150" s="338"/>
      <c r="P150" s="338"/>
      <c r="Q150" s="338"/>
      <c r="R150" s="338"/>
      <c r="S150" s="338"/>
      <c r="T150" s="338"/>
      <c r="U150" s="338"/>
      <c r="V150" s="338"/>
      <c r="W150" s="338"/>
      <c r="X150" s="338"/>
      <c r="Y150" s="338"/>
      <c r="Z150" s="338"/>
    </row>
    <row r="151" ht="15.75" customHeight="1">
      <c r="A151" s="338"/>
      <c r="B151" s="338"/>
      <c r="C151" s="338"/>
      <c r="D151" s="338"/>
      <c r="E151" s="338"/>
      <c r="F151" s="338"/>
      <c r="G151" s="338"/>
      <c r="H151" s="338"/>
      <c r="I151" s="338"/>
      <c r="J151" s="338"/>
      <c r="K151" s="338"/>
      <c r="L151" s="338"/>
      <c r="M151" s="338"/>
      <c r="N151" s="338"/>
      <c r="O151" s="338"/>
      <c r="P151" s="338"/>
      <c r="Q151" s="338"/>
      <c r="R151" s="338"/>
      <c r="S151" s="338"/>
      <c r="T151" s="338"/>
      <c r="U151" s="338"/>
      <c r="V151" s="338"/>
      <c r="W151" s="338"/>
      <c r="X151" s="338"/>
      <c r="Y151" s="338"/>
      <c r="Z151" s="338"/>
    </row>
    <row r="152" ht="15.75" customHeight="1">
      <c r="A152" s="338"/>
      <c r="B152" s="338"/>
      <c r="C152" s="338"/>
      <c r="D152" s="338"/>
      <c r="E152" s="338"/>
      <c r="F152" s="338"/>
      <c r="G152" s="338"/>
      <c r="H152" s="338"/>
      <c r="I152" s="338"/>
      <c r="J152" s="338"/>
      <c r="K152" s="338"/>
      <c r="L152" s="338"/>
      <c r="M152" s="338"/>
      <c r="N152" s="338"/>
      <c r="O152" s="338"/>
      <c r="P152" s="338"/>
      <c r="Q152" s="338"/>
      <c r="R152" s="338"/>
      <c r="S152" s="338"/>
      <c r="T152" s="338"/>
      <c r="U152" s="338"/>
      <c r="V152" s="338"/>
      <c r="W152" s="338"/>
      <c r="X152" s="338"/>
      <c r="Y152" s="338"/>
      <c r="Z152" s="338"/>
    </row>
    <row r="153" ht="15.75" customHeight="1">
      <c r="A153" s="338"/>
      <c r="B153" s="338"/>
      <c r="C153" s="338"/>
      <c r="D153" s="338"/>
      <c r="E153" s="338"/>
      <c r="F153" s="338"/>
      <c r="G153" s="338"/>
      <c r="H153" s="338"/>
      <c r="I153" s="338"/>
      <c r="J153" s="338"/>
      <c r="K153" s="338"/>
      <c r="L153" s="338"/>
      <c r="M153" s="338"/>
      <c r="N153" s="338"/>
      <c r="O153" s="338"/>
      <c r="P153" s="338"/>
      <c r="Q153" s="338"/>
      <c r="R153" s="338"/>
      <c r="S153" s="338"/>
      <c r="T153" s="338"/>
      <c r="U153" s="338"/>
      <c r="V153" s="338"/>
      <c r="W153" s="338"/>
      <c r="X153" s="338"/>
      <c r="Y153" s="338"/>
      <c r="Z153" s="338"/>
    </row>
    <row r="154" ht="15.75" customHeight="1">
      <c r="A154" s="338"/>
      <c r="B154" s="338"/>
      <c r="C154" s="338"/>
      <c r="D154" s="338"/>
      <c r="E154" s="338"/>
      <c r="F154" s="338"/>
      <c r="G154" s="338"/>
      <c r="H154" s="338"/>
      <c r="I154" s="338"/>
      <c r="J154" s="338"/>
      <c r="K154" s="338"/>
      <c r="L154" s="338"/>
      <c r="M154" s="338"/>
      <c r="N154" s="338"/>
      <c r="O154" s="338"/>
      <c r="P154" s="338"/>
      <c r="Q154" s="338"/>
      <c r="R154" s="338"/>
      <c r="S154" s="338"/>
      <c r="T154" s="338"/>
      <c r="U154" s="338"/>
      <c r="V154" s="338"/>
      <c r="W154" s="338"/>
      <c r="X154" s="338"/>
      <c r="Y154" s="338"/>
      <c r="Z154" s="338"/>
    </row>
    <row r="155" ht="15.75" customHeight="1">
      <c r="A155" s="338"/>
      <c r="B155" s="338"/>
      <c r="C155" s="338"/>
      <c r="D155" s="338"/>
      <c r="E155" s="338"/>
      <c r="F155" s="338"/>
      <c r="G155" s="338"/>
      <c r="H155" s="338"/>
      <c r="I155" s="338"/>
      <c r="J155" s="338"/>
      <c r="K155" s="338"/>
      <c r="L155" s="338"/>
      <c r="M155" s="338"/>
      <c r="N155" s="338"/>
      <c r="O155" s="338"/>
      <c r="P155" s="338"/>
      <c r="Q155" s="338"/>
      <c r="R155" s="338"/>
      <c r="S155" s="338"/>
      <c r="T155" s="338"/>
      <c r="U155" s="338"/>
      <c r="V155" s="338"/>
      <c r="W155" s="338"/>
      <c r="X155" s="338"/>
      <c r="Y155" s="338"/>
      <c r="Z155" s="338"/>
    </row>
    <row r="156" ht="15.75" customHeight="1">
      <c r="A156" s="338"/>
      <c r="B156" s="338"/>
      <c r="C156" s="338"/>
      <c r="D156" s="338"/>
      <c r="E156" s="338"/>
      <c r="F156" s="338"/>
      <c r="G156" s="338"/>
      <c r="H156" s="338"/>
      <c r="I156" s="338"/>
      <c r="J156" s="338"/>
      <c r="K156" s="338"/>
      <c r="L156" s="338"/>
      <c r="M156" s="338"/>
      <c r="N156" s="338"/>
      <c r="O156" s="338"/>
      <c r="P156" s="338"/>
      <c r="Q156" s="338"/>
      <c r="R156" s="338"/>
      <c r="S156" s="338"/>
      <c r="T156" s="338"/>
      <c r="U156" s="338"/>
      <c r="V156" s="338"/>
      <c r="W156" s="338"/>
      <c r="X156" s="338"/>
      <c r="Y156" s="338"/>
      <c r="Z156" s="338"/>
    </row>
    <row r="157" ht="15.75" customHeight="1">
      <c r="A157" s="338"/>
      <c r="B157" s="338"/>
      <c r="C157" s="338"/>
      <c r="D157" s="338"/>
      <c r="E157" s="338"/>
      <c r="F157" s="338"/>
      <c r="G157" s="338"/>
      <c r="H157" s="338"/>
      <c r="I157" s="338"/>
      <c r="J157" s="338"/>
      <c r="K157" s="338"/>
      <c r="L157" s="338"/>
      <c r="M157" s="338"/>
      <c r="N157" s="338"/>
      <c r="O157" s="338"/>
      <c r="P157" s="338"/>
      <c r="Q157" s="338"/>
      <c r="R157" s="338"/>
      <c r="S157" s="338"/>
      <c r="T157" s="338"/>
      <c r="U157" s="338"/>
      <c r="V157" s="338"/>
      <c r="W157" s="338"/>
      <c r="X157" s="338"/>
      <c r="Y157" s="338"/>
      <c r="Z157" s="338"/>
    </row>
    <row r="158" ht="15.75" customHeight="1">
      <c r="A158" s="338"/>
      <c r="B158" s="338"/>
      <c r="C158" s="338"/>
      <c r="D158" s="338"/>
      <c r="E158" s="338"/>
      <c r="F158" s="338"/>
      <c r="G158" s="338"/>
      <c r="H158" s="338"/>
      <c r="I158" s="338"/>
      <c r="J158" s="338"/>
      <c r="K158" s="338"/>
      <c r="L158" s="338"/>
      <c r="M158" s="338"/>
      <c r="N158" s="338"/>
      <c r="O158" s="338"/>
      <c r="P158" s="338"/>
      <c r="Q158" s="338"/>
      <c r="R158" s="338"/>
      <c r="S158" s="338"/>
      <c r="T158" s="338"/>
      <c r="U158" s="338"/>
      <c r="V158" s="338"/>
      <c r="W158" s="338"/>
      <c r="X158" s="338"/>
      <c r="Y158" s="338"/>
      <c r="Z158" s="338"/>
    </row>
    <row r="159" ht="15.75" customHeight="1">
      <c r="A159" s="338"/>
      <c r="B159" s="338"/>
      <c r="C159" s="338"/>
      <c r="D159" s="338"/>
      <c r="E159" s="338"/>
      <c r="F159" s="338"/>
      <c r="G159" s="338"/>
      <c r="H159" s="338"/>
      <c r="I159" s="338"/>
      <c r="J159" s="338"/>
      <c r="K159" s="338"/>
      <c r="L159" s="338"/>
      <c r="M159" s="338"/>
      <c r="N159" s="338"/>
      <c r="O159" s="338"/>
      <c r="P159" s="338"/>
      <c r="Q159" s="338"/>
      <c r="R159" s="338"/>
      <c r="S159" s="338"/>
      <c r="T159" s="338"/>
      <c r="U159" s="338"/>
      <c r="V159" s="338"/>
      <c r="W159" s="338"/>
      <c r="X159" s="338"/>
      <c r="Y159" s="338"/>
      <c r="Z159" s="338"/>
    </row>
    <row r="160" ht="15.75" customHeight="1">
      <c r="A160" s="338"/>
      <c r="B160" s="338"/>
      <c r="C160" s="338"/>
      <c r="D160" s="338"/>
      <c r="E160" s="338"/>
      <c r="F160" s="338"/>
      <c r="G160" s="338"/>
      <c r="H160" s="338"/>
      <c r="I160" s="338"/>
      <c r="J160" s="338"/>
      <c r="K160" s="338"/>
      <c r="L160" s="338"/>
      <c r="M160" s="338"/>
      <c r="N160" s="338"/>
      <c r="O160" s="338"/>
      <c r="P160" s="338"/>
      <c r="Q160" s="338"/>
      <c r="R160" s="338"/>
      <c r="S160" s="338"/>
      <c r="T160" s="338"/>
      <c r="U160" s="338"/>
      <c r="V160" s="338"/>
      <c r="W160" s="338"/>
      <c r="X160" s="338"/>
      <c r="Y160" s="338"/>
      <c r="Z160" s="338"/>
    </row>
    <row r="161" ht="15.75" customHeight="1">
      <c r="A161" s="338"/>
      <c r="B161" s="338"/>
      <c r="C161" s="338"/>
      <c r="D161" s="338"/>
      <c r="E161" s="338"/>
      <c r="F161" s="338"/>
      <c r="G161" s="338"/>
      <c r="H161" s="338"/>
      <c r="I161" s="338"/>
      <c r="J161" s="338"/>
      <c r="K161" s="338"/>
      <c r="L161" s="338"/>
      <c r="M161" s="338"/>
      <c r="N161" s="338"/>
      <c r="O161" s="338"/>
      <c r="P161" s="338"/>
      <c r="Q161" s="338"/>
      <c r="R161" s="338"/>
      <c r="S161" s="338"/>
      <c r="T161" s="338"/>
      <c r="U161" s="338"/>
      <c r="V161" s="338"/>
      <c r="W161" s="338"/>
      <c r="X161" s="338"/>
      <c r="Y161" s="338"/>
      <c r="Z161" s="338"/>
    </row>
    <row r="162" ht="15.75" customHeight="1">
      <c r="A162" s="338"/>
      <c r="B162" s="338"/>
      <c r="C162" s="338"/>
      <c r="D162" s="338"/>
      <c r="E162" s="338"/>
      <c r="F162" s="338"/>
      <c r="G162" s="338"/>
      <c r="H162" s="338"/>
      <c r="I162" s="338"/>
      <c r="J162" s="338"/>
      <c r="K162" s="338"/>
      <c r="L162" s="338"/>
      <c r="M162" s="338"/>
      <c r="N162" s="338"/>
      <c r="O162" s="338"/>
      <c r="P162" s="338"/>
      <c r="Q162" s="338"/>
      <c r="R162" s="338"/>
      <c r="S162" s="338"/>
      <c r="T162" s="338"/>
      <c r="U162" s="338"/>
      <c r="V162" s="338"/>
      <c r="W162" s="338"/>
      <c r="X162" s="338"/>
      <c r="Y162" s="338"/>
      <c r="Z162" s="338"/>
    </row>
    <row r="163" ht="15.75" customHeight="1">
      <c r="A163" s="338"/>
      <c r="B163" s="338"/>
      <c r="C163" s="338"/>
      <c r="D163" s="338"/>
      <c r="E163" s="338"/>
      <c r="F163" s="338"/>
      <c r="G163" s="338"/>
      <c r="H163" s="338"/>
      <c r="I163" s="338"/>
      <c r="J163" s="338"/>
      <c r="K163" s="338"/>
      <c r="L163" s="338"/>
      <c r="M163" s="338"/>
      <c r="N163" s="338"/>
      <c r="O163" s="338"/>
      <c r="P163" s="338"/>
      <c r="Q163" s="338"/>
      <c r="R163" s="338"/>
      <c r="S163" s="338"/>
      <c r="T163" s="338"/>
      <c r="U163" s="338"/>
      <c r="V163" s="338"/>
      <c r="W163" s="338"/>
      <c r="X163" s="338"/>
      <c r="Y163" s="338"/>
      <c r="Z163" s="338"/>
    </row>
    <row r="164" ht="15.75" customHeight="1">
      <c r="A164" s="338"/>
      <c r="B164" s="338"/>
      <c r="C164" s="338"/>
      <c r="D164" s="338"/>
      <c r="E164" s="338"/>
      <c r="F164" s="338"/>
      <c r="G164" s="338"/>
      <c r="H164" s="338"/>
      <c r="I164" s="338"/>
      <c r="J164" s="338"/>
      <c r="K164" s="338"/>
      <c r="L164" s="338"/>
      <c r="M164" s="338"/>
      <c r="N164" s="338"/>
      <c r="O164" s="338"/>
      <c r="P164" s="338"/>
      <c r="Q164" s="338"/>
      <c r="R164" s="338"/>
      <c r="S164" s="338"/>
      <c r="T164" s="338"/>
      <c r="U164" s="338"/>
      <c r="V164" s="338"/>
      <c r="W164" s="338"/>
      <c r="X164" s="338"/>
      <c r="Y164" s="338"/>
      <c r="Z164" s="338"/>
    </row>
    <row r="165" ht="15.75" customHeight="1">
      <c r="A165" s="338"/>
      <c r="B165" s="338"/>
      <c r="C165" s="338"/>
      <c r="D165" s="338"/>
      <c r="E165" s="338"/>
      <c r="F165" s="338"/>
      <c r="G165" s="338"/>
      <c r="H165" s="338"/>
      <c r="I165" s="338"/>
      <c r="J165" s="338"/>
      <c r="K165" s="338"/>
      <c r="L165" s="338"/>
      <c r="M165" s="338"/>
      <c r="N165" s="338"/>
      <c r="O165" s="338"/>
      <c r="P165" s="338"/>
      <c r="Q165" s="338"/>
      <c r="R165" s="338"/>
      <c r="S165" s="338"/>
      <c r="T165" s="338"/>
      <c r="U165" s="338"/>
      <c r="V165" s="338"/>
      <c r="W165" s="338"/>
      <c r="X165" s="338"/>
      <c r="Y165" s="338"/>
      <c r="Z165" s="338"/>
    </row>
    <row r="166" ht="15.75" customHeight="1">
      <c r="A166" s="338"/>
      <c r="B166" s="338"/>
      <c r="C166" s="338"/>
      <c r="D166" s="338"/>
      <c r="E166" s="338"/>
      <c r="F166" s="338"/>
      <c r="G166" s="338"/>
      <c r="H166" s="338"/>
      <c r="I166" s="338"/>
      <c r="J166" s="338"/>
      <c r="K166" s="338"/>
      <c r="L166" s="338"/>
      <c r="M166" s="338"/>
      <c r="N166" s="338"/>
      <c r="O166" s="338"/>
      <c r="P166" s="338"/>
      <c r="Q166" s="338"/>
      <c r="R166" s="338"/>
      <c r="S166" s="338"/>
      <c r="T166" s="338"/>
      <c r="U166" s="338"/>
      <c r="V166" s="338"/>
      <c r="W166" s="338"/>
      <c r="X166" s="338"/>
      <c r="Y166" s="338"/>
      <c r="Z166" s="338"/>
    </row>
    <row r="167" ht="15.75" customHeight="1">
      <c r="A167" s="338"/>
      <c r="B167" s="338"/>
      <c r="C167" s="338"/>
      <c r="D167" s="338"/>
      <c r="E167" s="338"/>
      <c r="F167" s="338"/>
      <c r="G167" s="338"/>
      <c r="H167" s="338"/>
      <c r="I167" s="338"/>
      <c r="J167" s="338"/>
      <c r="K167" s="338"/>
      <c r="L167" s="338"/>
      <c r="M167" s="338"/>
      <c r="N167" s="338"/>
      <c r="O167" s="338"/>
      <c r="P167" s="338"/>
      <c r="Q167" s="338"/>
      <c r="R167" s="338"/>
      <c r="S167" s="338"/>
      <c r="T167" s="338"/>
      <c r="U167" s="338"/>
      <c r="V167" s="338"/>
      <c r="W167" s="338"/>
      <c r="X167" s="338"/>
      <c r="Y167" s="338"/>
      <c r="Z167" s="338"/>
    </row>
    <row r="168" ht="15.75" customHeight="1">
      <c r="A168" s="338"/>
      <c r="B168" s="338"/>
      <c r="C168" s="338"/>
      <c r="D168" s="338"/>
      <c r="E168" s="338"/>
      <c r="F168" s="338"/>
      <c r="G168" s="338"/>
      <c r="H168" s="338"/>
      <c r="I168" s="338"/>
      <c r="J168" s="338"/>
      <c r="K168" s="338"/>
      <c r="L168" s="338"/>
      <c r="M168" s="338"/>
      <c r="N168" s="338"/>
      <c r="O168" s="338"/>
      <c r="P168" s="338"/>
      <c r="Q168" s="338"/>
      <c r="R168" s="338"/>
      <c r="S168" s="338"/>
      <c r="T168" s="338"/>
      <c r="U168" s="338"/>
      <c r="V168" s="338"/>
      <c r="W168" s="338"/>
      <c r="X168" s="338"/>
      <c r="Y168" s="338"/>
      <c r="Z168" s="338"/>
    </row>
    <row r="169" ht="15.75" customHeight="1">
      <c r="A169" s="338"/>
      <c r="B169" s="338"/>
      <c r="C169" s="338"/>
      <c r="D169" s="338"/>
      <c r="E169" s="338"/>
      <c r="F169" s="338"/>
      <c r="G169" s="338"/>
      <c r="H169" s="338"/>
      <c r="I169" s="338"/>
      <c r="J169" s="338"/>
      <c r="K169" s="338"/>
      <c r="L169" s="338"/>
      <c r="M169" s="338"/>
      <c r="N169" s="338"/>
      <c r="O169" s="338"/>
      <c r="P169" s="338"/>
      <c r="Q169" s="338"/>
      <c r="R169" s="338"/>
      <c r="S169" s="338"/>
      <c r="T169" s="338"/>
      <c r="U169" s="338"/>
      <c r="V169" s="338"/>
      <c r="W169" s="338"/>
      <c r="X169" s="338"/>
      <c r="Y169" s="338"/>
      <c r="Z169" s="338"/>
    </row>
    <row r="170" ht="15.75" customHeight="1">
      <c r="A170" s="338"/>
      <c r="B170" s="338"/>
      <c r="C170" s="338"/>
      <c r="D170" s="338"/>
      <c r="E170" s="338"/>
      <c r="F170" s="338"/>
      <c r="G170" s="338"/>
      <c r="H170" s="338"/>
      <c r="I170" s="338"/>
      <c r="J170" s="338"/>
      <c r="K170" s="338"/>
      <c r="L170" s="338"/>
      <c r="M170" s="338"/>
      <c r="N170" s="338"/>
      <c r="O170" s="338"/>
      <c r="P170" s="338"/>
      <c r="Q170" s="338"/>
      <c r="R170" s="338"/>
      <c r="S170" s="338"/>
      <c r="T170" s="338"/>
      <c r="U170" s="338"/>
      <c r="V170" s="338"/>
      <c r="W170" s="338"/>
      <c r="X170" s="338"/>
      <c r="Y170" s="338"/>
      <c r="Z170" s="338"/>
    </row>
    <row r="171" ht="15.75" customHeight="1">
      <c r="A171" s="338"/>
      <c r="B171" s="338"/>
      <c r="C171" s="338"/>
      <c r="D171" s="338"/>
      <c r="E171" s="338"/>
      <c r="F171" s="338"/>
      <c r="G171" s="338"/>
      <c r="H171" s="338"/>
      <c r="I171" s="338"/>
      <c r="J171" s="338"/>
      <c r="K171" s="338"/>
      <c r="L171" s="338"/>
      <c r="M171" s="338"/>
      <c r="N171" s="338"/>
      <c r="O171" s="338"/>
      <c r="P171" s="338"/>
      <c r="Q171" s="338"/>
      <c r="R171" s="338"/>
      <c r="S171" s="338"/>
      <c r="T171" s="338"/>
      <c r="U171" s="338"/>
      <c r="V171" s="338"/>
      <c r="W171" s="338"/>
      <c r="X171" s="338"/>
      <c r="Y171" s="338"/>
      <c r="Z171" s="338"/>
    </row>
    <row r="172" ht="15.75" customHeight="1">
      <c r="A172" s="338"/>
      <c r="B172" s="338"/>
      <c r="C172" s="338"/>
      <c r="D172" s="338"/>
      <c r="E172" s="338"/>
      <c r="F172" s="338"/>
      <c r="G172" s="338"/>
      <c r="H172" s="338"/>
      <c r="I172" s="338"/>
      <c r="J172" s="338"/>
      <c r="K172" s="338"/>
      <c r="L172" s="338"/>
      <c r="M172" s="338"/>
      <c r="N172" s="338"/>
      <c r="O172" s="338"/>
      <c r="P172" s="338"/>
      <c r="Q172" s="338"/>
      <c r="R172" s="338"/>
      <c r="S172" s="338"/>
      <c r="T172" s="338"/>
      <c r="U172" s="338"/>
      <c r="V172" s="338"/>
      <c r="W172" s="338"/>
      <c r="X172" s="338"/>
      <c r="Y172" s="338"/>
      <c r="Z172" s="338"/>
    </row>
    <row r="173" ht="15.75" customHeight="1">
      <c r="A173" s="338"/>
      <c r="B173" s="338"/>
      <c r="C173" s="338"/>
      <c r="D173" s="338"/>
      <c r="E173" s="338"/>
      <c r="F173" s="338"/>
      <c r="G173" s="338"/>
      <c r="H173" s="338"/>
      <c r="I173" s="338"/>
      <c r="J173" s="338"/>
      <c r="K173" s="338"/>
      <c r="L173" s="338"/>
      <c r="M173" s="338"/>
      <c r="N173" s="338"/>
      <c r="O173" s="338"/>
      <c r="P173" s="338"/>
      <c r="Q173" s="338"/>
      <c r="R173" s="338"/>
      <c r="S173" s="338"/>
      <c r="T173" s="338"/>
      <c r="U173" s="338"/>
      <c r="V173" s="338"/>
      <c r="W173" s="338"/>
      <c r="X173" s="338"/>
      <c r="Y173" s="338"/>
      <c r="Z173" s="338"/>
    </row>
    <row r="174" ht="15.75" customHeight="1">
      <c r="A174" s="338"/>
      <c r="B174" s="338"/>
      <c r="C174" s="338"/>
      <c r="D174" s="338"/>
      <c r="E174" s="338"/>
      <c r="F174" s="338"/>
      <c r="G174" s="338"/>
      <c r="H174" s="338"/>
      <c r="I174" s="338"/>
      <c r="J174" s="338"/>
      <c r="K174" s="338"/>
      <c r="L174" s="338"/>
      <c r="M174" s="338"/>
      <c r="N174" s="338"/>
      <c r="O174" s="338"/>
      <c r="P174" s="338"/>
      <c r="Q174" s="338"/>
      <c r="R174" s="338"/>
      <c r="S174" s="338"/>
      <c r="T174" s="338"/>
      <c r="U174" s="338"/>
      <c r="V174" s="338"/>
      <c r="W174" s="338"/>
      <c r="X174" s="338"/>
      <c r="Y174" s="338"/>
      <c r="Z174" s="338"/>
    </row>
    <row r="175" ht="15.75" customHeight="1">
      <c r="A175" s="338"/>
      <c r="B175" s="338"/>
      <c r="C175" s="338"/>
      <c r="D175" s="338"/>
      <c r="E175" s="338"/>
      <c r="F175" s="338"/>
      <c r="G175" s="338"/>
      <c r="H175" s="338"/>
      <c r="I175" s="338"/>
      <c r="J175" s="338"/>
      <c r="K175" s="338"/>
      <c r="L175" s="338"/>
      <c r="M175" s="338"/>
      <c r="N175" s="338"/>
      <c r="O175" s="338"/>
      <c r="P175" s="338"/>
      <c r="Q175" s="338"/>
      <c r="R175" s="338"/>
      <c r="S175" s="338"/>
      <c r="T175" s="338"/>
      <c r="U175" s="338"/>
      <c r="V175" s="338"/>
      <c r="W175" s="338"/>
      <c r="X175" s="338"/>
      <c r="Y175" s="338"/>
      <c r="Z175" s="338"/>
    </row>
    <row r="176" ht="15.75" customHeight="1">
      <c r="A176" s="338"/>
      <c r="B176" s="338"/>
      <c r="C176" s="338"/>
      <c r="D176" s="338"/>
      <c r="E176" s="338"/>
      <c r="F176" s="338"/>
      <c r="G176" s="338"/>
      <c r="H176" s="338"/>
      <c r="I176" s="338"/>
      <c r="J176" s="338"/>
      <c r="K176" s="338"/>
      <c r="L176" s="338"/>
      <c r="M176" s="338"/>
      <c r="N176" s="338"/>
      <c r="O176" s="338"/>
      <c r="P176" s="338"/>
      <c r="Q176" s="338"/>
      <c r="R176" s="338"/>
      <c r="S176" s="338"/>
      <c r="T176" s="338"/>
      <c r="U176" s="338"/>
      <c r="V176" s="338"/>
      <c r="W176" s="338"/>
      <c r="X176" s="338"/>
      <c r="Y176" s="338"/>
      <c r="Z176" s="338"/>
    </row>
    <row r="177" ht="15.75" customHeight="1">
      <c r="A177" s="338"/>
      <c r="B177" s="338"/>
      <c r="C177" s="338"/>
      <c r="D177" s="338"/>
      <c r="E177" s="338"/>
      <c r="F177" s="338"/>
      <c r="G177" s="338"/>
      <c r="H177" s="338"/>
      <c r="I177" s="338"/>
      <c r="J177" s="338"/>
      <c r="K177" s="338"/>
      <c r="L177" s="338"/>
      <c r="M177" s="338"/>
      <c r="N177" s="338"/>
      <c r="O177" s="338"/>
      <c r="P177" s="338"/>
      <c r="Q177" s="338"/>
      <c r="R177" s="338"/>
      <c r="S177" s="338"/>
      <c r="T177" s="338"/>
      <c r="U177" s="338"/>
      <c r="V177" s="338"/>
      <c r="W177" s="338"/>
      <c r="X177" s="338"/>
      <c r="Y177" s="338"/>
      <c r="Z177" s="338"/>
    </row>
    <row r="178" ht="15.75" customHeight="1">
      <c r="A178" s="338"/>
      <c r="B178" s="338"/>
      <c r="C178" s="338"/>
      <c r="D178" s="338"/>
      <c r="E178" s="338"/>
      <c r="F178" s="338"/>
      <c r="G178" s="338"/>
      <c r="H178" s="338"/>
      <c r="I178" s="338"/>
      <c r="J178" s="338"/>
      <c r="K178" s="338"/>
      <c r="L178" s="338"/>
      <c r="M178" s="338"/>
      <c r="N178" s="338"/>
      <c r="O178" s="338"/>
      <c r="P178" s="338"/>
      <c r="Q178" s="338"/>
      <c r="R178" s="338"/>
      <c r="S178" s="338"/>
      <c r="T178" s="338"/>
      <c r="U178" s="338"/>
      <c r="V178" s="338"/>
      <c r="W178" s="338"/>
      <c r="X178" s="338"/>
      <c r="Y178" s="338"/>
      <c r="Z178" s="338"/>
    </row>
    <row r="179" ht="15.75" customHeight="1">
      <c r="A179" s="338"/>
      <c r="B179" s="338"/>
      <c r="C179" s="338"/>
      <c r="D179" s="338"/>
      <c r="E179" s="338"/>
      <c r="F179" s="338"/>
      <c r="G179" s="338"/>
      <c r="H179" s="338"/>
      <c r="I179" s="338"/>
      <c r="J179" s="338"/>
      <c r="K179" s="338"/>
      <c r="L179" s="338"/>
      <c r="M179" s="338"/>
      <c r="N179" s="338"/>
      <c r="O179" s="338"/>
      <c r="P179" s="338"/>
      <c r="Q179" s="338"/>
      <c r="R179" s="338"/>
      <c r="S179" s="338"/>
      <c r="T179" s="338"/>
      <c r="U179" s="338"/>
      <c r="V179" s="338"/>
      <c r="W179" s="338"/>
      <c r="X179" s="338"/>
      <c r="Y179" s="338"/>
      <c r="Z179" s="338"/>
    </row>
    <row r="180" ht="15.75" customHeight="1">
      <c r="A180" s="338"/>
      <c r="B180" s="338"/>
      <c r="C180" s="338"/>
      <c r="D180" s="338"/>
      <c r="E180" s="338"/>
      <c r="F180" s="338"/>
      <c r="G180" s="338"/>
      <c r="H180" s="338"/>
      <c r="I180" s="338"/>
      <c r="J180" s="338"/>
      <c r="K180" s="338"/>
      <c r="L180" s="338"/>
      <c r="M180" s="338"/>
      <c r="N180" s="338"/>
      <c r="O180" s="338"/>
      <c r="P180" s="338"/>
      <c r="Q180" s="338"/>
      <c r="R180" s="338"/>
      <c r="S180" s="338"/>
      <c r="T180" s="338"/>
      <c r="U180" s="338"/>
      <c r="V180" s="338"/>
      <c r="W180" s="338"/>
      <c r="X180" s="338"/>
      <c r="Y180" s="338"/>
      <c r="Z180" s="338"/>
    </row>
    <row r="181" ht="15.75" customHeight="1">
      <c r="A181" s="338"/>
      <c r="B181" s="338"/>
      <c r="C181" s="338"/>
      <c r="D181" s="338"/>
      <c r="E181" s="338"/>
      <c r="F181" s="338"/>
      <c r="G181" s="338"/>
      <c r="H181" s="338"/>
      <c r="I181" s="338"/>
      <c r="J181" s="338"/>
      <c r="K181" s="338"/>
      <c r="L181" s="338"/>
      <c r="M181" s="338"/>
      <c r="N181" s="338"/>
      <c r="O181" s="338"/>
      <c r="P181" s="338"/>
      <c r="Q181" s="338"/>
      <c r="R181" s="338"/>
      <c r="S181" s="338"/>
      <c r="T181" s="338"/>
      <c r="U181" s="338"/>
      <c r="V181" s="338"/>
      <c r="W181" s="338"/>
      <c r="X181" s="338"/>
      <c r="Y181" s="338"/>
      <c r="Z181" s="338"/>
    </row>
    <row r="182" ht="15.75" customHeight="1">
      <c r="A182" s="338"/>
      <c r="B182" s="338"/>
      <c r="C182" s="338"/>
      <c r="D182" s="338"/>
      <c r="E182" s="338"/>
      <c r="F182" s="338"/>
      <c r="G182" s="338"/>
      <c r="H182" s="338"/>
      <c r="I182" s="338"/>
      <c r="J182" s="338"/>
      <c r="K182" s="338"/>
      <c r="L182" s="338"/>
      <c r="M182" s="338"/>
      <c r="N182" s="338"/>
      <c r="O182" s="338"/>
      <c r="P182" s="338"/>
      <c r="Q182" s="338"/>
      <c r="R182" s="338"/>
      <c r="S182" s="338"/>
      <c r="T182" s="338"/>
      <c r="U182" s="338"/>
      <c r="V182" s="338"/>
      <c r="W182" s="338"/>
      <c r="X182" s="338"/>
      <c r="Y182" s="338"/>
      <c r="Z182" s="338"/>
    </row>
    <row r="183" ht="15.75" customHeight="1">
      <c r="A183" s="338"/>
      <c r="B183" s="338"/>
      <c r="C183" s="338"/>
      <c r="D183" s="338"/>
      <c r="E183" s="338"/>
      <c r="F183" s="338"/>
      <c r="G183" s="338"/>
      <c r="H183" s="338"/>
      <c r="I183" s="338"/>
      <c r="J183" s="338"/>
      <c r="K183" s="338"/>
      <c r="L183" s="338"/>
      <c r="M183" s="338"/>
      <c r="N183" s="338"/>
      <c r="O183" s="338"/>
      <c r="P183" s="338"/>
      <c r="Q183" s="338"/>
      <c r="R183" s="338"/>
      <c r="S183" s="338"/>
      <c r="T183" s="338"/>
      <c r="U183" s="338"/>
      <c r="V183" s="338"/>
      <c r="W183" s="338"/>
      <c r="X183" s="338"/>
      <c r="Y183" s="338"/>
      <c r="Z183" s="338"/>
    </row>
    <row r="184" ht="15.75" customHeight="1">
      <c r="A184" s="338"/>
      <c r="B184" s="338"/>
      <c r="C184" s="338"/>
      <c r="D184" s="338"/>
      <c r="E184" s="338"/>
      <c r="F184" s="338"/>
      <c r="G184" s="338"/>
      <c r="H184" s="338"/>
      <c r="I184" s="338"/>
      <c r="J184" s="338"/>
      <c r="K184" s="338"/>
      <c r="L184" s="338"/>
      <c r="M184" s="338"/>
      <c r="N184" s="338"/>
      <c r="O184" s="338"/>
      <c r="P184" s="338"/>
      <c r="Q184" s="338"/>
      <c r="R184" s="338"/>
      <c r="S184" s="338"/>
      <c r="T184" s="338"/>
      <c r="U184" s="338"/>
      <c r="V184" s="338"/>
      <c r="W184" s="338"/>
      <c r="X184" s="338"/>
      <c r="Y184" s="338"/>
      <c r="Z184" s="338"/>
    </row>
    <row r="185" ht="15.75" customHeight="1">
      <c r="A185" s="338"/>
      <c r="B185" s="338"/>
      <c r="C185" s="338"/>
      <c r="D185" s="338"/>
      <c r="E185" s="338"/>
      <c r="F185" s="338"/>
      <c r="G185" s="338"/>
      <c r="H185" s="338"/>
      <c r="I185" s="338"/>
      <c r="J185" s="338"/>
      <c r="K185" s="338"/>
      <c r="L185" s="338"/>
      <c r="M185" s="338"/>
      <c r="N185" s="338"/>
      <c r="O185" s="338"/>
      <c r="P185" s="338"/>
      <c r="Q185" s="338"/>
      <c r="R185" s="338"/>
      <c r="S185" s="338"/>
      <c r="T185" s="338"/>
      <c r="U185" s="338"/>
      <c r="V185" s="338"/>
      <c r="W185" s="338"/>
      <c r="X185" s="338"/>
      <c r="Y185" s="338"/>
      <c r="Z185" s="338"/>
    </row>
    <row r="186" ht="15.75" customHeight="1">
      <c r="A186" s="338"/>
      <c r="B186" s="338"/>
      <c r="C186" s="338"/>
      <c r="D186" s="338"/>
      <c r="E186" s="338"/>
      <c r="F186" s="338"/>
      <c r="G186" s="338"/>
      <c r="H186" s="338"/>
      <c r="I186" s="338"/>
      <c r="J186" s="338"/>
      <c r="K186" s="338"/>
      <c r="L186" s="338"/>
      <c r="M186" s="338"/>
      <c r="N186" s="338"/>
      <c r="O186" s="338"/>
      <c r="P186" s="338"/>
      <c r="Q186" s="338"/>
      <c r="R186" s="338"/>
      <c r="S186" s="338"/>
      <c r="T186" s="338"/>
      <c r="U186" s="338"/>
      <c r="V186" s="338"/>
      <c r="W186" s="338"/>
      <c r="X186" s="338"/>
      <c r="Y186" s="338"/>
      <c r="Z186" s="338"/>
    </row>
    <row r="187" ht="15.75" customHeight="1">
      <c r="A187" s="338"/>
      <c r="B187" s="338"/>
      <c r="C187" s="338"/>
      <c r="D187" s="338"/>
      <c r="E187" s="338"/>
      <c r="F187" s="338"/>
      <c r="G187" s="338"/>
      <c r="H187" s="338"/>
      <c r="I187" s="338"/>
      <c r="J187" s="338"/>
      <c r="K187" s="338"/>
      <c r="L187" s="338"/>
      <c r="M187" s="338"/>
      <c r="N187" s="338"/>
      <c r="O187" s="338"/>
      <c r="P187" s="338"/>
      <c r="Q187" s="338"/>
      <c r="R187" s="338"/>
      <c r="S187" s="338"/>
      <c r="T187" s="338"/>
      <c r="U187" s="338"/>
      <c r="V187" s="338"/>
      <c r="W187" s="338"/>
      <c r="X187" s="338"/>
      <c r="Y187" s="338"/>
      <c r="Z187" s="338"/>
    </row>
    <row r="188" ht="15.75" customHeight="1">
      <c r="A188" s="338"/>
      <c r="B188" s="338"/>
      <c r="C188" s="338"/>
      <c r="D188" s="338"/>
      <c r="E188" s="338"/>
      <c r="F188" s="338"/>
      <c r="G188" s="338"/>
      <c r="H188" s="338"/>
      <c r="I188" s="338"/>
      <c r="J188" s="338"/>
      <c r="K188" s="338"/>
      <c r="L188" s="338"/>
      <c r="M188" s="338"/>
      <c r="N188" s="338"/>
      <c r="O188" s="338"/>
      <c r="P188" s="338"/>
      <c r="Q188" s="338"/>
      <c r="R188" s="338"/>
      <c r="S188" s="338"/>
      <c r="T188" s="338"/>
      <c r="U188" s="338"/>
      <c r="V188" s="338"/>
      <c r="W188" s="338"/>
      <c r="X188" s="338"/>
      <c r="Y188" s="338"/>
      <c r="Z188" s="338"/>
    </row>
    <row r="189" ht="15.75" customHeight="1">
      <c r="A189" s="338"/>
      <c r="B189" s="338"/>
      <c r="C189" s="338"/>
      <c r="D189" s="338"/>
      <c r="E189" s="338"/>
      <c r="F189" s="338"/>
      <c r="G189" s="338"/>
      <c r="H189" s="338"/>
      <c r="I189" s="338"/>
      <c r="J189" s="338"/>
      <c r="K189" s="338"/>
      <c r="L189" s="338"/>
      <c r="M189" s="338"/>
      <c r="N189" s="338"/>
      <c r="O189" s="338"/>
      <c r="P189" s="338"/>
      <c r="Q189" s="338"/>
      <c r="R189" s="338"/>
      <c r="S189" s="338"/>
      <c r="T189" s="338"/>
      <c r="U189" s="338"/>
      <c r="V189" s="338"/>
      <c r="W189" s="338"/>
      <c r="X189" s="338"/>
      <c r="Y189" s="338"/>
      <c r="Z189" s="338"/>
    </row>
    <row r="190" ht="15.75" customHeight="1">
      <c r="A190" s="338"/>
      <c r="B190" s="338"/>
      <c r="C190" s="338"/>
      <c r="D190" s="338"/>
      <c r="E190" s="338"/>
      <c r="F190" s="338"/>
      <c r="G190" s="338"/>
      <c r="H190" s="338"/>
      <c r="I190" s="338"/>
      <c r="J190" s="338"/>
      <c r="K190" s="338"/>
      <c r="L190" s="338"/>
      <c r="M190" s="338"/>
      <c r="N190" s="338"/>
      <c r="O190" s="338"/>
      <c r="P190" s="338"/>
      <c r="Q190" s="338"/>
      <c r="R190" s="338"/>
      <c r="S190" s="338"/>
      <c r="T190" s="338"/>
      <c r="U190" s="338"/>
      <c r="V190" s="338"/>
      <c r="W190" s="338"/>
      <c r="X190" s="338"/>
      <c r="Y190" s="338"/>
      <c r="Z190" s="338"/>
    </row>
    <row r="191" ht="15.75" customHeight="1">
      <c r="A191" s="338"/>
      <c r="B191" s="338"/>
      <c r="C191" s="338"/>
      <c r="D191" s="338"/>
      <c r="E191" s="338"/>
      <c r="F191" s="338"/>
      <c r="G191" s="338"/>
      <c r="H191" s="338"/>
      <c r="I191" s="338"/>
      <c r="J191" s="338"/>
      <c r="K191" s="338"/>
      <c r="L191" s="338"/>
      <c r="M191" s="338"/>
      <c r="N191" s="338"/>
      <c r="O191" s="338"/>
      <c r="P191" s="338"/>
      <c r="Q191" s="338"/>
      <c r="R191" s="338"/>
      <c r="S191" s="338"/>
      <c r="T191" s="338"/>
      <c r="U191" s="338"/>
      <c r="V191" s="338"/>
      <c r="W191" s="338"/>
      <c r="X191" s="338"/>
      <c r="Y191" s="338"/>
      <c r="Z191" s="338"/>
    </row>
    <row r="192" ht="15.75" customHeight="1">
      <c r="A192" s="338"/>
      <c r="B192" s="338"/>
      <c r="C192" s="338"/>
      <c r="D192" s="338"/>
      <c r="E192" s="338"/>
      <c r="F192" s="338"/>
      <c r="G192" s="338"/>
      <c r="H192" s="338"/>
      <c r="I192" s="338"/>
      <c r="J192" s="338"/>
      <c r="K192" s="338"/>
      <c r="L192" s="338"/>
      <c r="M192" s="338"/>
      <c r="N192" s="338"/>
      <c r="O192" s="338"/>
      <c r="P192" s="338"/>
      <c r="Q192" s="338"/>
      <c r="R192" s="338"/>
      <c r="S192" s="338"/>
      <c r="T192" s="338"/>
      <c r="U192" s="338"/>
      <c r="V192" s="338"/>
      <c r="W192" s="338"/>
      <c r="X192" s="338"/>
      <c r="Y192" s="338"/>
      <c r="Z192" s="338"/>
    </row>
    <row r="193" ht="15.75" customHeight="1">
      <c r="A193" s="338"/>
      <c r="B193" s="338"/>
      <c r="C193" s="338"/>
      <c r="D193" s="338"/>
      <c r="E193" s="338"/>
      <c r="F193" s="338"/>
      <c r="G193" s="338"/>
      <c r="H193" s="338"/>
      <c r="I193" s="338"/>
      <c r="J193" s="338"/>
      <c r="K193" s="338"/>
      <c r="L193" s="338"/>
      <c r="M193" s="338"/>
      <c r="N193" s="338"/>
      <c r="O193" s="338"/>
      <c r="P193" s="338"/>
      <c r="Q193" s="338"/>
      <c r="R193" s="338"/>
      <c r="S193" s="338"/>
      <c r="T193" s="338"/>
      <c r="U193" s="338"/>
      <c r="V193" s="338"/>
      <c r="W193" s="338"/>
      <c r="X193" s="338"/>
      <c r="Y193" s="338"/>
      <c r="Z193" s="338"/>
    </row>
    <row r="194" ht="15.75" customHeight="1">
      <c r="A194" s="338"/>
      <c r="B194" s="338"/>
      <c r="C194" s="338"/>
      <c r="D194" s="338"/>
      <c r="E194" s="338"/>
      <c r="F194" s="338"/>
      <c r="G194" s="338"/>
      <c r="H194" s="338"/>
      <c r="I194" s="338"/>
      <c r="J194" s="338"/>
      <c r="K194" s="338"/>
      <c r="L194" s="338"/>
      <c r="M194" s="338"/>
      <c r="N194" s="338"/>
      <c r="O194" s="338"/>
      <c r="P194" s="338"/>
      <c r="Q194" s="338"/>
      <c r="R194" s="338"/>
      <c r="S194" s="338"/>
      <c r="T194" s="338"/>
      <c r="U194" s="338"/>
      <c r="V194" s="338"/>
      <c r="W194" s="338"/>
      <c r="X194" s="338"/>
      <c r="Y194" s="338"/>
      <c r="Z194" s="338"/>
    </row>
    <row r="195" ht="15.75" customHeight="1">
      <c r="A195" s="338"/>
      <c r="B195" s="338"/>
      <c r="C195" s="338"/>
      <c r="D195" s="338"/>
      <c r="E195" s="338"/>
      <c r="F195" s="338"/>
      <c r="G195" s="338"/>
      <c r="H195" s="338"/>
      <c r="I195" s="338"/>
      <c r="J195" s="338"/>
      <c r="K195" s="338"/>
      <c r="L195" s="338"/>
      <c r="M195" s="338"/>
      <c r="N195" s="338"/>
      <c r="O195" s="338"/>
      <c r="P195" s="338"/>
      <c r="Q195" s="338"/>
      <c r="R195" s="338"/>
      <c r="S195" s="338"/>
      <c r="T195" s="338"/>
      <c r="U195" s="338"/>
      <c r="V195" s="338"/>
      <c r="W195" s="338"/>
      <c r="X195" s="338"/>
      <c r="Y195" s="338"/>
      <c r="Z195" s="338"/>
    </row>
    <row r="196" ht="15.75" customHeight="1">
      <c r="A196" s="338"/>
      <c r="B196" s="338"/>
      <c r="C196" s="338"/>
      <c r="D196" s="338"/>
      <c r="E196" s="338"/>
      <c r="F196" s="338"/>
      <c r="G196" s="338"/>
      <c r="H196" s="338"/>
      <c r="I196" s="338"/>
      <c r="J196" s="338"/>
      <c r="K196" s="338"/>
      <c r="L196" s="338"/>
      <c r="M196" s="338"/>
      <c r="N196" s="338"/>
      <c r="O196" s="338"/>
      <c r="P196" s="338"/>
      <c r="Q196" s="338"/>
      <c r="R196" s="338"/>
      <c r="S196" s="338"/>
      <c r="T196" s="338"/>
      <c r="U196" s="338"/>
      <c r="V196" s="338"/>
      <c r="W196" s="338"/>
      <c r="X196" s="338"/>
      <c r="Y196" s="338"/>
      <c r="Z196" s="338"/>
    </row>
    <row r="197" ht="15.75" customHeight="1">
      <c r="A197" s="338"/>
      <c r="B197" s="338"/>
      <c r="C197" s="338"/>
      <c r="D197" s="338"/>
      <c r="E197" s="338"/>
      <c r="F197" s="338"/>
      <c r="G197" s="338"/>
      <c r="H197" s="338"/>
      <c r="I197" s="338"/>
      <c r="J197" s="338"/>
      <c r="K197" s="338"/>
      <c r="L197" s="338"/>
      <c r="M197" s="338"/>
      <c r="N197" s="338"/>
      <c r="O197" s="338"/>
      <c r="P197" s="338"/>
      <c r="Q197" s="338"/>
      <c r="R197" s="338"/>
      <c r="S197" s="338"/>
      <c r="T197" s="338"/>
      <c r="U197" s="338"/>
      <c r="V197" s="338"/>
      <c r="W197" s="338"/>
      <c r="X197" s="338"/>
      <c r="Y197" s="338"/>
      <c r="Z197" s="338"/>
    </row>
    <row r="198" ht="15.75" customHeight="1">
      <c r="A198" s="338"/>
      <c r="B198" s="338"/>
      <c r="C198" s="338"/>
      <c r="D198" s="338"/>
      <c r="E198" s="338"/>
      <c r="F198" s="338"/>
      <c r="G198" s="338"/>
      <c r="H198" s="338"/>
      <c r="I198" s="338"/>
      <c r="J198" s="338"/>
      <c r="K198" s="338"/>
      <c r="L198" s="338"/>
      <c r="M198" s="338"/>
      <c r="N198" s="338"/>
      <c r="O198" s="338"/>
      <c r="P198" s="338"/>
      <c r="Q198" s="338"/>
      <c r="R198" s="338"/>
      <c r="S198" s="338"/>
      <c r="T198" s="338"/>
      <c r="U198" s="338"/>
      <c r="V198" s="338"/>
      <c r="W198" s="338"/>
      <c r="X198" s="338"/>
      <c r="Y198" s="338"/>
      <c r="Z198" s="338"/>
    </row>
    <row r="199" ht="15.75" customHeight="1">
      <c r="A199" s="338"/>
      <c r="B199" s="338"/>
      <c r="C199" s="338"/>
      <c r="D199" s="338"/>
      <c r="E199" s="338"/>
      <c r="F199" s="338"/>
      <c r="G199" s="338"/>
      <c r="H199" s="338"/>
      <c r="I199" s="338"/>
      <c r="J199" s="338"/>
      <c r="K199" s="338"/>
      <c r="L199" s="338"/>
      <c r="M199" s="338"/>
      <c r="N199" s="338"/>
      <c r="O199" s="338"/>
      <c r="P199" s="338"/>
      <c r="Q199" s="338"/>
      <c r="R199" s="338"/>
      <c r="S199" s="338"/>
      <c r="T199" s="338"/>
      <c r="U199" s="338"/>
      <c r="V199" s="338"/>
      <c r="W199" s="338"/>
      <c r="X199" s="338"/>
      <c r="Y199" s="338"/>
      <c r="Z199" s="338"/>
    </row>
    <row r="200" ht="15.75" customHeight="1">
      <c r="A200" s="338"/>
      <c r="B200" s="338"/>
      <c r="C200" s="338"/>
      <c r="D200" s="338"/>
      <c r="E200" s="338"/>
      <c r="F200" s="338"/>
      <c r="G200" s="338"/>
      <c r="H200" s="338"/>
      <c r="I200" s="338"/>
      <c r="J200" s="338"/>
      <c r="K200" s="338"/>
      <c r="L200" s="338"/>
      <c r="M200" s="338"/>
      <c r="N200" s="338"/>
      <c r="O200" s="338"/>
      <c r="P200" s="338"/>
      <c r="Q200" s="338"/>
      <c r="R200" s="338"/>
      <c r="S200" s="338"/>
      <c r="T200" s="338"/>
      <c r="U200" s="338"/>
      <c r="V200" s="338"/>
      <c r="W200" s="338"/>
      <c r="X200" s="338"/>
      <c r="Y200" s="338"/>
      <c r="Z200" s="338"/>
    </row>
    <row r="201" ht="15.75" customHeight="1">
      <c r="A201" s="338"/>
      <c r="B201" s="338"/>
      <c r="C201" s="338"/>
      <c r="D201" s="338"/>
      <c r="E201" s="338"/>
      <c r="F201" s="338"/>
      <c r="G201" s="338"/>
      <c r="H201" s="338"/>
      <c r="I201" s="338"/>
      <c r="J201" s="338"/>
      <c r="K201" s="338"/>
      <c r="L201" s="338"/>
      <c r="M201" s="338"/>
      <c r="N201" s="338"/>
      <c r="O201" s="338"/>
      <c r="P201" s="338"/>
      <c r="Q201" s="338"/>
      <c r="R201" s="338"/>
      <c r="S201" s="338"/>
      <c r="T201" s="338"/>
      <c r="U201" s="338"/>
      <c r="V201" s="338"/>
      <c r="W201" s="338"/>
      <c r="X201" s="338"/>
      <c r="Y201" s="338"/>
      <c r="Z201" s="338"/>
    </row>
    <row r="202" ht="15.75" customHeight="1">
      <c r="A202" s="338"/>
      <c r="B202" s="338"/>
      <c r="C202" s="338"/>
      <c r="D202" s="338"/>
      <c r="E202" s="338"/>
      <c r="F202" s="338"/>
      <c r="G202" s="338"/>
      <c r="H202" s="338"/>
      <c r="I202" s="338"/>
      <c r="J202" s="338"/>
      <c r="K202" s="338"/>
      <c r="L202" s="338"/>
      <c r="M202" s="338"/>
      <c r="N202" s="338"/>
      <c r="O202" s="338"/>
      <c r="P202" s="338"/>
      <c r="Q202" s="338"/>
      <c r="R202" s="338"/>
      <c r="S202" s="338"/>
      <c r="T202" s="338"/>
      <c r="U202" s="338"/>
      <c r="V202" s="338"/>
      <c r="W202" s="338"/>
      <c r="X202" s="338"/>
      <c r="Y202" s="338"/>
      <c r="Z202" s="338"/>
    </row>
    <row r="203" ht="15.75" customHeight="1">
      <c r="A203" s="338"/>
      <c r="B203" s="338"/>
      <c r="C203" s="338"/>
      <c r="D203" s="338"/>
      <c r="E203" s="338"/>
      <c r="F203" s="338"/>
      <c r="G203" s="338"/>
      <c r="H203" s="338"/>
      <c r="I203" s="338"/>
      <c r="J203" s="338"/>
      <c r="K203" s="338"/>
      <c r="L203" s="338"/>
      <c r="M203" s="338"/>
      <c r="N203" s="338"/>
      <c r="O203" s="338"/>
      <c r="P203" s="338"/>
      <c r="Q203" s="338"/>
      <c r="R203" s="338"/>
      <c r="S203" s="338"/>
      <c r="T203" s="338"/>
      <c r="U203" s="338"/>
      <c r="V203" s="338"/>
      <c r="W203" s="338"/>
      <c r="X203" s="338"/>
      <c r="Y203" s="338"/>
      <c r="Z203" s="338"/>
    </row>
    <row r="204" ht="15.75" customHeight="1">
      <c r="A204" s="338"/>
      <c r="B204" s="338"/>
      <c r="C204" s="338"/>
      <c r="D204" s="338"/>
      <c r="E204" s="338"/>
      <c r="F204" s="338"/>
      <c r="G204" s="338"/>
      <c r="H204" s="338"/>
      <c r="I204" s="338"/>
      <c r="J204" s="338"/>
      <c r="K204" s="338"/>
      <c r="L204" s="338"/>
      <c r="M204" s="338"/>
      <c r="N204" s="338"/>
      <c r="O204" s="338"/>
      <c r="P204" s="338"/>
      <c r="Q204" s="338"/>
      <c r="R204" s="338"/>
      <c r="S204" s="338"/>
      <c r="T204" s="338"/>
      <c r="U204" s="338"/>
      <c r="V204" s="338"/>
      <c r="W204" s="338"/>
      <c r="X204" s="338"/>
      <c r="Y204" s="338"/>
      <c r="Z204" s="338"/>
    </row>
    <row r="205" ht="15.75" customHeight="1">
      <c r="A205" s="338"/>
      <c r="B205" s="338"/>
      <c r="C205" s="338"/>
      <c r="D205" s="338"/>
      <c r="E205" s="338"/>
      <c r="F205" s="338"/>
      <c r="G205" s="338"/>
      <c r="H205" s="338"/>
      <c r="I205" s="338"/>
      <c r="J205" s="338"/>
      <c r="K205" s="338"/>
      <c r="L205" s="338"/>
      <c r="M205" s="338"/>
      <c r="N205" s="338"/>
      <c r="O205" s="338"/>
      <c r="P205" s="338"/>
      <c r="Q205" s="338"/>
      <c r="R205" s="338"/>
      <c r="S205" s="338"/>
      <c r="T205" s="338"/>
      <c r="U205" s="338"/>
      <c r="V205" s="338"/>
      <c r="W205" s="338"/>
      <c r="X205" s="338"/>
      <c r="Y205" s="338"/>
      <c r="Z205" s="338"/>
    </row>
    <row r="206" ht="15.75" customHeight="1">
      <c r="A206" s="338"/>
      <c r="B206" s="338"/>
      <c r="C206" s="338"/>
      <c r="D206" s="338"/>
      <c r="E206" s="338"/>
      <c r="F206" s="338"/>
      <c r="G206" s="338"/>
      <c r="H206" s="338"/>
      <c r="I206" s="338"/>
      <c r="J206" s="338"/>
      <c r="K206" s="338"/>
      <c r="L206" s="338"/>
      <c r="M206" s="338"/>
      <c r="N206" s="338"/>
      <c r="O206" s="338"/>
      <c r="P206" s="338"/>
      <c r="Q206" s="338"/>
      <c r="R206" s="338"/>
      <c r="S206" s="338"/>
      <c r="T206" s="338"/>
      <c r="U206" s="338"/>
      <c r="V206" s="338"/>
      <c r="W206" s="338"/>
      <c r="X206" s="338"/>
      <c r="Y206" s="338"/>
      <c r="Z206" s="338"/>
    </row>
    <row r="207" ht="15.75" customHeight="1">
      <c r="A207" s="338"/>
      <c r="B207" s="338"/>
      <c r="C207" s="338"/>
      <c r="D207" s="338"/>
      <c r="E207" s="338"/>
      <c r="F207" s="338"/>
      <c r="G207" s="338"/>
      <c r="H207" s="338"/>
      <c r="I207" s="338"/>
      <c r="J207" s="338"/>
      <c r="K207" s="338"/>
      <c r="L207" s="338"/>
      <c r="M207" s="338"/>
      <c r="N207" s="338"/>
      <c r="O207" s="338"/>
      <c r="P207" s="338"/>
      <c r="Q207" s="338"/>
      <c r="R207" s="338"/>
      <c r="S207" s="338"/>
      <c r="T207" s="338"/>
      <c r="U207" s="338"/>
      <c r="V207" s="338"/>
      <c r="W207" s="338"/>
      <c r="X207" s="338"/>
      <c r="Y207" s="338"/>
      <c r="Z207" s="338"/>
    </row>
    <row r="208" ht="15.75" customHeight="1">
      <c r="A208" s="338"/>
      <c r="B208" s="338"/>
      <c r="C208" s="338"/>
      <c r="D208" s="338"/>
      <c r="E208" s="338"/>
      <c r="F208" s="338"/>
      <c r="G208" s="338"/>
      <c r="H208" s="338"/>
      <c r="I208" s="338"/>
      <c r="J208" s="338"/>
      <c r="K208" s="338"/>
      <c r="L208" s="338"/>
      <c r="M208" s="338"/>
      <c r="N208" s="338"/>
      <c r="O208" s="338"/>
      <c r="P208" s="338"/>
      <c r="Q208" s="338"/>
      <c r="R208" s="338"/>
      <c r="S208" s="338"/>
      <c r="T208" s="338"/>
      <c r="U208" s="338"/>
      <c r="V208" s="338"/>
      <c r="W208" s="338"/>
      <c r="X208" s="338"/>
      <c r="Y208" s="338"/>
      <c r="Z208" s="338"/>
    </row>
    <row r="209" ht="15.75" customHeight="1">
      <c r="A209" s="338"/>
      <c r="B209" s="338"/>
      <c r="C209" s="338"/>
      <c r="D209" s="338"/>
      <c r="E209" s="338"/>
      <c r="F209" s="338"/>
      <c r="G209" s="338"/>
      <c r="H209" s="338"/>
      <c r="I209" s="338"/>
      <c r="J209" s="338"/>
      <c r="K209" s="338"/>
      <c r="L209" s="338"/>
      <c r="M209" s="338"/>
      <c r="N209" s="338"/>
      <c r="O209" s="338"/>
      <c r="P209" s="338"/>
      <c r="Q209" s="338"/>
      <c r="R209" s="338"/>
      <c r="S209" s="338"/>
      <c r="T209" s="338"/>
      <c r="U209" s="338"/>
      <c r="V209" s="338"/>
      <c r="W209" s="338"/>
      <c r="X209" s="338"/>
      <c r="Y209" s="338"/>
      <c r="Z209" s="338"/>
    </row>
    <row r="210" ht="15.75" customHeight="1">
      <c r="A210" s="338"/>
      <c r="B210" s="338"/>
      <c r="C210" s="338"/>
      <c r="D210" s="338"/>
      <c r="E210" s="338"/>
      <c r="F210" s="338"/>
      <c r="G210" s="338"/>
      <c r="H210" s="338"/>
      <c r="I210" s="338"/>
      <c r="J210" s="338"/>
      <c r="K210" s="338"/>
      <c r="L210" s="338"/>
      <c r="M210" s="338"/>
      <c r="N210" s="338"/>
      <c r="O210" s="338"/>
      <c r="P210" s="338"/>
      <c r="Q210" s="338"/>
      <c r="R210" s="338"/>
      <c r="S210" s="338"/>
      <c r="T210" s="338"/>
      <c r="U210" s="338"/>
      <c r="V210" s="338"/>
      <c r="W210" s="338"/>
      <c r="X210" s="338"/>
      <c r="Y210" s="338"/>
      <c r="Z210" s="338"/>
    </row>
    <row r="211" ht="15.75" customHeight="1">
      <c r="A211" s="338"/>
      <c r="B211" s="338"/>
      <c r="C211" s="338"/>
      <c r="D211" s="338"/>
      <c r="E211" s="338"/>
      <c r="F211" s="338"/>
      <c r="G211" s="338"/>
      <c r="H211" s="338"/>
      <c r="I211" s="338"/>
      <c r="J211" s="338"/>
      <c r="K211" s="338"/>
      <c r="L211" s="338"/>
      <c r="M211" s="338"/>
      <c r="N211" s="338"/>
      <c r="O211" s="338"/>
      <c r="P211" s="338"/>
      <c r="Q211" s="338"/>
      <c r="R211" s="338"/>
      <c r="S211" s="338"/>
      <c r="T211" s="338"/>
      <c r="U211" s="338"/>
      <c r="V211" s="338"/>
      <c r="W211" s="338"/>
      <c r="X211" s="338"/>
      <c r="Y211" s="338"/>
      <c r="Z211" s="338"/>
    </row>
    <row r="212" ht="15.75" customHeight="1">
      <c r="A212" s="338"/>
      <c r="B212" s="338"/>
      <c r="C212" s="338"/>
      <c r="D212" s="338"/>
      <c r="E212" s="338"/>
      <c r="F212" s="338"/>
      <c r="G212" s="338"/>
      <c r="H212" s="338"/>
      <c r="I212" s="338"/>
      <c r="J212" s="338"/>
      <c r="K212" s="338"/>
      <c r="L212" s="338"/>
      <c r="M212" s="338"/>
      <c r="N212" s="338"/>
      <c r="O212" s="338"/>
      <c r="P212" s="338"/>
      <c r="Q212" s="338"/>
      <c r="R212" s="338"/>
      <c r="S212" s="338"/>
      <c r="T212" s="338"/>
      <c r="U212" s="338"/>
      <c r="V212" s="338"/>
      <c r="W212" s="338"/>
      <c r="X212" s="338"/>
      <c r="Y212" s="338"/>
      <c r="Z212" s="338"/>
    </row>
    <row r="213" ht="15.75" customHeight="1">
      <c r="A213" s="338"/>
      <c r="B213" s="338"/>
      <c r="C213" s="338"/>
      <c r="D213" s="338"/>
      <c r="E213" s="338"/>
      <c r="F213" s="338"/>
      <c r="G213" s="338"/>
      <c r="H213" s="338"/>
      <c r="I213" s="338"/>
      <c r="J213" s="338"/>
      <c r="K213" s="338"/>
      <c r="L213" s="338"/>
      <c r="M213" s="338"/>
      <c r="N213" s="338"/>
      <c r="O213" s="338"/>
      <c r="P213" s="338"/>
      <c r="Q213" s="338"/>
      <c r="R213" s="338"/>
      <c r="S213" s="338"/>
      <c r="T213" s="338"/>
      <c r="U213" s="338"/>
      <c r="V213" s="338"/>
      <c r="W213" s="338"/>
      <c r="X213" s="338"/>
      <c r="Y213" s="338"/>
      <c r="Z213" s="338"/>
    </row>
    <row r="214" ht="15.75" customHeight="1">
      <c r="A214" s="338"/>
      <c r="B214" s="338"/>
      <c r="C214" s="338"/>
      <c r="D214" s="338"/>
      <c r="E214" s="338"/>
      <c r="F214" s="338"/>
      <c r="G214" s="338"/>
      <c r="H214" s="338"/>
      <c r="I214" s="338"/>
      <c r="J214" s="338"/>
      <c r="K214" s="338"/>
      <c r="L214" s="338"/>
      <c r="M214" s="338"/>
      <c r="N214" s="338"/>
      <c r="O214" s="338"/>
      <c r="P214" s="338"/>
      <c r="Q214" s="338"/>
      <c r="R214" s="338"/>
      <c r="S214" s="338"/>
      <c r="T214" s="338"/>
      <c r="U214" s="338"/>
      <c r="V214" s="338"/>
      <c r="W214" s="338"/>
      <c r="X214" s="338"/>
      <c r="Y214" s="338"/>
      <c r="Z214" s="338"/>
    </row>
    <row r="215" ht="15.75" customHeight="1">
      <c r="A215" s="338"/>
      <c r="B215" s="338"/>
      <c r="C215" s="338"/>
      <c r="D215" s="338"/>
      <c r="E215" s="338"/>
      <c r="F215" s="338"/>
      <c r="G215" s="338"/>
      <c r="H215" s="338"/>
      <c r="I215" s="338"/>
      <c r="J215" s="338"/>
      <c r="K215" s="338"/>
      <c r="L215" s="338"/>
      <c r="M215" s="338"/>
      <c r="N215" s="338"/>
      <c r="O215" s="338"/>
      <c r="P215" s="338"/>
      <c r="Q215" s="338"/>
      <c r="R215" s="338"/>
      <c r="S215" s="338"/>
      <c r="T215" s="338"/>
      <c r="U215" s="338"/>
      <c r="V215" s="338"/>
      <c r="W215" s="338"/>
      <c r="X215" s="338"/>
      <c r="Y215" s="338"/>
      <c r="Z215" s="338"/>
    </row>
    <row r="216" ht="15.75" customHeight="1">
      <c r="A216" s="338"/>
      <c r="B216" s="338"/>
      <c r="C216" s="338"/>
      <c r="D216" s="338"/>
      <c r="E216" s="338"/>
      <c r="F216" s="338"/>
      <c r="G216" s="338"/>
      <c r="H216" s="338"/>
      <c r="I216" s="338"/>
      <c r="J216" s="338"/>
      <c r="K216" s="338"/>
      <c r="L216" s="338"/>
      <c r="M216" s="338"/>
      <c r="N216" s="338"/>
      <c r="O216" s="338"/>
      <c r="P216" s="338"/>
      <c r="Q216" s="338"/>
      <c r="R216" s="338"/>
      <c r="S216" s="338"/>
      <c r="T216" s="338"/>
      <c r="U216" s="338"/>
      <c r="V216" s="338"/>
      <c r="W216" s="338"/>
      <c r="X216" s="338"/>
      <c r="Y216" s="338"/>
      <c r="Z216" s="338"/>
    </row>
    <row r="217" ht="15.75" customHeight="1">
      <c r="A217" s="338"/>
      <c r="B217" s="338"/>
      <c r="C217" s="338"/>
      <c r="D217" s="338"/>
      <c r="E217" s="338"/>
      <c r="F217" s="338"/>
      <c r="G217" s="338"/>
      <c r="H217" s="338"/>
      <c r="I217" s="338"/>
      <c r="J217" s="338"/>
      <c r="K217" s="338"/>
      <c r="L217" s="338"/>
      <c r="M217" s="338"/>
      <c r="N217" s="338"/>
      <c r="O217" s="338"/>
      <c r="P217" s="338"/>
      <c r="Q217" s="338"/>
      <c r="R217" s="338"/>
      <c r="S217" s="338"/>
      <c r="T217" s="338"/>
      <c r="U217" s="338"/>
      <c r="V217" s="338"/>
      <c r="W217" s="338"/>
      <c r="X217" s="338"/>
      <c r="Y217" s="338"/>
      <c r="Z217" s="338"/>
    </row>
    <row r="218" ht="15.75" customHeight="1">
      <c r="A218" s="338"/>
      <c r="B218" s="338"/>
      <c r="C218" s="338"/>
      <c r="D218" s="338"/>
      <c r="E218" s="338"/>
      <c r="F218" s="338"/>
      <c r="G218" s="338"/>
      <c r="H218" s="338"/>
      <c r="I218" s="338"/>
      <c r="J218" s="338"/>
      <c r="K218" s="338"/>
      <c r="L218" s="338"/>
      <c r="M218" s="338"/>
      <c r="N218" s="338"/>
      <c r="O218" s="338"/>
      <c r="P218" s="338"/>
      <c r="Q218" s="338"/>
      <c r="R218" s="338"/>
      <c r="S218" s="338"/>
      <c r="T218" s="338"/>
      <c r="U218" s="338"/>
      <c r="V218" s="338"/>
      <c r="W218" s="338"/>
      <c r="X218" s="338"/>
      <c r="Y218" s="338"/>
      <c r="Z218" s="338"/>
    </row>
    <row r="219" ht="15.75" customHeight="1">
      <c r="A219" s="338"/>
      <c r="B219" s="338"/>
      <c r="C219" s="338"/>
      <c r="D219" s="338"/>
      <c r="E219" s="338"/>
      <c r="F219" s="338"/>
      <c r="G219" s="338"/>
      <c r="H219" s="338"/>
      <c r="I219" s="338"/>
      <c r="J219" s="338"/>
      <c r="K219" s="338"/>
      <c r="L219" s="338"/>
      <c r="M219" s="338"/>
      <c r="N219" s="338"/>
      <c r="O219" s="338"/>
      <c r="P219" s="338"/>
      <c r="Q219" s="338"/>
      <c r="R219" s="338"/>
      <c r="S219" s="338"/>
      <c r="T219" s="338"/>
      <c r="U219" s="338"/>
      <c r="V219" s="338"/>
      <c r="W219" s="338"/>
      <c r="X219" s="338"/>
      <c r="Y219" s="338"/>
      <c r="Z219" s="338"/>
    </row>
    <row r="220" ht="15.75" customHeight="1">
      <c r="A220" s="338"/>
      <c r="B220" s="338"/>
      <c r="C220" s="338"/>
      <c r="D220" s="338"/>
      <c r="E220" s="338"/>
      <c r="F220" s="338"/>
      <c r="G220" s="338"/>
      <c r="H220" s="338"/>
      <c r="I220" s="338"/>
      <c r="J220" s="338"/>
      <c r="K220" s="338"/>
      <c r="L220" s="338"/>
      <c r="M220" s="338"/>
      <c r="N220" s="338"/>
      <c r="O220" s="338"/>
      <c r="P220" s="338"/>
      <c r="Q220" s="338"/>
      <c r="R220" s="338"/>
      <c r="S220" s="338"/>
      <c r="T220" s="338"/>
      <c r="U220" s="338"/>
      <c r="V220" s="338"/>
      <c r="W220" s="338"/>
      <c r="X220" s="338"/>
      <c r="Y220" s="338"/>
      <c r="Z220" s="338"/>
    </row>
    <row r="221" ht="15.75" customHeight="1">
      <c r="A221" s="338"/>
      <c r="B221" s="338"/>
      <c r="C221" s="338"/>
      <c r="D221" s="338"/>
      <c r="E221" s="338"/>
      <c r="F221" s="338"/>
      <c r="G221" s="338"/>
      <c r="H221" s="338"/>
      <c r="I221" s="338"/>
      <c r="J221" s="338"/>
      <c r="K221" s="338"/>
      <c r="L221" s="338"/>
      <c r="M221" s="338"/>
      <c r="N221" s="338"/>
      <c r="O221" s="338"/>
      <c r="P221" s="338"/>
      <c r="Q221" s="338"/>
      <c r="R221" s="338"/>
      <c r="S221" s="338"/>
      <c r="T221" s="338"/>
      <c r="U221" s="338"/>
      <c r="V221" s="338"/>
      <c r="W221" s="338"/>
      <c r="X221" s="338"/>
      <c r="Y221" s="338"/>
      <c r="Z221" s="338"/>
    </row>
    <row r="222" ht="15.75" customHeight="1">
      <c r="A222" s="338"/>
      <c r="B222" s="338"/>
      <c r="C222" s="338"/>
      <c r="D222" s="338"/>
      <c r="E222" s="338"/>
      <c r="F222" s="338"/>
      <c r="G222" s="338"/>
      <c r="H222" s="338"/>
      <c r="I222" s="338"/>
      <c r="J222" s="338"/>
      <c r="K222" s="338"/>
      <c r="L222" s="338"/>
      <c r="M222" s="338"/>
      <c r="N222" s="338"/>
      <c r="O222" s="338"/>
      <c r="P222" s="338"/>
      <c r="Q222" s="338"/>
      <c r="R222" s="338"/>
      <c r="S222" s="338"/>
      <c r="T222" s="338"/>
      <c r="U222" s="338"/>
      <c r="V222" s="338"/>
      <c r="W222" s="338"/>
      <c r="X222" s="338"/>
      <c r="Y222" s="338"/>
      <c r="Z222" s="338"/>
    </row>
    <row r="223" ht="15.75" customHeight="1">
      <c r="A223" s="338"/>
      <c r="B223" s="338"/>
      <c r="C223" s="338"/>
      <c r="D223" s="338"/>
      <c r="E223" s="338"/>
      <c r="F223" s="338"/>
      <c r="G223" s="338"/>
      <c r="H223" s="338"/>
      <c r="I223" s="338"/>
      <c r="J223" s="338"/>
      <c r="K223" s="338"/>
      <c r="L223" s="338"/>
      <c r="M223" s="338"/>
      <c r="N223" s="338"/>
      <c r="O223" s="338"/>
      <c r="P223" s="338"/>
      <c r="Q223" s="338"/>
      <c r="R223" s="338"/>
      <c r="S223" s="338"/>
      <c r="T223" s="338"/>
      <c r="U223" s="338"/>
      <c r="V223" s="338"/>
      <c r="W223" s="338"/>
      <c r="X223" s="338"/>
      <c r="Y223" s="338"/>
      <c r="Z223" s="338"/>
    </row>
    <row r="224" ht="15.75" customHeight="1">
      <c r="A224" s="338"/>
      <c r="B224" s="338"/>
      <c r="C224" s="338"/>
      <c r="D224" s="338"/>
      <c r="E224" s="338"/>
      <c r="F224" s="338"/>
      <c r="G224" s="338"/>
      <c r="H224" s="338"/>
      <c r="I224" s="338"/>
      <c r="J224" s="338"/>
      <c r="K224" s="338"/>
      <c r="L224" s="338"/>
      <c r="M224" s="338"/>
      <c r="N224" s="338"/>
      <c r="O224" s="338"/>
      <c r="P224" s="338"/>
      <c r="Q224" s="338"/>
      <c r="R224" s="338"/>
      <c r="S224" s="338"/>
      <c r="T224" s="338"/>
      <c r="U224" s="338"/>
      <c r="V224" s="338"/>
      <c r="W224" s="338"/>
      <c r="X224" s="338"/>
      <c r="Y224" s="338"/>
      <c r="Z224" s="338"/>
    </row>
    <row r="225" ht="15.75" customHeight="1">
      <c r="A225" s="338"/>
      <c r="B225" s="338"/>
      <c r="C225" s="338"/>
      <c r="D225" s="338"/>
      <c r="E225" s="338"/>
      <c r="F225" s="338"/>
      <c r="G225" s="338"/>
      <c r="H225" s="338"/>
      <c r="I225" s="338"/>
      <c r="J225" s="338"/>
      <c r="K225" s="338"/>
      <c r="L225" s="338"/>
      <c r="M225" s="338"/>
      <c r="N225" s="338"/>
      <c r="O225" s="338"/>
      <c r="P225" s="338"/>
      <c r="Q225" s="338"/>
      <c r="R225" s="338"/>
      <c r="S225" s="338"/>
      <c r="T225" s="338"/>
      <c r="U225" s="338"/>
      <c r="V225" s="338"/>
      <c r="W225" s="338"/>
      <c r="X225" s="338"/>
      <c r="Y225" s="338"/>
      <c r="Z225" s="338"/>
    </row>
    <row r="226" ht="15.75" customHeight="1">
      <c r="A226" s="338"/>
      <c r="B226" s="338"/>
      <c r="C226" s="338"/>
      <c r="D226" s="338"/>
      <c r="E226" s="338"/>
      <c r="F226" s="338"/>
      <c r="G226" s="338"/>
      <c r="H226" s="338"/>
      <c r="I226" s="338"/>
      <c r="J226" s="338"/>
      <c r="K226" s="338"/>
      <c r="L226" s="338"/>
      <c r="M226" s="338"/>
      <c r="N226" s="338"/>
      <c r="O226" s="338"/>
      <c r="P226" s="338"/>
      <c r="Q226" s="338"/>
      <c r="R226" s="338"/>
      <c r="S226" s="338"/>
      <c r="T226" s="338"/>
      <c r="U226" s="338"/>
      <c r="V226" s="338"/>
      <c r="W226" s="338"/>
      <c r="X226" s="338"/>
      <c r="Y226" s="338"/>
      <c r="Z226" s="338"/>
    </row>
    <row r="227" ht="15.75" customHeight="1">
      <c r="A227" s="338"/>
      <c r="B227" s="338"/>
      <c r="C227" s="338"/>
      <c r="D227" s="338"/>
      <c r="E227" s="338"/>
      <c r="F227" s="338"/>
      <c r="G227" s="338"/>
      <c r="H227" s="338"/>
      <c r="I227" s="338"/>
      <c r="J227" s="338"/>
      <c r="K227" s="338"/>
      <c r="L227" s="338"/>
      <c r="M227" s="338"/>
      <c r="N227" s="338"/>
      <c r="O227" s="338"/>
      <c r="P227" s="338"/>
      <c r="Q227" s="338"/>
      <c r="R227" s="338"/>
      <c r="S227" s="338"/>
      <c r="T227" s="338"/>
      <c r="U227" s="338"/>
      <c r="V227" s="338"/>
      <c r="W227" s="338"/>
      <c r="X227" s="338"/>
      <c r="Y227" s="338"/>
      <c r="Z227" s="338"/>
    </row>
    <row r="228" ht="15.75" customHeight="1">
      <c r="A228" s="338"/>
      <c r="B228" s="338"/>
      <c r="C228" s="338"/>
      <c r="D228" s="338"/>
      <c r="E228" s="338"/>
      <c r="F228" s="338"/>
      <c r="G228" s="338"/>
      <c r="H228" s="338"/>
      <c r="I228" s="338"/>
      <c r="J228" s="338"/>
      <c r="K228" s="338"/>
      <c r="L228" s="338"/>
      <c r="M228" s="338"/>
      <c r="N228" s="338"/>
      <c r="O228" s="338"/>
      <c r="P228" s="338"/>
      <c r="Q228" s="338"/>
      <c r="R228" s="338"/>
      <c r="S228" s="338"/>
      <c r="T228" s="338"/>
      <c r="U228" s="338"/>
      <c r="V228" s="338"/>
      <c r="W228" s="338"/>
      <c r="X228" s="338"/>
      <c r="Y228" s="338"/>
      <c r="Z228" s="338"/>
    </row>
    <row r="229" ht="15.75" customHeight="1">
      <c r="A229" s="338"/>
      <c r="B229" s="338"/>
      <c r="C229" s="338"/>
      <c r="D229" s="338"/>
      <c r="E229" s="338"/>
      <c r="F229" s="338"/>
      <c r="G229" s="338"/>
      <c r="H229" s="338"/>
      <c r="I229" s="338"/>
      <c r="J229" s="338"/>
      <c r="K229" s="338"/>
      <c r="L229" s="338"/>
      <c r="M229" s="338"/>
      <c r="N229" s="338"/>
      <c r="O229" s="338"/>
      <c r="P229" s="338"/>
      <c r="Q229" s="338"/>
      <c r="R229" s="338"/>
      <c r="S229" s="338"/>
      <c r="T229" s="338"/>
      <c r="U229" s="338"/>
      <c r="V229" s="338"/>
      <c r="W229" s="338"/>
      <c r="X229" s="338"/>
      <c r="Y229" s="338"/>
      <c r="Z229" s="338"/>
    </row>
    <row r="230" ht="15.75" customHeight="1">
      <c r="A230" s="338"/>
      <c r="B230" s="338"/>
      <c r="C230" s="338"/>
      <c r="D230" s="338"/>
      <c r="E230" s="338"/>
      <c r="F230" s="338"/>
      <c r="G230" s="338"/>
      <c r="H230" s="338"/>
      <c r="I230" s="338"/>
      <c r="J230" s="338"/>
      <c r="K230" s="338"/>
      <c r="L230" s="338"/>
      <c r="M230" s="338"/>
      <c r="N230" s="338"/>
      <c r="O230" s="338"/>
      <c r="P230" s="338"/>
      <c r="Q230" s="338"/>
      <c r="R230" s="338"/>
      <c r="S230" s="338"/>
      <c r="T230" s="338"/>
      <c r="U230" s="338"/>
      <c r="V230" s="338"/>
      <c r="W230" s="338"/>
      <c r="X230" s="338"/>
      <c r="Y230" s="338"/>
      <c r="Z230" s="338"/>
    </row>
    <row r="231" ht="15.75" customHeight="1">
      <c r="A231" s="338"/>
      <c r="B231" s="338"/>
      <c r="C231" s="338"/>
      <c r="D231" s="338"/>
      <c r="E231" s="338"/>
      <c r="F231" s="338"/>
      <c r="G231" s="338"/>
      <c r="H231" s="338"/>
      <c r="I231" s="338"/>
      <c r="J231" s="338"/>
      <c r="K231" s="338"/>
      <c r="L231" s="338"/>
      <c r="M231" s="338"/>
      <c r="N231" s="338"/>
      <c r="O231" s="338"/>
      <c r="P231" s="338"/>
      <c r="Q231" s="338"/>
      <c r="R231" s="338"/>
      <c r="S231" s="338"/>
      <c r="T231" s="338"/>
      <c r="U231" s="338"/>
      <c r="V231" s="338"/>
      <c r="W231" s="338"/>
      <c r="X231" s="338"/>
      <c r="Y231" s="338"/>
      <c r="Z231" s="338"/>
    </row>
    <row r="232" ht="15.75" customHeight="1">
      <c r="A232" s="338"/>
      <c r="B232" s="338"/>
      <c r="C232" s="338"/>
      <c r="D232" s="338"/>
      <c r="E232" s="338"/>
      <c r="F232" s="338"/>
      <c r="G232" s="338"/>
      <c r="H232" s="338"/>
      <c r="I232" s="338"/>
      <c r="J232" s="338"/>
      <c r="K232" s="338"/>
      <c r="L232" s="338"/>
      <c r="M232" s="338"/>
      <c r="N232" s="338"/>
      <c r="O232" s="338"/>
      <c r="P232" s="338"/>
      <c r="Q232" s="338"/>
      <c r="R232" s="338"/>
      <c r="S232" s="338"/>
      <c r="T232" s="338"/>
      <c r="U232" s="338"/>
      <c r="V232" s="338"/>
      <c r="W232" s="338"/>
      <c r="X232" s="338"/>
      <c r="Y232" s="338"/>
      <c r="Z232" s="338"/>
    </row>
    <row r="233" ht="15.75" customHeight="1">
      <c r="A233" s="338"/>
      <c r="B233" s="338"/>
      <c r="C233" s="338"/>
      <c r="D233" s="338"/>
      <c r="E233" s="338"/>
      <c r="F233" s="338"/>
      <c r="G233" s="338"/>
      <c r="H233" s="338"/>
      <c r="I233" s="338"/>
      <c r="J233" s="338"/>
      <c r="K233" s="338"/>
      <c r="L233" s="338"/>
      <c r="M233" s="338"/>
      <c r="N233" s="338"/>
      <c r="O233" s="338"/>
      <c r="P233" s="338"/>
      <c r="Q233" s="338"/>
      <c r="R233" s="338"/>
      <c r="S233" s="338"/>
      <c r="T233" s="338"/>
      <c r="U233" s="338"/>
      <c r="V233" s="338"/>
      <c r="W233" s="338"/>
      <c r="X233" s="338"/>
      <c r="Y233" s="338"/>
      <c r="Z233" s="338"/>
    </row>
    <row r="234" ht="15.75" customHeight="1">
      <c r="A234" s="338"/>
      <c r="B234" s="338"/>
      <c r="C234" s="338"/>
      <c r="D234" s="338"/>
      <c r="E234" s="338"/>
      <c r="F234" s="338"/>
      <c r="G234" s="338"/>
      <c r="H234" s="338"/>
      <c r="I234" s="338"/>
      <c r="J234" s="338"/>
      <c r="K234" s="338"/>
      <c r="L234" s="338"/>
      <c r="M234" s="338"/>
      <c r="N234" s="338"/>
      <c r="O234" s="338"/>
      <c r="P234" s="338"/>
      <c r="Q234" s="338"/>
      <c r="R234" s="338"/>
      <c r="S234" s="338"/>
      <c r="T234" s="338"/>
      <c r="U234" s="338"/>
      <c r="V234" s="338"/>
      <c r="W234" s="338"/>
      <c r="X234" s="338"/>
      <c r="Y234" s="338"/>
      <c r="Z234" s="338"/>
    </row>
    <row r="235" ht="15.75" customHeight="1">
      <c r="A235" s="338"/>
      <c r="B235" s="338"/>
      <c r="C235" s="338"/>
      <c r="D235" s="338"/>
      <c r="E235" s="338"/>
      <c r="F235" s="338"/>
      <c r="G235" s="338"/>
      <c r="H235" s="338"/>
      <c r="I235" s="338"/>
      <c r="J235" s="338"/>
      <c r="K235" s="338"/>
      <c r="L235" s="338"/>
      <c r="M235" s="338"/>
      <c r="N235" s="338"/>
      <c r="O235" s="338"/>
      <c r="P235" s="338"/>
      <c r="Q235" s="338"/>
      <c r="R235" s="338"/>
      <c r="S235" s="338"/>
      <c r="T235" s="338"/>
      <c r="U235" s="338"/>
      <c r="V235" s="338"/>
      <c r="W235" s="338"/>
      <c r="X235" s="338"/>
      <c r="Y235" s="338"/>
      <c r="Z235" s="338"/>
    </row>
    <row r="236" ht="15.75" customHeight="1">
      <c r="A236" s="338"/>
      <c r="B236" s="338"/>
      <c r="C236" s="338"/>
      <c r="D236" s="338"/>
      <c r="E236" s="338"/>
      <c r="F236" s="338"/>
      <c r="G236" s="338"/>
      <c r="H236" s="338"/>
      <c r="I236" s="338"/>
      <c r="J236" s="338"/>
      <c r="K236" s="338"/>
      <c r="L236" s="338"/>
      <c r="M236" s="338"/>
      <c r="N236" s="338"/>
      <c r="O236" s="338"/>
      <c r="P236" s="338"/>
      <c r="Q236" s="338"/>
      <c r="R236" s="338"/>
      <c r="S236" s="338"/>
      <c r="T236" s="338"/>
      <c r="U236" s="338"/>
      <c r="V236" s="338"/>
      <c r="W236" s="338"/>
      <c r="X236" s="338"/>
      <c r="Y236" s="338"/>
      <c r="Z236" s="338"/>
    </row>
    <row r="237" ht="15.75" customHeight="1">
      <c r="A237" s="338"/>
      <c r="B237" s="338"/>
      <c r="C237" s="338"/>
      <c r="D237" s="338"/>
      <c r="E237" s="338"/>
      <c r="F237" s="338"/>
      <c r="G237" s="338"/>
      <c r="H237" s="338"/>
      <c r="I237" s="338"/>
      <c r="J237" s="338"/>
      <c r="K237" s="338"/>
      <c r="L237" s="338"/>
      <c r="M237" s="338"/>
      <c r="N237" s="338"/>
      <c r="O237" s="338"/>
      <c r="P237" s="338"/>
      <c r="Q237" s="338"/>
      <c r="R237" s="338"/>
      <c r="S237" s="338"/>
      <c r="T237" s="338"/>
      <c r="U237" s="338"/>
      <c r="V237" s="338"/>
      <c r="W237" s="338"/>
      <c r="X237" s="338"/>
      <c r="Y237" s="338"/>
      <c r="Z237" s="338"/>
    </row>
    <row r="238" ht="15.75" customHeight="1">
      <c r="A238" s="338"/>
      <c r="B238" s="338"/>
      <c r="C238" s="338"/>
      <c r="D238" s="338"/>
      <c r="E238" s="338"/>
      <c r="F238" s="338"/>
      <c r="G238" s="338"/>
      <c r="H238" s="338"/>
      <c r="I238" s="338"/>
      <c r="J238" s="338"/>
      <c r="K238" s="338"/>
      <c r="L238" s="338"/>
      <c r="M238" s="338"/>
      <c r="N238" s="338"/>
      <c r="O238" s="338"/>
      <c r="P238" s="338"/>
      <c r="Q238" s="338"/>
      <c r="R238" s="338"/>
      <c r="S238" s="338"/>
      <c r="T238" s="338"/>
      <c r="U238" s="338"/>
      <c r="V238" s="338"/>
      <c r="W238" s="338"/>
      <c r="X238" s="338"/>
      <c r="Y238" s="338"/>
      <c r="Z238" s="338"/>
    </row>
    <row r="239" ht="15.75" customHeight="1">
      <c r="A239" s="338"/>
      <c r="B239" s="338"/>
      <c r="C239" s="338"/>
      <c r="D239" s="338"/>
      <c r="E239" s="338"/>
      <c r="F239" s="338"/>
      <c r="G239" s="338"/>
      <c r="H239" s="338"/>
      <c r="I239" s="338"/>
      <c r="J239" s="338"/>
      <c r="K239" s="338"/>
      <c r="L239" s="338"/>
      <c r="M239" s="338"/>
      <c r="N239" s="338"/>
      <c r="O239" s="338"/>
      <c r="P239" s="338"/>
      <c r="Q239" s="338"/>
      <c r="R239" s="338"/>
      <c r="S239" s="338"/>
      <c r="T239" s="338"/>
      <c r="U239" s="338"/>
      <c r="V239" s="338"/>
      <c r="W239" s="338"/>
      <c r="X239" s="338"/>
      <c r="Y239" s="338"/>
      <c r="Z239" s="338"/>
    </row>
    <row r="240" ht="15.75" customHeight="1">
      <c r="A240" s="338"/>
      <c r="B240" s="338"/>
      <c r="C240" s="338"/>
      <c r="D240" s="338"/>
      <c r="E240" s="338"/>
      <c r="F240" s="338"/>
      <c r="G240" s="338"/>
      <c r="H240" s="338"/>
      <c r="I240" s="338"/>
      <c r="J240" s="338"/>
      <c r="K240" s="338"/>
      <c r="L240" s="338"/>
      <c r="M240" s="338"/>
      <c r="N240" s="338"/>
      <c r="O240" s="338"/>
      <c r="P240" s="338"/>
      <c r="Q240" s="338"/>
      <c r="R240" s="338"/>
      <c r="S240" s="338"/>
      <c r="T240" s="338"/>
      <c r="U240" s="338"/>
      <c r="V240" s="338"/>
      <c r="W240" s="338"/>
      <c r="X240" s="338"/>
      <c r="Y240" s="338"/>
      <c r="Z240" s="338"/>
    </row>
    <row r="241" ht="15.75" customHeight="1">
      <c r="A241" s="338"/>
      <c r="B241" s="338"/>
      <c r="C241" s="338"/>
      <c r="D241" s="338"/>
      <c r="E241" s="338"/>
      <c r="F241" s="338"/>
      <c r="G241" s="338"/>
      <c r="H241" s="338"/>
      <c r="I241" s="338"/>
      <c r="J241" s="338"/>
      <c r="K241" s="338"/>
      <c r="L241" s="338"/>
      <c r="M241" s="338"/>
      <c r="N241" s="338"/>
      <c r="O241" s="338"/>
      <c r="P241" s="338"/>
      <c r="Q241" s="338"/>
      <c r="R241" s="338"/>
      <c r="S241" s="338"/>
      <c r="T241" s="338"/>
      <c r="U241" s="338"/>
      <c r="V241" s="338"/>
      <c r="W241" s="338"/>
      <c r="X241" s="338"/>
      <c r="Y241" s="338"/>
      <c r="Z241" s="338"/>
    </row>
    <row r="242" ht="15.75" customHeight="1">
      <c r="A242" s="338"/>
      <c r="B242" s="338"/>
      <c r="C242" s="338"/>
      <c r="D242" s="338"/>
      <c r="E242" s="338"/>
      <c r="F242" s="338"/>
      <c r="G242" s="338"/>
      <c r="H242" s="338"/>
      <c r="I242" s="338"/>
      <c r="J242" s="338"/>
      <c r="K242" s="338"/>
      <c r="L242" s="338"/>
      <c r="M242" s="338"/>
      <c r="N242" s="338"/>
      <c r="O242" s="338"/>
      <c r="P242" s="338"/>
      <c r="Q242" s="338"/>
      <c r="R242" s="338"/>
      <c r="S242" s="338"/>
      <c r="T242" s="338"/>
      <c r="U242" s="338"/>
      <c r="V242" s="338"/>
      <c r="W242" s="338"/>
      <c r="X242" s="338"/>
      <c r="Y242" s="338"/>
      <c r="Z242" s="338"/>
    </row>
    <row r="243" ht="15.75" customHeight="1">
      <c r="A243" s="338"/>
      <c r="B243" s="338"/>
      <c r="C243" s="338"/>
      <c r="D243" s="338"/>
      <c r="E243" s="338"/>
      <c r="F243" s="338"/>
      <c r="G243" s="338"/>
      <c r="H243" s="338"/>
      <c r="I243" s="338"/>
      <c r="J243" s="338"/>
      <c r="K243" s="338"/>
      <c r="L243" s="338"/>
      <c r="M243" s="338"/>
      <c r="N243" s="338"/>
      <c r="O243" s="338"/>
      <c r="P243" s="338"/>
      <c r="Q243" s="338"/>
      <c r="R243" s="338"/>
      <c r="S243" s="338"/>
      <c r="T243" s="338"/>
      <c r="U243" s="338"/>
      <c r="V243" s="338"/>
      <c r="W243" s="338"/>
      <c r="X243" s="338"/>
      <c r="Y243" s="338"/>
      <c r="Z243" s="338"/>
    </row>
    <row r="244" ht="15.75" customHeight="1">
      <c r="A244" s="338"/>
      <c r="B244" s="338"/>
      <c r="C244" s="338"/>
      <c r="D244" s="338"/>
      <c r="E244" s="338"/>
      <c r="F244" s="338"/>
      <c r="G244" s="338"/>
      <c r="H244" s="338"/>
      <c r="I244" s="338"/>
      <c r="J244" s="338"/>
      <c r="K244" s="338"/>
      <c r="L244" s="338"/>
      <c r="M244" s="338"/>
      <c r="N244" s="338"/>
      <c r="O244" s="338"/>
      <c r="P244" s="338"/>
      <c r="Q244" s="338"/>
      <c r="R244" s="338"/>
      <c r="S244" s="338"/>
      <c r="T244" s="338"/>
      <c r="U244" s="338"/>
      <c r="V244" s="338"/>
      <c r="W244" s="338"/>
      <c r="X244" s="338"/>
      <c r="Y244" s="338"/>
      <c r="Z244" s="338"/>
    </row>
    <row r="245" ht="15.75" customHeight="1">
      <c r="A245" s="338"/>
      <c r="B245" s="338"/>
      <c r="C245" s="338"/>
      <c r="D245" s="338"/>
      <c r="E245" s="338"/>
      <c r="F245" s="338"/>
      <c r="G245" s="338"/>
      <c r="H245" s="338"/>
      <c r="I245" s="338"/>
      <c r="J245" s="338"/>
      <c r="K245" s="338"/>
      <c r="L245" s="338"/>
      <c r="M245" s="338"/>
      <c r="N245" s="338"/>
      <c r="O245" s="338"/>
      <c r="P245" s="338"/>
      <c r="Q245" s="338"/>
      <c r="R245" s="338"/>
      <c r="S245" s="338"/>
      <c r="T245" s="338"/>
      <c r="U245" s="338"/>
      <c r="V245" s="338"/>
      <c r="W245" s="338"/>
      <c r="X245" s="338"/>
      <c r="Y245" s="338"/>
      <c r="Z245" s="338"/>
    </row>
    <row r="246" ht="15.75" customHeight="1">
      <c r="A246" s="338"/>
      <c r="B246" s="338"/>
      <c r="C246" s="338"/>
      <c r="D246" s="338"/>
      <c r="E246" s="338"/>
      <c r="F246" s="338"/>
      <c r="G246" s="338"/>
      <c r="H246" s="338"/>
      <c r="I246" s="338"/>
      <c r="J246" s="338"/>
      <c r="K246" s="338"/>
      <c r="L246" s="338"/>
      <c r="M246" s="338"/>
      <c r="N246" s="338"/>
      <c r="O246" s="338"/>
      <c r="P246" s="338"/>
      <c r="Q246" s="338"/>
      <c r="R246" s="338"/>
      <c r="S246" s="338"/>
      <c r="T246" s="338"/>
      <c r="U246" s="338"/>
      <c r="V246" s="338"/>
      <c r="W246" s="338"/>
      <c r="X246" s="338"/>
      <c r="Y246" s="338"/>
      <c r="Z246" s="338"/>
    </row>
    <row r="247" ht="15.75" customHeight="1">
      <c r="A247" s="338"/>
      <c r="B247" s="338"/>
      <c r="C247" s="338"/>
      <c r="D247" s="338"/>
      <c r="E247" s="338"/>
      <c r="F247" s="338"/>
      <c r="G247" s="338"/>
      <c r="H247" s="338"/>
      <c r="I247" s="338"/>
      <c r="J247" s="338"/>
      <c r="K247" s="338"/>
      <c r="L247" s="338"/>
      <c r="M247" s="338"/>
      <c r="N247" s="338"/>
      <c r="O247" s="338"/>
      <c r="P247" s="338"/>
      <c r="Q247" s="338"/>
      <c r="R247" s="338"/>
      <c r="S247" s="338"/>
      <c r="T247" s="338"/>
      <c r="U247" s="338"/>
      <c r="V247" s="338"/>
      <c r="W247" s="338"/>
      <c r="X247" s="338"/>
      <c r="Y247" s="338"/>
      <c r="Z247" s="338"/>
    </row>
    <row r="248" ht="15.75" customHeight="1">
      <c r="A248" s="338"/>
      <c r="B248" s="338"/>
      <c r="C248" s="338"/>
      <c r="D248" s="338"/>
      <c r="E248" s="338"/>
      <c r="F248" s="338"/>
      <c r="G248" s="338"/>
      <c r="H248" s="338"/>
      <c r="I248" s="338"/>
      <c r="J248" s="338"/>
      <c r="K248" s="338"/>
      <c r="L248" s="338"/>
      <c r="M248" s="338"/>
      <c r="N248" s="338"/>
      <c r="O248" s="338"/>
      <c r="P248" s="338"/>
      <c r="Q248" s="338"/>
      <c r="R248" s="338"/>
      <c r="S248" s="338"/>
      <c r="T248" s="338"/>
      <c r="U248" s="338"/>
      <c r="V248" s="338"/>
      <c r="W248" s="338"/>
      <c r="X248" s="338"/>
      <c r="Y248" s="338"/>
      <c r="Z248" s="338"/>
    </row>
    <row r="249" ht="15.75" customHeight="1">
      <c r="A249" s="338"/>
      <c r="B249" s="338"/>
      <c r="C249" s="338"/>
      <c r="D249" s="338"/>
      <c r="E249" s="338"/>
      <c r="F249" s="338"/>
      <c r="G249" s="338"/>
      <c r="H249" s="338"/>
      <c r="I249" s="338"/>
      <c r="J249" s="338"/>
      <c r="K249" s="338"/>
      <c r="L249" s="338"/>
      <c r="M249" s="338"/>
      <c r="N249" s="338"/>
      <c r="O249" s="338"/>
      <c r="P249" s="338"/>
      <c r="Q249" s="338"/>
      <c r="R249" s="338"/>
      <c r="S249" s="338"/>
      <c r="T249" s="338"/>
      <c r="U249" s="338"/>
      <c r="V249" s="338"/>
      <c r="W249" s="338"/>
      <c r="X249" s="338"/>
      <c r="Y249" s="338"/>
      <c r="Z249" s="338"/>
    </row>
    <row r="250" ht="15.75" customHeight="1">
      <c r="A250" s="338"/>
      <c r="B250" s="338"/>
      <c r="C250" s="338"/>
      <c r="D250" s="338"/>
      <c r="E250" s="338"/>
      <c r="F250" s="338"/>
      <c r="G250" s="338"/>
      <c r="H250" s="338"/>
      <c r="I250" s="338"/>
      <c r="J250" s="338"/>
      <c r="K250" s="338"/>
      <c r="L250" s="338"/>
      <c r="M250" s="338"/>
      <c r="N250" s="338"/>
      <c r="O250" s="338"/>
      <c r="P250" s="338"/>
      <c r="Q250" s="338"/>
      <c r="R250" s="338"/>
      <c r="S250" s="338"/>
      <c r="T250" s="338"/>
      <c r="U250" s="338"/>
      <c r="V250" s="338"/>
      <c r="W250" s="338"/>
      <c r="X250" s="338"/>
      <c r="Y250" s="338"/>
      <c r="Z250" s="338"/>
    </row>
    <row r="251" ht="15.75" customHeight="1">
      <c r="A251" s="338"/>
      <c r="B251" s="338"/>
      <c r="C251" s="338"/>
      <c r="D251" s="338"/>
      <c r="E251" s="338"/>
      <c r="F251" s="338"/>
      <c r="G251" s="338"/>
      <c r="H251" s="338"/>
      <c r="I251" s="338"/>
      <c r="J251" s="338"/>
      <c r="K251" s="338"/>
      <c r="L251" s="338"/>
      <c r="M251" s="338"/>
      <c r="N251" s="338"/>
      <c r="O251" s="338"/>
      <c r="P251" s="338"/>
      <c r="Q251" s="338"/>
      <c r="R251" s="338"/>
      <c r="S251" s="338"/>
      <c r="T251" s="338"/>
      <c r="U251" s="338"/>
      <c r="V251" s="338"/>
      <c r="W251" s="338"/>
      <c r="X251" s="338"/>
      <c r="Y251" s="338"/>
      <c r="Z251" s="338"/>
    </row>
    <row r="252" ht="15.75" customHeight="1">
      <c r="A252" s="338"/>
      <c r="B252" s="338"/>
      <c r="C252" s="338"/>
      <c r="D252" s="338"/>
      <c r="E252" s="338"/>
      <c r="F252" s="338"/>
      <c r="G252" s="338"/>
      <c r="H252" s="338"/>
      <c r="I252" s="338"/>
      <c r="J252" s="338"/>
      <c r="K252" s="338"/>
      <c r="L252" s="338"/>
      <c r="M252" s="338"/>
      <c r="N252" s="338"/>
      <c r="O252" s="338"/>
      <c r="P252" s="338"/>
      <c r="Q252" s="338"/>
      <c r="R252" s="338"/>
      <c r="S252" s="338"/>
      <c r="T252" s="338"/>
      <c r="U252" s="338"/>
      <c r="V252" s="338"/>
      <c r="W252" s="338"/>
      <c r="X252" s="338"/>
      <c r="Y252" s="338"/>
      <c r="Z252" s="338"/>
    </row>
    <row r="253" ht="15.75" customHeight="1">
      <c r="A253" s="338"/>
      <c r="B253" s="338"/>
      <c r="C253" s="338"/>
      <c r="D253" s="338"/>
      <c r="E253" s="338"/>
      <c r="F253" s="338"/>
      <c r="G253" s="338"/>
      <c r="H253" s="338"/>
      <c r="I253" s="338"/>
      <c r="J253" s="338"/>
      <c r="K253" s="338"/>
      <c r="L253" s="338"/>
      <c r="M253" s="338"/>
      <c r="N253" s="338"/>
      <c r="O253" s="338"/>
      <c r="P253" s="338"/>
      <c r="Q253" s="338"/>
      <c r="R253" s="338"/>
      <c r="S253" s="338"/>
      <c r="T253" s="338"/>
      <c r="U253" s="338"/>
      <c r="V253" s="338"/>
      <c r="W253" s="338"/>
      <c r="X253" s="338"/>
      <c r="Y253" s="338"/>
      <c r="Z253" s="338"/>
    </row>
    <row r="254" ht="15.75" customHeight="1">
      <c r="A254" s="338"/>
      <c r="B254" s="338"/>
      <c r="C254" s="338"/>
      <c r="D254" s="338"/>
      <c r="E254" s="338"/>
      <c r="F254" s="338"/>
      <c r="G254" s="338"/>
      <c r="H254" s="338"/>
      <c r="I254" s="338"/>
      <c r="J254" s="338"/>
      <c r="K254" s="338"/>
      <c r="L254" s="338"/>
      <c r="M254" s="338"/>
      <c r="N254" s="338"/>
      <c r="O254" s="338"/>
      <c r="P254" s="338"/>
      <c r="Q254" s="338"/>
      <c r="R254" s="338"/>
      <c r="S254" s="338"/>
      <c r="T254" s="338"/>
      <c r="U254" s="338"/>
      <c r="V254" s="338"/>
      <c r="W254" s="338"/>
      <c r="X254" s="338"/>
      <c r="Y254" s="338"/>
      <c r="Z254" s="338"/>
    </row>
    <row r="255" ht="15.75" customHeight="1">
      <c r="A255" s="338"/>
      <c r="B255" s="338"/>
      <c r="C255" s="338"/>
      <c r="D255" s="338"/>
      <c r="E255" s="338"/>
      <c r="F255" s="338"/>
      <c r="G255" s="338"/>
      <c r="H255" s="338"/>
      <c r="I255" s="338"/>
      <c r="J255" s="338"/>
      <c r="K255" s="338"/>
      <c r="L255" s="338"/>
      <c r="M255" s="338"/>
      <c r="N255" s="338"/>
      <c r="O255" s="338"/>
      <c r="P255" s="338"/>
      <c r="Q255" s="338"/>
      <c r="R255" s="338"/>
      <c r="S255" s="338"/>
      <c r="T255" s="338"/>
      <c r="U255" s="338"/>
      <c r="V255" s="338"/>
      <c r="W255" s="338"/>
      <c r="X255" s="338"/>
      <c r="Y255" s="338"/>
      <c r="Z255" s="338"/>
    </row>
    <row r="256" ht="15.75" customHeight="1">
      <c r="A256" s="338"/>
      <c r="B256" s="338"/>
      <c r="C256" s="338"/>
      <c r="D256" s="338"/>
      <c r="E256" s="338"/>
      <c r="F256" s="338"/>
      <c r="G256" s="338"/>
      <c r="H256" s="338"/>
      <c r="I256" s="338"/>
      <c r="J256" s="338"/>
      <c r="K256" s="338"/>
      <c r="L256" s="338"/>
      <c r="M256" s="338"/>
      <c r="N256" s="338"/>
      <c r="O256" s="338"/>
      <c r="P256" s="338"/>
      <c r="Q256" s="338"/>
      <c r="R256" s="338"/>
      <c r="S256" s="338"/>
      <c r="T256" s="338"/>
      <c r="U256" s="338"/>
      <c r="V256" s="338"/>
      <c r="W256" s="338"/>
      <c r="X256" s="338"/>
      <c r="Y256" s="338"/>
      <c r="Z256" s="338"/>
    </row>
    <row r="257" ht="15.75" customHeight="1">
      <c r="A257" s="338"/>
      <c r="B257" s="338"/>
      <c r="C257" s="338"/>
      <c r="D257" s="338"/>
      <c r="E257" s="338"/>
      <c r="F257" s="338"/>
      <c r="G257" s="338"/>
      <c r="H257" s="338"/>
      <c r="I257" s="338"/>
      <c r="J257" s="338"/>
      <c r="K257" s="338"/>
      <c r="L257" s="338"/>
      <c r="M257" s="338"/>
      <c r="N257" s="338"/>
      <c r="O257" s="338"/>
      <c r="P257" s="338"/>
      <c r="Q257" s="338"/>
      <c r="R257" s="338"/>
      <c r="S257" s="338"/>
      <c r="T257" s="338"/>
      <c r="U257" s="338"/>
      <c r="V257" s="338"/>
      <c r="W257" s="338"/>
      <c r="X257" s="338"/>
      <c r="Y257" s="338"/>
      <c r="Z257" s="338"/>
    </row>
    <row r="258" ht="15.75" customHeight="1">
      <c r="A258" s="338"/>
      <c r="B258" s="338"/>
      <c r="C258" s="338"/>
      <c r="D258" s="338"/>
      <c r="E258" s="338"/>
      <c r="F258" s="338"/>
      <c r="G258" s="338"/>
      <c r="H258" s="338"/>
      <c r="I258" s="338"/>
      <c r="J258" s="338"/>
      <c r="K258" s="338"/>
      <c r="L258" s="338"/>
      <c r="M258" s="338"/>
      <c r="N258" s="338"/>
      <c r="O258" s="338"/>
      <c r="P258" s="338"/>
      <c r="Q258" s="338"/>
      <c r="R258" s="338"/>
      <c r="S258" s="338"/>
      <c r="T258" s="338"/>
      <c r="U258" s="338"/>
      <c r="V258" s="338"/>
      <c r="W258" s="338"/>
      <c r="X258" s="338"/>
      <c r="Y258" s="338"/>
      <c r="Z258" s="338"/>
    </row>
    <row r="259" ht="15.75" customHeight="1">
      <c r="A259" s="338"/>
      <c r="B259" s="338"/>
      <c r="C259" s="338"/>
      <c r="D259" s="338"/>
      <c r="E259" s="338"/>
      <c r="F259" s="338"/>
      <c r="G259" s="338"/>
      <c r="H259" s="338"/>
      <c r="I259" s="338"/>
      <c r="J259" s="338"/>
      <c r="K259" s="338"/>
      <c r="L259" s="338"/>
      <c r="M259" s="338"/>
      <c r="N259" s="338"/>
      <c r="O259" s="338"/>
      <c r="P259" s="338"/>
      <c r="Q259" s="338"/>
      <c r="R259" s="338"/>
      <c r="S259" s="338"/>
      <c r="T259" s="338"/>
      <c r="U259" s="338"/>
      <c r="V259" s="338"/>
      <c r="W259" s="338"/>
      <c r="X259" s="338"/>
      <c r="Y259" s="338"/>
      <c r="Z259" s="338"/>
    </row>
    <row r="260" ht="15.75" customHeight="1">
      <c r="A260" s="338"/>
      <c r="B260" s="338"/>
      <c r="C260" s="338"/>
      <c r="D260" s="338"/>
      <c r="E260" s="338"/>
      <c r="F260" s="338"/>
      <c r="G260" s="338"/>
      <c r="H260" s="338"/>
      <c r="I260" s="338"/>
      <c r="J260" s="338"/>
      <c r="K260" s="338"/>
      <c r="L260" s="338"/>
      <c r="M260" s="338"/>
      <c r="N260" s="338"/>
      <c r="O260" s="338"/>
      <c r="P260" s="338"/>
      <c r="Q260" s="338"/>
      <c r="R260" s="338"/>
      <c r="S260" s="338"/>
      <c r="T260" s="338"/>
      <c r="U260" s="338"/>
      <c r="V260" s="338"/>
      <c r="W260" s="338"/>
      <c r="X260" s="338"/>
      <c r="Y260" s="338"/>
      <c r="Z260" s="338"/>
    </row>
    <row r="261" ht="15.75" customHeight="1">
      <c r="A261" s="338"/>
      <c r="B261" s="338"/>
      <c r="C261" s="338"/>
      <c r="D261" s="338"/>
      <c r="E261" s="338"/>
      <c r="F261" s="338"/>
      <c r="G261" s="338"/>
      <c r="H261" s="338"/>
      <c r="I261" s="338"/>
      <c r="J261" s="338"/>
      <c r="K261" s="338"/>
      <c r="L261" s="338"/>
      <c r="M261" s="338"/>
      <c r="N261" s="338"/>
      <c r="O261" s="338"/>
      <c r="P261" s="338"/>
      <c r="Q261" s="338"/>
      <c r="R261" s="338"/>
      <c r="S261" s="338"/>
      <c r="T261" s="338"/>
      <c r="U261" s="338"/>
      <c r="V261" s="338"/>
      <c r="W261" s="338"/>
      <c r="X261" s="338"/>
      <c r="Y261" s="338"/>
      <c r="Z261" s="338"/>
    </row>
    <row r="262" ht="15.75" customHeight="1">
      <c r="A262" s="338"/>
      <c r="B262" s="338"/>
      <c r="C262" s="338"/>
      <c r="D262" s="338"/>
      <c r="E262" s="338"/>
      <c r="F262" s="338"/>
      <c r="G262" s="338"/>
      <c r="H262" s="338"/>
      <c r="I262" s="338"/>
      <c r="J262" s="338"/>
      <c r="K262" s="338"/>
      <c r="L262" s="338"/>
      <c r="M262" s="338"/>
      <c r="N262" s="338"/>
      <c r="O262" s="338"/>
      <c r="P262" s="338"/>
      <c r="Q262" s="338"/>
      <c r="R262" s="338"/>
      <c r="S262" s="338"/>
      <c r="T262" s="338"/>
      <c r="U262" s="338"/>
      <c r="V262" s="338"/>
      <c r="W262" s="338"/>
      <c r="X262" s="338"/>
      <c r="Y262" s="338"/>
      <c r="Z262" s="338"/>
    </row>
    <row r="263" ht="15.75" customHeight="1">
      <c r="A263" s="338"/>
      <c r="B263" s="338"/>
      <c r="C263" s="338"/>
      <c r="D263" s="338"/>
      <c r="E263" s="338"/>
      <c r="F263" s="338"/>
      <c r="G263" s="338"/>
      <c r="H263" s="338"/>
      <c r="I263" s="338"/>
      <c r="J263" s="338"/>
      <c r="K263" s="338"/>
      <c r="L263" s="338"/>
      <c r="M263" s="338"/>
      <c r="N263" s="338"/>
      <c r="O263" s="338"/>
      <c r="P263" s="338"/>
      <c r="Q263" s="338"/>
      <c r="R263" s="338"/>
      <c r="S263" s="338"/>
      <c r="T263" s="338"/>
      <c r="U263" s="338"/>
      <c r="V263" s="338"/>
      <c r="W263" s="338"/>
      <c r="X263" s="338"/>
      <c r="Y263" s="338"/>
      <c r="Z263" s="338"/>
    </row>
    <row r="264" ht="15.75" customHeight="1">
      <c r="A264" s="338"/>
      <c r="B264" s="338"/>
      <c r="C264" s="338"/>
      <c r="D264" s="338"/>
      <c r="E264" s="338"/>
      <c r="F264" s="338"/>
      <c r="G264" s="338"/>
      <c r="H264" s="338"/>
      <c r="I264" s="338"/>
      <c r="J264" s="338"/>
      <c r="K264" s="338"/>
      <c r="L264" s="338"/>
      <c r="M264" s="338"/>
      <c r="N264" s="338"/>
      <c r="O264" s="338"/>
      <c r="P264" s="338"/>
      <c r="Q264" s="338"/>
      <c r="R264" s="338"/>
      <c r="S264" s="338"/>
      <c r="T264" s="338"/>
      <c r="U264" s="338"/>
      <c r="V264" s="338"/>
      <c r="W264" s="338"/>
      <c r="X264" s="338"/>
      <c r="Y264" s="338"/>
      <c r="Z264" s="338"/>
    </row>
    <row r="265" ht="15.75" customHeight="1">
      <c r="A265" s="338"/>
      <c r="B265" s="338"/>
      <c r="C265" s="338"/>
      <c r="D265" s="338"/>
      <c r="E265" s="338"/>
      <c r="F265" s="338"/>
      <c r="G265" s="338"/>
      <c r="H265" s="338"/>
      <c r="I265" s="338"/>
      <c r="J265" s="338"/>
      <c r="K265" s="338"/>
      <c r="L265" s="338"/>
      <c r="M265" s="338"/>
      <c r="N265" s="338"/>
      <c r="O265" s="338"/>
      <c r="P265" s="338"/>
      <c r="Q265" s="338"/>
      <c r="R265" s="338"/>
      <c r="S265" s="338"/>
      <c r="T265" s="338"/>
      <c r="U265" s="338"/>
      <c r="V265" s="338"/>
      <c r="W265" s="338"/>
      <c r="X265" s="338"/>
      <c r="Y265" s="338"/>
      <c r="Z265" s="338"/>
    </row>
    <row r="266" ht="15.75" customHeight="1">
      <c r="A266" s="338"/>
      <c r="B266" s="338"/>
      <c r="C266" s="338"/>
      <c r="D266" s="338"/>
      <c r="E266" s="338"/>
      <c r="F266" s="338"/>
      <c r="G266" s="338"/>
      <c r="H266" s="338"/>
      <c r="I266" s="338"/>
      <c r="J266" s="338"/>
      <c r="K266" s="338"/>
      <c r="L266" s="338"/>
      <c r="M266" s="338"/>
      <c r="N266" s="338"/>
      <c r="O266" s="338"/>
      <c r="P266" s="338"/>
      <c r="Q266" s="338"/>
      <c r="R266" s="338"/>
      <c r="S266" s="338"/>
      <c r="T266" s="338"/>
      <c r="U266" s="338"/>
      <c r="V266" s="338"/>
      <c r="W266" s="338"/>
      <c r="X266" s="338"/>
      <c r="Y266" s="338"/>
      <c r="Z266" s="338"/>
    </row>
    <row r="267" ht="15.75" customHeight="1">
      <c r="A267" s="338"/>
      <c r="B267" s="338"/>
      <c r="C267" s="338"/>
      <c r="D267" s="338"/>
      <c r="E267" s="338"/>
      <c r="F267" s="338"/>
      <c r="G267" s="338"/>
      <c r="H267" s="338"/>
      <c r="I267" s="338"/>
      <c r="J267" s="338"/>
      <c r="K267" s="338"/>
      <c r="L267" s="338"/>
      <c r="M267" s="338"/>
      <c r="N267" s="338"/>
      <c r="O267" s="338"/>
      <c r="P267" s="338"/>
      <c r="Q267" s="338"/>
      <c r="R267" s="338"/>
      <c r="S267" s="338"/>
      <c r="T267" s="338"/>
      <c r="U267" s="338"/>
      <c r="V267" s="338"/>
      <c r="W267" s="338"/>
      <c r="X267" s="338"/>
      <c r="Y267" s="338"/>
      <c r="Z267" s="338"/>
    </row>
    <row r="268" ht="15.75" customHeight="1">
      <c r="A268" s="338"/>
      <c r="B268" s="338"/>
      <c r="C268" s="338"/>
      <c r="D268" s="338"/>
      <c r="E268" s="338"/>
      <c r="F268" s="338"/>
      <c r="G268" s="338"/>
      <c r="H268" s="338"/>
      <c r="I268" s="338"/>
      <c r="J268" s="338"/>
      <c r="K268" s="338"/>
      <c r="L268" s="338"/>
      <c r="M268" s="338"/>
      <c r="N268" s="338"/>
      <c r="O268" s="338"/>
      <c r="P268" s="338"/>
      <c r="Q268" s="338"/>
      <c r="R268" s="338"/>
      <c r="S268" s="338"/>
      <c r="T268" s="338"/>
      <c r="U268" s="338"/>
      <c r="V268" s="338"/>
      <c r="W268" s="338"/>
      <c r="X268" s="338"/>
      <c r="Y268" s="338"/>
      <c r="Z268" s="338"/>
    </row>
    <row r="269" ht="15.75" customHeight="1">
      <c r="A269" s="338"/>
      <c r="B269" s="338"/>
      <c r="C269" s="338"/>
      <c r="D269" s="338"/>
      <c r="E269" s="338"/>
      <c r="F269" s="338"/>
      <c r="G269" s="338"/>
      <c r="H269" s="338"/>
      <c r="I269" s="338"/>
      <c r="J269" s="338"/>
      <c r="K269" s="338"/>
      <c r="L269" s="338"/>
      <c r="M269" s="338"/>
      <c r="N269" s="338"/>
      <c r="O269" s="338"/>
      <c r="P269" s="338"/>
      <c r="Q269" s="338"/>
      <c r="R269" s="338"/>
      <c r="S269" s="338"/>
      <c r="T269" s="338"/>
      <c r="U269" s="338"/>
      <c r="V269" s="338"/>
      <c r="W269" s="338"/>
      <c r="X269" s="338"/>
      <c r="Y269" s="338"/>
      <c r="Z269" s="338"/>
    </row>
    <row r="270" ht="15.75" customHeight="1">
      <c r="A270" s="338"/>
      <c r="B270" s="338"/>
      <c r="C270" s="338"/>
      <c r="D270" s="338"/>
      <c r="E270" s="338"/>
      <c r="F270" s="338"/>
      <c r="G270" s="338"/>
      <c r="H270" s="338"/>
      <c r="I270" s="338"/>
      <c r="J270" s="338"/>
      <c r="K270" s="338"/>
      <c r="L270" s="338"/>
      <c r="M270" s="338"/>
      <c r="N270" s="338"/>
      <c r="O270" s="338"/>
      <c r="P270" s="338"/>
      <c r="Q270" s="338"/>
      <c r="R270" s="338"/>
      <c r="S270" s="338"/>
      <c r="T270" s="338"/>
      <c r="U270" s="338"/>
      <c r="V270" s="338"/>
      <c r="W270" s="338"/>
      <c r="X270" s="338"/>
      <c r="Y270" s="338"/>
      <c r="Z270" s="338"/>
    </row>
    <row r="271" ht="15.75" customHeight="1">
      <c r="A271" s="338"/>
      <c r="B271" s="338"/>
      <c r="C271" s="338"/>
      <c r="D271" s="338"/>
      <c r="E271" s="338"/>
      <c r="F271" s="338"/>
      <c r="G271" s="338"/>
      <c r="H271" s="338"/>
      <c r="I271" s="338"/>
      <c r="J271" s="338"/>
      <c r="K271" s="338"/>
      <c r="L271" s="338"/>
      <c r="M271" s="338"/>
      <c r="N271" s="338"/>
      <c r="O271" s="338"/>
      <c r="P271" s="338"/>
      <c r="Q271" s="338"/>
      <c r="R271" s="338"/>
      <c r="S271" s="338"/>
      <c r="T271" s="338"/>
      <c r="U271" s="338"/>
      <c r="V271" s="338"/>
      <c r="W271" s="338"/>
      <c r="X271" s="338"/>
      <c r="Y271" s="338"/>
      <c r="Z271" s="338"/>
    </row>
    <row r="272" ht="15.75" customHeight="1">
      <c r="A272" s="338"/>
      <c r="B272" s="338"/>
      <c r="C272" s="338"/>
      <c r="D272" s="338"/>
      <c r="E272" s="338"/>
      <c r="F272" s="338"/>
      <c r="G272" s="338"/>
      <c r="H272" s="338"/>
      <c r="I272" s="338"/>
      <c r="J272" s="338"/>
      <c r="K272" s="338"/>
      <c r="L272" s="338"/>
      <c r="M272" s="338"/>
      <c r="N272" s="338"/>
      <c r="O272" s="338"/>
      <c r="P272" s="338"/>
      <c r="Q272" s="338"/>
      <c r="R272" s="338"/>
      <c r="S272" s="338"/>
      <c r="T272" s="338"/>
      <c r="U272" s="338"/>
      <c r="V272" s="338"/>
      <c r="W272" s="338"/>
      <c r="X272" s="338"/>
      <c r="Y272" s="338"/>
      <c r="Z272" s="338"/>
    </row>
    <row r="273" ht="15.75" customHeight="1">
      <c r="A273" s="338"/>
      <c r="B273" s="338"/>
      <c r="C273" s="338"/>
      <c r="D273" s="338"/>
      <c r="E273" s="338"/>
      <c r="F273" s="338"/>
      <c r="G273" s="338"/>
      <c r="H273" s="338"/>
      <c r="I273" s="338"/>
      <c r="J273" s="338"/>
      <c r="K273" s="338"/>
      <c r="L273" s="338"/>
      <c r="M273" s="338"/>
      <c r="N273" s="338"/>
      <c r="O273" s="338"/>
      <c r="P273" s="338"/>
      <c r="Q273" s="338"/>
      <c r="R273" s="338"/>
      <c r="S273" s="338"/>
      <c r="T273" s="338"/>
      <c r="U273" s="338"/>
      <c r="V273" s="338"/>
      <c r="W273" s="338"/>
      <c r="X273" s="338"/>
      <c r="Y273" s="338"/>
      <c r="Z273" s="338"/>
    </row>
    <row r="274" ht="15.75" customHeight="1">
      <c r="A274" s="338"/>
      <c r="B274" s="338"/>
      <c r="C274" s="338"/>
      <c r="D274" s="338"/>
      <c r="E274" s="338"/>
      <c r="F274" s="338"/>
      <c r="G274" s="338"/>
      <c r="H274" s="338"/>
      <c r="I274" s="338"/>
      <c r="J274" s="338"/>
      <c r="K274" s="338"/>
      <c r="L274" s="338"/>
      <c r="M274" s="338"/>
      <c r="N274" s="338"/>
      <c r="O274" s="338"/>
      <c r="P274" s="338"/>
      <c r="Q274" s="338"/>
      <c r="R274" s="338"/>
      <c r="S274" s="338"/>
      <c r="T274" s="338"/>
      <c r="U274" s="338"/>
      <c r="V274" s="338"/>
      <c r="W274" s="338"/>
      <c r="X274" s="338"/>
      <c r="Y274" s="338"/>
      <c r="Z274" s="338"/>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L36:L41"/>
    <mergeCell ref="L68:L72"/>
  </mergeCells>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11.0"/>
    <col customWidth="1" min="2" max="2" width="15.25"/>
    <col customWidth="1" min="3" max="3" width="15.38"/>
    <col customWidth="1" min="4" max="4" width="11.0"/>
    <col customWidth="1" min="5" max="5" width="16.5"/>
    <col customWidth="1" min="6" max="6" width="15.25"/>
    <col customWidth="1" min="7" max="7" width="22.38"/>
    <col customWidth="1" min="8" max="8" width="16.38"/>
    <col customWidth="1" min="9" max="9" width="18.63"/>
    <col customWidth="1" min="10" max="11" width="11.0"/>
    <col customWidth="1" min="12" max="12" width="15.38"/>
    <col customWidth="1" min="13" max="13" width="28.13"/>
    <col customWidth="1" min="14" max="14" width="15.25"/>
    <col customWidth="1" min="15" max="31" width="11.0"/>
  </cols>
  <sheetData>
    <row r="1" ht="15.75" customHeight="1">
      <c r="A1" s="648" t="s">
        <v>3405</v>
      </c>
      <c r="B1" s="649" t="s">
        <v>3406</v>
      </c>
      <c r="C1" s="5"/>
      <c r="D1" s="5"/>
      <c r="E1" s="5"/>
      <c r="F1" s="5"/>
      <c r="G1" s="5"/>
      <c r="H1" s="5"/>
      <c r="I1" s="6"/>
      <c r="J1" s="650" t="s">
        <v>3407</v>
      </c>
      <c r="K1" s="5"/>
      <c r="L1" s="5"/>
      <c r="M1" s="5"/>
      <c r="N1" s="6"/>
    </row>
    <row r="2" ht="15.75" customHeight="1">
      <c r="A2" s="11"/>
      <c r="B2" s="648" t="s">
        <v>3408</v>
      </c>
      <c r="C2" s="649" t="s">
        <v>3409</v>
      </c>
      <c r="D2" s="5"/>
      <c r="E2" s="6"/>
      <c r="F2" s="649" t="s">
        <v>3410</v>
      </c>
      <c r="G2" s="5"/>
      <c r="H2" s="6"/>
      <c r="I2" s="651"/>
      <c r="J2" s="652" t="s">
        <v>3411</v>
      </c>
      <c r="K2" s="5"/>
      <c r="L2" s="6"/>
      <c r="M2" s="652" t="s">
        <v>2940</v>
      </c>
      <c r="N2" s="6"/>
    </row>
    <row r="3" ht="15.75" customHeight="1">
      <c r="A3" s="16"/>
      <c r="B3" s="16"/>
      <c r="C3" s="653" t="s">
        <v>3412</v>
      </c>
      <c r="D3" s="653" t="s">
        <v>3413</v>
      </c>
      <c r="E3" s="653" t="s">
        <v>3414</v>
      </c>
      <c r="F3" s="653" t="s">
        <v>3415</v>
      </c>
      <c r="G3" s="653" t="s">
        <v>3416</v>
      </c>
      <c r="H3" s="654" t="s">
        <v>3417</v>
      </c>
      <c r="I3" s="654" t="s">
        <v>3416</v>
      </c>
      <c r="J3" s="655" t="s">
        <v>2926</v>
      </c>
      <c r="K3" s="656" t="s">
        <v>3418</v>
      </c>
      <c r="L3" s="657" t="s">
        <v>3419</v>
      </c>
      <c r="M3" s="657" t="s">
        <v>3420</v>
      </c>
      <c r="N3" s="657" t="s">
        <v>3421</v>
      </c>
    </row>
    <row r="4" ht="64.5" customHeight="1">
      <c r="A4" s="658">
        <v>45539.0</v>
      </c>
      <c r="B4" s="659" t="s">
        <v>774</v>
      </c>
      <c r="C4" s="659">
        <v>0.0</v>
      </c>
      <c r="D4" s="659">
        <v>0.0</v>
      </c>
      <c r="E4" s="659">
        <v>1.0</v>
      </c>
      <c r="F4" s="659">
        <v>1.0</v>
      </c>
      <c r="G4" s="659">
        <v>9.87723212E8</v>
      </c>
      <c r="H4" s="659">
        <v>0.0</v>
      </c>
      <c r="I4" s="659">
        <v>0.0</v>
      </c>
      <c r="J4" s="659">
        <v>6.0</v>
      </c>
      <c r="K4" s="660">
        <f t="shared" ref="K4:K13" si="1">J4/N4</f>
        <v>1</v>
      </c>
      <c r="L4" s="397">
        <v>6.0</v>
      </c>
      <c r="M4" s="397" t="s">
        <v>3422</v>
      </c>
      <c r="N4" s="397">
        <v>6.0</v>
      </c>
    </row>
    <row r="5" ht="59.25" customHeight="1">
      <c r="A5" s="16"/>
      <c r="B5" s="659" t="s">
        <v>428</v>
      </c>
      <c r="C5" s="659">
        <v>0.0</v>
      </c>
      <c r="D5" s="659">
        <v>0.0</v>
      </c>
      <c r="E5" s="659">
        <v>0.0</v>
      </c>
      <c r="F5" s="659">
        <v>0.0</v>
      </c>
      <c r="G5" s="659">
        <v>0.0</v>
      </c>
      <c r="H5" s="659">
        <v>0.0</v>
      </c>
      <c r="I5" s="659">
        <v>0.0</v>
      </c>
      <c r="J5" s="659">
        <v>6.0</v>
      </c>
      <c r="K5" s="660">
        <f t="shared" si="1"/>
        <v>1.5</v>
      </c>
      <c r="L5" s="397">
        <v>6.0</v>
      </c>
      <c r="M5" s="397" t="s">
        <v>3423</v>
      </c>
      <c r="N5" s="397">
        <v>4.0</v>
      </c>
    </row>
    <row r="6" ht="15.75" customHeight="1">
      <c r="A6" s="661">
        <v>45540.0</v>
      </c>
      <c r="B6" s="662" t="s">
        <v>774</v>
      </c>
      <c r="C6" s="659">
        <v>0.0</v>
      </c>
      <c r="D6" s="659">
        <v>0.0</v>
      </c>
      <c r="E6" s="659">
        <v>0.0</v>
      </c>
      <c r="F6" s="659">
        <v>0.0</v>
      </c>
      <c r="G6" s="659">
        <v>0.0</v>
      </c>
      <c r="H6" s="659">
        <v>0.0</v>
      </c>
      <c r="I6" s="659">
        <v>0.0</v>
      </c>
      <c r="J6" s="659">
        <f t="shared" ref="J6:J7" si="2">J4+L6</f>
        <v>10</v>
      </c>
      <c r="K6" s="660">
        <f t="shared" si="1"/>
        <v>1.666666667</v>
      </c>
      <c r="L6" s="397">
        <v>4.0</v>
      </c>
      <c r="M6" s="397" t="s">
        <v>3424</v>
      </c>
      <c r="N6" s="397">
        <v>6.0</v>
      </c>
    </row>
    <row r="7" ht="15.75" customHeight="1">
      <c r="A7" s="11"/>
      <c r="B7" s="662" t="s">
        <v>428</v>
      </c>
      <c r="C7" s="659">
        <v>1.0</v>
      </c>
      <c r="D7" s="659">
        <v>1.0</v>
      </c>
      <c r="E7" s="659">
        <v>0.0</v>
      </c>
      <c r="F7" s="659">
        <v>0.0</v>
      </c>
      <c r="G7" s="659">
        <v>0.0</v>
      </c>
      <c r="H7" s="659">
        <v>0.0</v>
      </c>
      <c r="I7" s="659">
        <v>0.0</v>
      </c>
      <c r="J7" s="659">
        <f t="shared" si="2"/>
        <v>8</v>
      </c>
      <c r="K7" s="660">
        <f t="shared" si="1"/>
        <v>1.6</v>
      </c>
      <c r="L7" s="397">
        <v>2.0</v>
      </c>
      <c r="M7" s="397" t="s">
        <v>3425</v>
      </c>
      <c r="N7" s="397">
        <v>5.0</v>
      </c>
    </row>
    <row r="8" ht="15.75" customHeight="1">
      <c r="A8" s="11"/>
      <c r="B8" s="662" t="s">
        <v>3426</v>
      </c>
      <c r="C8" s="659">
        <v>2.0</v>
      </c>
      <c r="D8" s="659">
        <v>1.0</v>
      </c>
      <c r="E8" s="659">
        <v>0.0</v>
      </c>
      <c r="F8" s="659">
        <v>0.0</v>
      </c>
      <c r="G8" s="659">
        <v>0.0</v>
      </c>
      <c r="H8" s="659">
        <v>0.0</v>
      </c>
      <c r="I8" s="659">
        <v>0.0</v>
      </c>
      <c r="J8" s="659">
        <v>6.0</v>
      </c>
      <c r="K8" s="660">
        <f t="shared" si="1"/>
        <v>2</v>
      </c>
      <c r="L8" s="397">
        <v>4.0</v>
      </c>
      <c r="M8" s="397" t="s">
        <v>3427</v>
      </c>
      <c r="N8" s="397">
        <v>3.0</v>
      </c>
    </row>
    <row r="9" ht="49.5" customHeight="1">
      <c r="A9" s="16"/>
      <c r="B9" s="662" t="s">
        <v>696</v>
      </c>
      <c r="C9" s="659">
        <v>0.0</v>
      </c>
      <c r="D9" s="659">
        <v>0.0</v>
      </c>
      <c r="E9" s="659">
        <v>1.0</v>
      </c>
      <c r="F9" s="659">
        <v>0.0</v>
      </c>
      <c r="G9" s="659">
        <v>0.0</v>
      </c>
      <c r="H9" s="659">
        <v>0.0</v>
      </c>
      <c r="I9" s="659">
        <v>0.0</v>
      </c>
      <c r="J9" s="659">
        <v>5.0</v>
      </c>
      <c r="K9" s="660">
        <f t="shared" si="1"/>
        <v>2.5</v>
      </c>
      <c r="L9" s="397">
        <v>5.0</v>
      </c>
      <c r="M9" s="397" t="s">
        <v>3428</v>
      </c>
      <c r="N9" s="397">
        <v>2.0</v>
      </c>
    </row>
    <row r="10" ht="15.75" customHeight="1">
      <c r="A10" s="663">
        <v>45541.0</v>
      </c>
      <c r="B10" s="664" t="s">
        <v>774</v>
      </c>
      <c r="C10" s="659">
        <v>0.0</v>
      </c>
      <c r="D10" s="659">
        <v>0.0</v>
      </c>
      <c r="E10" s="659">
        <v>0.0</v>
      </c>
      <c r="F10" s="659">
        <v>0.0</v>
      </c>
      <c r="G10" s="659">
        <v>0.0</v>
      </c>
      <c r="H10" s="659">
        <v>0.0</v>
      </c>
      <c r="I10" s="659">
        <v>0.0</v>
      </c>
      <c r="J10" s="659">
        <f t="shared" ref="J10:J13" si="3">J6+L10</f>
        <v>15</v>
      </c>
      <c r="K10" s="660">
        <f t="shared" si="1"/>
        <v>2.142857143</v>
      </c>
      <c r="L10" s="397">
        <v>5.0</v>
      </c>
      <c r="M10" s="397" t="s">
        <v>3429</v>
      </c>
      <c r="N10" s="397">
        <v>7.0</v>
      </c>
    </row>
    <row r="11" ht="15.75" customHeight="1">
      <c r="A11" s="11"/>
      <c r="B11" s="664" t="s">
        <v>428</v>
      </c>
      <c r="C11" s="659">
        <v>0.0</v>
      </c>
      <c r="D11" s="659">
        <v>0.0</v>
      </c>
      <c r="E11" s="659">
        <v>0.0</v>
      </c>
      <c r="F11" s="659">
        <v>0.0</v>
      </c>
      <c r="G11" s="659">
        <v>0.0</v>
      </c>
      <c r="H11" s="659">
        <v>0.0</v>
      </c>
      <c r="I11" s="659">
        <v>0.0</v>
      </c>
      <c r="J11" s="659">
        <f t="shared" si="3"/>
        <v>14</v>
      </c>
      <c r="K11" s="660">
        <f t="shared" si="1"/>
        <v>1.75</v>
      </c>
      <c r="L11" s="397">
        <v>6.0</v>
      </c>
      <c r="M11" s="397" t="s">
        <v>3430</v>
      </c>
      <c r="N11" s="397">
        <v>8.0</v>
      </c>
    </row>
    <row r="12" ht="15.75" customHeight="1">
      <c r="A12" s="11"/>
      <c r="B12" s="664" t="s">
        <v>3426</v>
      </c>
      <c r="C12" s="659">
        <v>0.0</v>
      </c>
      <c r="D12" s="659">
        <v>0.0</v>
      </c>
      <c r="E12" s="659">
        <v>0.0</v>
      </c>
      <c r="F12" s="659">
        <v>0.0</v>
      </c>
      <c r="G12" s="659">
        <v>0.0</v>
      </c>
      <c r="H12" s="659">
        <v>0.0</v>
      </c>
      <c r="I12" s="659">
        <v>0.0</v>
      </c>
      <c r="J12" s="659">
        <f t="shared" si="3"/>
        <v>9</v>
      </c>
      <c r="K12" s="660">
        <f t="shared" si="1"/>
        <v>2.25</v>
      </c>
      <c r="L12" s="397">
        <v>3.0</v>
      </c>
      <c r="M12" s="397" t="s">
        <v>3431</v>
      </c>
      <c r="N12" s="397">
        <v>4.0</v>
      </c>
    </row>
    <row r="13" ht="35.25" customHeight="1">
      <c r="A13" s="16"/>
      <c r="B13" s="664" t="s">
        <v>696</v>
      </c>
      <c r="C13" s="659">
        <v>0.0</v>
      </c>
      <c r="D13" s="659">
        <v>0.0</v>
      </c>
      <c r="E13" s="659">
        <v>0.0</v>
      </c>
      <c r="F13" s="659">
        <v>0.0</v>
      </c>
      <c r="G13" s="659">
        <v>0.0</v>
      </c>
      <c r="H13" s="659">
        <v>0.0</v>
      </c>
      <c r="I13" s="659">
        <v>0.0</v>
      </c>
      <c r="J13" s="659">
        <f t="shared" si="3"/>
        <v>7</v>
      </c>
      <c r="K13" s="660">
        <f t="shared" si="1"/>
        <v>2.333333333</v>
      </c>
      <c r="L13" s="397">
        <v>2.0</v>
      </c>
      <c r="M13" s="397" t="s">
        <v>3432</v>
      </c>
      <c r="N13" s="397">
        <v>3.0</v>
      </c>
    </row>
    <row r="14" ht="15.75" customHeight="1">
      <c r="A14" s="658">
        <v>45542.0</v>
      </c>
      <c r="B14" s="659" t="s">
        <v>774</v>
      </c>
      <c r="C14" s="659"/>
      <c r="D14" s="659"/>
      <c r="E14" s="659"/>
      <c r="F14" s="659"/>
      <c r="G14" s="659"/>
      <c r="H14" s="659"/>
      <c r="I14" s="659"/>
      <c r="J14" s="659"/>
      <c r="K14" s="660"/>
      <c r="L14" s="397"/>
      <c r="M14" s="397"/>
      <c r="N14" s="397"/>
    </row>
    <row r="15" ht="15.75" customHeight="1">
      <c r="A15" s="11"/>
      <c r="B15" s="659" t="s">
        <v>428</v>
      </c>
      <c r="C15" s="659">
        <v>0.0</v>
      </c>
      <c r="D15" s="659">
        <v>0.0</v>
      </c>
      <c r="E15" s="659">
        <v>0.0</v>
      </c>
      <c r="F15" s="659">
        <v>0.0</v>
      </c>
      <c r="G15" s="659">
        <v>0.0</v>
      </c>
      <c r="H15" s="659">
        <v>0.0</v>
      </c>
      <c r="I15" s="659">
        <v>0.0</v>
      </c>
      <c r="J15" s="659">
        <v>14.0</v>
      </c>
      <c r="K15" s="660">
        <v>1.8</v>
      </c>
      <c r="L15" s="397">
        <v>0.0</v>
      </c>
      <c r="M15" s="397">
        <v>0.0</v>
      </c>
      <c r="N15" s="397">
        <v>8.0</v>
      </c>
    </row>
    <row r="16" ht="15.75" customHeight="1">
      <c r="A16" s="11"/>
      <c r="B16" s="659" t="s">
        <v>3426</v>
      </c>
      <c r="C16" s="659">
        <v>0.0</v>
      </c>
      <c r="D16" s="659">
        <v>0.0</v>
      </c>
      <c r="E16" s="659">
        <v>0.0</v>
      </c>
      <c r="F16" s="659">
        <v>0.0</v>
      </c>
      <c r="G16" s="659">
        <v>0.0</v>
      </c>
      <c r="H16" s="659">
        <v>0.0</v>
      </c>
      <c r="I16" s="659">
        <v>0.0</v>
      </c>
      <c r="J16" s="659">
        <f t="shared" ref="J16:J17" si="4">J12+L16</f>
        <v>9</v>
      </c>
      <c r="K16" s="660">
        <f t="shared" ref="K16:K22" si="5">J16/N16</f>
        <v>2.25</v>
      </c>
      <c r="L16" s="397">
        <v>0.0</v>
      </c>
      <c r="M16" s="397">
        <v>0.0</v>
      </c>
      <c r="N16" s="397">
        <v>4.0</v>
      </c>
    </row>
    <row r="17" ht="15.75" customHeight="1">
      <c r="A17" s="16"/>
      <c r="B17" s="659" t="s">
        <v>696</v>
      </c>
      <c r="C17" s="659">
        <v>0.0</v>
      </c>
      <c r="D17" s="659">
        <v>0.0</v>
      </c>
      <c r="E17" s="659">
        <v>0.0</v>
      </c>
      <c r="F17" s="659">
        <v>0.0</v>
      </c>
      <c r="G17" s="659">
        <v>0.0</v>
      </c>
      <c r="H17" s="659">
        <v>0.0</v>
      </c>
      <c r="I17" s="659">
        <v>0.0</v>
      </c>
      <c r="J17" s="659">
        <f t="shared" si="4"/>
        <v>8</v>
      </c>
      <c r="K17" s="660">
        <f t="shared" si="5"/>
        <v>2.666666667</v>
      </c>
      <c r="L17" s="397">
        <v>1.0</v>
      </c>
      <c r="M17" s="397" t="s">
        <v>3433</v>
      </c>
      <c r="N17" s="397">
        <v>3.0</v>
      </c>
      <c r="O17" s="665"/>
      <c r="P17" s="665"/>
      <c r="Q17" s="665"/>
      <c r="R17" s="665"/>
      <c r="S17" s="665"/>
      <c r="T17" s="665"/>
      <c r="U17" s="665"/>
      <c r="V17" s="665"/>
      <c r="W17" s="665"/>
      <c r="X17" s="665"/>
      <c r="Y17" s="665"/>
      <c r="Z17" s="665"/>
      <c r="AA17" s="665"/>
      <c r="AB17" s="665"/>
      <c r="AC17" s="665"/>
      <c r="AD17" s="665"/>
      <c r="AE17" s="665"/>
    </row>
    <row r="18" ht="15.75" customHeight="1">
      <c r="A18" s="658">
        <v>45544.0</v>
      </c>
      <c r="B18" s="659" t="s">
        <v>774</v>
      </c>
      <c r="C18" s="659"/>
      <c r="D18" s="659"/>
      <c r="E18" s="659"/>
      <c r="F18" s="659"/>
      <c r="G18" s="659"/>
      <c r="H18" s="659"/>
      <c r="I18" s="659"/>
      <c r="J18" s="659">
        <v>24.0</v>
      </c>
      <c r="K18" s="660">
        <f t="shared" si="5"/>
        <v>2.181818182</v>
      </c>
      <c r="L18" s="397">
        <v>4.0</v>
      </c>
      <c r="M18" s="398" t="s">
        <v>3434</v>
      </c>
      <c r="N18" s="397">
        <v>11.0</v>
      </c>
    </row>
    <row r="19" ht="15.75" customHeight="1">
      <c r="A19" s="11"/>
      <c r="B19" s="659" t="s">
        <v>428</v>
      </c>
      <c r="C19" s="659">
        <v>2.0</v>
      </c>
      <c r="D19" s="659">
        <v>1.0</v>
      </c>
      <c r="E19" s="659">
        <v>1.0</v>
      </c>
      <c r="F19" s="659">
        <v>0.0</v>
      </c>
      <c r="G19" s="659">
        <v>0.0</v>
      </c>
      <c r="H19" s="659">
        <v>0.0</v>
      </c>
      <c r="I19" s="659">
        <v>0.0</v>
      </c>
      <c r="J19" s="659">
        <v>28.0</v>
      </c>
      <c r="K19" s="660">
        <f t="shared" si="5"/>
        <v>3.111111111</v>
      </c>
      <c r="L19" s="397">
        <v>6.0</v>
      </c>
      <c r="M19" s="397" t="s">
        <v>3435</v>
      </c>
      <c r="N19" s="397">
        <v>9.0</v>
      </c>
    </row>
    <row r="20" ht="15.75" customHeight="1">
      <c r="A20" s="11"/>
      <c r="B20" s="659" t="s">
        <v>3426</v>
      </c>
      <c r="C20" s="659">
        <v>20.0</v>
      </c>
      <c r="D20" s="659">
        <v>16.0</v>
      </c>
      <c r="E20" s="659">
        <v>1.0</v>
      </c>
      <c r="F20" s="659">
        <v>0.0</v>
      </c>
      <c r="G20" s="659">
        <v>0.0</v>
      </c>
      <c r="H20" s="659">
        <v>2.0</v>
      </c>
      <c r="I20" s="659">
        <v>0.0</v>
      </c>
      <c r="J20" s="659">
        <v>15.0</v>
      </c>
      <c r="K20" s="660">
        <f t="shared" si="5"/>
        <v>1.875</v>
      </c>
      <c r="L20" s="397">
        <v>5.0</v>
      </c>
      <c r="M20" s="397" t="s">
        <v>3436</v>
      </c>
      <c r="N20" s="397">
        <v>8.0</v>
      </c>
    </row>
    <row r="21" ht="15.75" customHeight="1">
      <c r="A21" s="16"/>
      <c r="B21" s="659" t="s">
        <v>696</v>
      </c>
      <c r="C21" s="659">
        <v>1.0</v>
      </c>
      <c r="D21" s="659">
        <v>1.0</v>
      </c>
      <c r="E21" s="659">
        <v>0.0</v>
      </c>
      <c r="F21" s="659">
        <v>1.0</v>
      </c>
      <c r="G21" s="659">
        <v>3.85884593E8</v>
      </c>
      <c r="H21" s="659">
        <v>0.0</v>
      </c>
      <c r="I21" s="659">
        <v>0.0</v>
      </c>
      <c r="J21" s="659">
        <v>9.0</v>
      </c>
      <c r="K21" s="660">
        <f t="shared" si="5"/>
        <v>3</v>
      </c>
      <c r="L21" s="397">
        <v>1.0</v>
      </c>
      <c r="M21" s="397" t="s">
        <v>3432</v>
      </c>
      <c r="N21" s="397">
        <v>3.0</v>
      </c>
    </row>
    <row r="22" ht="15.75" customHeight="1">
      <c r="A22" s="658">
        <v>45545.0</v>
      </c>
      <c r="B22" s="659" t="s">
        <v>774</v>
      </c>
      <c r="C22" s="659">
        <v>15.0</v>
      </c>
      <c r="D22" s="659">
        <v>10.0</v>
      </c>
      <c r="E22" s="659">
        <v>1.0</v>
      </c>
      <c r="F22" s="659">
        <v>1.0</v>
      </c>
      <c r="G22" s="659" t="s">
        <v>3437</v>
      </c>
      <c r="H22" s="659">
        <v>0.0</v>
      </c>
      <c r="I22" s="659">
        <v>0.0</v>
      </c>
      <c r="J22" s="659">
        <v>25.0</v>
      </c>
      <c r="K22" s="660">
        <f t="shared" si="5"/>
        <v>2.083333333</v>
      </c>
      <c r="L22" s="397">
        <v>1.0</v>
      </c>
      <c r="M22" s="397" t="s">
        <v>3438</v>
      </c>
      <c r="N22" s="397">
        <v>12.0</v>
      </c>
    </row>
    <row r="23" ht="15.75" customHeight="1">
      <c r="A23" s="11"/>
      <c r="B23" s="659" t="s">
        <v>428</v>
      </c>
      <c r="C23" s="659"/>
      <c r="D23" s="659"/>
      <c r="E23" s="659"/>
      <c r="F23" s="659"/>
      <c r="G23" s="659"/>
      <c r="H23" s="659"/>
      <c r="I23" s="659"/>
      <c r="J23" s="659"/>
      <c r="K23" s="660"/>
      <c r="L23" s="397"/>
      <c r="M23" s="397"/>
      <c r="N23" s="397"/>
    </row>
    <row r="24" ht="15.75" customHeight="1">
      <c r="A24" s="11"/>
      <c r="B24" s="659" t="s">
        <v>3426</v>
      </c>
      <c r="C24" s="659"/>
      <c r="D24" s="659"/>
      <c r="E24" s="659"/>
      <c r="F24" s="659"/>
      <c r="G24" s="659"/>
      <c r="H24" s="659"/>
      <c r="I24" s="659"/>
      <c r="J24" s="659"/>
      <c r="K24" s="660"/>
      <c r="L24" s="397"/>
      <c r="M24" s="397"/>
      <c r="N24" s="397"/>
    </row>
    <row r="25" ht="15.75" customHeight="1">
      <c r="A25" s="16"/>
      <c r="B25" s="659" t="s">
        <v>696</v>
      </c>
      <c r="C25" s="659"/>
      <c r="D25" s="659"/>
      <c r="E25" s="659"/>
      <c r="F25" s="659"/>
      <c r="G25" s="659"/>
      <c r="H25" s="659"/>
      <c r="I25" s="659"/>
      <c r="J25" s="659">
        <v>14.0</v>
      </c>
      <c r="K25" s="660">
        <f>J25/N25</f>
        <v>4.666666667</v>
      </c>
      <c r="L25" s="397">
        <v>5.0</v>
      </c>
      <c r="M25" s="397" t="s">
        <v>3439</v>
      </c>
      <c r="N25" s="397">
        <v>3.0</v>
      </c>
    </row>
    <row r="26" ht="15.75" customHeight="1">
      <c r="A26" s="658">
        <v>45546.0</v>
      </c>
      <c r="B26" s="659" t="s">
        <v>774</v>
      </c>
      <c r="C26" s="659"/>
      <c r="D26" s="659"/>
      <c r="E26" s="659"/>
      <c r="F26" s="659"/>
      <c r="G26" s="659"/>
      <c r="H26" s="659"/>
      <c r="I26" s="659"/>
      <c r="J26" s="659"/>
      <c r="K26" s="660"/>
      <c r="L26" s="397"/>
      <c r="M26" s="397"/>
      <c r="N26" s="397"/>
    </row>
    <row r="27" ht="15.75" customHeight="1">
      <c r="A27" s="11"/>
      <c r="B27" s="659" t="s">
        <v>428</v>
      </c>
      <c r="C27" s="659"/>
      <c r="D27" s="659"/>
      <c r="E27" s="659"/>
      <c r="F27" s="659"/>
      <c r="G27" s="659"/>
      <c r="H27" s="659"/>
      <c r="I27" s="659"/>
      <c r="J27" s="659"/>
      <c r="K27" s="660"/>
      <c r="L27" s="397"/>
      <c r="M27" s="397"/>
      <c r="N27" s="397"/>
    </row>
    <row r="28" ht="15.75" customHeight="1">
      <c r="A28" s="11"/>
      <c r="B28" s="659" t="s">
        <v>3426</v>
      </c>
      <c r="C28" s="659"/>
      <c r="D28" s="659"/>
      <c r="E28" s="659"/>
      <c r="F28" s="659"/>
      <c r="G28" s="659"/>
      <c r="H28" s="659"/>
      <c r="I28" s="659"/>
      <c r="J28" s="659"/>
      <c r="K28" s="660"/>
      <c r="L28" s="397"/>
      <c r="M28" s="397"/>
      <c r="N28" s="397"/>
    </row>
    <row r="29" ht="15.75" customHeight="1">
      <c r="A29" s="16"/>
      <c r="B29" s="659" t="s">
        <v>696</v>
      </c>
      <c r="C29" s="659"/>
      <c r="D29" s="659"/>
      <c r="E29" s="659"/>
      <c r="F29" s="659"/>
      <c r="G29" s="659"/>
      <c r="H29" s="659"/>
      <c r="I29" s="659"/>
      <c r="J29" s="659"/>
      <c r="K29" s="660"/>
      <c r="L29" s="397"/>
      <c r="M29" s="397"/>
      <c r="N29" s="397"/>
    </row>
    <row r="30" ht="15.75" customHeight="1">
      <c r="A30" s="658">
        <v>45547.0</v>
      </c>
      <c r="B30" s="659" t="s">
        <v>774</v>
      </c>
      <c r="C30" s="659"/>
      <c r="D30" s="659"/>
      <c r="E30" s="659"/>
      <c r="F30" s="659"/>
      <c r="G30" s="659"/>
      <c r="H30" s="659"/>
      <c r="I30" s="659"/>
      <c r="J30" s="659"/>
      <c r="K30" s="660"/>
      <c r="L30" s="397"/>
      <c r="M30" s="397"/>
      <c r="N30" s="397"/>
    </row>
    <row r="31" ht="15.75" customHeight="1">
      <c r="A31" s="11"/>
      <c r="B31" s="659" t="s">
        <v>428</v>
      </c>
      <c r="C31" s="659"/>
      <c r="D31" s="659"/>
      <c r="E31" s="659"/>
      <c r="F31" s="659"/>
      <c r="G31" s="659"/>
      <c r="H31" s="659"/>
      <c r="I31" s="659"/>
      <c r="J31" s="659"/>
      <c r="K31" s="660"/>
      <c r="L31" s="397"/>
      <c r="M31" s="397"/>
      <c r="N31" s="397"/>
    </row>
    <row r="32" ht="15.75" customHeight="1">
      <c r="A32" s="11"/>
      <c r="B32" s="659" t="s">
        <v>3426</v>
      </c>
      <c r="C32" s="659"/>
      <c r="D32" s="659"/>
      <c r="E32" s="659"/>
      <c r="F32" s="659"/>
      <c r="G32" s="659"/>
      <c r="H32" s="659"/>
      <c r="I32" s="659"/>
      <c r="J32" s="659"/>
      <c r="K32" s="660"/>
      <c r="L32" s="397"/>
      <c r="M32" s="397"/>
      <c r="N32" s="397"/>
    </row>
    <row r="33" ht="15.75" customHeight="1">
      <c r="A33" s="16"/>
      <c r="B33" s="659" t="s">
        <v>774</v>
      </c>
      <c r="C33" s="659"/>
      <c r="D33" s="659"/>
      <c r="E33" s="659"/>
      <c r="F33" s="659"/>
      <c r="G33" s="659"/>
      <c r="H33" s="659"/>
      <c r="I33" s="659"/>
      <c r="J33" s="659"/>
      <c r="K33" s="660"/>
      <c r="L33" s="397"/>
      <c r="M33" s="397"/>
      <c r="N33" s="397"/>
    </row>
    <row r="34" ht="15.75" customHeight="1">
      <c r="A34" s="658">
        <v>45548.0</v>
      </c>
      <c r="B34" s="659" t="s">
        <v>428</v>
      </c>
      <c r="C34" s="659"/>
      <c r="D34" s="659"/>
      <c r="E34" s="659"/>
      <c r="F34" s="659"/>
      <c r="G34" s="659"/>
      <c r="H34" s="659"/>
      <c r="I34" s="659"/>
      <c r="J34" s="659"/>
      <c r="K34" s="660"/>
      <c r="L34" s="397"/>
      <c r="M34" s="397"/>
      <c r="N34" s="397"/>
    </row>
    <row r="35" ht="15.75" customHeight="1">
      <c r="A35" s="11"/>
      <c r="B35" s="659" t="s">
        <v>3426</v>
      </c>
      <c r="C35" s="659"/>
      <c r="D35" s="659"/>
      <c r="E35" s="659"/>
      <c r="F35" s="659"/>
      <c r="G35" s="659"/>
      <c r="H35" s="659"/>
      <c r="I35" s="659"/>
      <c r="J35" s="659"/>
      <c r="K35" s="660"/>
      <c r="L35" s="397"/>
      <c r="M35" s="397"/>
      <c r="N35" s="397"/>
    </row>
    <row r="36" ht="15.75" customHeight="1">
      <c r="A36" s="11"/>
      <c r="B36" s="659" t="s">
        <v>696</v>
      </c>
      <c r="C36" s="659"/>
      <c r="D36" s="659"/>
      <c r="E36" s="659"/>
      <c r="F36" s="659"/>
      <c r="G36" s="659"/>
      <c r="H36" s="659"/>
      <c r="I36" s="659"/>
      <c r="J36" s="659"/>
      <c r="K36" s="660"/>
      <c r="L36" s="397"/>
      <c r="M36" s="397"/>
      <c r="N36" s="397"/>
    </row>
    <row r="37" ht="15.75" customHeight="1">
      <c r="A37" s="16"/>
      <c r="B37" s="659" t="s">
        <v>774</v>
      </c>
      <c r="C37" s="659"/>
      <c r="D37" s="659"/>
      <c r="E37" s="659"/>
      <c r="F37" s="659"/>
      <c r="G37" s="659"/>
      <c r="H37" s="659"/>
      <c r="I37" s="659"/>
      <c r="J37" s="659"/>
      <c r="K37" s="660"/>
      <c r="L37" s="397"/>
      <c r="M37" s="397"/>
      <c r="N37" s="397"/>
    </row>
    <row r="38" ht="15.75" customHeight="1">
      <c r="A38" s="658">
        <v>45549.0</v>
      </c>
      <c r="B38" s="659" t="s">
        <v>428</v>
      </c>
      <c r="C38" s="659"/>
      <c r="D38" s="659"/>
      <c r="E38" s="659"/>
      <c r="F38" s="659"/>
      <c r="G38" s="659"/>
      <c r="H38" s="659"/>
      <c r="I38" s="659"/>
      <c r="J38" s="659"/>
      <c r="K38" s="660"/>
      <c r="L38" s="397"/>
      <c r="M38" s="397"/>
      <c r="N38" s="397"/>
    </row>
    <row r="39" ht="15.75" customHeight="1">
      <c r="A39" s="11"/>
      <c r="B39" s="659" t="s">
        <v>3426</v>
      </c>
      <c r="C39" s="659"/>
      <c r="D39" s="659"/>
      <c r="E39" s="659"/>
      <c r="F39" s="659"/>
      <c r="G39" s="659"/>
      <c r="H39" s="659"/>
      <c r="I39" s="659"/>
      <c r="J39" s="659"/>
      <c r="K39" s="660"/>
      <c r="L39" s="397"/>
      <c r="M39" s="397"/>
      <c r="N39" s="397"/>
    </row>
    <row r="40" ht="15.75" customHeight="1">
      <c r="A40" s="11"/>
      <c r="B40" s="659" t="s">
        <v>696</v>
      </c>
      <c r="C40" s="659"/>
      <c r="D40" s="659"/>
      <c r="E40" s="659"/>
      <c r="F40" s="659"/>
      <c r="G40" s="659"/>
      <c r="H40" s="659"/>
      <c r="I40" s="659"/>
      <c r="J40" s="659"/>
      <c r="K40" s="660"/>
      <c r="L40" s="397"/>
      <c r="M40" s="397"/>
      <c r="N40" s="397"/>
    </row>
    <row r="41" ht="15.75" customHeight="1">
      <c r="A41" s="16"/>
      <c r="B41" s="659" t="s">
        <v>774</v>
      </c>
      <c r="C41" s="245"/>
      <c r="D41" s="245"/>
      <c r="E41" s="245"/>
      <c r="F41" s="245"/>
      <c r="G41" s="245"/>
      <c r="H41" s="245"/>
      <c r="I41" s="245"/>
      <c r="J41" s="245"/>
      <c r="K41" s="666"/>
      <c r="L41" s="667"/>
      <c r="M41" s="667"/>
      <c r="N41" s="667"/>
    </row>
    <row r="42" ht="15.75" customHeight="1">
      <c r="A42" s="658">
        <v>45540.0</v>
      </c>
      <c r="B42" s="659" t="s">
        <v>428</v>
      </c>
      <c r="C42" s="245"/>
      <c r="D42" s="245"/>
      <c r="E42" s="245"/>
      <c r="F42" s="245"/>
      <c r="G42" s="245"/>
      <c r="H42" s="245"/>
      <c r="I42" s="245"/>
      <c r="J42" s="245"/>
      <c r="K42" s="666"/>
      <c r="L42" s="667"/>
      <c r="M42" s="667"/>
      <c r="N42" s="667"/>
    </row>
    <row r="43" ht="15.75" customHeight="1">
      <c r="A43" s="11"/>
      <c r="B43" s="659" t="s">
        <v>3426</v>
      </c>
      <c r="C43" s="245"/>
      <c r="D43" s="245"/>
      <c r="E43" s="245"/>
      <c r="F43" s="245"/>
      <c r="G43" s="245"/>
      <c r="H43" s="245"/>
      <c r="I43" s="245"/>
      <c r="J43" s="245"/>
      <c r="K43" s="666"/>
      <c r="L43" s="667"/>
      <c r="M43" s="667"/>
      <c r="N43" s="667"/>
    </row>
    <row r="44" ht="15.75" customHeight="1">
      <c r="A44" s="11"/>
      <c r="B44" s="659" t="s">
        <v>696</v>
      </c>
      <c r="C44" s="245"/>
      <c r="D44" s="245"/>
      <c r="E44" s="245"/>
      <c r="F44" s="245"/>
      <c r="G44" s="245"/>
      <c r="H44" s="245"/>
      <c r="I44" s="245"/>
      <c r="J44" s="245"/>
      <c r="K44" s="666"/>
      <c r="L44" s="667"/>
      <c r="M44" s="667"/>
      <c r="N44" s="667"/>
    </row>
    <row r="45" ht="15.75" customHeight="1">
      <c r="A45" s="16"/>
      <c r="B45" s="659" t="s">
        <v>774</v>
      </c>
      <c r="C45" s="245"/>
      <c r="D45" s="245"/>
      <c r="E45" s="245"/>
      <c r="F45" s="245"/>
      <c r="G45" s="245"/>
      <c r="H45" s="245"/>
      <c r="I45" s="245"/>
      <c r="J45" s="245"/>
      <c r="K45" s="666"/>
      <c r="L45" s="667"/>
      <c r="M45" s="667"/>
      <c r="N45" s="667"/>
    </row>
    <row r="46" ht="15.75" customHeight="1">
      <c r="A46" s="658">
        <v>45541.0</v>
      </c>
      <c r="B46" s="659" t="s">
        <v>428</v>
      </c>
      <c r="C46" s="245"/>
      <c r="D46" s="245"/>
      <c r="E46" s="245"/>
      <c r="F46" s="245"/>
      <c r="G46" s="245"/>
      <c r="H46" s="245"/>
      <c r="I46" s="245"/>
      <c r="J46" s="245"/>
      <c r="K46" s="666"/>
      <c r="L46" s="667"/>
      <c r="M46" s="667"/>
      <c r="N46" s="667"/>
    </row>
    <row r="47" ht="15.75" customHeight="1">
      <c r="A47" s="11"/>
      <c r="B47" s="659" t="s">
        <v>3426</v>
      </c>
      <c r="C47" s="245"/>
      <c r="D47" s="245"/>
      <c r="E47" s="245"/>
      <c r="F47" s="245"/>
      <c r="G47" s="245"/>
      <c r="H47" s="245"/>
      <c r="I47" s="245"/>
      <c r="J47" s="245"/>
      <c r="K47" s="666"/>
      <c r="L47" s="667"/>
      <c r="M47" s="667"/>
      <c r="N47" s="667"/>
    </row>
    <row r="48" ht="15.75" customHeight="1">
      <c r="A48" s="11"/>
      <c r="B48" s="659" t="s">
        <v>696</v>
      </c>
      <c r="C48" s="245"/>
      <c r="D48" s="245"/>
      <c r="E48" s="245"/>
      <c r="F48" s="245"/>
      <c r="G48" s="245"/>
      <c r="H48" s="245"/>
      <c r="I48" s="245"/>
      <c r="J48" s="245"/>
      <c r="K48" s="666"/>
      <c r="L48" s="667"/>
      <c r="M48" s="667"/>
      <c r="N48" s="667"/>
    </row>
    <row r="49" ht="15.75" customHeight="1">
      <c r="A49" s="16"/>
      <c r="B49" s="659" t="s">
        <v>774</v>
      </c>
      <c r="C49" s="245"/>
      <c r="D49" s="245"/>
      <c r="E49" s="245"/>
      <c r="F49" s="245"/>
      <c r="G49" s="245"/>
      <c r="H49" s="245"/>
      <c r="I49" s="245"/>
      <c r="J49" s="245"/>
      <c r="K49" s="666"/>
      <c r="L49" s="667"/>
      <c r="M49" s="667"/>
      <c r="N49" s="667"/>
    </row>
    <row r="50" ht="15.75" customHeight="1">
      <c r="A50" s="658">
        <v>45542.0</v>
      </c>
      <c r="B50" s="659" t="s">
        <v>428</v>
      </c>
      <c r="C50" s="245"/>
      <c r="D50" s="245"/>
      <c r="E50" s="245"/>
      <c r="F50" s="245"/>
      <c r="G50" s="245"/>
      <c r="H50" s="245"/>
      <c r="I50" s="245"/>
      <c r="J50" s="245"/>
      <c r="K50" s="666"/>
      <c r="L50" s="667"/>
      <c r="M50" s="667"/>
      <c r="N50" s="667"/>
    </row>
    <row r="51" ht="15.75" customHeight="1">
      <c r="A51" s="11"/>
      <c r="B51" s="659" t="s">
        <v>3426</v>
      </c>
      <c r="C51" s="245"/>
      <c r="D51" s="245"/>
      <c r="E51" s="245"/>
      <c r="F51" s="245"/>
      <c r="G51" s="245"/>
      <c r="H51" s="245"/>
      <c r="I51" s="245"/>
      <c r="J51" s="245"/>
      <c r="K51" s="666"/>
      <c r="L51" s="667"/>
      <c r="M51" s="667"/>
      <c r="N51" s="667"/>
    </row>
    <row r="52" ht="15.75" customHeight="1">
      <c r="A52" s="11"/>
      <c r="B52" s="659" t="s">
        <v>696</v>
      </c>
      <c r="C52" s="245"/>
      <c r="D52" s="245"/>
      <c r="E52" s="245"/>
      <c r="F52" s="245"/>
      <c r="G52" s="245"/>
      <c r="H52" s="245"/>
      <c r="I52" s="245"/>
      <c r="J52" s="245"/>
      <c r="K52" s="666"/>
      <c r="L52" s="667"/>
      <c r="M52" s="667"/>
      <c r="N52" s="667"/>
    </row>
    <row r="53" ht="15.75" customHeight="1">
      <c r="A53" s="16"/>
      <c r="B53" s="659" t="s">
        <v>774</v>
      </c>
      <c r="C53" s="245"/>
      <c r="D53" s="245"/>
      <c r="E53" s="245"/>
      <c r="F53" s="245"/>
      <c r="G53" s="245"/>
      <c r="H53" s="245"/>
      <c r="I53" s="245"/>
      <c r="J53" s="245"/>
      <c r="K53" s="666"/>
      <c r="L53" s="667"/>
      <c r="M53" s="667"/>
      <c r="N53" s="667"/>
    </row>
    <row r="54" ht="15.75" customHeight="1">
      <c r="A54" s="658">
        <v>45543.0</v>
      </c>
      <c r="B54" s="659" t="s">
        <v>428</v>
      </c>
      <c r="C54" s="245"/>
      <c r="D54" s="245"/>
      <c r="E54" s="245"/>
      <c r="F54" s="245"/>
      <c r="G54" s="245"/>
      <c r="H54" s="245"/>
      <c r="I54" s="245"/>
      <c r="J54" s="245"/>
      <c r="K54" s="666"/>
      <c r="L54" s="667"/>
      <c r="M54" s="667"/>
      <c r="N54" s="667"/>
    </row>
    <row r="55" ht="15.75" customHeight="1">
      <c r="A55" s="11"/>
      <c r="B55" s="659" t="s">
        <v>3426</v>
      </c>
      <c r="C55" s="245"/>
      <c r="D55" s="245"/>
      <c r="E55" s="245"/>
      <c r="F55" s="245"/>
      <c r="G55" s="245"/>
      <c r="H55" s="245"/>
      <c r="I55" s="245"/>
      <c r="J55" s="245"/>
      <c r="K55" s="666"/>
      <c r="L55" s="667"/>
      <c r="M55" s="667"/>
      <c r="N55" s="667"/>
    </row>
    <row r="56" ht="15.75" customHeight="1">
      <c r="A56" s="11"/>
      <c r="B56" s="659" t="s">
        <v>696</v>
      </c>
      <c r="C56" s="245"/>
      <c r="D56" s="245"/>
      <c r="E56" s="245"/>
      <c r="F56" s="245"/>
      <c r="G56" s="245"/>
      <c r="H56" s="245"/>
      <c r="I56" s="245"/>
      <c r="J56" s="245"/>
      <c r="K56" s="666"/>
      <c r="L56" s="667"/>
      <c r="M56" s="667"/>
      <c r="N56" s="667"/>
    </row>
    <row r="57" ht="15.75" customHeight="1">
      <c r="A57" s="16"/>
      <c r="B57" s="659" t="s">
        <v>774</v>
      </c>
      <c r="C57" s="245"/>
      <c r="D57" s="245"/>
      <c r="E57" s="245"/>
      <c r="F57" s="245"/>
      <c r="G57" s="245"/>
      <c r="H57" s="245"/>
      <c r="I57" s="245"/>
      <c r="J57" s="245"/>
      <c r="K57" s="666"/>
      <c r="L57" s="667"/>
      <c r="M57" s="667"/>
      <c r="N57" s="667"/>
    </row>
    <row r="58" ht="15.75" customHeight="1">
      <c r="A58" s="658">
        <v>45544.0</v>
      </c>
      <c r="B58" s="659" t="s">
        <v>428</v>
      </c>
      <c r="C58" s="245"/>
      <c r="D58" s="245"/>
      <c r="E58" s="245"/>
      <c r="F58" s="245"/>
      <c r="G58" s="245"/>
      <c r="H58" s="245"/>
      <c r="I58" s="245"/>
      <c r="J58" s="245"/>
      <c r="K58" s="666"/>
      <c r="L58" s="667"/>
      <c r="M58" s="667"/>
      <c r="N58" s="667"/>
    </row>
    <row r="59" ht="15.75" customHeight="1">
      <c r="A59" s="11"/>
      <c r="B59" s="659" t="s">
        <v>3426</v>
      </c>
      <c r="C59" s="245"/>
      <c r="D59" s="245"/>
      <c r="E59" s="245"/>
      <c r="F59" s="245"/>
      <c r="G59" s="245"/>
      <c r="H59" s="245"/>
      <c r="I59" s="245"/>
      <c r="J59" s="245"/>
      <c r="K59" s="666"/>
      <c r="L59" s="667"/>
      <c r="M59" s="667"/>
      <c r="N59" s="667"/>
    </row>
    <row r="60" ht="15.75" customHeight="1">
      <c r="A60" s="11"/>
      <c r="B60" s="659" t="s">
        <v>696</v>
      </c>
      <c r="C60" s="245"/>
      <c r="D60" s="245"/>
      <c r="E60" s="245"/>
      <c r="F60" s="245"/>
      <c r="G60" s="245"/>
      <c r="H60" s="245"/>
      <c r="I60" s="245"/>
      <c r="J60" s="245"/>
      <c r="K60" s="666"/>
      <c r="L60" s="667"/>
      <c r="M60" s="667"/>
      <c r="N60" s="667"/>
    </row>
    <row r="61" ht="15.75" customHeight="1">
      <c r="A61" s="16"/>
      <c r="B61" s="659" t="s">
        <v>774</v>
      </c>
      <c r="C61" s="245"/>
      <c r="D61" s="245"/>
      <c r="E61" s="245"/>
      <c r="F61" s="245"/>
      <c r="G61" s="245"/>
      <c r="H61" s="245"/>
      <c r="I61" s="245"/>
      <c r="J61" s="245"/>
      <c r="K61" s="666"/>
      <c r="L61" s="667"/>
      <c r="M61" s="667"/>
      <c r="N61" s="667"/>
    </row>
    <row r="62" ht="15.75" customHeight="1">
      <c r="A62" s="658">
        <v>45545.0</v>
      </c>
      <c r="B62" s="659" t="s">
        <v>428</v>
      </c>
      <c r="C62" s="245"/>
      <c r="D62" s="245"/>
      <c r="E62" s="245"/>
      <c r="F62" s="245"/>
      <c r="G62" s="245"/>
      <c r="H62" s="245"/>
      <c r="I62" s="245"/>
      <c r="J62" s="245"/>
      <c r="K62" s="666"/>
      <c r="L62" s="667"/>
      <c r="M62" s="667"/>
      <c r="N62" s="667"/>
    </row>
    <row r="63" ht="15.75" customHeight="1">
      <c r="A63" s="11"/>
      <c r="B63" s="659" t="s">
        <v>3426</v>
      </c>
      <c r="C63" s="245"/>
      <c r="D63" s="245"/>
      <c r="E63" s="245"/>
      <c r="F63" s="245"/>
      <c r="G63" s="245"/>
      <c r="H63" s="245"/>
      <c r="I63" s="245"/>
      <c r="J63" s="245"/>
      <c r="K63" s="666"/>
      <c r="L63" s="667"/>
      <c r="M63" s="667"/>
      <c r="N63" s="667"/>
    </row>
    <row r="64" ht="15.75" customHeight="1">
      <c r="A64" s="11"/>
      <c r="B64" s="659" t="s">
        <v>696</v>
      </c>
      <c r="C64" s="245"/>
      <c r="D64" s="245"/>
      <c r="E64" s="245"/>
      <c r="F64" s="245"/>
      <c r="G64" s="245"/>
      <c r="H64" s="245"/>
      <c r="I64" s="245"/>
      <c r="J64" s="245"/>
      <c r="K64" s="666"/>
      <c r="L64" s="667"/>
      <c r="M64" s="667"/>
      <c r="N64" s="667"/>
    </row>
    <row r="65" ht="15.75" customHeight="1">
      <c r="A65" s="16"/>
      <c r="B65" s="659" t="s">
        <v>774</v>
      </c>
      <c r="C65" s="245"/>
      <c r="D65" s="245"/>
      <c r="E65" s="245"/>
      <c r="F65" s="245"/>
      <c r="G65" s="245"/>
      <c r="H65" s="245"/>
      <c r="I65" s="245"/>
      <c r="J65" s="245"/>
      <c r="K65" s="666"/>
      <c r="L65" s="667"/>
      <c r="M65" s="667"/>
      <c r="N65" s="667"/>
    </row>
    <row r="66" ht="15.75" customHeight="1">
      <c r="A66" s="658">
        <v>45546.0</v>
      </c>
      <c r="B66" s="659" t="s">
        <v>428</v>
      </c>
      <c r="C66" s="245"/>
      <c r="D66" s="245"/>
      <c r="E66" s="245"/>
      <c r="F66" s="245"/>
      <c r="G66" s="245"/>
      <c r="H66" s="245"/>
      <c r="I66" s="245"/>
      <c r="J66" s="245"/>
      <c r="K66" s="666"/>
      <c r="L66" s="667"/>
      <c r="M66" s="667"/>
      <c r="N66" s="667"/>
    </row>
    <row r="67" ht="15.75" customHeight="1">
      <c r="A67" s="11"/>
      <c r="B67" s="659" t="s">
        <v>3426</v>
      </c>
      <c r="C67" s="245"/>
      <c r="D67" s="245"/>
      <c r="E67" s="245"/>
      <c r="F67" s="245"/>
      <c r="G67" s="245"/>
      <c r="H67" s="245"/>
      <c r="I67" s="245"/>
      <c r="J67" s="245"/>
      <c r="K67" s="666"/>
      <c r="L67" s="667"/>
      <c r="M67" s="667"/>
      <c r="N67" s="667"/>
    </row>
    <row r="68" ht="15.75" customHeight="1">
      <c r="A68" s="11"/>
      <c r="B68" s="659" t="s">
        <v>774</v>
      </c>
      <c r="C68" s="245"/>
      <c r="D68" s="245"/>
      <c r="E68" s="245"/>
      <c r="F68" s="245"/>
      <c r="G68" s="245"/>
      <c r="H68" s="245"/>
      <c r="I68" s="245"/>
      <c r="J68" s="245"/>
      <c r="K68" s="666"/>
      <c r="L68" s="667"/>
      <c r="M68" s="667"/>
      <c r="N68" s="667"/>
    </row>
    <row r="69" ht="15.75" customHeight="1">
      <c r="A69" s="16"/>
      <c r="B69" s="659" t="s">
        <v>428</v>
      </c>
      <c r="C69" s="245"/>
      <c r="D69" s="245"/>
      <c r="E69" s="245"/>
      <c r="F69" s="245"/>
      <c r="G69" s="245"/>
      <c r="H69" s="245"/>
      <c r="I69" s="245"/>
      <c r="J69" s="245"/>
      <c r="K69" s="666"/>
      <c r="L69" s="667"/>
      <c r="M69" s="667"/>
      <c r="N69" s="667"/>
    </row>
    <row r="70" ht="15.75" customHeight="1">
      <c r="A70" s="658">
        <v>45547.0</v>
      </c>
      <c r="B70" s="659" t="s">
        <v>3426</v>
      </c>
      <c r="C70" s="245"/>
      <c r="D70" s="245"/>
      <c r="E70" s="245"/>
      <c r="F70" s="245"/>
      <c r="G70" s="245"/>
      <c r="H70" s="245"/>
      <c r="I70" s="245"/>
      <c r="J70" s="245"/>
      <c r="K70" s="666"/>
      <c r="L70" s="667"/>
      <c r="M70" s="667"/>
      <c r="N70" s="667"/>
    </row>
    <row r="71" ht="15.75" customHeight="1">
      <c r="A71" s="11"/>
      <c r="B71" s="659" t="s">
        <v>696</v>
      </c>
      <c r="C71" s="245"/>
      <c r="D71" s="245"/>
      <c r="E71" s="245"/>
      <c r="F71" s="245"/>
      <c r="G71" s="245"/>
      <c r="H71" s="245"/>
      <c r="I71" s="245"/>
      <c r="J71" s="245"/>
      <c r="K71" s="666"/>
      <c r="L71" s="667"/>
      <c r="M71" s="667"/>
      <c r="N71" s="667"/>
    </row>
    <row r="72" ht="15.75" customHeight="1">
      <c r="A72" s="11"/>
      <c r="B72" s="659" t="s">
        <v>774</v>
      </c>
      <c r="C72" s="245"/>
      <c r="D72" s="245"/>
      <c r="E72" s="245"/>
      <c r="F72" s="245"/>
      <c r="G72" s="245"/>
      <c r="H72" s="245"/>
      <c r="I72" s="245"/>
      <c r="J72" s="245"/>
      <c r="K72" s="666"/>
      <c r="L72" s="667"/>
      <c r="M72" s="667"/>
      <c r="N72" s="667"/>
    </row>
    <row r="73" ht="15.75" customHeight="1">
      <c r="A73" s="16"/>
      <c r="B73" s="659" t="s">
        <v>428</v>
      </c>
      <c r="C73" s="245"/>
      <c r="D73" s="245"/>
      <c r="E73" s="245"/>
      <c r="F73" s="245"/>
      <c r="G73" s="245"/>
      <c r="H73" s="245"/>
      <c r="I73" s="245"/>
      <c r="J73" s="245"/>
      <c r="K73" s="666"/>
      <c r="L73" s="667"/>
      <c r="M73" s="667"/>
      <c r="N73" s="667"/>
    </row>
    <row r="74" ht="15.75" customHeight="1">
      <c r="A74" s="658">
        <v>45548.0</v>
      </c>
      <c r="B74" s="245"/>
      <c r="C74" s="245"/>
      <c r="D74" s="245"/>
      <c r="E74" s="245"/>
      <c r="F74" s="245"/>
      <c r="G74" s="245"/>
      <c r="H74" s="245"/>
      <c r="I74" s="245"/>
      <c r="J74" s="245"/>
      <c r="K74" s="666"/>
      <c r="L74" s="667"/>
      <c r="M74" s="667"/>
      <c r="N74" s="667"/>
    </row>
    <row r="75" ht="15.75" customHeight="1">
      <c r="A75" s="11"/>
      <c r="B75" s="245"/>
      <c r="C75" s="245"/>
      <c r="D75" s="245"/>
      <c r="E75" s="245"/>
      <c r="F75" s="245"/>
      <c r="G75" s="245"/>
      <c r="H75" s="245"/>
      <c r="I75" s="245"/>
      <c r="J75" s="245"/>
      <c r="K75" s="666"/>
      <c r="L75" s="667"/>
      <c r="M75" s="667"/>
      <c r="N75" s="667"/>
    </row>
    <row r="76" ht="15.75" customHeight="1">
      <c r="A76" s="11"/>
      <c r="B76" s="245"/>
      <c r="C76" s="245"/>
      <c r="D76" s="245"/>
      <c r="E76" s="245"/>
      <c r="F76" s="245"/>
      <c r="G76" s="245"/>
      <c r="H76" s="245"/>
      <c r="I76" s="245"/>
      <c r="J76" s="245"/>
      <c r="K76" s="666"/>
      <c r="L76" s="667"/>
      <c r="M76" s="667"/>
      <c r="N76" s="667"/>
    </row>
    <row r="77" ht="15.75" customHeight="1">
      <c r="A77" s="16"/>
      <c r="B77" s="245"/>
      <c r="C77" s="245"/>
      <c r="D77" s="245"/>
      <c r="E77" s="245"/>
      <c r="F77" s="245"/>
      <c r="G77" s="245"/>
      <c r="H77" s="245"/>
      <c r="I77" s="245"/>
      <c r="J77" s="245"/>
      <c r="K77" s="666"/>
      <c r="L77" s="667"/>
      <c r="M77" s="667"/>
      <c r="N77" s="667"/>
    </row>
    <row r="78" ht="15.75" customHeight="1">
      <c r="A78" s="658">
        <v>45549.0</v>
      </c>
      <c r="B78" s="245"/>
      <c r="C78" s="245"/>
      <c r="D78" s="245"/>
      <c r="E78" s="245"/>
      <c r="F78" s="245"/>
      <c r="G78" s="245"/>
      <c r="H78" s="245"/>
      <c r="I78" s="245"/>
      <c r="J78" s="245"/>
      <c r="K78" s="666"/>
      <c r="L78" s="667"/>
      <c r="M78" s="667"/>
      <c r="N78" s="667"/>
    </row>
    <row r="79" ht="15.75" customHeight="1">
      <c r="A79" s="11"/>
      <c r="B79" s="245"/>
      <c r="C79" s="245"/>
      <c r="D79" s="245"/>
      <c r="E79" s="245"/>
      <c r="F79" s="245"/>
      <c r="G79" s="245"/>
      <c r="H79" s="245"/>
      <c r="I79" s="245"/>
      <c r="J79" s="245"/>
      <c r="K79" s="666"/>
      <c r="L79" s="667"/>
      <c r="M79" s="667"/>
      <c r="N79" s="667"/>
    </row>
    <row r="80" ht="15.75" customHeight="1">
      <c r="A80" s="11"/>
      <c r="B80" s="245"/>
      <c r="C80" s="245"/>
      <c r="D80" s="245"/>
      <c r="E80" s="245"/>
      <c r="F80" s="245"/>
      <c r="G80" s="245"/>
      <c r="H80" s="245"/>
      <c r="I80" s="245"/>
      <c r="J80" s="245"/>
      <c r="K80" s="666"/>
      <c r="L80" s="667"/>
      <c r="M80" s="667"/>
      <c r="N80" s="667"/>
    </row>
    <row r="81" ht="15.75" customHeight="1">
      <c r="A81" s="16"/>
      <c r="B81" s="245"/>
      <c r="C81" s="245"/>
      <c r="D81" s="245"/>
      <c r="E81" s="245"/>
      <c r="F81" s="245"/>
      <c r="G81" s="245"/>
      <c r="H81" s="245"/>
      <c r="I81" s="245"/>
      <c r="J81" s="245"/>
      <c r="K81" s="666"/>
      <c r="L81" s="667"/>
      <c r="M81" s="667"/>
      <c r="N81" s="667"/>
    </row>
    <row r="82" ht="15.75" customHeight="1">
      <c r="A82" s="658">
        <v>45550.0</v>
      </c>
      <c r="B82" s="245"/>
      <c r="C82" s="245"/>
      <c r="D82" s="245"/>
      <c r="E82" s="245"/>
      <c r="F82" s="245"/>
      <c r="G82" s="245"/>
      <c r="H82" s="245"/>
      <c r="I82" s="245"/>
      <c r="J82" s="245"/>
      <c r="K82" s="666"/>
      <c r="L82" s="667"/>
      <c r="M82" s="667"/>
      <c r="N82" s="667"/>
    </row>
    <row r="83" ht="15.75" customHeight="1">
      <c r="A83" s="11"/>
      <c r="B83" s="245"/>
      <c r="C83" s="245"/>
      <c r="D83" s="245"/>
      <c r="E83" s="245"/>
      <c r="F83" s="245"/>
      <c r="G83" s="245"/>
      <c r="H83" s="245"/>
      <c r="I83" s="245"/>
      <c r="J83" s="245"/>
      <c r="K83" s="666"/>
      <c r="L83" s="667"/>
      <c r="M83" s="667"/>
      <c r="N83" s="667"/>
    </row>
    <row r="84" ht="15.75" customHeight="1">
      <c r="A84" s="11"/>
      <c r="B84" s="245"/>
      <c r="C84" s="245"/>
      <c r="D84" s="245"/>
      <c r="E84" s="245"/>
      <c r="F84" s="245"/>
      <c r="G84" s="245"/>
      <c r="H84" s="245"/>
      <c r="I84" s="245"/>
      <c r="J84" s="245"/>
      <c r="K84" s="666"/>
      <c r="L84" s="667"/>
      <c r="M84" s="667"/>
      <c r="N84" s="667"/>
    </row>
    <row r="85" ht="15.75" customHeight="1">
      <c r="A85" s="16"/>
      <c r="B85" s="245"/>
      <c r="C85" s="245"/>
      <c r="D85" s="245"/>
      <c r="E85" s="245"/>
      <c r="F85" s="245"/>
      <c r="G85" s="245"/>
      <c r="H85" s="245"/>
      <c r="I85" s="245"/>
      <c r="J85" s="245"/>
      <c r="K85" s="666"/>
      <c r="L85" s="667"/>
      <c r="M85" s="667"/>
      <c r="N85" s="667"/>
    </row>
    <row r="86" ht="15.75" customHeight="1">
      <c r="A86" s="658">
        <v>45541.0</v>
      </c>
      <c r="B86" s="245"/>
      <c r="C86" s="245"/>
      <c r="D86" s="245"/>
      <c r="E86" s="245"/>
      <c r="F86" s="245"/>
      <c r="G86" s="245"/>
      <c r="H86" s="245"/>
      <c r="I86" s="245"/>
      <c r="J86" s="245"/>
      <c r="K86" s="666"/>
      <c r="L86" s="667"/>
      <c r="M86" s="667"/>
      <c r="N86" s="667"/>
    </row>
    <row r="87" ht="15.75" customHeight="1">
      <c r="A87" s="11"/>
      <c r="B87" s="245"/>
      <c r="C87" s="245"/>
      <c r="D87" s="245"/>
      <c r="E87" s="245"/>
      <c r="F87" s="245"/>
      <c r="G87" s="245"/>
      <c r="H87" s="245"/>
      <c r="I87" s="245"/>
      <c r="J87" s="245"/>
      <c r="K87" s="666"/>
      <c r="L87" s="667"/>
      <c r="M87" s="667"/>
      <c r="N87" s="667"/>
    </row>
    <row r="88" ht="15.75" customHeight="1">
      <c r="A88" s="11"/>
      <c r="B88" s="245"/>
      <c r="C88" s="245"/>
      <c r="D88" s="245"/>
      <c r="E88" s="245"/>
      <c r="F88" s="245"/>
      <c r="G88" s="245"/>
      <c r="H88" s="245"/>
      <c r="I88" s="245"/>
      <c r="J88" s="245"/>
      <c r="K88" s="666"/>
      <c r="L88" s="667"/>
      <c r="M88" s="667"/>
      <c r="N88" s="667"/>
    </row>
    <row r="89" ht="15.75" customHeight="1">
      <c r="A89" s="16"/>
      <c r="B89" s="245"/>
      <c r="C89" s="245"/>
      <c r="D89" s="245"/>
      <c r="E89" s="245"/>
      <c r="F89" s="245"/>
      <c r="G89" s="245"/>
      <c r="H89" s="245"/>
      <c r="I89" s="245"/>
      <c r="J89" s="245"/>
      <c r="K89" s="666"/>
      <c r="L89" s="667"/>
      <c r="M89" s="667"/>
      <c r="N89" s="667"/>
    </row>
    <row r="90" ht="15.75" customHeight="1">
      <c r="A90" s="658">
        <v>45542.0</v>
      </c>
      <c r="B90" s="245"/>
      <c r="C90" s="245"/>
      <c r="D90" s="245"/>
      <c r="E90" s="245"/>
      <c r="F90" s="245"/>
      <c r="G90" s="245"/>
      <c r="H90" s="245"/>
      <c r="I90" s="245"/>
      <c r="J90" s="245"/>
      <c r="K90" s="666"/>
      <c r="L90" s="667"/>
      <c r="M90" s="667"/>
      <c r="N90" s="667"/>
    </row>
    <row r="91" ht="15.75" customHeight="1">
      <c r="A91" s="11"/>
      <c r="B91" s="245"/>
      <c r="C91" s="245"/>
      <c r="D91" s="245"/>
      <c r="E91" s="245"/>
      <c r="F91" s="245"/>
      <c r="G91" s="245"/>
      <c r="H91" s="245"/>
      <c r="I91" s="245"/>
      <c r="J91" s="245"/>
      <c r="K91" s="666"/>
      <c r="L91" s="667"/>
      <c r="M91" s="667"/>
      <c r="N91" s="667"/>
    </row>
    <row r="92" ht="15.75" customHeight="1">
      <c r="A92" s="11"/>
      <c r="B92" s="245"/>
      <c r="C92" s="245"/>
      <c r="D92" s="245"/>
      <c r="E92" s="245"/>
      <c r="F92" s="245"/>
      <c r="G92" s="245"/>
      <c r="H92" s="245"/>
      <c r="I92" s="245"/>
      <c r="J92" s="245"/>
      <c r="K92" s="666"/>
      <c r="L92" s="667"/>
      <c r="M92" s="667"/>
      <c r="N92" s="667"/>
    </row>
    <row r="93" ht="15.75" customHeight="1">
      <c r="A93" s="16"/>
      <c r="B93" s="245"/>
      <c r="C93" s="245"/>
      <c r="D93" s="245"/>
      <c r="E93" s="245"/>
      <c r="F93" s="245"/>
      <c r="G93" s="245"/>
      <c r="H93" s="245"/>
      <c r="I93" s="245"/>
      <c r="J93" s="245"/>
      <c r="K93" s="666"/>
      <c r="L93" s="667"/>
      <c r="M93" s="667"/>
      <c r="N93" s="667"/>
    </row>
    <row r="94" ht="15.75" customHeight="1">
      <c r="A94" s="338"/>
      <c r="B94" s="245"/>
      <c r="C94" s="245"/>
      <c r="D94" s="245"/>
      <c r="E94" s="245"/>
      <c r="F94" s="245"/>
      <c r="G94" s="245"/>
      <c r="H94" s="245"/>
      <c r="I94" s="245"/>
      <c r="J94" s="245"/>
      <c r="K94" s="666"/>
      <c r="L94" s="667"/>
      <c r="M94" s="667"/>
      <c r="N94" s="667"/>
    </row>
    <row r="95" ht="15.75" customHeight="1">
      <c r="B95" s="245"/>
      <c r="C95" s="245"/>
      <c r="D95" s="245"/>
      <c r="E95" s="245"/>
      <c r="F95" s="245"/>
      <c r="G95" s="245"/>
      <c r="H95" s="245"/>
      <c r="I95" s="245"/>
      <c r="J95" s="245"/>
      <c r="K95" s="666"/>
      <c r="L95" s="667"/>
      <c r="M95" s="667"/>
      <c r="N95" s="667"/>
    </row>
    <row r="96" ht="15.75" customHeight="1">
      <c r="B96" s="245"/>
      <c r="C96" s="245"/>
      <c r="D96" s="245"/>
      <c r="E96" s="245"/>
      <c r="F96" s="245"/>
      <c r="G96" s="245"/>
      <c r="H96" s="245"/>
      <c r="I96" s="245"/>
      <c r="J96" s="245"/>
      <c r="K96" s="666"/>
      <c r="L96" s="667"/>
      <c r="M96" s="667"/>
      <c r="N96" s="667"/>
    </row>
    <row r="97" ht="15.75" customHeight="1">
      <c r="B97" s="245"/>
      <c r="C97" s="245"/>
      <c r="D97" s="245"/>
      <c r="E97" s="245"/>
      <c r="F97" s="245"/>
      <c r="G97" s="245"/>
      <c r="H97" s="245"/>
      <c r="I97" s="245"/>
      <c r="J97" s="245"/>
      <c r="K97" s="666"/>
      <c r="L97" s="667"/>
      <c r="M97" s="667"/>
      <c r="N97" s="667"/>
    </row>
    <row r="98" ht="15.75" customHeight="1">
      <c r="A98" s="338"/>
      <c r="B98" s="245"/>
      <c r="C98" s="245"/>
      <c r="D98" s="245"/>
      <c r="E98" s="245"/>
      <c r="F98" s="245"/>
      <c r="G98" s="245"/>
      <c r="H98" s="245"/>
      <c r="I98" s="245"/>
      <c r="J98" s="245"/>
      <c r="K98" s="666"/>
      <c r="L98" s="667"/>
      <c r="M98" s="667"/>
      <c r="N98" s="667"/>
    </row>
    <row r="99" ht="15.75" customHeight="1">
      <c r="B99" s="245"/>
      <c r="C99" s="245"/>
      <c r="D99" s="245"/>
      <c r="E99" s="245"/>
      <c r="F99" s="245"/>
      <c r="G99" s="245"/>
      <c r="H99" s="245"/>
      <c r="I99" s="245"/>
      <c r="J99" s="245"/>
      <c r="K99" s="666"/>
      <c r="L99" s="667"/>
      <c r="M99" s="667"/>
      <c r="N99" s="667"/>
    </row>
    <row r="100" ht="15.75" customHeight="1">
      <c r="B100" s="245"/>
      <c r="C100" s="245"/>
      <c r="D100" s="245"/>
      <c r="E100" s="245"/>
      <c r="F100" s="245"/>
      <c r="G100" s="245"/>
      <c r="H100" s="245"/>
      <c r="I100" s="245"/>
      <c r="J100" s="245"/>
      <c r="K100" s="666"/>
      <c r="L100" s="667"/>
      <c r="M100" s="667"/>
      <c r="N100" s="667"/>
    </row>
    <row r="101" ht="15.75" customHeight="1">
      <c r="B101" s="245"/>
      <c r="C101" s="245"/>
      <c r="D101" s="245"/>
      <c r="E101" s="245"/>
      <c r="F101" s="245"/>
      <c r="G101" s="245"/>
      <c r="H101" s="245"/>
      <c r="I101" s="245"/>
      <c r="J101" s="245"/>
      <c r="K101" s="666"/>
      <c r="L101" s="667"/>
      <c r="M101" s="667"/>
      <c r="N101" s="667"/>
    </row>
    <row r="102" ht="15.75" customHeight="1">
      <c r="A102" s="338"/>
      <c r="B102" s="245"/>
      <c r="C102" s="245"/>
      <c r="D102" s="245"/>
      <c r="E102" s="245"/>
      <c r="F102" s="245"/>
      <c r="G102" s="245"/>
      <c r="H102" s="245"/>
      <c r="I102" s="245"/>
      <c r="J102" s="245"/>
      <c r="K102" s="666"/>
      <c r="L102" s="667"/>
      <c r="M102" s="667"/>
      <c r="N102" s="667"/>
    </row>
    <row r="103" ht="15.75" customHeight="1">
      <c r="B103" s="245"/>
      <c r="C103" s="245"/>
      <c r="D103" s="245"/>
      <c r="E103" s="245"/>
      <c r="F103" s="245"/>
      <c r="G103" s="245"/>
      <c r="H103" s="245"/>
      <c r="I103" s="245"/>
      <c r="J103" s="245"/>
      <c r="K103" s="666"/>
      <c r="L103" s="667"/>
      <c r="M103" s="667"/>
      <c r="N103" s="667"/>
    </row>
    <row r="104" ht="15.75" customHeight="1">
      <c r="B104" s="245"/>
      <c r="C104" s="245"/>
      <c r="D104" s="245"/>
      <c r="E104" s="245"/>
      <c r="F104" s="245"/>
      <c r="G104" s="245"/>
      <c r="H104" s="245"/>
      <c r="I104" s="245"/>
      <c r="J104" s="245"/>
      <c r="K104" s="666"/>
      <c r="L104" s="667"/>
      <c r="M104" s="667"/>
      <c r="N104" s="667"/>
    </row>
    <row r="105" ht="15.75" customHeight="1">
      <c r="B105" s="245"/>
      <c r="C105" s="245"/>
      <c r="D105" s="245"/>
      <c r="E105" s="245"/>
      <c r="F105" s="245"/>
      <c r="G105" s="245"/>
      <c r="H105" s="245"/>
      <c r="I105" s="245"/>
      <c r="J105" s="245"/>
      <c r="K105" s="666"/>
      <c r="L105" s="667"/>
      <c r="M105" s="667"/>
      <c r="N105" s="667"/>
    </row>
    <row r="106" ht="15.75" customHeight="1">
      <c r="A106" s="338"/>
      <c r="B106" s="245"/>
      <c r="C106" s="245"/>
      <c r="D106" s="245"/>
      <c r="E106" s="245"/>
      <c r="F106" s="245"/>
      <c r="G106" s="245"/>
      <c r="H106" s="245"/>
      <c r="I106" s="245"/>
      <c r="J106" s="245"/>
      <c r="K106" s="666"/>
      <c r="L106" s="667"/>
      <c r="M106" s="667"/>
      <c r="N106" s="667"/>
    </row>
    <row r="107" ht="15.75" customHeight="1">
      <c r="B107" s="245"/>
      <c r="C107" s="245"/>
      <c r="D107" s="245"/>
      <c r="E107" s="245"/>
      <c r="F107" s="245"/>
      <c r="G107" s="245"/>
      <c r="H107" s="245"/>
      <c r="I107" s="245"/>
      <c r="J107" s="245"/>
      <c r="K107" s="666"/>
      <c r="L107" s="667"/>
      <c r="M107" s="667"/>
      <c r="N107" s="667"/>
    </row>
    <row r="108" ht="15.75" customHeight="1">
      <c r="B108" s="245"/>
      <c r="C108" s="245"/>
      <c r="D108" s="245"/>
      <c r="E108" s="245"/>
      <c r="F108" s="245"/>
      <c r="G108" s="245"/>
      <c r="H108" s="245"/>
      <c r="I108" s="245"/>
      <c r="J108" s="245"/>
      <c r="K108" s="666"/>
      <c r="L108" s="667"/>
      <c r="M108" s="667"/>
      <c r="N108" s="667"/>
    </row>
    <row r="109" ht="15.75" customHeight="1">
      <c r="B109" s="245"/>
      <c r="C109" s="245"/>
      <c r="D109" s="245"/>
      <c r="E109" s="245"/>
      <c r="F109" s="245"/>
      <c r="G109" s="245"/>
      <c r="H109" s="245"/>
      <c r="I109" s="245"/>
      <c r="J109" s="245"/>
      <c r="K109" s="666"/>
      <c r="L109" s="667"/>
      <c r="M109" s="667"/>
      <c r="N109" s="667"/>
    </row>
    <row r="110" ht="15.75" customHeight="1">
      <c r="A110" s="338"/>
      <c r="B110" s="245"/>
      <c r="C110" s="245"/>
      <c r="D110" s="245"/>
      <c r="E110" s="245"/>
      <c r="F110" s="245"/>
      <c r="G110" s="245"/>
      <c r="H110" s="245"/>
      <c r="I110" s="245"/>
      <c r="J110" s="245"/>
      <c r="K110" s="666"/>
      <c r="L110" s="667"/>
      <c r="M110" s="667"/>
      <c r="N110" s="667"/>
    </row>
    <row r="111" ht="15.75" customHeight="1">
      <c r="B111" s="245"/>
      <c r="C111" s="245"/>
      <c r="D111" s="245"/>
      <c r="E111" s="245"/>
      <c r="F111" s="245"/>
      <c r="G111" s="245"/>
      <c r="H111" s="245"/>
      <c r="I111" s="245"/>
      <c r="J111" s="245"/>
      <c r="K111" s="666"/>
      <c r="L111" s="667"/>
      <c r="M111" s="667"/>
      <c r="N111" s="667"/>
    </row>
    <row r="112" ht="15.75" customHeight="1">
      <c r="B112" s="245"/>
      <c r="C112" s="245"/>
      <c r="D112" s="245"/>
      <c r="E112" s="245"/>
      <c r="F112" s="245"/>
      <c r="G112" s="245"/>
      <c r="H112" s="245"/>
      <c r="I112" s="245"/>
      <c r="J112" s="245"/>
      <c r="K112" s="666"/>
      <c r="L112" s="667"/>
      <c r="M112" s="667"/>
      <c r="N112" s="667"/>
    </row>
    <row r="113" ht="15.75" customHeight="1">
      <c r="B113" s="245"/>
      <c r="C113" s="245"/>
      <c r="D113" s="245"/>
      <c r="E113" s="245"/>
      <c r="F113" s="245"/>
      <c r="G113" s="245"/>
      <c r="H113" s="245"/>
      <c r="I113" s="245"/>
      <c r="J113" s="245"/>
      <c r="K113" s="666"/>
      <c r="L113" s="667"/>
      <c r="M113" s="667"/>
      <c r="N113" s="667"/>
    </row>
    <row r="114" ht="15.75" customHeight="1">
      <c r="A114" s="338"/>
      <c r="B114" s="245"/>
      <c r="C114" s="245"/>
      <c r="D114" s="245"/>
      <c r="E114" s="245"/>
      <c r="F114" s="245"/>
      <c r="G114" s="245"/>
      <c r="H114" s="245"/>
      <c r="I114" s="245"/>
      <c r="J114" s="245"/>
      <c r="K114" s="666"/>
      <c r="L114" s="667"/>
      <c r="M114" s="667"/>
      <c r="N114" s="667"/>
    </row>
    <row r="115" ht="15.75" customHeight="1">
      <c r="B115" s="245"/>
      <c r="C115" s="245"/>
      <c r="D115" s="245"/>
      <c r="E115" s="245"/>
      <c r="F115" s="245"/>
      <c r="G115" s="245"/>
      <c r="H115" s="245"/>
      <c r="I115" s="245"/>
      <c r="J115" s="245"/>
      <c r="K115" s="666"/>
      <c r="L115" s="667"/>
      <c r="M115" s="667"/>
      <c r="N115" s="667"/>
    </row>
    <row r="116" ht="15.75" customHeight="1">
      <c r="B116" s="245"/>
      <c r="C116" s="245"/>
      <c r="D116" s="245"/>
      <c r="E116" s="245"/>
      <c r="F116" s="245"/>
      <c r="G116" s="245"/>
      <c r="H116" s="245"/>
      <c r="I116" s="245"/>
      <c r="J116" s="245"/>
      <c r="K116" s="666"/>
      <c r="L116" s="667"/>
      <c r="M116" s="667"/>
      <c r="N116" s="667"/>
    </row>
    <row r="117" ht="15.75" customHeight="1">
      <c r="B117" s="245"/>
      <c r="C117" s="245"/>
      <c r="D117" s="245"/>
      <c r="E117" s="245"/>
      <c r="F117" s="245"/>
      <c r="G117" s="245"/>
      <c r="H117" s="245"/>
      <c r="I117" s="245"/>
      <c r="J117" s="245"/>
      <c r="K117" s="666"/>
      <c r="L117" s="667"/>
      <c r="M117" s="667"/>
      <c r="N117" s="667"/>
    </row>
    <row r="118" ht="15.75" customHeight="1">
      <c r="A118" s="338"/>
      <c r="B118" s="245"/>
      <c r="C118" s="245"/>
      <c r="D118" s="245"/>
      <c r="E118" s="245"/>
      <c r="F118" s="245"/>
      <c r="G118" s="245"/>
      <c r="H118" s="245"/>
      <c r="I118" s="245"/>
      <c r="J118" s="245"/>
      <c r="K118" s="666"/>
      <c r="L118" s="667"/>
      <c r="M118" s="667"/>
      <c r="N118" s="667"/>
    </row>
    <row r="119" ht="15.75" customHeight="1">
      <c r="B119" s="245"/>
      <c r="C119" s="245"/>
      <c r="D119" s="245"/>
      <c r="E119" s="245"/>
      <c r="F119" s="245"/>
      <c r="G119" s="245"/>
      <c r="H119" s="245"/>
      <c r="I119" s="245"/>
      <c r="J119" s="245"/>
      <c r="K119" s="666"/>
      <c r="L119" s="667"/>
      <c r="M119" s="667"/>
      <c r="N119" s="667"/>
    </row>
    <row r="120" ht="15.75" customHeight="1">
      <c r="B120" s="245"/>
      <c r="C120" s="245"/>
      <c r="D120" s="245"/>
      <c r="E120" s="245"/>
      <c r="F120" s="245"/>
      <c r="G120" s="245"/>
      <c r="H120" s="245"/>
      <c r="I120" s="245"/>
      <c r="J120" s="245"/>
      <c r="K120" s="666"/>
      <c r="L120" s="667"/>
      <c r="M120" s="667"/>
      <c r="N120" s="667"/>
    </row>
    <row r="121" ht="15.75" customHeight="1">
      <c r="B121" s="245"/>
      <c r="C121" s="245"/>
      <c r="D121" s="245"/>
      <c r="E121" s="245"/>
      <c r="F121" s="245"/>
      <c r="G121" s="245"/>
      <c r="H121" s="245"/>
      <c r="I121" s="245"/>
      <c r="J121" s="245"/>
      <c r="K121" s="666"/>
      <c r="L121" s="667"/>
      <c r="M121" s="667"/>
      <c r="N121" s="667"/>
    </row>
    <row r="122" ht="15.75" customHeight="1">
      <c r="A122" s="338"/>
      <c r="B122" s="245"/>
      <c r="C122" s="245"/>
      <c r="D122" s="245"/>
      <c r="E122" s="245"/>
      <c r="F122" s="245"/>
      <c r="G122" s="245"/>
      <c r="H122" s="245"/>
      <c r="I122" s="245"/>
      <c r="J122" s="245"/>
      <c r="K122" s="666"/>
      <c r="L122" s="667"/>
      <c r="M122" s="667"/>
      <c r="N122" s="667"/>
    </row>
    <row r="123" ht="15.75" customHeight="1">
      <c r="B123" s="245"/>
      <c r="C123" s="245"/>
      <c r="D123" s="245"/>
      <c r="E123" s="245"/>
      <c r="F123" s="245"/>
      <c r="G123" s="245"/>
      <c r="H123" s="245"/>
      <c r="I123" s="245"/>
      <c r="J123" s="245"/>
      <c r="K123" s="666"/>
      <c r="L123" s="667"/>
      <c r="M123" s="667"/>
      <c r="N123" s="667"/>
    </row>
    <row r="124" ht="15.75" customHeight="1">
      <c r="B124" s="245"/>
      <c r="C124" s="245"/>
      <c r="D124" s="245"/>
      <c r="E124" s="245"/>
      <c r="F124" s="245"/>
      <c r="G124" s="245"/>
      <c r="H124" s="245"/>
      <c r="I124" s="245"/>
      <c r="J124" s="245"/>
      <c r="K124" s="666"/>
      <c r="L124" s="667"/>
      <c r="M124" s="667"/>
      <c r="N124" s="667"/>
    </row>
    <row r="125" ht="15.75" customHeight="1">
      <c r="B125" s="245"/>
      <c r="C125" s="245"/>
      <c r="D125" s="245"/>
      <c r="E125" s="245"/>
      <c r="F125" s="245"/>
      <c r="G125" s="245"/>
      <c r="H125" s="245"/>
      <c r="I125" s="245"/>
      <c r="J125" s="245"/>
      <c r="K125" s="666"/>
      <c r="L125" s="667"/>
      <c r="M125" s="667"/>
      <c r="N125" s="667"/>
    </row>
    <row r="126" ht="15.75" customHeight="1">
      <c r="A126" s="338"/>
      <c r="B126" s="245"/>
      <c r="C126" s="245"/>
      <c r="D126" s="245"/>
      <c r="E126" s="245"/>
      <c r="F126" s="245"/>
      <c r="G126" s="245"/>
      <c r="H126" s="245"/>
      <c r="I126" s="245"/>
      <c r="J126" s="245"/>
      <c r="K126" s="666"/>
      <c r="L126" s="667"/>
      <c r="M126" s="667"/>
      <c r="N126" s="667"/>
    </row>
    <row r="127" ht="15.75" customHeight="1">
      <c r="B127" s="245"/>
      <c r="C127" s="245"/>
      <c r="D127" s="245"/>
      <c r="E127" s="245"/>
      <c r="F127" s="245"/>
      <c r="G127" s="245"/>
      <c r="H127" s="245"/>
      <c r="I127" s="245"/>
      <c r="J127" s="245"/>
      <c r="K127" s="666"/>
      <c r="L127" s="667"/>
      <c r="M127" s="667"/>
      <c r="N127" s="667"/>
    </row>
    <row r="128" ht="15.75" customHeight="1">
      <c r="B128" s="245"/>
      <c r="C128" s="245"/>
      <c r="D128" s="245"/>
      <c r="E128" s="245"/>
      <c r="F128" s="245"/>
      <c r="G128" s="245"/>
      <c r="H128" s="245"/>
      <c r="I128" s="245"/>
      <c r="J128" s="245"/>
      <c r="K128" s="666"/>
      <c r="L128" s="667"/>
      <c r="M128" s="667"/>
      <c r="N128" s="667"/>
    </row>
    <row r="129" ht="15.75" customHeight="1">
      <c r="B129" s="245"/>
      <c r="C129" s="245"/>
      <c r="D129" s="245"/>
      <c r="E129" s="245"/>
      <c r="F129" s="245"/>
      <c r="G129" s="245"/>
      <c r="H129" s="245"/>
      <c r="I129" s="245"/>
      <c r="J129" s="245"/>
      <c r="K129" s="666"/>
      <c r="L129" s="667"/>
      <c r="M129" s="667"/>
      <c r="N129" s="667"/>
    </row>
    <row r="130" ht="15.75" customHeight="1">
      <c r="A130" s="338"/>
      <c r="B130" s="245"/>
      <c r="C130" s="245"/>
      <c r="D130" s="245"/>
      <c r="E130" s="245"/>
      <c r="F130" s="245"/>
      <c r="G130" s="245"/>
      <c r="H130" s="245"/>
      <c r="I130" s="245"/>
      <c r="J130" s="245"/>
      <c r="K130" s="666"/>
      <c r="L130" s="667"/>
      <c r="M130" s="667"/>
      <c r="N130" s="667"/>
    </row>
    <row r="131" ht="15.75" customHeight="1">
      <c r="A131" s="338"/>
      <c r="B131" s="245"/>
      <c r="C131" s="245"/>
      <c r="D131" s="245"/>
      <c r="E131" s="245"/>
      <c r="F131" s="245"/>
      <c r="G131" s="245"/>
      <c r="H131" s="245"/>
      <c r="I131" s="245"/>
      <c r="J131" s="245"/>
      <c r="K131" s="666"/>
      <c r="L131" s="667"/>
      <c r="M131" s="667"/>
      <c r="N131" s="667"/>
    </row>
    <row r="132" ht="15.75" customHeight="1">
      <c r="A132" s="338"/>
      <c r="B132" s="245"/>
      <c r="C132" s="245"/>
      <c r="D132" s="245"/>
      <c r="E132" s="245"/>
      <c r="F132" s="245"/>
      <c r="G132" s="245"/>
      <c r="H132" s="245"/>
      <c r="I132" s="245"/>
      <c r="J132" s="245"/>
      <c r="K132" s="666"/>
      <c r="L132" s="667"/>
      <c r="M132" s="667"/>
      <c r="N132" s="667"/>
    </row>
    <row r="133" ht="15.75" customHeight="1">
      <c r="A133" s="338"/>
      <c r="B133" s="245"/>
      <c r="C133" s="245"/>
      <c r="D133" s="245"/>
      <c r="E133" s="245"/>
      <c r="F133" s="245"/>
      <c r="G133" s="245"/>
      <c r="H133" s="245"/>
      <c r="I133" s="245"/>
      <c r="J133" s="245"/>
      <c r="K133" s="666"/>
      <c r="L133" s="667"/>
      <c r="M133" s="667"/>
      <c r="N133" s="667"/>
    </row>
    <row r="134" ht="15.75" customHeight="1">
      <c r="A134" s="338"/>
      <c r="B134" s="245"/>
      <c r="C134" s="245"/>
      <c r="D134" s="245"/>
      <c r="E134" s="245"/>
      <c r="F134" s="245"/>
      <c r="G134" s="245"/>
      <c r="H134" s="245"/>
      <c r="I134" s="245"/>
      <c r="J134" s="245"/>
      <c r="K134" s="666"/>
      <c r="L134" s="667"/>
      <c r="M134" s="667"/>
      <c r="N134" s="667"/>
    </row>
    <row r="135" ht="15.75" customHeight="1">
      <c r="A135" s="338"/>
      <c r="B135" s="245"/>
      <c r="C135" s="245"/>
      <c r="D135" s="245"/>
      <c r="E135" s="245"/>
      <c r="F135" s="245"/>
      <c r="G135" s="245"/>
      <c r="H135" s="245"/>
      <c r="I135" s="245"/>
      <c r="J135" s="245"/>
      <c r="K135" s="666"/>
      <c r="L135" s="667"/>
      <c r="M135" s="667"/>
      <c r="N135" s="667"/>
    </row>
    <row r="136" ht="15.75" customHeight="1">
      <c r="A136" s="338"/>
      <c r="B136" s="245"/>
      <c r="C136" s="245"/>
      <c r="D136" s="245"/>
      <c r="E136" s="245"/>
      <c r="F136" s="245"/>
      <c r="G136" s="245"/>
      <c r="H136" s="245"/>
      <c r="I136" s="245"/>
      <c r="J136" s="245"/>
      <c r="K136" s="666"/>
      <c r="L136" s="667"/>
      <c r="M136" s="667"/>
      <c r="N136" s="667"/>
    </row>
    <row r="137" ht="15.75" customHeight="1">
      <c r="A137" s="338"/>
      <c r="B137" s="245"/>
      <c r="C137" s="245"/>
      <c r="D137" s="245"/>
      <c r="E137" s="245"/>
      <c r="F137" s="245"/>
      <c r="G137" s="245"/>
      <c r="H137" s="245"/>
      <c r="I137" s="245"/>
      <c r="J137" s="245"/>
      <c r="K137" s="666"/>
      <c r="L137" s="667"/>
      <c r="M137" s="667"/>
      <c r="N137" s="667"/>
    </row>
    <row r="138" ht="15.75" customHeight="1">
      <c r="A138" s="338"/>
      <c r="B138" s="245"/>
      <c r="C138" s="245"/>
      <c r="D138" s="245"/>
      <c r="E138" s="245"/>
      <c r="F138" s="245"/>
      <c r="G138" s="245"/>
      <c r="H138" s="245"/>
      <c r="I138" s="245"/>
      <c r="J138" s="245"/>
      <c r="K138" s="666"/>
      <c r="L138" s="667"/>
      <c r="M138" s="667"/>
      <c r="N138" s="667"/>
    </row>
    <row r="139" ht="15.75" customHeight="1">
      <c r="A139" s="338"/>
      <c r="B139" s="245"/>
      <c r="C139" s="245"/>
      <c r="D139" s="245"/>
      <c r="E139" s="245"/>
      <c r="F139" s="245"/>
      <c r="G139" s="245"/>
      <c r="H139" s="245"/>
      <c r="I139" s="245"/>
      <c r="J139" s="245"/>
      <c r="K139" s="666"/>
      <c r="L139" s="667"/>
      <c r="M139" s="667"/>
      <c r="N139" s="667"/>
    </row>
    <row r="140" ht="15.75" customHeight="1">
      <c r="A140" s="338"/>
      <c r="B140" s="245"/>
      <c r="C140" s="245"/>
      <c r="D140" s="245"/>
      <c r="E140" s="245"/>
      <c r="F140" s="245"/>
      <c r="G140" s="245"/>
      <c r="H140" s="245"/>
      <c r="I140" s="245"/>
      <c r="J140" s="245"/>
      <c r="K140" s="666"/>
      <c r="L140" s="667"/>
      <c r="M140" s="667"/>
      <c r="N140" s="667"/>
    </row>
    <row r="141" ht="15.75" customHeight="1">
      <c r="A141" s="338"/>
      <c r="B141" s="245"/>
      <c r="C141" s="245"/>
      <c r="D141" s="245"/>
      <c r="E141" s="245"/>
      <c r="F141" s="245"/>
      <c r="G141" s="245"/>
      <c r="H141" s="245"/>
      <c r="I141" s="245"/>
      <c r="J141" s="245"/>
      <c r="K141" s="666"/>
      <c r="L141" s="667"/>
      <c r="M141" s="667"/>
      <c r="N141" s="667"/>
    </row>
    <row r="142" ht="15.75" customHeight="1">
      <c r="A142" s="338"/>
      <c r="B142" s="245"/>
      <c r="C142" s="245"/>
      <c r="D142" s="245"/>
      <c r="E142" s="245"/>
      <c r="F142" s="245"/>
      <c r="G142" s="245"/>
      <c r="H142" s="245"/>
      <c r="I142" s="245"/>
      <c r="J142" s="245"/>
      <c r="K142" s="666"/>
      <c r="L142" s="667"/>
      <c r="M142" s="667"/>
      <c r="N142" s="667"/>
    </row>
    <row r="143" ht="15.75" customHeight="1">
      <c r="A143" s="338"/>
      <c r="B143" s="245"/>
      <c r="C143" s="245"/>
      <c r="D143" s="245"/>
      <c r="E143" s="245"/>
      <c r="F143" s="245"/>
      <c r="G143" s="245"/>
      <c r="H143" s="245"/>
      <c r="I143" s="245"/>
      <c r="J143" s="245"/>
      <c r="K143" s="666"/>
      <c r="L143" s="667"/>
      <c r="M143" s="667"/>
      <c r="N143" s="667"/>
    </row>
    <row r="144" ht="15.75" customHeight="1">
      <c r="A144" s="338"/>
      <c r="B144" s="245"/>
      <c r="C144" s="245"/>
      <c r="D144" s="245"/>
      <c r="E144" s="245"/>
      <c r="F144" s="245"/>
      <c r="G144" s="245"/>
      <c r="H144" s="245"/>
      <c r="I144" s="245"/>
      <c r="J144" s="245"/>
      <c r="K144" s="666"/>
      <c r="L144" s="667"/>
      <c r="M144" s="667"/>
      <c r="N144" s="667"/>
    </row>
    <row r="145" ht="15.75" customHeight="1">
      <c r="A145" s="338"/>
      <c r="B145" s="245"/>
      <c r="C145" s="245"/>
      <c r="D145" s="245"/>
      <c r="E145" s="245"/>
      <c r="F145" s="245"/>
      <c r="G145" s="245"/>
      <c r="H145" s="245"/>
      <c r="I145" s="245"/>
      <c r="J145" s="245"/>
      <c r="K145" s="666"/>
      <c r="L145" s="667"/>
      <c r="M145" s="667"/>
      <c r="N145" s="667"/>
    </row>
    <row r="146" ht="15.75" customHeight="1">
      <c r="A146" s="338"/>
      <c r="B146" s="245"/>
      <c r="C146" s="245"/>
      <c r="D146" s="245"/>
      <c r="E146" s="245"/>
      <c r="F146" s="245"/>
      <c r="G146" s="245"/>
      <c r="H146" s="245"/>
      <c r="I146" s="245"/>
      <c r="J146" s="245"/>
      <c r="K146" s="666"/>
      <c r="L146" s="667"/>
      <c r="M146" s="667"/>
      <c r="N146" s="667"/>
    </row>
    <row r="147" ht="15.75" customHeight="1">
      <c r="A147" s="338"/>
      <c r="B147" s="245"/>
      <c r="C147" s="245"/>
      <c r="D147" s="245"/>
      <c r="E147" s="245"/>
      <c r="F147" s="245"/>
      <c r="G147" s="245"/>
      <c r="H147" s="245"/>
      <c r="I147" s="245"/>
      <c r="J147" s="245"/>
      <c r="K147" s="666"/>
      <c r="L147" s="667"/>
      <c r="M147" s="667"/>
      <c r="N147" s="667"/>
    </row>
    <row r="148" ht="15.75" customHeight="1">
      <c r="A148" s="338"/>
      <c r="B148" s="245"/>
      <c r="C148" s="245"/>
      <c r="D148" s="245"/>
      <c r="E148" s="245"/>
      <c r="F148" s="245"/>
      <c r="G148" s="245"/>
      <c r="H148" s="245"/>
      <c r="I148" s="245"/>
      <c r="J148" s="245"/>
      <c r="K148" s="666"/>
      <c r="L148" s="667"/>
      <c r="M148" s="667"/>
      <c r="N148" s="667"/>
    </row>
    <row r="149" ht="15.75" customHeight="1">
      <c r="A149" s="338"/>
      <c r="B149" s="245"/>
      <c r="C149" s="245"/>
      <c r="D149" s="245"/>
      <c r="E149" s="245"/>
      <c r="F149" s="245"/>
      <c r="G149" s="245"/>
      <c r="H149" s="245"/>
      <c r="I149" s="245"/>
      <c r="J149" s="245"/>
      <c r="K149" s="666"/>
      <c r="L149" s="667"/>
      <c r="M149" s="667"/>
      <c r="N149" s="667"/>
    </row>
    <row r="150" ht="15.75" customHeight="1">
      <c r="A150" s="338"/>
      <c r="B150" s="245"/>
      <c r="C150" s="245"/>
      <c r="D150" s="245"/>
      <c r="E150" s="245"/>
      <c r="F150" s="245"/>
      <c r="G150" s="245"/>
      <c r="H150" s="245"/>
      <c r="I150" s="245"/>
      <c r="J150" s="245"/>
      <c r="K150" s="666"/>
      <c r="L150" s="667"/>
      <c r="M150" s="667"/>
      <c r="N150" s="667"/>
    </row>
    <row r="151" ht="15.75" customHeight="1">
      <c r="A151" s="338"/>
      <c r="B151" s="245"/>
      <c r="C151" s="245"/>
      <c r="D151" s="245"/>
      <c r="E151" s="245"/>
      <c r="F151" s="245"/>
      <c r="G151" s="245"/>
      <c r="H151" s="245"/>
      <c r="I151" s="245"/>
      <c r="J151" s="245"/>
      <c r="K151" s="666"/>
      <c r="L151" s="667"/>
      <c r="M151" s="667"/>
      <c r="N151" s="667"/>
    </row>
    <row r="152" ht="15.75" customHeight="1">
      <c r="A152" s="338"/>
      <c r="B152" s="245"/>
      <c r="C152" s="245"/>
      <c r="D152" s="245"/>
      <c r="E152" s="245"/>
      <c r="F152" s="245"/>
      <c r="G152" s="245"/>
      <c r="H152" s="245"/>
      <c r="I152" s="245"/>
      <c r="J152" s="245"/>
      <c r="K152" s="666"/>
      <c r="L152" s="667"/>
      <c r="M152" s="667"/>
      <c r="N152" s="667"/>
    </row>
    <row r="153" ht="15.75" customHeight="1">
      <c r="A153" s="338"/>
      <c r="B153" s="245"/>
      <c r="C153" s="245"/>
      <c r="D153" s="245"/>
      <c r="E153" s="245"/>
      <c r="F153" s="245"/>
      <c r="G153" s="245"/>
      <c r="H153" s="245"/>
      <c r="I153" s="245"/>
      <c r="J153" s="245"/>
      <c r="K153" s="666"/>
      <c r="L153" s="667"/>
      <c r="M153" s="667"/>
      <c r="N153" s="667"/>
    </row>
    <row r="154" ht="15.75" customHeight="1">
      <c r="A154" s="338"/>
      <c r="B154" s="245"/>
      <c r="C154" s="245"/>
      <c r="D154" s="245"/>
      <c r="E154" s="245"/>
      <c r="F154" s="245"/>
      <c r="G154" s="245"/>
      <c r="H154" s="245"/>
      <c r="I154" s="245"/>
      <c r="J154" s="245"/>
      <c r="K154" s="666"/>
      <c r="L154" s="667"/>
      <c r="M154" s="667"/>
      <c r="N154" s="667"/>
    </row>
    <row r="155" ht="15.75" customHeight="1">
      <c r="A155" s="338"/>
      <c r="B155" s="245"/>
      <c r="C155" s="245"/>
      <c r="D155" s="245"/>
      <c r="E155" s="245"/>
      <c r="F155" s="245"/>
      <c r="G155" s="245"/>
      <c r="H155" s="245"/>
      <c r="I155" s="245"/>
      <c r="J155" s="245"/>
      <c r="K155" s="666"/>
      <c r="L155" s="667"/>
      <c r="M155" s="667"/>
      <c r="N155" s="667"/>
    </row>
    <row r="156" ht="15.75" customHeight="1">
      <c r="A156" s="338"/>
      <c r="B156" s="245"/>
      <c r="C156" s="245"/>
      <c r="D156" s="245"/>
      <c r="E156" s="245"/>
      <c r="F156" s="245"/>
      <c r="G156" s="245"/>
      <c r="H156" s="245"/>
      <c r="I156" s="245"/>
      <c r="J156" s="245"/>
      <c r="K156" s="666"/>
      <c r="L156" s="667"/>
      <c r="M156" s="667"/>
      <c r="N156" s="667"/>
    </row>
    <row r="157" ht="15.75" customHeight="1">
      <c r="A157" s="338"/>
      <c r="B157" s="245"/>
      <c r="C157" s="245"/>
      <c r="D157" s="245"/>
      <c r="E157" s="245"/>
      <c r="F157" s="245"/>
      <c r="G157" s="245"/>
      <c r="H157" s="245"/>
      <c r="I157" s="245"/>
      <c r="J157" s="245"/>
      <c r="K157" s="666"/>
      <c r="L157" s="667"/>
      <c r="M157" s="667"/>
      <c r="N157" s="667"/>
    </row>
    <row r="158" ht="15.75" customHeight="1">
      <c r="A158" s="338"/>
      <c r="B158" s="245"/>
      <c r="C158" s="245"/>
      <c r="D158" s="245"/>
      <c r="E158" s="245"/>
      <c r="F158" s="245"/>
      <c r="G158" s="245"/>
      <c r="H158" s="245"/>
      <c r="I158" s="245"/>
      <c r="J158" s="245"/>
      <c r="K158" s="666"/>
      <c r="L158" s="667"/>
      <c r="M158" s="667"/>
      <c r="N158" s="667"/>
    </row>
    <row r="159" ht="15.75" customHeight="1">
      <c r="A159" s="338"/>
      <c r="B159" s="245"/>
      <c r="C159" s="245"/>
      <c r="D159" s="245"/>
      <c r="E159" s="245"/>
      <c r="F159" s="245"/>
      <c r="G159" s="245"/>
      <c r="H159" s="245"/>
      <c r="I159" s="245"/>
      <c r="J159" s="245"/>
      <c r="K159" s="666"/>
      <c r="L159" s="667"/>
      <c r="M159" s="667"/>
      <c r="N159" s="667"/>
    </row>
    <row r="160" ht="15.75" customHeight="1">
      <c r="A160" s="338"/>
      <c r="B160" s="245"/>
      <c r="C160" s="245"/>
      <c r="D160" s="245"/>
      <c r="E160" s="245"/>
      <c r="F160" s="245"/>
      <c r="G160" s="245"/>
      <c r="H160" s="245"/>
      <c r="I160" s="245"/>
      <c r="J160" s="245"/>
      <c r="K160" s="666"/>
      <c r="L160" s="667"/>
      <c r="M160" s="667"/>
      <c r="N160" s="667"/>
    </row>
    <row r="161" ht="15.75" customHeight="1">
      <c r="A161" s="338"/>
      <c r="B161" s="245"/>
      <c r="C161" s="245"/>
      <c r="D161" s="245"/>
      <c r="E161" s="245"/>
      <c r="F161" s="245"/>
      <c r="G161" s="245"/>
      <c r="H161" s="245"/>
      <c r="I161" s="245"/>
      <c r="J161" s="245"/>
      <c r="K161" s="666"/>
      <c r="L161" s="667"/>
      <c r="M161" s="667"/>
      <c r="N161" s="667"/>
    </row>
    <row r="162" ht="15.75" customHeight="1">
      <c r="A162" s="338"/>
      <c r="B162" s="245"/>
      <c r="C162" s="245"/>
      <c r="D162" s="245"/>
      <c r="E162" s="245"/>
      <c r="F162" s="245"/>
      <c r="G162" s="245"/>
      <c r="H162" s="245"/>
      <c r="I162" s="245"/>
      <c r="J162" s="245"/>
      <c r="K162" s="666"/>
      <c r="L162" s="667"/>
      <c r="M162" s="667"/>
      <c r="N162" s="667"/>
    </row>
    <row r="163" ht="15.75" customHeight="1">
      <c r="A163" s="338"/>
      <c r="B163" s="245"/>
      <c r="C163" s="245"/>
      <c r="D163" s="245"/>
      <c r="E163" s="245"/>
      <c r="F163" s="245"/>
      <c r="G163" s="245"/>
      <c r="H163" s="245"/>
      <c r="I163" s="245"/>
      <c r="J163" s="245"/>
      <c r="K163" s="666"/>
      <c r="L163" s="667"/>
      <c r="M163" s="667"/>
      <c r="N163" s="667"/>
    </row>
    <row r="164" ht="15.75" customHeight="1">
      <c r="A164" s="338"/>
      <c r="B164" s="245"/>
      <c r="C164" s="245"/>
      <c r="D164" s="245"/>
      <c r="E164" s="245"/>
      <c r="F164" s="245"/>
      <c r="G164" s="245"/>
      <c r="H164" s="245"/>
      <c r="I164" s="245"/>
      <c r="J164" s="245"/>
      <c r="K164" s="666"/>
      <c r="L164" s="667"/>
      <c r="M164" s="667"/>
      <c r="N164" s="667"/>
    </row>
    <row r="165" ht="15.75" customHeight="1">
      <c r="A165" s="338"/>
      <c r="B165" s="245"/>
      <c r="C165" s="245"/>
      <c r="D165" s="245"/>
      <c r="E165" s="245"/>
      <c r="F165" s="245"/>
      <c r="G165" s="245"/>
      <c r="H165" s="245"/>
      <c r="I165" s="245"/>
      <c r="J165" s="245"/>
      <c r="K165" s="666"/>
      <c r="L165" s="667"/>
      <c r="M165" s="667"/>
      <c r="N165" s="667"/>
    </row>
    <row r="166" ht="15.75" customHeight="1">
      <c r="A166" s="338"/>
      <c r="B166" s="245"/>
      <c r="C166" s="245"/>
      <c r="D166" s="245"/>
      <c r="E166" s="245"/>
      <c r="F166" s="245"/>
      <c r="G166" s="245"/>
      <c r="H166" s="245"/>
      <c r="I166" s="245"/>
      <c r="J166" s="245"/>
      <c r="K166" s="666"/>
      <c r="L166" s="667"/>
      <c r="M166" s="667"/>
      <c r="N166" s="667"/>
    </row>
    <row r="167" ht="15.75" customHeight="1">
      <c r="A167" s="338"/>
      <c r="B167" s="245"/>
      <c r="C167" s="245"/>
      <c r="D167" s="245"/>
      <c r="E167" s="245"/>
      <c r="F167" s="245"/>
      <c r="G167" s="245"/>
      <c r="H167" s="245"/>
      <c r="I167" s="245"/>
      <c r="J167" s="245"/>
      <c r="K167" s="666"/>
      <c r="L167" s="667"/>
      <c r="M167" s="667"/>
      <c r="N167" s="667"/>
    </row>
    <row r="168" ht="15.75" customHeight="1">
      <c r="A168" s="338"/>
      <c r="B168" s="245"/>
      <c r="C168" s="245"/>
      <c r="D168" s="245"/>
      <c r="E168" s="245"/>
      <c r="F168" s="245"/>
      <c r="G168" s="245"/>
      <c r="H168" s="245"/>
      <c r="I168" s="245"/>
      <c r="J168" s="245"/>
      <c r="K168" s="666"/>
      <c r="L168" s="667"/>
      <c r="M168" s="667"/>
      <c r="N168" s="667"/>
    </row>
    <row r="169" ht="15.75" customHeight="1">
      <c r="A169" s="338"/>
      <c r="B169" s="245"/>
      <c r="C169" s="245"/>
      <c r="D169" s="245"/>
      <c r="E169" s="245"/>
      <c r="F169" s="245"/>
      <c r="G169" s="245"/>
      <c r="H169" s="245"/>
      <c r="I169" s="245"/>
      <c r="J169" s="245"/>
      <c r="K169" s="666"/>
      <c r="L169" s="667"/>
      <c r="M169" s="667"/>
      <c r="N169" s="667"/>
    </row>
    <row r="170" ht="15.75" customHeight="1">
      <c r="A170" s="338"/>
      <c r="B170" s="245"/>
      <c r="C170" s="245"/>
      <c r="D170" s="245"/>
      <c r="E170" s="245"/>
      <c r="F170" s="245"/>
      <c r="G170" s="245"/>
      <c r="H170" s="245"/>
      <c r="I170" s="245"/>
      <c r="J170" s="245"/>
      <c r="K170" s="666"/>
      <c r="L170" s="667"/>
      <c r="M170" s="667"/>
      <c r="N170" s="667"/>
    </row>
    <row r="171" ht="15.75" customHeight="1">
      <c r="A171" s="338"/>
      <c r="B171" s="245"/>
      <c r="C171" s="245"/>
      <c r="D171" s="245"/>
      <c r="E171" s="245"/>
      <c r="F171" s="245"/>
      <c r="G171" s="245"/>
      <c r="H171" s="245"/>
      <c r="I171" s="245"/>
      <c r="J171" s="245"/>
      <c r="K171" s="666"/>
      <c r="L171" s="667"/>
      <c r="M171" s="667"/>
      <c r="N171" s="667"/>
    </row>
    <row r="172" ht="15.75" customHeight="1">
      <c r="A172" s="338"/>
      <c r="B172" s="245"/>
      <c r="C172" s="245"/>
      <c r="D172" s="245"/>
      <c r="E172" s="245"/>
      <c r="F172" s="245"/>
      <c r="G172" s="245"/>
      <c r="H172" s="245"/>
      <c r="I172" s="245"/>
      <c r="J172" s="245"/>
      <c r="K172" s="666"/>
      <c r="L172" s="667"/>
      <c r="M172" s="667"/>
      <c r="N172" s="667"/>
    </row>
    <row r="173" ht="15.75" customHeight="1">
      <c r="A173" s="338"/>
      <c r="B173" s="245"/>
      <c r="C173" s="245"/>
      <c r="D173" s="245"/>
      <c r="E173" s="245"/>
      <c r="F173" s="245"/>
      <c r="G173" s="245"/>
      <c r="H173" s="245"/>
      <c r="I173" s="245"/>
      <c r="J173" s="245"/>
      <c r="K173" s="666"/>
      <c r="L173" s="667"/>
      <c r="M173" s="667"/>
      <c r="N173" s="667"/>
    </row>
    <row r="174" ht="15.75" customHeight="1">
      <c r="A174" s="338"/>
      <c r="B174" s="245"/>
      <c r="C174" s="245"/>
      <c r="D174" s="245"/>
      <c r="E174" s="245"/>
      <c r="F174" s="245"/>
      <c r="G174" s="245"/>
      <c r="H174" s="245"/>
      <c r="I174" s="245"/>
      <c r="J174" s="245"/>
      <c r="K174" s="666"/>
      <c r="L174" s="667"/>
      <c r="M174" s="667"/>
      <c r="N174" s="667"/>
    </row>
    <row r="175" ht="15.75" customHeight="1">
      <c r="A175" s="338"/>
      <c r="B175" s="245"/>
      <c r="C175" s="245"/>
      <c r="D175" s="245"/>
      <c r="E175" s="245"/>
      <c r="F175" s="245"/>
      <c r="G175" s="245"/>
      <c r="H175" s="245"/>
      <c r="I175" s="245"/>
      <c r="J175" s="245"/>
      <c r="K175" s="666"/>
      <c r="L175" s="667"/>
      <c r="M175" s="667"/>
      <c r="N175" s="667"/>
    </row>
    <row r="176" ht="15.75" customHeight="1">
      <c r="A176" s="338"/>
      <c r="B176" s="245"/>
      <c r="C176" s="245"/>
      <c r="D176" s="245"/>
      <c r="E176" s="245"/>
      <c r="F176" s="245"/>
      <c r="G176" s="245"/>
      <c r="H176" s="245"/>
      <c r="I176" s="245"/>
      <c r="J176" s="245"/>
      <c r="K176" s="666"/>
      <c r="L176" s="667"/>
      <c r="M176" s="667"/>
      <c r="N176" s="667"/>
    </row>
    <row r="177" ht="15.75" customHeight="1">
      <c r="A177" s="338"/>
      <c r="B177" s="245"/>
      <c r="C177" s="245"/>
      <c r="D177" s="245"/>
      <c r="E177" s="245"/>
      <c r="F177" s="245"/>
      <c r="G177" s="245"/>
      <c r="H177" s="245"/>
      <c r="I177" s="245"/>
      <c r="J177" s="245"/>
      <c r="K177" s="666"/>
      <c r="L177" s="667"/>
      <c r="M177" s="667"/>
      <c r="N177" s="667"/>
    </row>
    <row r="178" ht="15.75" customHeight="1">
      <c r="A178" s="338"/>
      <c r="B178" s="245"/>
      <c r="C178" s="245"/>
      <c r="D178" s="245"/>
      <c r="E178" s="245"/>
      <c r="F178" s="245"/>
      <c r="G178" s="245"/>
      <c r="H178" s="245"/>
      <c r="I178" s="245"/>
      <c r="J178" s="245"/>
      <c r="K178" s="666"/>
      <c r="L178" s="667"/>
      <c r="M178" s="667"/>
      <c r="N178" s="667"/>
    </row>
    <row r="179" ht="15.75" customHeight="1">
      <c r="A179" s="338"/>
      <c r="B179" s="245"/>
      <c r="C179" s="245"/>
      <c r="D179" s="245"/>
      <c r="E179" s="245"/>
      <c r="F179" s="245"/>
      <c r="G179" s="245"/>
      <c r="H179" s="245"/>
      <c r="I179" s="245"/>
      <c r="J179" s="245"/>
      <c r="K179" s="666"/>
      <c r="L179" s="667"/>
      <c r="M179" s="667"/>
      <c r="N179" s="667"/>
    </row>
    <row r="180" ht="15.75" customHeight="1">
      <c r="A180" s="338"/>
      <c r="B180" s="245"/>
      <c r="C180" s="245"/>
      <c r="D180" s="245"/>
      <c r="E180" s="245"/>
      <c r="F180" s="245"/>
      <c r="G180" s="245"/>
      <c r="H180" s="245"/>
      <c r="I180" s="245"/>
      <c r="J180" s="245"/>
      <c r="K180" s="666"/>
      <c r="L180" s="667"/>
      <c r="M180" s="667"/>
      <c r="N180" s="667"/>
    </row>
    <row r="181" ht="15.75" customHeight="1">
      <c r="A181" s="338"/>
      <c r="B181" s="245"/>
      <c r="C181" s="245"/>
      <c r="D181" s="245"/>
      <c r="E181" s="245"/>
      <c r="F181" s="245"/>
      <c r="G181" s="245"/>
      <c r="H181" s="245"/>
      <c r="I181" s="245"/>
      <c r="J181" s="245"/>
      <c r="K181" s="666"/>
      <c r="L181" s="667"/>
      <c r="M181" s="667"/>
      <c r="N181" s="667"/>
    </row>
    <row r="182" ht="15.75" customHeight="1">
      <c r="A182" s="338"/>
      <c r="B182" s="245"/>
      <c r="C182" s="245"/>
      <c r="D182" s="245"/>
      <c r="E182" s="245"/>
      <c r="F182" s="245"/>
      <c r="G182" s="245"/>
      <c r="H182" s="245"/>
      <c r="I182" s="245"/>
      <c r="J182" s="245"/>
      <c r="K182" s="666"/>
      <c r="L182" s="667"/>
      <c r="M182" s="667"/>
      <c r="N182" s="667"/>
    </row>
    <row r="183" ht="15.75" customHeight="1">
      <c r="A183" s="338"/>
      <c r="B183" s="245"/>
      <c r="C183" s="245"/>
      <c r="D183" s="245"/>
      <c r="E183" s="245"/>
      <c r="F183" s="245"/>
      <c r="G183" s="245"/>
      <c r="H183" s="245"/>
      <c r="I183" s="245"/>
      <c r="J183" s="245"/>
      <c r="K183" s="666"/>
      <c r="L183" s="667"/>
      <c r="M183" s="667"/>
      <c r="N183" s="667"/>
    </row>
    <row r="184" ht="15.75" customHeight="1">
      <c r="A184" s="338"/>
      <c r="B184" s="245"/>
      <c r="C184" s="245"/>
      <c r="D184" s="245"/>
      <c r="E184" s="245"/>
      <c r="F184" s="245"/>
      <c r="G184" s="245"/>
      <c r="H184" s="245"/>
      <c r="I184" s="245"/>
      <c r="J184" s="245"/>
      <c r="K184" s="666"/>
      <c r="L184" s="667"/>
      <c r="M184" s="667"/>
      <c r="N184" s="667"/>
    </row>
    <row r="185" ht="15.75" customHeight="1">
      <c r="A185" s="338"/>
      <c r="B185" s="245"/>
      <c r="C185" s="245"/>
      <c r="D185" s="245"/>
      <c r="E185" s="245"/>
      <c r="F185" s="245"/>
      <c r="G185" s="245"/>
      <c r="H185" s="245"/>
      <c r="I185" s="245"/>
      <c r="J185" s="245"/>
      <c r="K185" s="666"/>
      <c r="L185" s="667"/>
      <c r="M185" s="667"/>
      <c r="N185" s="667"/>
    </row>
    <row r="186" ht="15.75" customHeight="1">
      <c r="A186" s="338"/>
      <c r="B186" s="245"/>
      <c r="C186" s="245"/>
      <c r="D186" s="245"/>
      <c r="E186" s="245"/>
      <c r="F186" s="245"/>
      <c r="G186" s="245"/>
      <c r="H186" s="245"/>
      <c r="I186" s="245"/>
      <c r="J186" s="245"/>
      <c r="K186" s="666"/>
      <c r="L186" s="667"/>
      <c r="M186" s="667"/>
      <c r="N186" s="667"/>
    </row>
    <row r="187" ht="15.75" customHeight="1">
      <c r="A187" s="338"/>
      <c r="B187" s="245"/>
      <c r="C187" s="245"/>
      <c r="D187" s="245"/>
      <c r="E187" s="245"/>
      <c r="F187" s="245"/>
      <c r="G187" s="245"/>
      <c r="H187" s="245"/>
      <c r="I187" s="245"/>
      <c r="J187" s="245"/>
      <c r="K187" s="666"/>
      <c r="L187" s="667"/>
      <c r="M187" s="667"/>
      <c r="N187" s="667"/>
    </row>
    <row r="188" ht="15.75" customHeight="1">
      <c r="A188" s="338"/>
      <c r="B188" s="245"/>
      <c r="C188" s="245"/>
      <c r="D188" s="245"/>
      <c r="E188" s="245"/>
      <c r="F188" s="245"/>
      <c r="G188" s="245"/>
      <c r="H188" s="245"/>
      <c r="I188" s="245"/>
      <c r="J188" s="245"/>
      <c r="K188" s="666"/>
      <c r="L188" s="667"/>
      <c r="M188" s="667"/>
      <c r="N188" s="667"/>
    </row>
    <row r="189" ht="15.75" customHeight="1">
      <c r="A189" s="338"/>
      <c r="B189" s="245"/>
      <c r="C189" s="245"/>
      <c r="D189" s="245"/>
      <c r="E189" s="245"/>
      <c r="F189" s="245"/>
      <c r="G189" s="245"/>
      <c r="H189" s="245"/>
      <c r="I189" s="245"/>
      <c r="J189" s="245"/>
      <c r="K189" s="666"/>
      <c r="L189" s="667"/>
      <c r="M189" s="667"/>
      <c r="N189" s="667"/>
    </row>
    <row r="190" ht="15.75" customHeight="1">
      <c r="A190" s="338"/>
      <c r="B190" s="245"/>
      <c r="C190" s="245"/>
      <c r="D190" s="245"/>
      <c r="E190" s="245"/>
      <c r="F190" s="245"/>
      <c r="G190" s="245"/>
      <c r="H190" s="245"/>
      <c r="I190" s="245"/>
      <c r="J190" s="245"/>
      <c r="K190" s="666"/>
      <c r="L190" s="667"/>
      <c r="M190" s="667"/>
      <c r="N190" s="667"/>
    </row>
    <row r="191" ht="15.75" customHeight="1">
      <c r="A191" s="338"/>
      <c r="B191" s="245"/>
      <c r="C191" s="245"/>
      <c r="D191" s="245"/>
      <c r="E191" s="245"/>
      <c r="F191" s="245"/>
      <c r="G191" s="245"/>
      <c r="H191" s="245"/>
      <c r="I191" s="245"/>
      <c r="J191" s="245"/>
      <c r="K191" s="666"/>
      <c r="L191" s="667"/>
      <c r="M191" s="667"/>
      <c r="N191" s="667"/>
    </row>
    <row r="192" ht="15.75" customHeight="1">
      <c r="A192" s="338"/>
      <c r="B192" s="245"/>
      <c r="C192" s="245"/>
      <c r="D192" s="245"/>
      <c r="E192" s="245"/>
      <c r="F192" s="245"/>
      <c r="G192" s="245"/>
      <c r="H192" s="245"/>
      <c r="I192" s="245"/>
      <c r="J192" s="245"/>
      <c r="K192" s="666"/>
      <c r="L192" s="667"/>
      <c r="M192" s="667"/>
      <c r="N192" s="667"/>
    </row>
    <row r="193" ht="15.75" customHeight="1">
      <c r="A193" s="338"/>
      <c r="B193" s="245"/>
      <c r="C193" s="245"/>
      <c r="D193" s="245"/>
      <c r="E193" s="245"/>
      <c r="F193" s="245"/>
      <c r="G193" s="245"/>
      <c r="H193" s="245"/>
      <c r="I193" s="245"/>
      <c r="J193" s="245"/>
      <c r="K193" s="666"/>
      <c r="L193" s="667"/>
      <c r="M193" s="667"/>
      <c r="N193" s="667"/>
    </row>
    <row r="194" ht="15.75" customHeight="1">
      <c r="A194" s="338"/>
      <c r="B194" s="245"/>
      <c r="C194" s="245"/>
      <c r="D194" s="245"/>
      <c r="E194" s="245"/>
      <c r="F194" s="245"/>
      <c r="G194" s="245"/>
      <c r="H194" s="245"/>
      <c r="I194" s="245"/>
      <c r="J194" s="245"/>
      <c r="K194" s="666"/>
      <c r="L194" s="667"/>
      <c r="M194" s="667"/>
      <c r="N194" s="667"/>
    </row>
    <row r="195" ht="15.75" customHeight="1">
      <c r="A195" s="338"/>
      <c r="B195" s="245"/>
      <c r="C195" s="245"/>
      <c r="D195" s="245"/>
      <c r="E195" s="245"/>
      <c r="F195" s="245"/>
      <c r="G195" s="245"/>
      <c r="H195" s="245"/>
      <c r="I195" s="245"/>
      <c r="J195" s="245"/>
      <c r="K195" s="666"/>
      <c r="L195" s="667"/>
      <c r="M195" s="667"/>
      <c r="N195" s="667"/>
    </row>
    <row r="196" ht="15.75" customHeight="1">
      <c r="A196" s="338"/>
      <c r="B196" s="245"/>
      <c r="C196" s="245"/>
      <c r="D196" s="245"/>
      <c r="E196" s="245"/>
      <c r="F196" s="245"/>
      <c r="G196" s="245"/>
      <c r="H196" s="245"/>
      <c r="I196" s="245"/>
      <c r="J196" s="245"/>
      <c r="K196" s="666"/>
      <c r="L196" s="667"/>
      <c r="M196" s="667"/>
      <c r="N196" s="667"/>
    </row>
    <row r="197" ht="15.75" customHeight="1">
      <c r="A197" s="338"/>
      <c r="B197" s="245"/>
      <c r="C197" s="245"/>
      <c r="D197" s="245"/>
      <c r="E197" s="245"/>
      <c r="F197" s="245"/>
      <c r="G197" s="245"/>
      <c r="H197" s="245"/>
      <c r="I197" s="245"/>
      <c r="J197" s="245"/>
      <c r="K197" s="666"/>
      <c r="L197" s="667"/>
      <c r="M197" s="667"/>
      <c r="N197" s="667"/>
    </row>
    <row r="198" ht="15.75" customHeight="1">
      <c r="A198" s="338"/>
      <c r="B198" s="245"/>
      <c r="C198" s="245"/>
      <c r="D198" s="245"/>
      <c r="E198" s="245"/>
      <c r="F198" s="245"/>
      <c r="G198" s="245"/>
      <c r="H198" s="245"/>
      <c r="I198" s="245"/>
      <c r="J198" s="245"/>
      <c r="K198" s="666"/>
      <c r="L198" s="667"/>
      <c r="M198" s="667"/>
      <c r="N198" s="667"/>
    </row>
    <row r="199" ht="15.75" customHeight="1">
      <c r="A199" s="338"/>
      <c r="B199" s="245"/>
      <c r="C199" s="245"/>
      <c r="D199" s="245"/>
      <c r="E199" s="245"/>
      <c r="F199" s="245"/>
      <c r="G199" s="245"/>
      <c r="H199" s="245"/>
      <c r="I199" s="245"/>
      <c r="J199" s="245"/>
      <c r="K199" s="666"/>
      <c r="L199" s="667"/>
      <c r="M199" s="667"/>
      <c r="N199" s="667"/>
    </row>
    <row r="200" ht="15.75" customHeight="1">
      <c r="A200" s="338"/>
      <c r="B200" s="245"/>
      <c r="C200" s="245"/>
      <c r="D200" s="245"/>
      <c r="E200" s="245"/>
      <c r="F200" s="245"/>
      <c r="G200" s="245"/>
      <c r="H200" s="245"/>
      <c r="I200" s="245"/>
      <c r="J200" s="245"/>
      <c r="K200" s="666"/>
      <c r="L200" s="667"/>
      <c r="M200" s="667"/>
      <c r="N200" s="667"/>
    </row>
    <row r="201" ht="15.75" customHeight="1">
      <c r="A201" s="338"/>
      <c r="B201" s="245"/>
      <c r="C201" s="245"/>
      <c r="D201" s="245"/>
      <c r="E201" s="245"/>
      <c r="F201" s="245"/>
      <c r="G201" s="245"/>
      <c r="H201" s="245"/>
      <c r="I201" s="245"/>
      <c r="J201" s="245"/>
      <c r="K201" s="666"/>
      <c r="L201" s="667"/>
      <c r="M201" s="667"/>
      <c r="N201" s="667"/>
    </row>
    <row r="202" ht="15.75" customHeight="1">
      <c r="A202" s="338"/>
      <c r="B202" s="245"/>
      <c r="C202" s="245"/>
      <c r="D202" s="245"/>
      <c r="E202" s="245"/>
      <c r="F202" s="245"/>
      <c r="G202" s="245"/>
      <c r="H202" s="245"/>
      <c r="I202" s="245"/>
      <c r="J202" s="245"/>
      <c r="K202" s="666"/>
      <c r="L202" s="667"/>
      <c r="M202" s="667"/>
      <c r="N202" s="667"/>
    </row>
    <row r="203" ht="15.75" customHeight="1">
      <c r="A203" s="338"/>
      <c r="B203" s="245"/>
      <c r="C203" s="245"/>
      <c r="D203" s="245"/>
      <c r="E203" s="245"/>
      <c r="F203" s="245"/>
      <c r="G203" s="245"/>
      <c r="H203" s="245"/>
      <c r="I203" s="245"/>
      <c r="J203" s="245"/>
      <c r="K203" s="666"/>
      <c r="L203" s="667"/>
      <c r="M203" s="667"/>
      <c r="N203" s="667"/>
    </row>
    <row r="204" ht="15.75" customHeight="1">
      <c r="A204" s="338"/>
      <c r="B204" s="245"/>
      <c r="C204" s="245"/>
      <c r="D204" s="245"/>
      <c r="E204" s="245"/>
      <c r="F204" s="245"/>
      <c r="G204" s="245"/>
      <c r="H204" s="245"/>
      <c r="I204" s="245"/>
      <c r="J204" s="245"/>
      <c r="K204" s="666"/>
      <c r="L204" s="667"/>
      <c r="M204" s="667"/>
      <c r="N204" s="667"/>
    </row>
    <row r="205" ht="15.75" customHeight="1">
      <c r="A205" s="338"/>
      <c r="B205" s="245"/>
      <c r="C205" s="245"/>
      <c r="D205" s="245"/>
      <c r="E205" s="245"/>
      <c r="F205" s="245"/>
      <c r="G205" s="245"/>
      <c r="H205" s="245"/>
      <c r="I205" s="245"/>
      <c r="J205" s="245"/>
      <c r="K205" s="666"/>
      <c r="L205" s="667"/>
      <c r="M205" s="667"/>
      <c r="N205" s="667"/>
    </row>
    <row r="206" ht="15.75" customHeight="1">
      <c r="A206" s="338"/>
      <c r="B206" s="245"/>
      <c r="C206" s="245"/>
      <c r="D206" s="245"/>
      <c r="E206" s="245"/>
      <c r="F206" s="245"/>
      <c r="G206" s="245"/>
      <c r="H206" s="245"/>
      <c r="I206" s="245"/>
      <c r="J206" s="245"/>
      <c r="K206" s="666"/>
      <c r="L206" s="667"/>
      <c r="M206" s="667"/>
      <c r="N206" s="667"/>
    </row>
    <row r="207" ht="15.75" customHeight="1">
      <c r="A207" s="338"/>
      <c r="B207" s="245"/>
      <c r="C207" s="245"/>
      <c r="D207" s="245"/>
      <c r="E207" s="245"/>
      <c r="F207" s="245"/>
      <c r="G207" s="245"/>
      <c r="H207" s="245"/>
      <c r="I207" s="245"/>
      <c r="J207" s="245"/>
      <c r="K207" s="666"/>
      <c r="L207" s="667"/>
      <c r="M207" s="667"/>
      <c r="N207" s="667"/>
    </row>
    <row r="208" ht="15.75" customHeight="1">
      <c r="A208" s="338"/>
      <c r="B208" s="245"/>
      <c r="C208" s="245"/>
      <c r="D208" s="245"/>
      <c r="E208" s="245"/>
      <c r="F208" s="245"/>
      <c r="G208" s="245"/>
      <c r="H208" s="245"/>
      <c r="I208" s="245"/>
      <c r="J208" s="245"/>
      <c r="K208" s="666"/>
      <c r="L208" s="667"/>
      <c r="M208" s="667"/>
      <c r="N208" s="667"/>
    </row>
    <row r="209" ht="15.75" customHeight="1">
      <c r="A209" s="338"/>
      <c r="B209" s="245"/>
      <c r="C209" s="245"/>
      <c r="D209" s="245"/>
      <c r="E209" s="245"/>
      <c r="F209" s="245"/>
      <c r="G209" s="245"/>
      <c r="H209" s="245"/>
      <c r="I209" s="245"/>
      <c r="J209" s="245"/>
      <c r="K209" s="666"/>
      <c r="L209" s="667"/>
      <c r="M209" s="667"/>
      <c r="N209" s="667"/>
    </row>
    <row r="210" ht="15.75" customHeight="1">
      <c r="A210" s="338"/>
      <c r="B210" s="245"/>
      <c r="C210" s="245"/>
      <c r="D210" s="245"/>
      <c r="E210" s="245"/>
      <c r="F210" s="245"/>
      <c r="G210" s="245"/>
      <c r="H210" s="245"/>
      <c r="I210" s="245"/>
      <c r="J210" s="245"/>
      <c r="K210" s="666"/>
      <c r="L210" s="667"/>
      <c r="M210" s="667"/>
      <c r="N210" s="667"/>
    </row>
    <row r="211" ht="15.75" customHeight="1">
      <c r="A211" s="338"/>
      <c r="B211" s="245"/>
      <c r="C211" s="245"/>
      <c r="D211" s="245"/>
      <c r="E211" s="245"/>
      <c r="F211" s="245"/>
      <c r="G211" s="245"/>
      <c r="H211" s="245"/>
      <c r="I211" s="245"/>
      <c r="J211" s="245"/>
      <c r="K211" s="666"/>
      <c r="L211" s="667"/>
      <c r="M211" s="667"/>
      <c r="N211" s="667"/>
    </row>
    <row r="212" ht="15.75" customHeight="1">
      <c r="A212" s="338"/>
      <c r="B212" s="245"/>
      <c r="C212" s="245"/>
      <c r="D212" s="245"/>
      <c r="E212" s="245"/>
      <c r="F212" s="245"/>
      <c r="G212" s="245"/>
      <c r="H212" s="245"/>
      <c r="I212" s="245"/>
      <c r="J212" s="245"/>
      <c r="K212" s="666"/>
      <c r="L212" s="667"/>
      <c r="M212" s="667"/>
      <c r="N212" s="667"/>
    </row>
    <row r="213" ht="15.75" customHeight="1">
      <c r="A213" s="338"/>
      <c r="B213" s="245"/>
      <c r="C213" s="245"/>
      <c r="D213" s="245"/>
      <c r="E213" s="245"/>
      <c r="F213" s="245"/>
      <c r="G213" s="245"/>
      <c r="H213" s="245"/>
      <c r="I213" s="245"/>
      <c r="J213" s="245"/>
      <c r="K213" s="666"/>
      <c r="L213" s="667"/>
      <c r="M213" s="667"/>
      <c r="N213" s="667"/>
    </row>
    <row r="214" ht="15.75" customHeight="1">
      <c r="A214" s="338"/>
      <c r="B214" s="245"/>
      <c r="C214" s="245"/>
      <c r="D214" s="245"/>
      <c r="E214" s="245"/>
      <c r="F214" s="245"/>
      <c r="G214" s="245"/>
      <c r="H214" s="245"/>
      <c r="I214" s="245"/>
      <c r="J214" s="245"/>
      <c r="K214" s="666"/>
      <c r="L214" s="667"/>
      <c r="M214" s="667"/>
      <c r="N214" s="667"/>
    </row>
    <row r="215" ht="15.75" customHeight="1">
      <c r="A215" s="338"/>
      <c r="B215" s="245"/>
      <c r="C215" s="245"/>
      <c r="D215" s="245"/>
      <c r="E215" s="245"/>
      <c r="F215" s="245"/>
      <c r="G215" s="245"/>
      <c r="H215" s="245"/>
      <c r="I215" s="245"/>
      <c r="J215" s="245"/>
      <c r="K215" s="666"/>
      <c r="L215" s="667"/>
      <c r="M215" s="667"/>
      <c r="N215" s="667"/>
    </row>
    <row r="216" ht="15.75" customHeight="1">
      <c r="A216" s="338"/>
      <c r="B216" s="245"/>
      <c r="C216" s="245"/>
      <c r="D216" s="245"/>
      <c r="E216" s="245"/>
      <c r="F216" s="245"/>
      <c r="G216" s="245"/>
      <c r="H216" s="245"/>
      <c r="I216" s="245"/>
      <c r="J216" s="245"/>
      <c r="K216" s="666"/>
      <c r="L216" s="667"/>
      <c r="M216" s="667"/>
      <c r="N216" s="667"/>
    </row>
    <row r="217" ht="15.75" customHeight="1">
      <c r="A217" s="338"/>
      <c r="B217" s="245"/>
      <c r="C217" s="245"/>
      <c r="D217" s="245"/>
      <c r="E217" s="245"/>
      <c r="F217" s="245"/>
      <c r="G217" s="245"/>
      <c r="H217" s="245"/>
      <c r="I217" s="245"/>
      <c r="J217" s="245"/>
      <c r="K217" s="666"/>
      <c r="L217" s="667"/>
      <c r="M217" s="667"/>
      <c r="N217" s="667"/>
    </row>
    <row r="218" ht="15.75" customHeight="1">
      <c r="A218" s="338"/>
      <c r="B218" s="245"/>
      <c r="C218" s="245"/>
      <c r="D218" s="245"/>
      <c r="E218" s="245"/>
      <c r="F218" s="245"/>
      <c r="G218" s="245"/>
      <c r="H218" s="245"/>
      <c r="I218" s="245"/>
      <c r="J218" s="245"/>
      <c r="K218" s="666"/>
      <c r="L218" s="667"/>
      <c r="M218" s="667"/>
      <c r="N218" s="667"/>
    </row>
    <row r="219" ht="15.75" customHeight="1">
      <c r="A219" s="338"/>
      <c r="B219" s="245"/>
      <c r="C219" s="245"/>
      <c r="D219" s="245"/>
      <c r="E219" s="245"/>
      <c r="F219" s="245"/>
      <c r="G219" s="245"/>
      <c r="H219" s="245"/>
      <c r="I219" s="245"/>
      <c r="J219" s="245"/>
      <c r="K219" s="666"/>
      <c r="L219" s="667"/>
      <c r="M219" s="667"/>
      <c r="N219" s="667"/>
    </row>
    <row r="220" ht="15.75" customHeight="1">
      <c r="A220" s="338"/>
      <c r="B220" s="245"/>
      <c r="C220" s="245"/>
      <c r="D220" s="245"/>
      <c r="E220" s="245"/>
      <c r="F220" s="245"/>
      <c r="G220" s="245"/>
      <c r="H220" s="245"/>
      <c r="I220" s="245"/>
      <c r="J220" s="245"/>
      <c r="K220" s="666"/>
      <c r="L220" s="667"/>
      <c r="M220" s="667"/>
      <c r="N220" s="667"/>
    </row>
    <row r="221" ht="15.75" customHeight="1">
      <c r="A221" s="338"/>
      <c r="B221" s="245"/>
      <c r="C221" s="245"/>
      <c r="D221" s="245"/>
      <c r="E221" s="245"/>
      <c r="F221" s="245"/>
      <c r="G221" s="245"/>
      <c r="H221" s="245"/>
      <c r="I221" s="245"/>
      <c r="J221" s="245"/>
      <c r="K221" s="666"/>
      <c r="L221" s="667"/>
      <c r="M221" s="667"/>
      <c r="N221" s="667"/>
    </row>
    <row r="222" ht="15.75" customHeight="1">
      <c r="A222" s="338"/>
      <c r="B222" s="245"/>
      <c r="C222" s="245"/>
      <c r="D222" s="245"/>
      <c r="E222" s="245"/>
      <c r="F222" s="245"/>
      <c r="G222" s="245"/>
      <c r="H222" s="245"/>
      <c r="I222" s="245"/>
      <c r="J222" s="245"/>
      <c r="K222" s="666"/>
      <c r="L222" s="667"/>
      <c r="M222" s="667"/>
      <c r="N222" s="667"/>
    </row>
    <row r="223" ht="15.75" customHeight="1">
      <c r="A223" s="338"/>
      <c r="B223" s="245"/>
      <c r="C223" s="245"/>
      <c r="D223" s="245"/>
      <c r="E223" s="245"/>
      <c r="F223" s="245"/>
      <c r="G223" s="245"/>
      <c r="H223" s="245"/>
      <c r="I223" s="245"/>
      <c r="J223" s="245"/>
      <c r="K223" s="666"/>
      <c r="L223" s="667"/>
      <c r="M223" s="667"/>
      <c r="N223" s="667"/>
    </row>
    <row r="224" ht="15.75" customHeight="1">
      <c r="A224" s="338"/>
      <c r="B224" s="245"/>
      <c r="C224" s="245"/>
      <c r="D224" s="245"/>
      <c r="E224" s="245"/>
      <c r="F224" s="245"/>
      <c r="G224" s="245"/>
      <c r="H224" s="245"/>
      <c r="I224" s="245"/>
      <c r="J224" s="245"/>
      <c r="K224" s="666"/>
      <c r="L224" s="667"/>
      <c r="M224" s="667"/>
      <c r="N224" s="667"/>
    </row>
    <row r="225" ht="15.75" customHeight="1">
      <c r="A225" s="338"/>
      <c r="B225" s="245"/>
      <c r="C225" s="245"/>
      <c r="D225" s="245"/>
      <c r="E225" s="245"/>
      <c r="F225" s="245"/>
      <c r="G225" s="245"/>
      <c r="H225" s="245"/>
      <c r="I225" s="245"/>
      <c r="J225" s="245"/>
      <c r="K225" s="666"/>
      <c r="L225" s="667"/>
      <c r="M225" s="667"/>
      <c r="N225" s="667"/>
    </row>
    <row r="226" ht="15.75" customHeight="1">
      <c r="A226" s="338"/>
      <c r="B226" s="245"/>
      <c r="C226" s="245"/>
      <c r="D226" s="245"/>
      <c r="E226" s="245"/>
      <c r="F226" s="245"/>
      <c r="G226" s="245"/>
      <c r="H226" s="245"/>
      <c r="I226" s="245"/>
      <c r="J226" s="245"/>
      <c r="K226" s="666"/>
      <c r="L226" s="667"/>
      <c r="M226" s="667"/>
      <c r="N226" s="667"/>
    </row>
    <row r="227" ht="15.75" customHeight="1">
      <c r="A227" s="338"/>
      <c r="B227" s="245"/>
      <c r="C227" s="245"/>
      <c r="D227" s="245"/>
      <c r="E227" s="245"/>
      <c r="F227" s="245"/>
      <c r="G227" s="245"/>
      <c r="H227" s="245"/>
      <c r="I227" s="245"/>
      <c r="J227" s="245"/>
      <c r="K227" s="666"/>
      <c r="L227" s="667"/>
      <c r="M227" s="667"/>
      <c r="N227" s="667"/>
    </row>
    <row r="228" ht="15.75" customHeight="1">
      <c r="A228" s="338"/>
      <c r="B228" s="245"/>
      <c r="C228" s="245"/>
      <c r="D228" s="245"/>
      <c r="E228" s="245"/>
      <c r="F228" s="245"/>
      <c r="G228" s="245"/>
      <c r="H228" s="245"/>
      <c r="I228" s="245"/>
      <c r="J228" s="245"/>
      <c r="K228" s="666"/>
      <c r="L228" s="667"/>
      <c r="M228" s="667"/>
      <c r="N228" s="667"/>
    </row>
    <row r="229" ht="15.75" customHeight="1">
      <c r="A229" s="338"/>
      <c r="B229" s="245"/>
      <c r="C229" s="245"/>
      <c r="D229" s="245"/>
      <c r="E229" s="245"/>
      <c r="F229" s="245"/>
      <c r="G229" s="245"/>
      <c r="H229" s="245"/>
      <c r="I229" s="245"/>
      <c r="J229" s="245"/>
      <c r="K229" s="666"/>
      <c r="L229" s="667"/>
      <c r="M229" s="667"/>
      <c r="N229" s="667"/>
    </row>
    <row r="230" ht="15.75" customHeight="1">
      <c r="A230" s="338"/>
      <c r="B230" s="245"/>
      <c r="C230" s="245"/>
      <c r="D230" s="245"/>
      <c r="E230" s="245"/>
      <c r="F230" s="245"/>
      <c r="G230" s="245"/>
      <c r="H230" s="245"/>
      <c r="I230" s="245"/>
      <c r="J230" s="245"/>
      <c r="K230" s="666"/>
      <c r="L230" s="667"/>
      <c r="M230" s="667"/>
      <c r="N230" s="667"/>
    </row>
    <row r="231" ht="15.75" customHeight="1">
      <c r="A231" s="338"/>
      <c r="B231" s="245"/>
      <c r="C231" s="245"/>
      <c r="D231" s="245"/>
      <c r="E231" s="245"/>
      <c r="F231" s="245"/>
      <c r="G231" s="245"/>
      <c r="H231" s="245"/>
      <c r="I231" s="245"/>
      <c r="J231" s="245"/>
      <c r="K231" s="666"/>
      <c r="L231" s="667"/>
      <c r="M231" s="667"/>
      <c r="N231" s="667"/>
    </row>
    <row r="232" ht="15.75" customHeight="1">
      <c r="A232" s="338"/>
      <c r="B232" s="245"/>
      <c r="C232" s="245"/>
      <c r="D232" s="245"/>
      <c r="E232" s="245"/>
      <c r="F232" s="245"/>
      <c r="G232" s="245"/>
      <c r="H232" s="245"/>
      <c r="I232" s="245"/>
      <c r="J232" s="245"/>
      <c r="K232" s="666"/>
      <c r="L232" s="667"/>
      <c r="M232" s="667"/>
      <c r="N232" s="667"/>
    </row>
    <row r="233" ht="15.75" customHeight="1">
      <c r="A233" s="338"/>
      <c r="B233" s="245"/>
      <c r="C233" s="245"/>
      <c r="D233" s="245"/>
      <c r="E233" s="245"/>
      <c r="F233" s="245"/>
      <c r="G233" s="245"/>
      <c r="H233" s="245"/>
      <c r="I233" s="245"/>
      <c r="J233" s="245"/>
      <c r="K233" s="666"/>
      <c r="L233" s="667"/>
      <c r="M233" s="667"/>
      <c r="N233" s="667"/>
    </row>
    <row r="234" ht="15.75" customHeight="1">
      <c r="A234" s="338"/>
      <c r="B234" s="245"/>
      <c r="C234" s="245"/>
      <c r="D234" s="245"/>
      <c r="E234" s="245"/>
      <c r="F234" s="245"/>
      <c r="G234" s="245"/>
      <c r="H234" s="245"/>
      <c r="I234" s="245"/>
      <c r="J234" s="245"/>
      <c r="K234" s="666"/>
      <c r="L234" s="667"/>
      <c r="M234" s="667"/>
      <c r="N234" s="667"/>
    </row>
    <row r="235" ht="15.75" customHeight="1">
      <c r="A235" s="338"/>
      <c r="B235" s="245"/>
      <c r="C235" s="245"/>
      <c r="D235" s="245"/>
      <c r="E235" s="245"/>
      <c r="F235" s="245"/>
      <c r="G235" s="245"/>
      <c r="H235" s="245"/>
      <c r="I235" s="245"/>
      <c r="J235" s="245"/>
      <c r="K235" s="666"/>
      <c r="L235" s="667"/>
      <c r="M235" s="667"/>
      <c r="N235" s="667"/>
    </row>
    <row r="236" ht="15.75" customHeight="1">
      <c r="A236" s="338"/>
      <c r="B236" s="245"/>
      <c r="C236" s="245"/>
      <c r="D236" s="245"/>
      <c r="E236" s="245"/>
      <c r="F236" s="245"/>
      <c r="G236" s="245"/>
      <c r="H236" s="245"/>
      <c r="I236" s="245"/>
      <c r="J236" s="245"/>
      <c r="K236" s="666"/>
      <c r="L236" s="667"/>
      <c r="M236" s="667"/>
      <c r="N236" s="667"/>
    </row>
    <row r="237" ht="15.75" customHeight="1">
      <c r="A237" s="338"/>
      <c r="B237" s="245"/>
      <c r="C237" s="245"/>
      <c r="D237" s="245"/>
      <c r="E237" s="245"/>
      <c r="F237" s="245"/>
      <c r="G237" s="245"/>
      <c r="H237" s="245"/>
      <c r="I237" s="245"/>
      <c r="J237" s="245"/>
      <c r="K237" s="666"/>
      <c r="L237" s="667"/>
      <c r="M237" s="667"/>
      <c r="N237" s="667"/>
    </row>
    <row r="238" ht="15.75" customHeight="1">
      <c r="A238" s="338"/>
      <c r="B238" s="245"/>
      <c r="C238" s="245"/>
      <c r="D238" s="245"/>
      <c r="E238" s="245"/>
      <c r="F238" s="245"/>
      <c r="G238" s="245"/>
      <c r="H238" s="245"/>
      <c r="I238" s="245"/>
      <c r="J238" s="245"/>
      <c r="K238" s="666"/>
      <c r="L238" s="667"/>
      <c r="M238" s="667"/>
      <c r="N238" s="667"/>
    </row>
    <row r="239" ht="15.75" customHeight="1">
      <c r="A239" s="338"/>
      <c r="B239" s="245"/>
      <c r="C239" s="245"/>
      <c r="D239" s="245"/>
      <c r="E239" s="245"/>
      <c r="F239" s="245"/>
      <c r="G239" s="245"/>
      <c r="H239" s="245"/>
      <c r="I239" s="245"/>
      <c r="J239" s="245"/>
      <c r="K239" s="666"/>
      <c r="L239" s="667"/>
      <c r="M239" s="667"/>
      <c r="N239" s="667"/>
    </row>
    <row r="240" ht="15.75" customHeight="1">
      <c r="A240" s="338"/>
      <c r="B240" s="245"/>
      <c r="C240" s="245"/>
      <c r="D240" s="245"/>
      <c r="E240" s="245"/>
      <c r="F240" s="245"/>
      <c r="G240" s="245"/>
      <c r="H240" s="245"/>
      <c r="I240" s="245"/>
      <c r="J240" s="245"/>
      <c r="K240" s="666"/>
      <c r="L240" s="667"/>
      <c r="M240" s="667"/>
      <c r="N240" s="667"/>
    </row>
    <row r="241" ht="15.75" customHeight="1">
      <c r="A241" s="338"/>
      <c r="B241" s="245"/>
      <c r="C241" s="245"/>
      <c r="D241" s="245"/>
      <c r="E241" s="245"/>
      <c r="F241" s="245"/>
      <c r="G241" s="245"/>
      <c r="H241" s="245"/>
      <c r="I241" s="245"/>
      <c r="J241" s="245"/>
      <c r="K241" s="666"/>
      <c r="L241" s="667"/>
      <c r="M241" s="667"/>
      <c r="N241" s="667"/>
    </row>
    <row r="242" ht="15.75" customHeight="1">
      <c r="A242" s="338"/>
      <c r="B242" s="245"/>
      <c r="C242" s="245"/>
      <c r="D242" s="245"/>
      <c r="E242" s="245"/>
      <c r="F242" s="245"/>
      <c r="G242" s="245"/>
      <c r="H242" s="245"/>
      <c r="I242" s="245"/>
      <c r="J242" s="245"/>
      <c r="K242" s="666"/>
      <c r="L242" s="667"/>
      <c r="M242" s="667"/>
      <c r="N242" s="667"/>
    </row>
    <row r="243" ht="15.75" customHeight="1">
      <c r="A243" s="338"/>
      <c r="B243" s="245"/>
      <c r="C243" s="245"/>
      <c r="D243" s="245"/>
      <c r="E243" s="245"/>
      <c r="F243" s="245"/>
      <c r="G243" s="245"/>
      <c r="H243" s="245"/>
      <c r="I243" s="245"/>
      <c r="J243" s="245"/>
      <c r="K243" s="666"/>
      <c r="L243" s="667"/>
      <c r="M243" s="667"/>
      <c r="N243" s="667"/>
    </row>
    <row r="244" ht="15.75" customHeight="1">
      <c r="A244" s="338"/>
      <c r="B244" s="245"/>
      <c r="C244" s="245"/>
      <c r="D244" s="245"/>
      <c r="E244" s="245"/>
      <c r="F244" s="245"/>
      <c r="G244" s="245"/>
      <c r="H244" s="245"/>
      <c r="I244" s="245"/>
      <c r="J244" s="245"/>
      <c r="K244" s="666"/>
      <c r="L244" s="667"/>
      <c r="M244" s="667"/>
      <c r="N244" s="667"/>
    </row>
    <row r="245" ht="15.75" customHeight="1">
      <c r="A245" s="338"/>
      <c r="B245" s="245"/>
      <c r="C245" s="245"/>
      <c r="D245" s="245"/>
      <c r="E245" s="245"/>
      <c r="F245" s="245"/>
      <c r="G245" s="245"/>
      <c r="H245" s="245"/>
      <c r="I245" s="245"/>
      <c r="J245" s="245"/>
      <c r="K245" s="666"/>
      <c r="L245" s="667"/>
      <c r="M245" s="667"/>
      <c r="N245" s="667"/>
    </row>
    <row r="246" ht="15.75" customHeight="1">
      <c r="A246" s="338"/>
      <c r="B246" s="245"/>
      <c r="C246" s="245"/>
      <c r="D246" s="245"/>
      <c r="E246" s="245"/>
      <c r="F246" s="245"/>
      <c r="G246" s="245"/>
      <c r="H246" s="245"/>
      <c r="I246" s="245"/>
      <c r="J246" s="245"/>
      <c r="K246" s="666"/>
      <c r="L246" s="667"/>
      <c r="M246" s="667"/>
      <c r="N246" s="667"/>
    </row>
    <row r="247" ht="15.75" customHeight="1">
      <c r="A247" s="338"/>
      <c r="B247" s="245"/>
      <c r="C247" s="245"/>
      <c r="D247" s="245"/>
      <c r="E247" s="245"/>
      <c r="F247" s="245"/>
      <c r="G247" s="245"/>
      <c r="H247" s="245"/>
      <c r="I247" s="245"/>
      <c r="J247" s="245"/>
      <c r="K247" s="666"/>
      <c r="L247" s="667"/>
      <c r="M247" s="667"/>
      <c r="N247" s="667"/>
    </row>
    <row r="248" ht="15.75" customHeight="1">
      <c r="A248" s="338"/>
      <c r="B248" s="245"/>
      <c r="C248" s="245"/>
      <c r="D248" s="245"/>
      <c r="E248" s="245"/>
      <c r="F248" s="245"/>
      <c r="G248" s="245"/>
      <c r="H248" s="245"/>
      <c r="I248" s="245"/>
      <c r="J248" s="245"/>
      <c r="K248" s="666"/>
      <c r="L248" s="667"/>
      <c r="M248" s="667"/>
      <c r="N248" s="667"/>
    </row>
    <row r="249" ht="15.75" customHeight="1">
      <c r="A249" s="338"/>
      <c r="B249" s="245"/>
      <c r="C249" s="245"/>
      <c r="D249" s="245"/>
      <c r="E249" s="245"/>
      <c r="F249" s="245"/>
      <c r="G249" s="245"/>
      <c r="H249" s="245"/>
      <c r="I249" s="245"/>
      <c r="J249" s="245"/>
      <c r="K249" s="666"/>
      <c r="L249" s="667"/>
      <c r="M249" s="667"/>
      <c r="N249" s="667"/>
    </row>
    <row r="250" ht="15.75" customHeight="1">
      <c r="A250" s="338"/>
      <c r="B250" s="245"/>
      <c r="C250" s="245"/>
      <c r="D250" s="245"/>
      <c r="E250" s="245"/>
      <c r="F250" s="245"/>
      <c r="G250" s="245"/>
      <c r="H250" s="245"/>
      <c r="I250" s="245"/>
      <c r="J250" s="245"/>
      <c r="K250" s="666"/>
      <c r="L250" s="667"/>
      <c r="M250" s="667"/>
      <c r="N250" s="667"/>
    </row>
    <row r="251" ht="15.75" customHeight="1">
      <c r="A251" s="338"/>
      <c r="B251" s="245"/>
      <c r="C251" s="245"/>
      <c r="D251" s="245"/>
      <c r="E251" s="245"/>
      <c r="F251" s="245"/>
      <c r="G251" s="245"/>
      <c r="H251" s="245"/>
      <c r="I251" s="245"/>
      <c r="J251" s="245"/>
      <c r="K251" s="666"/>
      <c r="L251" s="667"/>
      <c r="M251" s="667"/>
      <c r="N251" s="667"/>
    </row>
    <row r="252" ht="15.75" customHeight="1">
      <c r="A252" s="338"/>
      <c r="B252" s="245"/>
      <c r="C252" s="245"/>
      <c r="D252" s="245"/>
      <c r="E252" s="245"/>
      <c r="F252" s="245"/>
      <c r="G252" s="245"/>
      <c r="H252" s="245"/>
      <c r="I252" s="245"/>
      <c r="J252" s="245"/>
      <c r="K252" s="666"/>
      <c r="L252" s="667"/>
      <c r="M252" s="667"/>
      <c r="N252" s="667"/>
    </row>
    <row r="253" ht="15.75" customHeight="1">
      <c r="A253" s="338"/>
      <c r="B253" s="245"/>
      <c r="C253" s="245"/>
      <c r="D253" s="245"/>
      <c r="E253" s="245"/>
      <c r="F253" s="245"/>
      <c r="G253" s="245"/>
      <c r="H253" s="245"/>
      <c r="I253" s="245"/>
      <c r="J253" s="245"/>
      <c r="K253" s="666"/>
      <c r="L253" s="667"/>
      <c r="M253" s="667"/>
      <c r="N253" s="667"/>
    </row>
    <row r="254" ht="15.75" customHeight="1">
      <c r="A254" s="338"/>
      <c r="B254" s="245"/>
      <c r="C254" s="245"/>
      <c r="D254" s="245"/>
      <c r="E254" s="245"/>
      <c r="F254" s="245"/>
      <c r="G254" s="245"/>
      <c r="H254" s="245"/>
      <c r="I254" s="245"/>
      <c r="J254" s="245"/>
      <c r="K254" s="666"/>
      <c r="L254" s="667"/>
      <c r="M254" s="667"/>
      <c r="N254" s="667"/>
    </row>
    <row r="255" ht="15.75" customHeight="1">
      <c r="A255" s="338"/>
      <c r="B255" s="245"/>
      <c r="C255" s="245"/>
      <c r="D255" s="245"/>
      <c r="E255" s="245"/>
      <c r="F255" s="245"/>
      <c r="G255" s="245"/>
      <c r="H255" s="245"/>
      <c r="I255" s="245"/>
      <c r="J255" s="245"/>
      <c r="K255" s="666"/>
      <c r="L255" s="667"/>
      <c r="M255" s="667"/>
      <c r="N255" s="667"/>
    </row>
    <row r="256" ht="15.75" customHeight="1">
      <c r="A256" s="338"/>
      <c r="B256" s="245"/>
      <c r="C256" s="245"/>
      <c r="D256" s="245"/>
      <c r="E256" s="245"/>
      <c r="F256" s="245"/>
      <c r="G256" s="245"/>
      <c r="H256" s="245"/>
      <c r="I256" s="245"/>
      <c r="J256" s="245"/>
      <c r="K256" s="666"/>
      <c r="L256" s="667"/>
      <c r="M256" s="667"/>
      <c r="N256" s="667"/>
    </row>
    <row r="257" ht="15.75" customHeight="1">
      <c r="A257" s="338"/>
      <c r="B257" s="245"/>
      <c r="C257" s="245"/>
      <c r="D257" s="245"/>
      <c r="E257" s="245"/>
      <c r="F257" s="245"/>
      <c r="G257" s="245"/>
      <c r="H257" s="245"/>
      <c r="I257" s="245"/>
      <c r="J257" s="245"/>
      <c r="K257" s="666"/>
      <c r="L257" s="667"/>
      <c r="M257" s="667"/>
      <c r="N257" s="667"/>
    </row>
    <row r="258" ht="15.75" customHeight="1">
      <c r="A258" s="338"/>
      <c r="B258" s="245"/>
      <c r="C258" s="245"/>
      <c r="D258" s="245"/>
      <c r="E258" s="245"/>
      <c r="F258" s="245"/>
      <c r="G258" s="245"/>
      <c r="H258" s="245"/>
      <c r="I258" s="245"/>
      <c r="J258" s="245"/>
      <c r="K258" s="666"/>
      <c r="L258" s="667"/>
      <c r="M258" s="667"/>
      <c r="N258" s="667"/>
    </row>
    <row r="259" ht="15.75" customHeight="1">
      <c r="A259" s="338"/>
      <c r="B259" s="245"/>
      <c r="C259" s="245"/>
      <c r="D259" s="245"/>
      <c r="E259" s="245"/>
      <c r="F259" s="245"/>
      <c r="G259" s="245"/>
      <c r="H259" s="245"/>
      <c r="I259" s="245"/>
      <c r="J259" s="245"/>
      <c r="K259" s="666"/>
      <c r="L259" s="667"/>
      <c r="M259" s="667"/>
      <c r="N259" s="667"/>
    </row>
    <row r="260" ht="15.75" customHeight="1">
      <c r="A260" s="338"/>
      <c r="B260" s="245"/>
      <c r="C260" s="245"/>
      <c r="D260" s="245"/>
      <c r="E260" s="245"/>
      <c r="F260" s="245"/>
      <c r="G260" s="245"/>
      <c r="H260" s="245"/>
      <c r="I260" s="245"/>
      <c r="J260" s="245"/>
      <c r="K260" s="666"/>
      <c r="L260" s="667"/>
      <c r="M260" s="667"/>
      <c r="N260" s="667"/>
    </row>
    <row r="261" ht="15.75" customHeight="1">
      <c r="A261" s="338"/>
      <c r="B261" s="245"/>
      <c r="C261" s="245"/>
      <c r="D261" s="245"/>
      <c r="E261" s="245"/>
      <c r="F261" s="245"/>
      <c r="G261" s="245"/>
      <c r="H261" s="245"/>
      <c r="I261" s="245"/>
      <c r="J261" s="245"/>
      <c r="K261" s="666"/>
      <c r="L261" s="667"/>
      <c r="M261" s="667"/>
      <c r="N261" s="667"/>
    </row>
    <row r="262" ht="15.75" customHeight="1">
      <c r="A262" s="338"/>
      <c r="B262" s="245"/>
      <c r="C262" s="245"/>
      <c r="D262" s="245"/>
      <c r="E262" s="245"/>
      <c r="F262" s="245"/>
      <c r="G262" s="245"/>
      <c r="H262" s="245"/>
      <c r="I262" s="245"/>
      <c r="J262" s="245"/>
      <c r="K262" s="666"/>
      <c r="L262" s="667"/>
      <c r="M262" s="667"/>
      <c r="N262" s="667"/>
    </row>
    <row r="263" ht="15.75" customHeight="1">
      <c r="A263" s="338"/>
      <c r="B263" s="245"/>
      <c r="C263" s="245"/>
      <c r="D263" s="245"/>
      <c r="E263" s="245"/>
      <c r="F263" s="245"/>
      <c r="G263" s="245"/>
      <c r="H263" s="245"/>
      <c r="I263" s="245"/>
      <c r="J263" s="245"/>
      <c r="K263" s="666"/>
      <c r="L263" s="667"/>
      <c r="M263" s="667"/>
      <c r="N263" s="667"/>
    </row>
    <row r="264" ht="15.75" customHeight="1">
      <c r="A264" s="338"/>
      <c r="B264" s="245"/>
      <c r="C264" s="245"/>
      <c r="D264" s="245"/>
      <c r="E264" s="245"/>
      <c r="F264" s="245"/>
      <c r="G264" s="245"/>
      <c r="H264" s="245"/>
      <c r="I264" s="245"/>
      <c r="J264" s="245"/>
      <c r="K264" s="666"/>
      <c r="L264" s="667"/>
      <c r="M264" s="667"/>
      <c r="N264" s="667"/>
    </row>
    <row r="265" ht="15.75" customHeight="1">
      <c r="A265" s="338"/>
      <c r="B265" s="245"/>
      <c r="C265" s="245"/>
      <c r="D265" s="245"/>
      <c r="E265" s="245"/>
      <c r="F265" s="245"/>
      <c r="G265" s="245"/>
      <c r="H265" s="245"/>
      <c r="I265" s="245"/>
      <c r="J265" s="245"/>
      <c r="K265" s="666"/>
      <c r="L265" s="667"/>
      <c r="M265" s="667"/>
      <c r="N265" s="667"/>
    </row>
    <row r="266" ht="15.75" customHeight="1">
      <c r="A266" s="338"/>
      <c r="B266" s="245"/>
      <c r="C266" s="245"/>
      <c r="D266" s="245"/>
      <c r="E266" s="245"/>
      <c r="F266" s="245"/>
      <c r="G266" s="245"/>
      <c r="H266" s="245"/>
      <c r="I266" s="245"/>
      <c r="J266" s="245"/>
      <c r="K266" s="666"/>
      <c r="L266" s="667"/>
      <c r="M266" s="667"/>
      <c r="N266" s="667"/>
    </row>
    <row r="267" ht="15.75" customHeight="1">
      <c r="A267" s="338"/>
      <c r="B267" s="245"/>
      <c r="C267" s="245"/>
      <c r="D267" s="245"/>
      <c r="E267" s="245"/>
      <c r="F267" s="245"/>
      <c r="G267" s="245"/>
      <c r="H267" s="245"/>
      <c r="I267" s="245"/>
      <c r="J267" s="245"/>
      <c r="K267" s="666"/>
      <c r="L267" s="667"/>
      <c r="M267" s="667"/>
      <c r="N267" s="667"/>
    </row>
    <row r="268" ht="15.75" customHeight="1">
      <c r="A268" s="338"/>
      <c r="B268" s="245"/>
      <c r="C268" s="245"/>
      <c r="D268" s="245"/>
      <c r="E268" s="245"/>
      <c r="F268" s="245"/>
      <c r="G268" s="245"/>
      <c r="H268" s="245"/>
      <c r="I268" s="245"/>
      <c r="J268" s="245"/>
      <c r="K268" s="666"/>
      <c r="L268" s="667"/>
      <c r="M268" s="667"/>
      <c r="N268" s="667"/>
    </row>
    <row r="269" ht="15.75" customHeight="1">
      <c r="A269" s="338"/>
      <c r="B269" s="245"/>
      <c r="C269" s="245"/>
      <c r="D269" s="245"/>
      <c r="E269" s="245"/>
      <c r="F269" s="245"/>
      <c r="G269" s="245"/>
      <c r="H269" s="245"/>
      <c r="I269" s="245"/>
      <c r="J269" s="245"/>
      <c r="K269" s="666"/>
      <c r="L269" s="667"/>
      <c r="M269" s="667"/>
      <c r="N269" s="667"/>
    </row>
    <row r="270" ht="15.75" customHeight="1">
      <c r="A270" s="338"/>
      <c r="B270" s="245"/>
      <c r="C270" s="245"/>
      <c r="D270" s="245"/>
      <c r="E270" s="245"/>
      <c r="F270" s="245"/>
      <c r="G270" s="245"/>
      <c r="H270" s="245"/>
      <c r="I270" s="245"/>
      <c r="J270" s="245"/>
      <c r="K270" s="666"/>
      <c r="L270" s="667"/>
      <c r="M270" s="667"/>
      <c r="N270" s="667"/>
    </row>
    <row r="271" ht="15.75" customHeight="1">
      <c r="A271" s="338"/>
      <c r="B271" s="245"/>
      <c r="C271" s="245"/>
      <c r="D271" s="245"/>
      <c r="E271" s="245"/>
      <c r="F271" s="245"/>
      <c r="G271" s="245"/>
      <c r="H271" s="245"/>
      <c r="I271" s="245"/>
      <c r="J271" s="245"/>
      <c r="K271" s="666"/>
      <c r="L271" s="667"/>
      <c r="M271" s="667"/>
      <c r="N271" s="667"/>
    </row>
    <row r="272" ht="15.75" customHeight="1">
      <c r="A272" s="338"/>
      <c r="B272" s="245"/>
      <c r="C272" s="245"/>
      <c r="D272" s="245"/>
      <c r="E272" s="245"/>
      <c r="F272" s="245"/>
      <c r="G272" s="245"/>
      <c r="H272" s="245"/>
      <c r="I272" s="245"/>
      <c r="J272" s="245"/>
      <c r="K272" s="666"/>
      <c r="L272" s="667"/>
      <c r="M272" s="667"/>
      <c r="N272" s="667"/>
    </row>
    <row r="273" ht="15.75" customHeight="1">
      <c r="A273" s="338"/>
      <c r="B273" s="245"/>
      <c r="C273" s="245"/>
      <c r="D273" s="245"/>
      <c r="E273" s="245"/>
      <c r="F273" s="245"/>
      <c r="G273" s="245"/>
      <c r="H273" s="245"/>
      <c r="I273" s="245"/>
      <c r="J273" s="245"/>
      <c r="K273" s="666"/>
      <c r="L273" s="667"/>
      <c r="M273" s="667"/>
      <c r="N273" s="667"/>
    </row>
    <row r="274" ht="15.75" customHeight="1">
      <c r="A274" s="338"/>
      <c r="B274" s="245"/>
      <c r="C274" s="245"/>
      <c r="D274" s="245"/>
      <c r="E274" s="245"/>
      <c r="F274" s="245"/>
      <c r="G274" s="245"/>
      <c r="H274" s="245"/>
      <c r="I274" s="245"/>
      <c r="J274" s="245"/>
      <c r="K274" s="666"/>
      <c r="L274" s="667"/>
      <c r="M274" s="667"/>
      <c r="N274" s="667"/>
    </row>
    <row r="275" ht="15.75" customHeight="1">
      <c r="A275" s="338"/>
      <c r="B275" s="245"/>
      <c r="C275" s="245"/>
      <c r="D275" s="245"/>
      <c r="E275" s="245"/>
      <c r="F275" s="245"/>
      <c r="G275" s="245"/>
      <c r="H275" s="245"/>
      <c r="I275" s="245"/>
      <c r="J275" s="245"/>
      <c r="K275" s="666"/>
      <c r="L275" s="667"/>
      <c r="M275" s="667"/>
      <c r="N275" s="667"/>
    </row>
    <row r="276" ht="15.75" customHeight="1">
      <c r="A276" s="338"/>
      <c r="B276" s="245"/>
      <c r="C276" s="245"/>
      <c r="D276" s="245"/>
      <c r="E276" s="245"/>
      <c r="F276" s="245"/>
      <c r="G276" s="245"/>
      <c r="H276" s="245"/>
      <c r="I276" s="245"/>
      <c r="J276" s="245"/>
      <c r="K276" s="666"/>
      <c r="L276" s="667"/>
      <c r="M276" s="667"/>
      <c r="N276" s="667"/>
    </row>
    <row r="277" ht="15.75" customHeight="1">
      <c r="A277" s="338"/>
      <c r="B277" s="245"/>
      <c r="C277" s="245"/>
      <c r="D277" s="245"/>
      <c r="E277" s="245"/>
      <c r="F277" s="245"/>
      <c r="G277" s="245"/>
      <c r="H277" s="245"/>
      <c r="I277" s="245"/>
      <c r="J277" s="245"/>
      <c r="K277" s="666"/>
      <c r="L277" s="667"/>
      <c r="M277" s="667"/>
      <c r="N277" s="667"/>
    </row>
    <row r="278" ht="15.75" customHeight="1">
      <c r="A278" s="338"/>
      <c r="B278" s="245"/>
      <c r="C278" s="245"/>
      <c r="D278" s="245"/>
      <c r="E278" s="245"/>
      <c r="F278" s="245"/>
      <c r="G278" s="245"/>
      <c r="H278" s="245"/>
      <c r="I278" s="245"/>
      <c r="J278" s="245"/>
      <c r="K278" s="666"/>
      <c r="L278" s="667"/>
      <c r="M278" s="667"/>
      <c r="N278" s="667"/>
    </row>
    <row r="279" ht="15.75" customHeight="1">
      <c r="A279" s="338"/>
      <c r="B279" s="245"/>
      <c r="C279" s="245"/>
      <c r="D279" s="245"/>
      <c r="E279" s="245"/>
      <c r="F279" s="245"/>
      <c r="G279" s="245"/>
      <c r="H279" s="245"/>
      <c r="I279" s="245"/>
      <c r="J279" s="245"/>
      <c r="K279" s="666"/>
      <c r="L279" s="667"/>
      <c r="M279" s="667"/>
      <c r="N279" s="667"/>
    </row>
    <row r="280" ht="15.75" customHeight="1">
      <c r="A280" s="338"/>
      <c r="B280" s="245"/>
      <c r="C280" s="245"/>
      <c r="D280" s="245"/>
      <c r="E280" s="245"/>
      <c r="F280" s="245"/>
      <c r="G280" s="245"/>
      <c r="H280" s="245"/>
      <c r="I280" s="245"/>
      <c r="J280" s="245"/>
      <c r="K280" s="666"/>
      <c r="L280" s="667"/>
      <c r="M280" s="667"/>
      <c r="N280" s="667"/>
    </row>
    <row r="281" ht="15.75" customHeight="1">
      <c r="A281" s="338"/>
      <c r="B281" s="245"/>
      <c r="C281" s="245"/>
      <c r="D281" s="245"/>
      <c r="E281" s="245"/>
      <c r="F281" s="245"/>
      <c r="G281" s="245"/>
      <c r="H281" s="245"/>
      <c r="I281" s="245"/>
      <c r="J281" s="245"/>
      <c r="K281" s="666"/>
      <c r="L281" s="667"/>
      <c r="M281" s="667"/>
      <c r="N281" s="667"/>
    </row>
    <row r="282" ht="15.75" customHeight="1">
      <c r="A282" s="338"/>
      <c r="B282" s="245"/>
      <c r="C282" s="245"/>
      <c r="D282" s="245"/>
      <c r="E282" s="245"/>
      <c r="F282" s="245"/>
      <c r="G282" s="245"/>
      <c r="H282" s="245"/>
      <c r="I282" s="245"/>
      <c r="J282" s="245"/>
      <c r="K282" s="666"/>
      <c r="L282" s="667"/>
      <c r="M282" s="667"/>
      <c r="N282" s="667"/>
    </row>
    <row r="283" ht="15.75" customHeight="1">
      <c r="A283" s="338"/>
      <c r="B283" s="245"/>
      <c r="C283" s="245"/>
      <c r="D283" s="245"/>
      <c r="E283" s="245"/>
      <c r="F283" s="245"/>
      <c r="G283" s="245"/>
      <c r="H283" s="245"/>
      <c r="I283" s="245"/>
      <c r="J283" s="245"/>
      <c r="K283" s="666"/>
      <c r="L283" s="667"/>
      <c r="M283" s="667"/>
      <c r="N283" s="667"/>
    </row>
    <row r="284" ht="15.75" customHeight="1">
      <c r="A284" s="338"/>
      <c r="B284" s="245"/>
      <c r="C284" s="245"/>
      <c r="D284" s="245"/>
      <c r="E284" s="245"/>
      <c r="F284" s="245"/>
      <c r="G284" s="245"/>
      <c r="H284" s="245"/>
      <c r="I284" s="245"/>
      <c r="J284" s="245"/>
      <c r="K284" s="666"/>
      <c r="L284" s="667"/>
      <c r="M284" s="667"/>
      <c r="N284" s="667"/>
    </row>
    <row r="285" ht="15.75" customHeight="1">
      <c r="A285" s="338"/>
      <c r="B285" s="245"/>
      <c r="C285" s="245"/>
      <c r="D285" s="245"/>
      <c r="E285" s="245"/>
      <c r="F285" s="245"/>
      <c r="G285" s="245"/>
      <c r="H285" s="245"/>
      <c r="I285" s="245"/>
      <c r="J285" s="245"/>
      <c r="K285" s="666"/>
      <c r="L285" s="667"/>
      <c r="M285" s="667"/>
      <c r="N285" s="667"/>
    </row>
    <row r="286" ht="15.75" customHeight="1">
      <c r="A286" s="338"/>
      <c r="B286" s="245"/>
      <c r="C286" s="245"/>
      <c r="D286" s="245"/>
      <c r="E286" s="245"/>
      <c r="F286" s="245"/>
      <c r="G286" s="245"/>
      <c r="H286" s="245"/>
      <c r="I286" s="245"/>
      <c r="J286" s="245"/>
      <c r="K286" s="666"/>
      <c r="L286" s="667"/>
      <c r="M286" s="667"/>
      <c r="N286" s="667"/>
    </row>
    <row r="287" ht="15.75" customHeight="1">
      <c r="A287" s="338"/>
      <c r="B287" s="245"/>
      <c r="C287" s="245"/>
      <c r="D287" s="245"/>
      <c r="E287" s="245"/>
      <c r="F287" s="245"/>
      <c r="G287" s="245"/>
      <c r="H287" s="245"/>
      <c r="I287" s="245"/>
      <c r="J287" s="245"/>
      <c r="K287" s="666"/>
      <c r="L287" s="667"/>
      <c r="M287" s="667"/>
      <c r="N287" s="667"/>
    </row>
    <row r="288" ht="15.75" customHeight="1">
      <c r="A288" s="338"/>
      <c r="B288" s="245"/>
      <c r="C288" s="245"/>
      <c r="D288" s="245"/>
      <c r="E288" s="245"/>
      <c r="F288" s="245"/>
      <c r="G288" s="245"/>
      <c r="H288" s="245"/>
      <c r="I288" s="245"/>
      <c r="J288" s="245"/>
      <c r="K288" s="666"/>
      <c r="L288" s="667"/>
      <c r="M288" s="667"/>
      <c r="N288" s="667"/>
    </row>
    <row r="289" ht="15.75" customHeight="1">
      <c r="A289" s="338"/>
      <c r="B289" s="245"/>
      <c r="C289" s="245"/>
      <c r="D289" s="245"/>
      <c r="E289" s="245"/>
      <c r="F289" s="245"/>
      <c r="G289" s="245"/>
      <c r="H289" s="245"/>
      <c r="I289" s="245"/>
      <c r="J289" s="245"/>
      <c r="K289" s="666"/>
      <c r="L289" s="667"/>
      <c r="M289" s="667"/>
      <c r="N289" s="667"/>
    </row>
    <row r="290" ht="15.75" customHeight="1">
      <c r="A290" s="338"/>
      <c r="B290" s="245"/>
      <c r="C290" s="245"/>
      <c r="D290" s="245"/>
      <c r="E290" s="245"/>
      <c r="F290" s="245"/>
      <c r="G290" s="245"/>
      <c r="H290" s="245"/>
      <c r="I290" s="245"/>
      <c r="J290" s="245"/>
      <c r="K290" s="666"/>
      <c r="L290" s="667"/>
      <c r="M290" s="667"/>
      <c r="N290" s="667"/>
    </row>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0">
    <mergeCell ref="B1:I1"/>
    <mergeCell ref="J1:N1"/>
    <mergeCell ref="B2:B3"/>
    <mergeCell ref="C2:E2"/>
    <mergeCell ref="F2:H2"/>
    <mergeCell ref="J2:L2"/>
    <mergeCell ref="M2:N2"/>
    <mergeCell ref="A1:A3"/>
    <mergeCell ref="A4:A5"/>
    <mergeCell ref="A6:A9"/>
    <mergeCell ref="A10:A13"/>
    <mergeCell ref="A14:A17"/>
    <mergeCell ref="A18:A21"/>
    <mergeCell ref="A22:A25"/>
    <mergeCell ref="A26:A29"/>
    <mergeCell ref="A30:A33"/>
    <mergeCell ref="A34:A37"/>
    <mergeCell ref="A38:A41"/>
    <mergeCell ref="A42:A45"/>
    <mergeCell ref="A46:A49"/>
    <mergeCell ref="A50:A53"/>
    <mergeCell ref="A54:A57"/>
    <mergeCell ref="A58:A61"/>
    <mergeCell ref="A62:A65"/>
    <mergeCell ref="A66:A69"/>
    <mergeCell ref="A70:A73"/>
    <mergeCell ref="A74:A77"/>
    <mergeCell ref="A78:A81"/>
    <mergeCell ref="A110:A113"/>
    <mergeCell ref="A114:A117"/>
    <mergeCell ref="A118:A121"/>
    <mergeCell ref="A122:A125"/>
    <mergeCell ref="A126:A129"/>
    <mergeCell ref="A82:A85"/>
    <mergeCell ref="A86:A89"/>
    <mergeCell ref="A90:A93"/>
    <mergeCell ref="A94:A97"/>
    <mergeCell ref="A98:A101"/>
    <mergeCell ref="A102:A105"/>
    <mergeCell ref="A106:A109"/>
  </mergeCells>
  <dataValidations>
    <dataValidation type="list" allowBlank="1" showErrorMessage="1" sqref="B4:B194">
      <formula1>"Hanhmt,Thaont,Duongmt,Trangpnm"</formula1>
    </dataValidation>
  </dataValidations>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6" width="11.0"/>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6" width="11.0"/>
  </cols>
  <sheetData>
    <row r="1" ht="15.75" customHeight="1">
      <c r="A1" s="385" t="s">
        <v>3440</v>
      </c>
    </row>
    <row r="2" ht="15.75" customHeight="1">
      <c r="A2" s="385" t="s">
        <v>3441</v>
      </c>
    </row>
    <row r="3" ht="15.75" customHeight="1">
      <c r="A3" s="385" t="s">
        <v>3442</v>
      </c>
    </row>
    <row r="4" ht="15.75" customHeight="1">
      <c r="A4" s="385" t="s">
        <v>3443</v>
      </c>
    </row>
    <row r="5" ht="15.75" customHeight="1">
      <c r="A5" s="385" t="s">
        <v>3444</v>
      </c>
    </row>
    <row r="6" ht="15.75" customHeight="1">
      <c r="A6" s="385" t="s">
        <v>3445</v>
      </c>
    </row>
    <row r="7" ht="15.75" customHeight="1">
      <c r="A7" s="385" t="s">
        <v>3446</v>
      </c>
    </row>
    <row r="8" ht="15.75" customHeight="1">
      <c r="A8" s="385" t="s">
        <v>3447</v>
      </c>
    </row>
    <row r="9" ht="15.75" customHeight="1">
      <c r="A9" s="385" t="s">
        <v>3448</v>
      </c>
    </row>
    <row r="10" ht="15.75" customHeight="1">
      <c r="A10" s="385" t="s">
        <v>3449</v>
      </c>
    </row>
    <row r="11" ht="15.75" customHeight="1">
      <c r="A11" s="385" t="s">
        <v>3450</v>
      </c>
    </row>
    <row r="12" ht="15.75" customHeight="1">
      <c r="A12" s="385" t="s">
        <v>3451</v>
      </c>
    </row>
    <row r="13" ht="15.75" customHeight="1">
      <c r="A13" s="385" t="s">
        <v>3452</v>
      </c>
    </row>
    <row r="14" ht="15.75" customHeight="1">
      <c r="A14" s="385" t="s">
        <v>3453</v>
      </c>
    </row>
    <row r="15" ht="15.75" customHeight="1">
      <c r="A15" s="385" t="s">
        <v>3454</v>
      </c>
    </row>
    <row r="16" ht="15.75" customHeight="1">
      <c r="A16" s="385" t="s">
        <v>3455</v>
      </c>
    </row>
    <row r="17" ht="15.75" customHeight="1">
      <c r="A17" s="385" t="s">
        <v>3456</v>
      </c>
    </row>
    <row r="18" ht="15.75" customHeight="1">
      <c r="A18" s="385" t="s">
        <v>3457</v>
      </c>
    </row>
    <row r="19" ht="15.75" customHeight="1">
      <c r="A19" s="385" t="s">
        <v>3458</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31.0" topLeftCell="A32" activePane="bottomLeft" state="frozen"/>
      <selection activeCell="B33" sqref="B33" pane="bottomLeft"/>
    </sheetView>
  </sheetViews>
  <sheetFormatPr customHeight="1" defaultColWidth="12.63" defaultRowHeight="15.0"/>
  <cols>
    <col customWidth="1" min="1" max="1" width="11.0"/>
    <col customWidth="1" min="2" max="16" width="6.63"/>
    <col customWidth="1" min="17" max="17" width="9.88"/>
    <col customWidth="1" min="18" max="18" width="11.5"/>
    <col customWidth="1" min="19" max="19" width="11.88"/>
    <col customWidth="1" min="20" max="28" width="6.63"/>
    <col customWidth="1" min="29" max="29" width="8.13"/>
    <col customWidth="1" min="30" max="30" width="8.75"/>
    <col customWidth="1" min="31" max="32" width="6.63"/>
    <col customWidth="1" min="33" max="33" width="8.75"/>
    <col customWidth="1" min="34" max="34" width="8.13"/>
    <col customWidth="1" min="35" max="45" width="6.63"/>
    <col customWidth="1" min="46" max="46" width="13.38"/>
  </cols>
  <sheetData>
    <row r="1" ht="15.75" customHeight="1">
      <c r="A1" s="668" t="s">
        <v>2926</v>
      </c>
      <c r="B1" s="669" t="s">
        <v>3459</v>
      </c>
      <c r="C1" s="670"/>
      <c r="D1" s="670"/>
      <c r="E1" s="670"/>
      <c r="F1" s="670"/>
      <c r="G1" s="670"/>
      <c r="H1" s="670"/>
      <c r="I1" s="670"/>
      <c r="J1" s="670"/>
      <c r="K1" s="670"/>
      <c r="L1" s="670"/>
      <c r="M1" s="670"/>
      <c r="N1" s="670"/>
      <c r="O1" s="670"/>
      <c r="P1" s="670"/>
      <c r="Q1" s="670"/>
      <c r="R1" s="670"/>
      <c r="S1" s="670"/>
      <c r="T1" s="670"/>
      <c r="U1" s="670"/>
      <c r="V1" s="670"/>
      <c r="W1" s="670"/>
      <c r="X1" s="670"/>
      <c r="Y1" s="670"/>
      <c r="Z1" s="670"/>
      <c r="AA1" s="670"/>
      <c r="AB1" s="670"/>
      <c r="AC1" s="670"/>
      <c r="AD1" s="670"/>
      <c r="AE1" s="671"/>
      <c r="AF1" s="672"/>
      <c r="AG1" s="673" t="s">
        <v>3460</v>
      </c>
      <c r="AH1" s="670"/>
      <c r="AI1" s="670"/>
      <c r="AJ1" s="670"/>
      <c r="AK1" s="670"/>
      <c r="AL1" s="670"/>
      <c r="AM1" s="670"/>
      <c r="AN1" s="671"/>
      <c r="AO1" s="674"/>
      <c r="AP1" s="670"/>
      <c r="AQ1" s="670"/>
      <c r="AR1" s="671"/>
      <c r="AS1" s="675" t="s">
        <v>3461</v>
      </c>
      <c r="AT1" s="671"/>
    </row>
    <row r="2" ht="15.75" customHeight="1">
      <c r="A2" s="676" t="s">
        <v>3462</v>
      </c>
      <c r="B2" s="672">
        <v>1.0</v>
      </c>
      <c r="C2" s="672">
        <v>2.0</v>
      </c>
      <c r="D2" s="672">
        <v>3.0</v>
      </c>
      <c r="E2" s="672">
        <v>4.0</v>
      </c>
      <c r="F2" s="672">
        <v>5.0</v>
      </c>
      <c r="G2" s="672">
        <v>6.0</v>
      </c>
      <c r="H2" s="672">
        <v>7.0</v>
      </c>
      <c r="I2" s="672">
        <v>8.0</v>
      </c>
      <c r="J2" s="672">
        <v>9.0</v>
      </c>
      <c r="K2" s="672">
        <v>10.0</v>
      </c>
      <c r="L2" s="672">
        <v>11.0</v>
      </c>
      <c r="M2" s="672">
        <v>12.0</v>
      </c>
      <c r="N2" s="672">
        <v>13.0</v>
      </c>
      <c r="O2" s="672">
        <v>14.0</v>
      </c>
      <c r="P2" s="672">
        <v>15.0</v>
      </c>
      <c r="Q2" s="672">
        <v>16.0</v>
      </c>
      <c r="R2" s="672">
        <v>17.0</v>
      </c>
      <c r="S2" s="672">
        <v>18.0</v>
      </c>
      <c r="T2" s="672">
        <v>19.0</v>
      </c>
      <c r="U2" s="672">
        <v>20.0</v>
      </c>
      <c r="V2" s="672">
        <v>21.0</v>
      </c>
      <c r="W2" s="672">
        <v>22.0</v>
      </c>
      <c r="X2" s="672">
        <v>23.0</v>
      </c>
      <c r="Y2" s="672">
        <v>24.0</v>
      </c>
      <c r="Z2" s="672">
        <v>25.0</v>
      </c>
      <c r="AA2" s="672">
        <v>26.0</v>
      </c>
      <c r="AB2" s="672">
        <v>27.0</v>
      </c>
      <c r="AC2" s="672">
        <v>28.0</v>
      </c>
      <c r="AD2" s="672">
        <v>29.0</v>
      </c>
      <c r="AE2" s="672">
        <v>30.0</v>
      </c>
      <c r="AF2" s="677" t="s">
        <v>2934</v>
      </c>
      <c r="AG2" s="678" t="s">
        <v>3463</v>
      </c>
      <c r="AH2" s="677"/>
      <c r="AI2" s="677"/>
      <c r="AJ2" s="677"/>
      <c r="AK2" s="677"/>
      <c r="AL2" s="677"/>
      <c r="AM2" s="677"/>
      <c r="AN2" s="677"/>
      <c r="AO2" s="677"/>
      <c r="AP2" s="677"/>
      <c r="AQ2" s="677"/>
      <c r="AR2" s="677"/>
      <c r="AS2" s="679"/>
      <c r="AT2" s="680"/>
    </row>
    <row r="3" ht="15.75" customHeight="1">
      <c r="A3" s="681" t="s">
        <v>3046</v>
      </c>
      <c r="B3" s="681"/>
      <c r="C3" s="681"/>
      <c r="D3" s="681"/>
      <c r="E3" s="681"/>
      <c r="F3" s="681"/>
      <c r="G3" s="681"/>
      <c r="H3" s="681"/>
      <c r="I3" s="681"/>
      <c r="J3" s="681"/>
      <c r="K3" s="681"/>
      <c r="L3" s="681"/>
      <c r="M3" s="681"/>
      <c r="N3" s="681"/>
      <c r="O3" s="681"/>
      <c r="P3" s="681"/>
      <c r="Q3" s="681"/>
      <c r="R3" s="681"/>
      <c r="S3" s="681"/>
      <c r="T3" s="681"/>
      <c r="U3" s="681"/>
      <c r="V3" s="681"/>
      <c r="W3" s="681"/>
      <c r="X3" s="681"/>
      <c r="Y3" s="681"/>
      <c r="Z3" s="681"/>
      <c r="AA3" s="681"/>
      <c r="AB3" s="681"/>
      <c r="AC3" s="681"/>
      <c r="AD3" s="681"/>
      <c r="AE3" s="681"/>
      <c r="AF3" s="681">
        <f t="shared" ref="AF3:AF9" si="1">SUM(B3:AE3)</f>
        <v>0</v>
      </c>
      <c r="AG3" s="682"/>
      <c r="AH3" s="681"/>
      <c r="AI3" s="681"/>
      <c r="AJ3" s="681"/>
      <c r="AK3" s="681"/>
      <c r="AL3" s="681"/>
      <c r="AM3" s="681"/>
      <c r="AN3" s="681"/>
      <c r="AO3" s="681"/>
      <c r="AP3" s="681"/>
      <c r="AQ3" s="681"/>
      <c r="AR3" s="681"/>
      <c r="AS3" s="683"/>
      <c r="AT3" s="684"/>
    </row>
    <row r="4" ht="15.75" customHeight="1">
      <c r="A4" s="681" t="s">
        <v>2624</v>
      </c>
      <c r="B4" s="681"/>
      <c r="C4" s="681"/>
      <c r="D4" s="681"/>
      <c r="E4" s="681"/>
      <c r="F4" s="681"/>
      <c r="G4" s="681"/>
      <c r="H4" s="681"/>
      <c r="I4" s="681"/>
      <c r="J4" s="681"/>
      <c r="K4" s="681"/>
      <c r="L4" s="681"/>
      <c r="M4" s="681"/>
      <c r="N4" s="681"/>
      <c r="O4" s="681"/>
      <c r="P4" s="681"/>
      <c r="Q4" s="681"/>
      <c r="R4" s="681"/>
      <c r="S4" s="681"/>
      <c r="T4" s="681"/>
      <c r="U4" s="681"/>
      <c r="V4" s="681"/>
      <c r="W4" s="681"/>
      <c r="X4" s="681"/>
      <c r="Y4" s="681"/>
      <c r="Z4" s="681"/>
      <c r="AA4" s="681"/>
      <c r="AB4" s="681"/>
      <c r="AC4" s="681"/>
      <c r="AD4" s="681"/>
      <c r="AE4" s="681"/>
      <c r="AF4" s="681">
        <f t="shared" si="1"/>
        <v>0</v>
      </c>
      <c r="AG4" s="682"/>
      <c r="AH4" s="681"/>
      <c r="AI4" s="681"/>
      <c r="AJ4" s="681"/>
      <c r="AK4" s="681"/>
      <c r="AL4" s="681"/>
      <c r="AM4" s="681"/>
      <c r="AN4" s="681"/>
      <c r="AO4" s="681"/>
      <c r="AP4" s="681"/>
      <c r="AQ4" s="681"/>
      <c r="AR4" s="681"/>
      <c r="AS4" s="683"/>
      <c r="AT4" s="684"/>
    </row>
    <row r="5" ht="15.75" customHeight="1">
      <c r="A5" s="681" t="s">
        <v>2622</v>
      </c>
      <c r="B5" s="681"/>
      <c r="C5" s="681"/>
      <c r="D5" s="681"/>
      <c r="E5" s="681"/>
      <c r="F5" s="681"/>
      <c r="G5" s="681"/>
      <c r="H5" s="681"/>
      <c r="I5" s="681"/>
      <c r="J5" s="681"/>
      <c r="K5" s="681"/>
      <c r="L5" s="681"/>
      <c r="M5" s="681"/>
      <c r="N5" s="681"/>
      <c r="O5" s="681"/>
      <c r="P5" s="681"/>
      <c r="Q5" s="681"/>
      <c r="R5" s="681"/>
      <c r="S5" s="681"/>
      <c r="T5" s="681"/>
      <c r="U5" s="681"/>
      <c r="V5" s="681"/>
      <c r="W5" s="681"/>
      <c r="X5" s="681"/>
      <c r="Y5" s="681"/>
      <c r="Z5" s="681"/>
      <c r="AA5" s="681"/>
      <c r="AB5" s="681"/>
      <c r="AC5" s="681"/>
      <c r="AD5" s="681"/>
      <c r="AE5" s="681"/>
      <c r="AF5" s="681">
        <f t="shared" si="1"/>
        <v>0</v>
      </c>
      <c r="AG5" s="682"/>
      <c r="AH5" s="681"/>
      <c r="AI5" s="681"/>
      <c r="AJ5" s="681"/>
      <c r="AK5" s="681"/>
      <c r="AL5" s="681"/>
      <c r="AM5" s="681"/>
      <c r="AN5" s="681"/>
      <c r="AO5" s="681"/>
      <c r="AP5" s="681"/>
      <c r="AQ5" s="681"/>
      <c r="AR5" s="681"/>
      <c r="AS5" s="683"/>
      <c r="AT5" s="684"/>
    </row>
    <row r="6" ht="15.75" customHeight="1">
      <c r="A6" s="681" t="s">
        <v>2627</v>
      </c>
      <c r="B6" s="681"/>
      <c r="C6" s="681"/>
      <c r="D6" s="681"/>
      <c r="E6" s="681"/>
      <c r="F6" s="681"/>
      <c r="G6" s="681"/>
      <c r="H6" s="681"/>
      <c r="I6" s="681"/>
      <c r="J6" s="681"/>
      <c r="K6" s="681"/>
      <c r="L6" s="681"/>
      <c r="M6" s="681"/>
      <c r="N6" s="681"/>
      <c r="O6" s="681"/>
      <c r="P6" s="681"/>
      <c r="Q6" s="681"/>
      <c r="R6" s="681"/>
      <c r="S6" s="681"/>
      <c r="T6" s="681"/>
      <c r="U6" s="681"/>
      <c r="V6" s="681"/>
      <c r="W6" s="681"/>
      <c r="X6" s="681"/>
      <c r="Y6" s="681"/>
      <c r="Z6" s="681"/>
      <c r="AA6" s="681"/>
      <c r="AB6" s="681"/>
      <c r="AC6" s="681"/>
      <c r="AD6" s="681"/>
      <c r="AE6" s="681"/>
      <c r="AF6" s="681">
        <f t="shared" si="1"/>
        <v>0</v>
      </c>
      <c r="AG6" s="682"/>
      <c r="AH6" s="681"/>
      <c r="AI6" s="681"/>
      <c r="AJ6" s="681"/>
      <c r="AK6" s="681"/>
      <c r="AL6" s="681"/>
      <c r="AM6" s="681"/>
      <c r="AN6" s="681"/>
      <c r="AO6" s="681"/>
      <c r="AP6" s="681"/>
      <c r="AQ6" s="681"/>
      <c r="AR6" s="681"/>
      <c r="AS6" s="683"/>
      <c r="AT6" s="684"/>
    </row>
    <row r="7" ht="15.75" customHeight="1">
      <c r="A7" s="681">
        <v>1.0</v>
      </c>
      <c r="B7" s="681"/>
      <c r="C7" s="681"/>
      <c r="D7" s="681"/>
      <c r="E7" s="681"/>
      <c r="F7" s="681"/>
      <c r="G7" s="681"/>
      <c r="H7" s="681"/>
      <c r="I7" s="681"/>
      <c r="J7" s="681"/>
      <c r="K7" s="681"/>
      <c r="L7" s="681"/>
      <c r="M7" s="681"/>
      <c r="N7" s="681"/>
      <c r="O7" s="681"/>
      <c r="P7" s="681"/>
      <c r="Q7" s="681"/>
      <c r="R7" s="681"/>
      <c r="S7" s="681"/>
      <c r="T7" s="681"/>
      <c r="U7" s="681"/>
      <c r="V7" s="681"/>
      <c r="W7" s="681"/>
      <c r="X7" s="681"/>
      <c r="Y7" s="681"/>
      <c r="Z7" s="681"/>
      <c r="AA7" s="681"/>
      <c r="AB7" s="681"/>
      <c r="AC7" s="681"/>
      <c r="AD7" s="681"/>
      <c r="AE7" s="681"/>
      <c r="AF7" s="681">
        <f t="shared" si="1"/>
        <v>0</v>
      </c>
      <c r="AG7" s="682"/>
      <c r="AH7" s="681"/>
      <c r="AI7" s="681"/>
      <c r="AJ7" s="681"/>
      <c r="AK7" s="681"/>
      <c r="AL7" s="681"/>
      <c r="AM7" s="681"/>
      <c r="AN7" s="681"/>
      <c r="AO7" s="681"/>
      <c r="AP7" s="681"/>
      <c r="AQ7" s="681"/>
      <c r="AR7" s="681"/>
      <c r="AS7" s="683"/>
      <c r="AT7" s="684"/>
    </row>
    <row r="8" ht="15.75" customHeight="1">
      <c r="A8" s="681" t="s">
        <v>2920</v>
      </c>
      <c r="B8" s="681"/>
      <c r="C8" s="681"/>
      <c r="D8" s="681"/>
      <c r="E8" s="681"/>
      <c r="F8" s="681"/>
      <c r="G8" s="681"/>
      <c r="H8" s="681"/>
      <c r="I8" s="681"/>
      <c r="J8" s="681"/>
      <c r="K8" s="681"/>
      <c r="L8" s="681"/>
      <c r="M8" s="681"/>
      <c r="N8" s="681"/>
      <c r="O8" s="681"/>
      <c r="P8" s="681"/>
      <c r="Q8" s="681"/>
      <c r="R8" s="681"/>
      <c r="S8" s="681"/>
      <c r="T8" s="681"/>
      <c r="U8" s="681"/>
      <c r="V8" s="681"/>
      <c r="W8" s="681"/>
      <c r="X8" s="681"/>
      <c r="Y8" s="681"/>
      <c r="Z8" s="681"/>
      <c r="AA8" s="681"/>
      <c r="AB8" s="681"/>
      <c r="AC8" s="681"/>
      <c r="AD8" s="681"/>
      <c r="AE8" s="681"/>
      <c r="AF8" s="681">
        <f t="shared" si="1"/>
        <v>0</v>
      </c>
      <c r="AG8" s="682">
        <f>AG10-AG7-AG6-AG5-AG4-AG3</f>
        <v>0</v>
      </c>
      <c r="AH8" s="681"/>
      <c r="AI8" s="681"/>
      <c r="AJ8" s="681"/>
      <c r="AK8" s="681"/>
      <c r="AL8" s="681"/>
      <c r="AM8" s="681"/>
      <c r="AN8" s="681"/>
      <c r="AO8" s="681"/>
      <c r="AP8" s="681"/>
      <c r="AQ8" s="681"/>
      <c r="AR8" s="681"/>
      <c r="AS8" s="683"/>
      <c r="AT8" s="684"/>
    </row>
    <row r="9" ht="15.75" customHeight="1">
      <c r="A9" s="681" t="s">
        <v>3464</v>
      </c>
      <c r="B9" s="681"/>
      <c r="C9" s="681"/>
      <c r="D9" s="681"/>
      <c r="E9" s="681"/>
      <c r="F9" s="681"/>
      <c r="G9" s="681"/>
      <c r="H9" s="681"/>
      <c r="I9" s="681"/>
      <c r="J9" s="681"/>
      <c r="K9" s="681"/>
      <c r="L9" s="681"/>
      <c r="M9" s="681"/>
      <c r="N9" s="681"/>
      <c r="O9" s="681"/>
      <c r="P9" s="681"/>
      <c r="Q9" s="681"/>
      <c r="R9" s="681"/>
      <c r="S9" s="681"/>
      <c r="T9" s="681"/>
      <c r="U9" s="681"/>
      <c r="V9" s="681"/>
      <c r="W9" s="681"/>
      <c r="X9" s="681"/>
      <c r="Y9" s="681"/>
      <c r="Z9" s="681"/>
      <c r="AA9" s="681"/>
      <c r="AB9" s="681"/>
      <c r="AC9" s="681"/>
      <c r="AD9" s="681"/>
      <c r="AE9" s="681"/>
      <c r="AF9" s="681">
        <f t="shared" si="1"/>
        <v>0</v>
      </c>
      <c r="AG9" s="682"/>
      <c r="AH9" s="681"/>
      <c r="AI9" s="681"/>
      <c r="AJ9" s="681"/>
      <c r="AK9" s="681"/>
      <c r="AL9" s="681"/>
      <c r="AM9" s="681"/>
      <c r="AN9" s="681"/>
      <c r="AO9" s="681"/>
      <c r="AP9" s="681"/>
      <c r="AQ9" s="681"/>
      <c r="AR9" s="681"/>
      <c r="AS9" s="683"/>
      <c r="AT9" s="684"/>
    </row>
    <row r="10" ht="15.75" customHeight="1">
      <c r="A10" s="668" t="s">
        <v>2934</v>
      </c>
      <c r="B10" s="672">
        <f t="shared" ref="B10:AF10" si="2">SUM(B3:B9)</f>
        <v>0</v>
      </c>
      <c r="C10" s="672">
        <f t="shared" si="2"/>
        <v>0</v>
      </c>
      <c r="D10" s="672">
        <f t="shared" si="2"/>
        <v>0</v>
      </c>
      <c r="E10" s="672">
        <f t="shared" si="2"/>
        <v>0</v>
      </c>
      <c r="F10" s="672">
        <f t="shared" si="2"/>
        <v>0</v>
      </c>
      <c r="G10" s="672">
        <f t="shared" si="2"/>
        <v>0</v>
      </c>
      <c r="H10" s="672">
        <f t="shared" si="2"/>
        <v>0</v>
      </c>
      <c r="I10" s="672">
        <f t="shared" si="2"/>
        <v>0</v>
      </c>
      <c r="J10" s="672">
        <f t="shared" si="2"/>
        <v>0</v>
      </c>
      <c r="K10" s="672">
        <f t="shared" si="2"/>
        <v>0</v>
      </c>
      <c r="L10" s="672">
        <f t="shared" si="2"/>
        <v>0</v>
      </c>
      <c r="M10" s="672">
        <f t="shared" si="2"/>
        <v>0</v>
      </c>
      <c r="N10" s="672">
        <f t="shared" si="2"/>
        <v>0</v>
      </c>
      <c r="O10" s="672">
        <f t="shared" si="2"/>
        <v>0</v>
      </c>
      <c r="P10" s="672">
        <f t="shared" si="2"/>
        <v>0</v>
      </c>
      <c r="Q10" s="672">
        <f t="shared" si="2"/>
        <v>0</v>
      </c>
      <c r="R10" s="672">
        <f t="shared" si="2"/>
        <v>0</v>
      </c>
      <c r="S10" s="672">
        <f t="shared" si="2"/>
        <v>0</v>
      </c>
      <c r="T10" s="672">
        <f t="shared" si="2"/>
        <v>0</v>
      </c>
      <c r="U10" s="672">
        <f t="shared" si="2"/>
        <v>0</v>
      </c>
      <c r="V10" s="672">
        <f t="shared" si="2"/>
        <v>0</v>
      </c>
      <c r="W10" s="672">
        <f t="shared" si="2"/>
        <v>0</v>
      </c>
      <c r="X10" s="672">
        <f t="shared" si="2"/>
        <v>0</v>
      </c>
      <c r="Y10" s="672">
        <f t="shared" si="2"/>
        <v>0</v>
      </c>
      <c r="Z10" s="672">
        <f t="shared" si="2"/>
        <v>0</v>
      </c>
      <c r="AA10" s="672">
        <f t="shared" si="2"/>
        <v>0</v>
      </c>
      <c r="AB10" s="672">
        <f t="shared" si="2"/>
        <v>0</v>
      </c>
      <c r="AC10" s="672">
        <f t="shared" si="2"/>
        <v>0</v>
      </c>
      <c r="AD10" s="672">
        <f t="shared" si="2"/>
        <v>0</v>
      </c>
      <c r="AE10" s="672">
        <f t="shared" si="2"/>
        <v>0</v>
      </c>
      <c r="AF10" s="672">
        <f t="shared" si="2"/>
        <v>0</v>
      </c>
      <c r="AG10" s="685"/>
      <c r="AH10" s="672"/>
      <c r="AI10" s="672"/>
      <c r="AJ10" s="672"/>
      <c r="AK10" s="672"/>
      <c r="AL10" s="672"/>
      <c r="AM10" s="672"/>
      <c r="AN10" s="672"/>
      <c r="AO10" s="672"/>
      <c r="AP10" s="672"/>
      <c r="AQ10" s="672"/>
      <c r="AR10" s="672"/>
      <c r="AS10" s="683"/>
      <c r="AT10" s="684"/>
    </row>
    <row r="11" ht="15.75" customHeight="1">
      <c r="A11" s="668" t="s">
        <v>2883</v>
      </c>
      <c r="B11" s="672">
        <v>1.0</v>
      </c>
      <c r="C11" s="672">
        <v>2.0</v>
      </c>
      <c r="D11" s="672">
        <v>3.0</v>
      </c>
      <c r="E11" s="672">
        <v>4.0</v>
      </c>
      <c r="F11" s="672">
        <v>5.0</v>
      </c>
      <c r="G11" s="672">
        <v>6.0</v>
      </c>
      <c r="H11" s="672">
        <v>7.0</v>
      </c>
      <c r="I11" s="672">
        <v>8.0</v>
      </c>
      <c r="J11" s="672">
        <v>9.0</v>
      </c>
      <c r="K11" s="672">
        <v>10.0</v>
      </c>
      <c r="L11" s="672">
        <v>11.0</v>
      </c>
      <c r="M11" s="672">
        <v>12.0</v>
      </c>
      <c r="N11" s="672">
        <v>13.0</v>
      </c>
      <c r="O11" s="672">
        <v>14.0</v>
      </c>
      <c r="P11" s="672">
        <v>15.0</v>
      </c>
      <c r="Q11" s="672">
        <v>16.0</v>
      </c>
      <c r="R11" s="672">
        <v>17.0</v>
      </c>
      <c r="S11" s="672">
        <v>18.0</v>
      </c>
      <c r="T11" s="672">
        <v>19.0</v>
      </c>
      <c r="U11" s="672">
        <v>20.0</v>
      </c>
      <c r="V11" s="672">
        <v>21.0</v>
      </c>
      <c r="W11" s="672">
        <v>22.0</v>
      </c>
      <c r="X11" s="672">
        <v>23.0</v>
      </c>
      <c r="Y11" s="672">
        <v>24.0</v>
      </c>
      <c r="Z11" s="672">
        <v>25.0</v>
      </c>
      <c r="AA11" s="672">
        <v>26.0</v>
      </c>
      <c r="AB11" s="672">
        <v>27.0</v>
      </c>
      <c r="AC11" s="672">
        <v>28.0</v>
      </c>
      <c r="AD11" s="672">
        <v>29.0</v>
      </c>
      <c r="AE11" s="672">
        <v>30.0</v>
      </c>
      <c r="AF11" s="686" t="s">
        <v>2934</v>
      </c>
      <c r="AG11" s="687" t="s">
        <v>3465</v>
      </c>
      <c r="AH11" s="688" t="s">
        <v>3466</v>
      </c>
      <c r="AI11" s="688" t="s">
        <v>2944</v>
      </c>
      <c r="AJ11" s="688" t="s">
        <v>2945</v>
      </c>
      <c r="AK11" s="689"/>
      <c r="AL11" s="689"/>
      <c r="AM11" s="689"/>
      <c r="AN11" s="689" t="s">
        <v>2737</v>
      </c>
      <c r="AO11" s="690" t="s">
        <v>2944</v>
      </c>
      <c r="AP11" s="690" t="s">
        <v>2737</v>
      </c>
      <c r="AQ11" s="690" t="s">
        <v>3467</v>
      </c>
      <c r="AR11" s="690" t="s">
        <v>3329</v>
      </c>
      <c r="AS11" s="679" t="s">
        <v>2923</v>
      </c>
      <c r="AT11" s="680" t="s">
        <v>3466</v>
      </c>
    </row>
    <row r="12" ht="15.75" customHeight="1">
      <c r="A12" s="681" t="s">
        <v>3046</v>
      </c>
      <c r="B12" s="681"/>
      <c r="C12" s="681"/>
      <c r="D12" s="691">
        <v>22.0</v>
      </c>
      <c r="E12" s="691">
        <v>26.0</v>
      </c>
      <c r="F12" s="681"/>
      <c r="G12" s="681"/>
      <c r="H12" s="681"/>
      <c r="I12" s="681"/>
      <c r="J12" s="681"/>
      <c r="K12" s="681"/>
      <c r="L12" s="681"/>
      <c r="M12" s="681"/>
      <c r="N12" s="681"/>
      <c r="O12" s="681"/>
      <c r="P12" s="681"/>
      <c r="Q12" s="681"/>
      <c r="R12" s="681"/>
      <c r="S12" s="681"/>
      <c r="T12" s="681"/>
      <c r="U12" s="681"/>
      <c r="V12" s="681"/>
      <c r="W12" s="681"/>
      <c r="X12" s="681"/>
      <c r="Y12" s="681"/>
      <c r="Z12" s="681"/>
      <c r="AA12" s="681"/>
      <c r="AB12" s="681"/>
      <c r="AC12" s="681"/>
      <c r="AD12" s="681"/>
      <c r="AE12" s="681"/>
      <c r="AF12" s="681">
        <f t="shared" ref="AF12:AF13" si="3">SUM(B12:AE12)</f>
        <v>48</v>
      </c>
      <c r="AG12" s="692">
        <v>620.0</v>
      </c>
      <c r="AH12" s="693">
        <f t="shared" ref="AH12:AH13" si="4">AF12/AG12</f>
        <v>0.07741935484</v>
      </c>
      <c r="AI12" s="693"/>
      <c r="AJ12" s="693"/>
      <c r="AK12" s="693"/>
      <c r="AL12" s="693"/>
      <c r="AM12" s="693"/>
      <c r="AN12" s="693"/>
      <c r="AO12" s="693"/>
      <c r="AP12" s="693"/>
      <c r="AQ12" s="693"/>
      <c r="AR12" s="693"/>
      <c r="AS12" s="694">
        <v>858.0</v>
      </c>
      <c r="AT12" s="693"/>
    </row>
    <row r="13" ht="15.75" customHeight="1">
      <c r="A13" s="681" t="s">
        <v>2624</v>
      </c>
      <c r="B13" s="681"/>
      <c r="C13" s="681"/>
      <c r="D13" s="691">
        <v>109.0</v>
      </c>
      <c r="E13" s="691">
        <v>45.0</v>
      </c>
      <c r="F13" s="691"/>
      <c r="G13" s="681"/>
      <c r="H13" s="681"/>
      <c r="I13" s="681"/>
      <c r="J13" s="681"/>
      <c r="K13" s="681"/>
      <c r="L13" s="681"/>
      <c r="M13" s="681"/>
      <c r="N13" s="681"/>
      <c r="O13" s="681"/>
      <c r="P13" s="681"/>
      <c r="Q13" s="681"/>
      <c r="R13" s="681"/>
      <c r="S13" s="681"/>
      <c r="T13" s="681"/>
      <c r="U13" s="681"/>
      <c r="V13" s="681"/>
      <c r="W13" s="681"/>
      <c r="X13" s="681"/>
      <c r="Y13" s="681"/>
      <c r="Z13" s="681"/>
      <c r="AA13" s="681"/>
      <c r="AB13" s="681"/>
      <c r="AC13" s="681"/>
      <c r="AD13" s="681"/>
      <c r="AE13" s="681"/>
      <c r="AF13" s="681">
        <f t="shared" si="3"/>
        <v>154</v>
      </c>
      <c r="AG13" s="692">
        <v>1850.0</v>
      </c>
      <c r="AH13" s="693">
        <f t="shared" si="4"/>
        <v>0.08324324324</v>
      </c>
      <c r="AI13" s="693"/>
      <c r="AJ13" s="693"/>
      <c r="AK13" s="693"/>
      <c r="AL13" s="693"/>
      <c r="AM13" s="693"/>
      <c r="AN13" s="693"/>
      <c r="AO13" s="693"/>
      <c r="AP13" s="693"/>
      <c r="AQ13" s="693"/>
      <c r="AR13" s="693"/>
      <c r="AS13" s="694">
        <v>2000.0</v>
      </c>
      <c r="AT13" s="693"/>
    </row>
    <row r="14" ht="15.75" customHeight="1">
      <c r="A14" s="691" t="s">
        <v>3468</v>
      </c>
      <c r="B14" s="691"/>
      <c r="C14" s="691"/>
      <c r="D14" s="691"/>
      <c r="E14" s="691">
        <v>45.0</v>
      </c>
      <c r="F14" s="691"/>
      <c r="G14" s="681"/>
      <c r="H14" s="681"/>
      <c r="I14" s="681"/>
      <c r="J14" s="681"/>
      <c r="K14" s="681"/>
      <c r="L14" s="681"/>
      <c r="M14" s="681"/>
      <c r="N14" s="681"/>
      <c r="O14" s="681"/>
      <c r="P14" s="681"/>
      <c r="Q14" s="681"/>
      <c r="R14" s="681"/>
      <c r="S14" s="681"/>
      <c r="T14" s="681"/>
      <c r="U14" s="681"/>
      <c r="V14" s="681"/>
      <c r="W14" s="681"/>
      <c r="X14" s="681"/>
      <c r="Y14" s="681"/>
      <c r="Z14" s="681"/>
      <c r="AA14" s="681"/>
      <c r="AB14" s="681"/>
      <c r="AC14" s="681"/>
      <c r="AD14" s="681"/>
      <c r="AE14" s="681"/>
      <c r="AF14" s="681"/>
      <c r="AG14" s="692"/>
      <c r="AH14" s="693"/>
      <c r="AI14" s="693"/>
      <c r="AJ14" s="693"/>
      <c r="AK14" s="693"/>
      <c r="AL14" s="693"/>
      <c r="AM14" s="693"/>
      <c r="AN14" s="693"/>
      <c r="AO14" s="693"/>
      <c r="AP14" s="693"/>
      <c r="AQ14" s="693"/>
      <c r="AR14" s="693"/>
      <c r="AS14" s="694"/>
      <c r="AT14" s="693"/>
    </row>
    <row r="15" ht="15.75" customHeight="1">
      <c r="A15" s="681" t="s">
        <v>2622</v>
      </c>
      <c r="B15" s="691"/>
      <c r="C15" s="691"/>
      <c r="D15" s="691">
        <v>25.0</v>
      </c>
      <c r="E15" s="691">
        <v>21.0</v>
      </c>
      <c r="F15" s="681"/>
      <c r="G15" s="681"/>
      <c r="H15" s="681"/>
      <c r="I15" s="681"/>
      <c r="J15" s="681"/>
      <c r="K15" s="681"/>
      <c r="L15" s="681"/>
      <c r="M15" s="681"/>
      <c r="N15" s="681"/>
      <c r="O15" s="681"/>
      <c r="P15" s="681"/>
      <c r="Q15" s="681"/>
      <c r="R15" s="681"/>
      <c r="S15" s="681"/>
      <c r="T15" s="681"/>
      <c r="U15" s="681"/>
      <c r="V15" s="681"/>
      <c r="W15" s="681"/>
      <c r="X15" s="681"/>
      <c r="Y15" s="681"/>
      <c r="Z15" s="681"/>
      <c r="AA15" s="681"/>
      <c r="AB15" s="681"/>
      <c r="AC15" s="681"/>
      <c r="AD15" s="681"/>
      <c r="AE15" s="681"/>
      <c r="AF15" s="681">
        <f t="shared" ref="AF15:AF20" si="5">SUM(B15:AE15)</f>
        <v>46</v>
      </c>
      <c r="AG15" s="692">
        <v>750.0</v>
      </c>
      <c r="AH15" s="693">
        <f t="shared" ref="AH15:AH19" si="6">AF15/AG15</f>
        <v>0.06133333333</v>
      </c>
      <c r="AI15" s="693"/>
      <c r="AJ15" s="693"/>
      <c r="AK15" s="693"/>
      <c r="AL15" s="693"/>
      <c r="AM15" s="693"/>
      <c r="AN15" s="693"/>
      <c r="AO15" s="693"/>
      <c r="AP15" s="693"/>
      <c r="AQ15" s="693"/>
      <c r="AR15" s="693"/>
      <c r="AS15" s="694">
        <v>700.0</v>
      </c>
      <c r="AT15" s="693"/>
    </row>
    <row r="16" ht="15.75" customHeight="1">
      <c r="A16" s="681" t="s">
        <v>2627</v>
      </c>
      <c r="B16" s="691"/>
      <c r="C16" s="691"/>
      <c r="D16" s="691">
        <v>21.0</v>
      </c>
      <c r="E16" s="691">
        <v>18.0</v>
      </c>
      <c r="F16" s="681"/>
      <c r="G16" s="681"/>
      <c r="H16" s="681"/>
      <c r="I16" s="681"/>
      <c r="J16" s="681"/>
      <c r="K16" s="681"/>
      <c r="L16" s="681"/>
      <c r="M16" s="681"/>
      <c r="N16" s="681"/>
      <c r="O16" s="681"/>
      <c r="P16" s="681"/>
      <c r="Q16" s="681"/>
      <c r="R16" s="681"/>
      <c r="S16" s="681"/>
      <c r="T16" s="681"/>
      <c r="U16" s="681"/>
      <c r="V16" s="681"/>
      <c r="W16" s="681"/>
      <c r="X16" s="681"/>
      <c r="Y16" s="681"/>
      <c r="Z16" s="681"/>
      <c r="AA16" s="681"/>
      <c r="AB16" s="681"/>
      <c r="AC16" s="681"/>
      <c r="AD16" s="681"/>
      <c r="AE16" s="681"/>
      <c r="AF16" s="681">
        <f t="shared" si="5"/>
        <v>39</v>
      </c>
      <c r="AG16" s="692">
        <v>420.0</v>
      </c>
      <c r="AH16" s="693">
        <f t="shared" si="6"/>
        <v>0.09285714286</v>
      </c>
      <c r="AI16" s="693"/>
      <c r="AJ16" s="693"/>
      <c r="AK16" s="693"/>
      <c r="AL16" s="693"/>
      <c r="AM16" s="693"/>
      <c r="AN16" s="693"/>
      <c r="AO16" s="693"/>
      <c r="AP16" s="693"/>
      <c r="AQ16" s="693"/>
      <c r="AR16" s="693"/>
      <c r="AS16" s="694">
        <v>385.0</v>
      </c>
      <c r="AT16" s="693"/>
    </row>
    <row r="17" ht="15.75" customHeight="1">
      <c r="A17" s="691" t="s">
        <v>3054</v>
      </c>
      <c r="B17" s="691"/>
      <c r="C17" s="691"/>
      <c r="D17" s="691">
        <v>1.0</v>
      </c>
      <c r="E17" s="691">
        <v>3.0</v>
      </c>
      <c r="F17" s="681"/>
      <c r="G17" s="681"/>
      <c r="H17" s="681"/>
      <c r="I17" s="681"/>
      <c r="J17" s="681"/>
      <c r="K17" s="681"/>
      <c r="L17" s="681"/>
      <c r="M17" s="681"/>
      <c r="N17" s="681"/>
      <c r="O17" s="681"/>
      <c r="P17" s="681"/>
      <c r="Q17" s="681"/>
      <c r="R17" s="681"/>
      <c r="S17" s="681"/>
      <c r="T17" s="681"/>
      <c r="U17" s="681"/>
      <c r="V17" s="681"/>
      <c r="W17" s="681"/>
      <c r="X17" s="681"/>
      <c r="Y17" s="681"/>
      <c r="Z17" s="681"/>
      <c r="AA17" s="681"/>
      <c r="AB17" s="681"/>
      <c r="AC17" s="681"/>
      <c r="AD17" s="681"/>
      <c r="AE17" s="681"/>
      <c r="AF17" s="681">
        <f t="shared" si="5"/>
        <v>4</v>
      </c>
      <c r="AG17" s="692">
        <v>170.0</v>
      </c>
      <c r="AH17" s="693">
        <f t="shared" si="6"/>
        <v>0.02352941176</v>
      </c>
      <c r="AI17" s="693"/>
      <c r="AJ17" s="693"/>
      <c r="AK17" s="693"/>
      <c r="AL17" s="693"/>
      <c r="AM17" s="693"/>
      <c r="AN17" s="693"/>
      <c r="AO17" s="693"/>
      <c r="AP17" s="693"/>
      <c r="AQ17" s="693"/>
      <c r="AR17" s="693"/>
      <c r="AS17" s="694">
        <v>220.0</v>
      </c>
      <c r="AT17" s="693"/>
    </row>
    <row r="18" ht="15.75" customHeight="1">
      <c r="A18" s="681" t="s">
        <v>2920</v>
      </c>
      <c r="B18" s="681"/>
      <c r="C18" s="681"/>
      <c r="D18" s="691">
        <v>20.0</v>
      </c>
      <c r="E18" s="681"/>
      <c r="F18" s="681"/>
      <c r="G18" s="681"/>
      <c r="H18" s="681"/>
      <c r="I18" s="681"/>
      <c r="J18" s="681"/>
      <c r="K18" s="681"/>
      <c r="L18" s="681"/>
      <c r="M18" s="681"/>
      <c r="N18" s="681"/>
      <c r="O18" s="681"/>
      <c r="P18" s="681"/>
      <c r="Q18" s="681"/>
      <c r="R18" s="681"/>
      <c r="S18" s="681"/>
      <c r="T18" s="681"/>
      <c r="U18" s="681"/>
      <c r="V18" s="681"/>
      <c r="W18" s="681"/>
      <c r="X18" s="681"/>
      <c r="Y18" s="681"/>
      <c r="Z18" s="681"/>
      <c r="AA18" s="681"/>
      <c r="AB18" s="681"/>
      <c r="AC18" s="681"/>
      <c r="AD18" s="681"/>
      <c r="AE18" s="681"/>
      <c r="AF18" s="681">
        <f t="shared" si="5"/>
        <v>20</v>
      </c>
      <c r="AG18" s="692">
        <f>AG20-SUM(AG12:AG17)</f>
        <v>157</v>
      </c>
      <c r="AH18" s="693">
        <f t="shared" si="6"/>
        <v>0.127388535</v>
      </c>
      <c r="AI18" s="693"/>
      <c r="AJ18" s="693"/>
      <c r="AK18" s="693"/>
      <c r="AL18" s="693"/>
      <c r="AM18" s="693"/>
      <c r="AN18" s="693"/>
      <c r="AO18" s="693"/>
      <c r="AP18" s="693"/>
      <c r="AQ18" s="693"/>
      <c r="AR18" s="693"/>
      <c r="AS18" s="694"/>
      <c r="AT18" s="693"/>
    </row>
    <row r="19" ht="15.75" customHeight="1">
      <c r="A19" s="691"/>
      <c r="B19" s="681"/>
      <c r="C19" s="681"/>
      <c r="D19" s="691"/>
      <c r="E19" s="681"/>
      <c r="F19" s="681"/>
      <c r="G19" s="681"/>
      <c r="H19" s="681"/>
      <c r="I19" s="681"/>
      <c r="J19" s="681"/>
      <c r="K19" s="681"/>
      <c r="L19" s="681"/>
      <c r="M19" s="681"/>
      <c r="N19" s="681"/>
      <c r="O19" s="681"/>
      <c r="P19" s="681"/>
      <c r="Q19" s="681"/>
      <c r="R19" s="681"/>
      <c r="S19" s="681"/>
      <c r="T19" s="681"/>
      <c r="U19" s="681"/>
      <c r="V19" s="681"/>
      <c r="W19" s="681"/>
      <c r="X19" s="681"/>
      <c r="Y19" s="681"/>
      <c r="Z19" s="681"/>
      <c r="AA19" s="681"/>
      <c r="AB19" s="681"/>
      <c r="AC19" s="681"/>
      <c r="AD19" s="681"/>
      <c r="AE19" s="681"/>
      <c r="AF19" s="681">
        <f t="shared" si="5"/>
        <v>0</v>
      </c>
      <c r="AG19" s="682"/>
      <c r="AH19" s="693" t="str">
        <f t="shared" si="6"/>
        <v>#DIV/0!</v>
      </c>
      <c r="AI19" s="693"/>
      <c r="AJ19" s="693"/>
      <c r="AK19" s="693"/>
      <c r="AL19" s="693"/>
      <c r="AM19" s="693"/>
      <c r="AN19" s="693"/>
      <c r="AO19" s="693"/>
      <c r="AP19" s="693"/>
      <c r="AQ19" s="693"/>
      <c r="AR19" s="693"/>
      <c r="AS19" s="694"/>
      <c r="AT19" s="693"/>
    </row>
    <row r="20" ht="15.75" customHeight="1">
      <c r="A20" s="668" t="s">
        <v>2934</v>
      </c>
      <c r="B20" s="672">
        <f t="shared" ref="B20:AE20" si="7">SUM(B12:B19)</f>
        <v>0</v>
      </c>
      <c r="C20" s="672">
        <f t="shared" si="7"/>
        <v>0</v>
      </c>
      <c r="D20" s="672">
        <f t="shared" si="7"/>
        <v>198</v>
      </c>
      <c r="E20" s="672">
        <f t="shared" si="7"/>
        <v>158</v>
      </c>
      <c r="F20" s="672">
        <f t="shared" si="7"/>
        <v>0</v>
      </c>
      <c r="G20" s="672">
        <f t="shared" si="7"/>
        <v>0</v>
      </c>
      <c r="H20" s="672">
        <f t="shared" si="7"/>
        <v>0</v>
      </c>
      <c r="I20" s="672">
        <f t="shared" si="7"/>
        <v>0</v>
      </c>
      <c r="J20" s="672">
        <f t="shared" si="7"/>
        <v>0</v>
      </c>
      <c r="K20" s="672">
        <f t="shared" si="7"/>
        <v>0</v>
      </c>
      <c r="L20" s="672">
        <f t="shared" si="7"/>
        <v>0</v>
      </c>
      <c r="M20" s="672">
        <f t="shared" si="7"/>
        <v>0</v>
      </c>
      <c r="N20" s="672">
        <f t="shared" si="7"/>
        <v>0</v>
      </c>
      <c r="O20" s="672">
        <f t="shared" si="7"/>
        <v>0</v>
      </c>
      <c r="P20" s="672">
        <f t="shared" si="7"/>
        <v>0</v>
      </c>
      <c r="Q20" s="672">
        <f t="shared" si="7"/>
        <v>0</v>
      </c>
      <c r="R20" s="672">
        <f t="shared" si="7"/>
        <v>0</v>
      </c>
      <c r="S20" s="672">
        <f t="shared" si="7"/>
        <v>0</v>
      </c>
      <c r="T20" s="672">
        <f t="shared" si="7"/>
        <v>0</v>
      </c>
      <c r="U20" s="672">
        <f t="shared" si="7"/>
        <v>0</v>
      </c>
      <c r="V20" s="672">
        <f t="shared" si="7"/>
        <v>0</v>
      </c>
      <c r="W20" s="672">
        <f t="shared" si="7"/>
        <v>0</v>
      </c>
      <c r="X20" s="672">
        <f t="shared" si="7"/>
        <v>0</v>
      </c>
      <c r="Y20" s="672">
        <f t="shared" si="7"/>
        <v>0</v>
      </c>
      <c r="Z20" s="672">
        <f t="shared" si="7"/>
        <v>0</v>
      </c>
      <c r="AA20" s="672">
        <f t="shared" si="7"/>
        <v>0</v>
      </c>
      <c r="AB20" s="672">
        <f t="shared" si="7"/>
        <v>0</v>
      </c>
      <c r="AC20" s="672">
        <f t="shared" si="7"/>
        <v>0</v>
      </c>
      <c r="AD20" s="672">
        <f t="shared" si="7"/>
        <v>0</v>
      </c>
      <c r="AE20" s="672">
        <f t="shared" si="7"/>
        <v>0</v>
      </c>
      <c r="AF20" s="672">
        <f t="shared" si="5"/>
        <v>356</v>
      </c>
      <c r="AG20" s="678">
        <v>3967.0</v>
      </c>
      <c r="AH20" s="672"/>
      <c r="AI20" s="672"/>
      <c r="AJ20" s="695">
        <v>0.44</v>
      </c>
      <c r="AK20" s="672"/>
      <c r="AL20" s="672"/>
      <c r="AM20" s="672"/>
      <c r="AN20" s="672"/>
      <c r="AO20" s="672"/>
      <c r="AP20" s="672"/>
      <c r="AQ20" s="672"/>
      <c r="AR20" s="672"/>
      <c r="AS20" s="685"/>
      <c r="AT20" s="672"/>
    </row>
    <row r="21" ht="15.75" customHeight="1">
      <c r="A21" s="696"/>
      <c r="B21" s="697" t="s">
        <v>3469</v>
      </c>
      <c r="C21" s="670"/>
      <c r="D21" s="670"/>
      <c r="E21" s="670"/>
      <c r="F21" s="670"/>
      <c r="G21" s="670"/>
      <c r="H21" s="670"/>
      <c r="I21" s="670"/>
      <c r="J21" s="670"/>
      <c r="K21" s="670"/>
      <c r="L21" s="670"/>
      <c r="M21" s="670"/>
      <c r="N21" s="670"/>
      <c r="O21" s="670"/>
      <c r="P21" s="670"/>
      <c r="Q21" s="670"/>
      <c r="R21" s="670"/>
      <c r="S21" s="670"/>
      <c r="T21" s="670"/>
      <c r="U21" s="670"/>
      <c r="V21" s="670"/>
      <c r="W21" s="670"/>
      <c r="X21" s="670"/>
      <c r="Y21" s="670"/>
      <c r="Z21" s="670"/>
      <c r="AA21" s="670"/>
      <c r="AB21" s="670"/>
      <c r="AC21" s="670"/>
      <c r="AD21" s="670"/>
      <c r="AE21" s="671"/>
      <c r="AF21" s="686"/>
      <c r="AG21" s="673" t="s">
        <v>3460</v>
      </c>
      <c r="AH21" s="670"/>
      <c r="AI21" s="670"/>
      <c r="AJ21" s="671"/>
      <c r="AK21" s="677"/>
      <c r="AL21" s="677"/>
      <c r="AM21" s="677"/>
      <c r="AN21" s="677"/>
      <c r="AO21" s="677"/>
      <c r="AP21" s="677"/>
      <c r="AQ21" s="677"/>
      <c r="AR21" s="677"/>
      <c r="AS21" s="675" t="s">
        <v>3461</v>
      </c>
      <c r="AT21" s="671"/>
    </row>
    <row r="22" ht="15.75" customHeight="1">
      <c r="A22" s="668" t="s">
        <v>2664</v>
      </c>
      <c r="B22" s="672">
        <v>1.0</v>
      </c>
      <c r="C22" s="672">
        <v>2.0</v>
      </c>
      <c r="D22" s="672">
        <v>3.0</v>
      </c>
      <c r="E22" s="672">
        <v>4.0</v>
      </c>
      <c r="F22" s="672">
        <v>5.0</v>
      </c>
      <c r="G22" s="672">
        <v>6.0</v>
      </c>
      <c r="H22" s="672">
        <v>7.0</v>
      </c>
      <c r="I22" s="672">
        <v>8.0</v>
      </c>
      <c r="J22" s="672">
        <v>9.0</v>
      </c>
      <c r="K22" s="672">
        <v>10.0</v>
      </c>
      <c r="L22" s="672">
        <v>11.0</v>
      </c>
      <c r="M22" s="672">
        <v>12.0</v>
      </c>
      <c r="N22" s="672">
        <v>13.0</v>
      </c>
      <c r="O22" s="672">
        <v>14.0</v>
      </c>
      <c r="P22" s="672">
        <v>15.0</v>
      </c>
      <c r="Q22" s="672">
        <v>16.0</v>
      </c>
      <c r="R22" s="672">
        <v>17.0</v>
      </c>
      <c r="S22" s="672">
        <v>18.0</v>
      </c>
      <c r="T22" s="672">
        <v>19.0</v>
      </c>
      <c r="U22" s="672">
        <v>20.0</v>
      </c>
      <c r="V22" s="672">
        <v>21.0</v>
      </c>
      <c r="W22" s="672">
        <v>22.0</v>
      </c>
      <c r="X22" s="672">
        <v>23.0</v>
      </c>
      <c r="Y22" s="672">
        <v>24.0</v>
      </c>
      <c r="Z22" s="672">
        <v>25.0</v>
      </c>
      <c r="AA22" s="672">
        <v>26.0</v>
      </c>
      <c r="AB22" s="672">
        <v>27.0</v>
      </c>
      <c r="AC22" s="672">
        <v>28.0</v>
      </c>
      <c r="AD22" s="672">
        <v>29.0</v>
      </c>
      <c r="AE22" s="672">
        <v>30.0</v>
      </c>
      <c r="AF22" s="686" t="s">
        <v>2934</v>
      </c>
      <c r="AG22" s="687" t="s">
        <v>3465</v>
      </c>
      <c r="AH22" s="688" t="s">
        <v>3466</v>
      </c>
      <c r="AI22" s="688" t="s">
        <v>2944</v>
      </c>
      <c r="AJ22" s="688" t="s">
        <v>2945</v>
      </c>
      <c r="AK22" s="690"/>
      <c r="AL22" s="690"/>
      <c r="AM22" s="690"/>
      <c r="AN22" s="690"/>
      <c r="AO22" s="690" t="s">
        <v>2944</v>
      </c>
      <c r="AP22" s="690"/>
      <c r="AQ22" s="690" t="s">
        <v>3467</v>
      </c>
      <c r="AR22" s="690" t="s">
        <v>3329</v>
      </c>
      <c r="AS22" s="679" t="s">
        <v>2923</v>
      </c>
      <c r="AT22" s="680" t="s">
        <v>3466</v>
      </c>
    </row>
    <row r="23" ht="15.75" customHeight="1">
      <c r="A23" s="681" t="s">
        <v>3046</v>
      </c>
      <c r="B23" s="681">
        <f>5+11</f>
        <v>16</v>
      </c>
      <c r="C23" s="681">
        <f>3+5</f>
        <v>8</v>
      </c>
      <c r="D23" s="691">
        <v>11.0</v>
      </c>
      <c r="E23" s="691">
        <v>13.0</v>
      </c>
      <c r="F23" s="681"/>
      <c r="G23" s="681"/>
      <c r="H23" s="681"/>
      <c r="I23" s="681"/>
      <c r="J23" s="681"/>
      <c r="K23" s="681"/>
      <c r="L23" s="681"/>
      <c r="M23" s="681"/>
      <c r="N23" s="681"/>
      <c r="O23" s="681"/>
      <c r="P23" s="681"/>
      <c r="Q23" s="681"/>
      <c r="R23" s="681"/>
      <c r="S23" s="681"/>
      <c r="T23" s="681"/>
      <c r="U23" s="681"/>
      <c r="V23" s="681"/>
      <c r="W23" s="681"/>
      <c r="X23" s="681"/>
      <c r="Y23" s="681"/>
      <c r="Z23" s="681"/>
      <c r="AA23" s="681"/>
      <c r="AB23" s="681"/>
      <c r="AC23" s="681"/>
      <c r="AD23" s="681"/>
      <c r="AE23" s="681"/>
      <c r="AF23" s="681">
        <f t="shared" ref="AF23:AF24" si="8">SUM(B23:AE23)</f>
        <v>48</v>
      </c>
      <c r="AG23" s="692">
        <v>280.0</v>
      </c>
      <c r="AH23" s="693">
        <f t="shared" ref="AH23:AH24" si="9">AF23/AG23</f>
        <v>0.1714285714</v>
      </c>
      <c r="AI23" s="693"/>
      <c r="AJ23" s="693"/>
      <c r="AK23" s="693"/>
      <c r="AL23" s="693"/>
      <c r="AM23" s="693"/>
      <c r="AN23" s="693"/>
      <c r="AO23" s="693"/>
      <c r="AP23" s="693"/>
      <c r="AQ23" s="693"/>
      <c r="AR23" s="693"/>
      <c r="AS23" s="694">
        <v>373.0</v>
      </c>
      <c r="AT23" s="693"/>
    </row>
    <row r="24" ht="15.75" customHeight="1">
      <c r="A24" s="681" t="s">
        <v>2624</v>
      </c>
      <c r="B24" s="681">
        <f>9+11</f>
        <v>20</v>
      </c>
      <c r="C24" s="681">
        <f>21+11</f>
        <v>32</v>
      </c>
      <c r="D24" s="681">
        <f>15+11</f>
        <v>26</v>
      </c>
      <c r="E24" s="691">
        <v>40.0</v>
      </c>
      <c r="F24" s="681"/>
      <c r="G24" s="681"/>
      <c r="H24" s="681"/>
      <c r="I24" s="681"/>
      <c r="J24" s="681"/>
      <c r="K24" s="681"/>
      <c r="L24" s="681"/>
      <c r="M24" s="681"/>
      <c r="N24" s="681"/>
      <c r="O24" s="681"/>
      <c r="P24" s="681"/>
      <c r="Q24" s="681"/>
      <c r="R24" s="681"/>
      <c r="S24" s="681"/>
      <c r="T24" s="681"/>
      <c r="U24" s="681"/>
      <c r="V24" s="681"/>
      <c r="W24" s="681"/>
      <c r="X24" s="681"/>
      <c r="Y24" s="681"/>
      <c r="Z24" s="681"/>
      <c r="AA24" s="681"/>
      <c r="AB24" s="681"/>
      <c r="AC24" s="681"/>
      <c r="AD24" s="681"/>
      <c r="AE24" s="681"/>
      <c r="AF24" s="681">
        <f t="shared" si="8"/>
        <v>118</v>
      </c>
      <c r="AG24" s="692">
        <v>570.0</v>
      </c>
      <c r="AH24" s="693">
        <f t="shared" si="9"/>
        <v>0.2070175439</v>
      </c>
      <c r="AI24" s="693"/>
      <c r="AJ24" s="693"/>
      <c r="AK24" s="693"/>
      <c r="AL24" s="693"/>
      <c r="AM24" s="693"/>
      <c r="AN24" s="693"/>
      <c r="AO24" s="693"/>
      <c r="AP24" s="693"/>
      <c r="AQ24" s="693"/>
      <c r="AR24" s="693"/>
      <c r="AS24" s="694">
        <v>596.0</v>
      </c>
      <c r="AT24" s="693"/>
    </row>
    <row r="25" ht="15.75" customHeight="1">
      <c r="A25" s="691" t="s">
        <v>3470</v>
      </c>
      <c r="B25" s="691"/>
      <c r="C25" s="691"/>
      <c r="D25" s="681"/>
      <c r="E25" s="691">
        <v>6.0</v>
      </c>
      <c r="F25" s="681"/>
      <c r="G25" s="681"/>
      <c r="H25" s="681"/>
      <c r="I25" s="681"/>
      <c r="J25" s="681"/>
      <c r="K25" s="681"/>
      <c r="L25" s="681"/>
      <c r="M25" s="681"/>
      <c r="N25" s="681"/>
      <c r="O25" s="681"/>
      <c r="P25" s="681"/>
      <c r="Q25" s="681"/>
      <c r="R25" s="681"/>
      <c r="S25" s="681"/>
      <c r="T25" s="681"/>
      <c r="U25" s="681"/>
      <c r="V25" s="681"/>
      <c r="W25" s="681"/>
      <c r="X25" s="681"/>
      <c r="Y25" s="681"/>
      <c r="Z25" s="681"/>
      <c r="AA25" s="681"/>
      <c r="AB25" s="681"/>
      <c r="AC25" s="681"/>
      <c r="AD25" s="681"/>
      <c r="AE25" s="681"/>
      <c r="AF25" s="681"/>
      <c r="AG25" s="692"/>
      <c r="AH25" s="693"/>
      <c r="AI25" s="693"/>
      <c r="AJ25" s="693"/>
      <c r="AK25" s="693"/>
      <c r="AL25" s="693"/>
      <c r="AM25" s="693"/>
      <c r="AN25" s="693"/>
      <c r="AO25" s="693"/>
      <c r="AP25" s="693"/>
      <c r="AQ25" s="693"/>
      <c r="AR25" s="693"/>
      <c r="AS25" s="694"/>
      <c r="AT25" s="693"/>
    </row>
    <row r="26" ht="15.75" customHeight="1">
      <c r="A26" s="681" t="s">
        <v>2622</v>
      </c>
      <c r="B26" s="691">
        <v>9.0</v>
      </c>
      <c r="C26" s="691">
        <v>15.0</v>
      </c>
      <c r="D26" s="681">
        <f>15</f>
        <v>15</v>
      </c>
      <c r="E26" s="691">
        <v>14.0</v>
      </c>
      <c r="F26" s="681"/>
      <c r="G26" s="681"/>
      <c r="H26" s="681"/>
      <c r="I26" s="681"/>
      <c r="J26" s="681"/>
      <c r="K26" s="681"/>
      <c r="L26" s="681"/>
      <c r="M26" s="681"/>
      <c r="N26" s="681"/>
      <c r="O26" s="681"/>
      <c r="P26" s="681"/>
      <c r="Q26" s="681"/>
      <c r="R26" s="681"/>
      <c r="S26" s="681"/>
      <c r="T26" s="681"/>
      <c r="U26" s="681"/>
      <c r="V26" s="681"/>
      <c r="W26" s="681"/>
      <c r="X26" s="681"/>
      <c r="Y26" s="681"/>
      <c r="Z26" s="681"/>
      <c r="AA26" s="681"/>
      <c r="AB26" s="681"/>
      <c r="AC26" s="681"/>
      <c r="AD26" s="681"/>
      <c r="AE26" s="681"/>
      <c r="AF26" s="681">
        <f t="shared" ref="AF26:AF30" si="10">SUM(B26:AE26)</f>
        <v>53</v>
      </c>
      <c r="AG26" s="692">
        <v>550.0</v>
      </c>
      <c r="AH26" s="693">
        <f t="shared" ref="AH26:AH30" si="11">AF26/AG26</f>
        <v>0.09636363636</v>
      </c>
      <c r="AI26" s="693"/>
      <c r="AJ26" s="693"/>
      <c r="AK26" s="693"/>
      <c r="AL26" s="693"/>
      <c r="AM26" s="693"/>
      <c r="AN26" s="693"/>
      <c r="AO26" s="693"/>
      <c r="AP26" s="693"/>
      <c r="AQ26" s="693"/>
      <c r="AR26" s="693"/>
      <c r="AS26" s="694">
        <v>650.0</v>
      </c>
      <c r="AT26" s="693"/>
    </row>
    <row r="27" ht="15.75" customHeight="1">
      <c r="A27" s="681" t="s">
        <v>2627</v>
      </c>
      <c r="B27" s="691">
        <v>8.0</v>
      </c>
      <c r="C27" s="691">
        <v>12.0</v>
      </c>
      <c r="D27" s="691">
        <v>9.0</v>
      </c>
      <c r="E27" s="691">
        <v>9.0</v>
      </c>
      <c r="F27" s="681"/>
      <c r="G27" s="681"/>
      <c r="H27" s="681"/>
      <c r="I27" s="681"/>
      <c r="J27" s="681"/>
      <c r="K27" s="681"/>
      <c r="L27" s="681"/>
      <c r="M27" s="681"/>
      <c r="N27" s="681"/>
      <c r="O27" s="681"/>
      <c r="P27" s="681"/>
      <c r="Q27" s="681"/>
      <c r="R27" s="681"/>
      <c r="S27" s="681"/>
      <c r="T27" s="681"/>
      <c r="U27" s="681"/>
      <c r="V27" s="681"/>
      <c r="W27" s="681"/>
      <c r="X27" s="681"/>
      <c r="Y27" s="681"/>
      <c r="Z27" s="681"/>
      <c r="AA27" s="681"/>
      <c r="AB27" s="681"/>
      <c r="AC27" s="681"/>
      <c r="AD27" s="681"/>
      <c r="AE27" s="681"/>
      <c r="AF27" s="681">
        <f t="shared" si="10"/>
        <v>38</v>
      </c>
      <c r="AG27" s="692">
        <v>210.0</v>
      </c>
      <c r="AH27" s="693">
        <f t="shared" si="11"/>
        <v>0.180952381</v>
      </c>
      <c r="AI27" s="693"/>
      <c r="AJ27" s="693"/>
      <c r="AK27" s="693"/>
      <c r="AL27" s="693"/>
      <c r="AM27" s="693"/>
      <c r="AN27" s="693"/>
      <c r="AO27" s="693"/>
      <c r="AP27" s="693"/>
      <c r="AQ27" s="693"/>
      <c r="AR27" s="693"/>
      <c r="AS27" s="694">
        <v>240.0</v>
      </c>
      <c r="AT27" s="693"/>
    </row>
    <row r="28" ht="15.75" customHeight="1">
      <c r="A28" s="691" t="s">
        <v>3054</v>
      </c>
      <c r="B28" s="691">
        <v>1.0</v>
      </c>
      <c r="C28" s="691">
        <v>2.0</v>
      </c>
      <c r="D28" s="691">
        <v>0.0</v>
      </c>
      <c r="E28" s="691">
        <v>2.0</v>
      </c>
      <c r="F28" s="681"/>
      <c r="G28" s="681"/>
      <c r="H28" s="681"/>
      <c r="I28" s="681"/>
      <c r="J28" s="681"/>
      <c r="K28" s="681"/>
      <c r="L28" s="681"/>
      <c r="M28" s="681"/>
      <c r="N28" s="681"/>
      <c r="O28" s="681"/>
      <c r="P28" s="681"/>
      <c r="Q28" s="681"/>
      <c r="R28" s="681"/>
      <c r="S28" s="681"/>
      <c r="T28" s="681"/>
      <c r="U28" s="681"/>
      <c r="V28" s="681"/>
      <c r="W28" s="681"/>
      <c r="X28" s="681"/>
      <c r="Y28" s="681"/>
      <c r="Z28" s="681"/>
      <c r="AA28" s="681"/>
      <c r="AB28" s="681"/>
      <c r="AC28" s="681"/>
      <c r="AD28" s="681"/>
      <c r="AE28" s="681"/>
      <c r="AF28" s="681">
        <f t="shared" si="10"/>
        <v>5</v>
      </c>
      <c r="AG28" s="692">
        <v>40.0</v>
      </c>
      <c r="AH28" s="693">
        <f t="shared" si="11"/>
        <v>0.125</v>
      </c>
      <c r="AI28" s="693"/>
      <c r="AJ28" s="693"/>
      <c r="AK28" s="693"/>
      <c r="AL28" s="693"/>
      <c r="AM28" s="693"/>
      <c r="AN28" s="693"/>
      <c r="AO28" s="693"/>
      <c r="AP28" s="693"/>
      <c r="AQ28" s="693"/>
      <c r="AR28" s="693"/>
      <c r="AS28" s="694">
        <v>55.0</v>
      </c>
      <c r="AT28" s="693"/>
    </row>
    <row r="29" ht="15.75" customHeight="1">
      <c r="A29" s="681" t="s">
        <v>2920</v>
      </c>
      <c r="B29" s="681"/>
      <c r="C29" s="681"/>
      <c r="D29" s="681"/>
      <c r="E29" s="681"/>
      <c r="F29" s="681"/>
      <c r="G29" s="681"/>
      <c r="H29" s="681"/>
      <c r="I29" s="681"/>
      <c r="J29" s="681"/>
      <c r="K29" s="681"/>
      <c r="L29" s="681"/>
      <c r="M29" s="681"/>
      <c r="N29" s="681"/>
      <c r="O29" s="681"/>
      <c r="P29" s="681"/>
      <c r="Q29" s="681"/>
      <c r="R29" s="681"/>
      <c r="S29" s="681"/>
      <c r="T29" s="681"/>
      <c r="U29" s="681"/>
      <c r="V29" s="681"/>
      <c r="W29" s="681"/>
      <c r="X29" s="681"/>
      <c r="Y29" s="681"/>
      <c r="Z29" s="681"/>
      <c r="AA29" s="681"/>
      <c r="AB29" s="681"/>
      <c r="AC29" s="681"/>
      <c r="AD29" s="681"/>
      <c r="AE29" s="681"/>
      <c r="AF29" s="681">
        <f t="shared" si="10"/>
        <v>0</v>
      </c>
      <c r="AG29" s="682"/>
      <c r="AH29" s="693" t="str">
        <f t="shared" si="11"/>
        <v>#DIV/0!</v>
      </c>
      <c r="AI29" s="693"/>
      <c r="AJ29" s="693"/>
      <c r="AK29" s="693"/>
      <c r="AL29" s="693"/>
      <c r="AM29" s="693"/>
      <c r="AN29" s="693"/>
      <c r="AO29" s="693"/>
      <c r="AP29" s="693"/>
      <c r="AQ29" s="693"/>
      <c r="AR29" s="693"/>
      <c r="AS29" s="694"/>
      <c r="AT29" s="693"/>
    </row>
    <row r="30" ht="15.75" customHeight="1">
      <c r="A30" s="681" t="s">
        <v>3464</v>
      </c>
      <c r="B30" s="681"/>
      <c r="C30" s="681"/>
      <c r="D30" s="681"/>
      <c r="E30" s="681"/>
      <c r="F30" s="681"/>
      <c r="G30" s="681"/>
      <c r="H30" s="681"/>
      <c r="I30" s="681"/>
      <c r="J30" s="681"/>
      <c r="K30" s="681"/>
      <c r="L30" s="681"/>
      <c r="M30" s="681"/>
      <c r="N30" s="681"/>
      <c r="O30" s="681"/>
      <c r="P30" s="681"/>
      <c r="Q30" s="681"/>
      <c r="R30" s="681"/>
      <c r="S30" s="681"/>
      <c r="T30" s="681"/>
      <c r="U30" s="681"/>
      <c r="V30" s="681"/>
      <c r="W30" s="681"/>
      <c r="X30" s="681"/>
      <c r="Y30" s="681"/>
      <c r="Z30" s="681"/>
      <c r="AA30" s="681"/>
      <c r="AB30" s="681"/>
      <c r="AC30" s="681"/>
      <c r="AD30" s="681"/>
      <c r="AE30" s="681"/>
      <c r="AF30" s="681">
        <f t="shared" si="10"/>
        <v>0</v>
      </c>
      <c r="AG30" s="682"/>
      <c r="AH30" s="693" t="str">
        <f t="shared" si="11"/>
        <v>#DIV/0!</v>
      </c>
      <c r="AI30" s="693"/>
      <c r="AJ30" s="693"/>
      <c r="AK30" s="693"/>
      <c r="AL30" s="693"/>
      <c r="AM30" s="693"/>
      <c r="AN30" s="693"/>
      <c r="AO30" s="693"/>
      <c r="AP30" s="693"/>
      <c r="AQ30" s="693"/>
      <c r="AR30" s="693"/>
      <c r="AS30" s="694"/>
      <c r="AT30" s="693"/>
    </row>
    <row r="31" ht="15.75" customHeight="1">
      <c r="A31" s="668" t="s">
        <v>2934</v>
      </c>
      <c r="B31" s="672">
        <f t="shared" ref="B31:AG31" si="12">SUM(B23:B30)</f>
        <v>54</v>
      </c>
      <c r="C31" s="672">
        <f t="shared" si="12"/>
        <v>69</v>
      </c>
      <c r="D31" s="672">
        <f t="shared" si="12"/>
        <v>61</v>
      </c>
      <c r="E31" s="672">
        <f t="shared" si="12"/>
        <v>84</v>
      </c>
      <c r="F31" s="672">
        <f t="shared" si="12"/>
        <v>0</v>
      </c>
      <c r="G31" s="672">
        <f t="shared" si="12"/>
        <v>0</v>
      </c>
      <c r="H31" s="672">
        <f t="shared" si="12"/>
        <v>0</v>
      </c>
      <c r="I31" s="672">
        <f t="shared" si="12"/>
        <v>0</v>
      </c>
      <c r="J31" s="672">
        <f t="shared" si="12"/>
        <v>0</v>
      </c>
      <c r="K31" s="672">
        <f t="shared" si="12"/>
        <v>0</v>
      </c>
      <c r="L31" s="672">
        <f t="shared" si="12"/>
        <v>0</v>
      </c>
      <c r="M31" s="672">
        <f t="shared" si="12"/>
        <v>0</v>
      </c>
      <c r="N31" s="672">
        <f t="shared" si="12"/>
        <v>0</v>
      </c>
      <c r="O31" s="672">
        <f t="shared" si="12"/>
        <v>0</v>
      </c>
      <c r="P31" s="672">
        <f t="shared" si="12"/>
        <v>0</v>
      </c>
      <c r="Q31" s="672">
        <f t="shared" si="12"/>
        <v>0</v>
      </c>
      <c r="R31" s="672">
        <f t="shared" si="12"/>
        <v>0</v>
      </c>
      <c r="S31" s="672">
        <f t="shared" si="12"/>
        <v>0</v>
      </c>
      <c r="T31" s="672">
        <f t="shared" si="12"/>
        <v>0</v>
      </c>
      <c r="U31" s="672">
        <f t="shared" si="12"/>
        <v>0</v>
      </c>
      <c r="V31" s="672">
        <f t="shared" si="12"/>
        <v>0</v>
      </c>
      <c r="W31" s="672">
        <f t="shared" si="12"/>
        <v>0</v>
      </c>
      <c r="X31" s="672">
        <f t="shared" si="12"/>
        <v>0</v>
      </c>
      <c r="Y31" s="672">
        <f t="shared" si="12"/>
        <v>0</v>
      </c>
      <c r="Z31" s="672">
        <f t="shared" si="12"/>
        <v>0</v>
      </c>
      <c r="AA31" s="672">
        <f t="shared" si="12"/>
        <v>0</v>
      </c>
      <c r="AB31" s="672">
        <f t="shared" si="12"/>
        <v>0</v>
      </c>
      <c r="AC31" s="672">
        <f t="shared" si="12"/>
        <v>0</v>
      </c>
      <c r="AD31" s="672">
        <f t="shared" si="12"/>
        <v>0</v>
      </c>
      <c r="AE31" s="672">
        <f t="shared" si="12"/>
        <v>0</v>
      </c>
      <c r="AF31" s="672">
        <f t="shared" si="12"/>
        <v>262</v>
      </c>
      <c r="AG31" s="685">
        <f t="shared" si="12"/>
        <v>1650</v>
      </c>
      <c r="AH31" s="672"/>
      <c r="AI31" s="672"/>
      <c r="AJ31" s="695">
        <v>0.42</v>
      </c>
      <c r="AK31" s="672"/>
      <c r="AL31" s="672"/>
      <c r="AM31" s="672"/>
      <c r="AN31" s="672"/>
      <c r="AO31" s="672"/>
      <c r="AP31" s="672"/>
      <c r="AQ31" s="672"/>
      <c r="AR31" s="672"/>
      <c r="AS31" s="685"/>
      <c r="AT31" s="672"/>
    </row>
    <row r="32" ht="15.75" customHeight="1">
      <c r="A32" s="668"/>
      <c r="B32" s="697" t="s">
        <v>3471</v>
      </c>
      <c r="C32" s="670"/>
      <c r="D32" s="670"/>
      <c r="E32" s="670"/>
      <c r="F32" s="670"/>
      <c r="G32" s="670"/>
      <c r="H32" s="670"/>
      <c r="I32" s="670"/>
      <c r="J32" s="670"/>
      <c r="K32" s="670"/>
      <c r="L32" s="670"/>
      <c r="M32" s="670"/>
      <c r="N32" s="670"/>
      <c r="O32" s="670"/>
      <c r="P32" s="670"/>
      <c r="Q32" s="670"/>
      <c r="R32" s="670"/>
      <c r="S32" s="670"/>
      <c r="T32" s="670"/>
      <c r="U32" s="670"/>
      <c r="V32" s="670"/>
      <c r="W32" s="670"/>
      <c r="X32" s="670"/>
      <c r="Y32" s="670"/>
      <c r="Z32" s="670"/>
      <c r="AA32" s="670"/>
      <c r="AB32" s="670"/>
      <c r="AC32" s="670"/>
      <c r="AD32" s="670"/>
      <c r="AE32" s="671"/>
      <c r="AF32" s="686"/>
      <c r="AG32" s="673" t="s">
        <v>3460</v>
      </c>
      <c r="AH32" s="670"/>
      <c r="AI32" s="670"/>
      <c r="AJ32" s="670"/>
      <c r="AK32" s="671"/>
      <c r="AL32" s="698" t="s">
        <v>2938</v>
      </c>
      <c r="AM32" s="670"/>
      <c r="AN32" s="671"/>
      <c r="AO32" s="677"/>
      <c r="AP32" s="677"/>
      <c r="AQ32" s="677"/>
      <c r="AR32" s="677"/>
      <c r="AS32" s="675" t="s">
        <v>3461</v>
      </c>
      <c r="AT32" s="671"/>
    </row>
    <row r="33" ht="15.75" customHeight="1">
      <c r="A33" s="668" t="s">
        <v>2681</v>
      </c>
      <c r="B33" s="672">
        <v>1.0</v>
      </c>
      <c r="C33" s="672">
        <v>2.0</v>
      </c>
      <c r="D33" s="672">
        <v>3.0</v>
      </c>
      <c r="E33" s="672">
        <v>4.0</v>
      </c>
      <c r="F33" s="672">
        <v>5.0</v>
      </c>
      <c r="G33" s="672">
        <v>6.0</v>
      </c>
      <c r="H33" s="672">
        <v>7.0</v>
      </c>
      <c r="I33" s="672">
        <v>8.0</v>
      </c>
      <c r="J33" s="672">
        <v>9.0</v>
      </c>
      <c r="K33" s="672">
        <v>10.0</v>
      </c>
      <c r="L33" s="672">
        <v>11.0</v>
      </c>
      <c r="M33" s="672">
        <v>12.0</v>
      </c>
      <c r="N33" s="672">
        <v>13.0</v>
      </c>
      <c r="O33" s="672">
        <v>14.0</v>
      </c>
      <c r="P33" s="672">
        <v>15.0</v>
      </c>
      <c r="Q33" s="672">
        <v>16.0</v>
      </c>
      <c r="R33" s="672">
        <v>17.0</v>
      </c>
      <c r="S33" s="672">
        <v>18.0</v>
      </c>
      <c r="T33" s="672">
        <v>19.0</v>
      </c>
      <c r="U33" s="672">
        <v>20.0</v>
      </c>
      <c r="V33" s="672">
        <v>21.0</v>
      </c>
      <c r="W33" s="672">
        <v>22.0</v>
      </c>
      <c r="X33" s="672">
        <v>23.0</v>
      </c>
      <c r="Y33" s="672">
        <v>24.0</v>
      </c>
      <c r="Z33" s="672">
        <v>25.0</v>
      </c>
      <c r="AA33" s="672">
        <v>26.0</v>
      </c>
      <c r="AB33" s="672">
        <v>27.0</v>
      </c>
      <c r="AC33" s="672">
        <v>28.0</v>
      </c>
      <c r="AD33" s="672">
        <v>29.0</v>
      </c>
      <c r="AE33" s="672">
        <v>30.0</v>
      </c>
      <c r="AF33" s="686" t="s">
        <v>2934</v>
      </c>
      <c r="AG33" s="687" t="s">
        <v>3465</v>
      </c>
      <c r="AH33" s="688" t="s">
        <v>3466</v>
      </c>
      <c r="AI33" s="688" t="s">
        <v>2944</v>
      </c>
      <c r="AJ33" s="688" t="s">
        <v>2945</v>
      </c>
      <c r="AK33" s="689" t="s">
        <v>2737</v>
      </c>
      <c r="AL33" s="699" t="s">
        <v>2926</v>
      </c>
      <c r="AM33" s="699" t="s">
        <v>2737</v>
      </c>
      <c r="AN33" s="699" t="s">
        <v>3472</v>
      </c>
      <c r="AO33" s="401" t="s">
        <v>3473</v>
      </c>
      <c r="AP33" s="690" t="s">
        <v>2944</v>
      </c>
      <c r="AQ33" s="690" t="s">
        <v>3467</v>
      </c>
      <c r="AR33" s="690" t="s">
        <v>3329</v>
      </c>
      <c r="AS33" s="679" t="s">
        <v>2923</v>
      </c>
      <c r="AT33" s="680" t="s">
        <v>3466</v>
      </c>
    </row>
    <row r="34" ht="15.75" customHeight="1">
      <c r="A34" s="681" t="s">
        <v>3046</v>
      </c>
      <c r="B34" s="681">
        <f>7+2</f>
        <v>9</v>
      </c>
      <c r="C34" s="691">
        <v>10.0</v>
      </c>
      <c r="D34" s="691">
        <v>5.0</v>
      </c>
      <c r="E34" s="691">
        <v>9.0</v>
      </c>
      <c r="F34" s="691">
        <v>6.0</v>
      </c>
      <c r="G34" s="691">
        <v>5.0</v>
      </c>
      <c r="H34" s="691">
        <v>9.0</v>
      </c>
      <c r="I34" s="691">
        <v>8.0</v>
      </c>
      <c r="J34" s="681"/>
      <c r="K34" s="681"/>
      <c r="L34" s="681"/>
      <c r="M34" s="681"/>
      <c r="N34" s="681"/>
      <c r="O34" s="681"/>
      <c r="P34" s="681"/>
      <c r="Q34" s="681"/>
      <c r="R34" s="681"/>
      <c r="S34" s="681"/>
      <c r="T34" s="681"/>
      <c r="U34" s="681"/>
      <c r="V34" s="681"/>
      <c r="W34" s="681"/>
      <c r="X34" s="681"/>
      <c r="Y34" s="681"/>
      <c r="Z34" s="681"/>
      <c r="AA34" s="681"/>
      <c r="AB34" s="681"/>
      <c r="AC34" s="681"/>
      <c r="AD34" s="681"/>
      <c r="AE34" s="681"/>
      <c r="AF34" s="681">
        <f t="shared" ref="AF34:AF42" si="13">SUM(B34:AE34)</f>
        <v>61</v>
      </c>
      <c r="AG34" s="691">
        <v>129.0</v>
      </c>
      <c r="AH34" s="693">
        <f>AF34/AG34</f>
        <v>0.4728682171</v>
      </c>
      <c r="AI34" s="693"/>
      <c r="AJ34" s="693">
        <f t="shared" ref="AJ34:AJ43" si="14">AP34/AO34</f>
        <v>0.3181818182</v>
      </c>
      <c r="AK34" s="691">
        <v>10.0</v>
      </c>
      <c r="AL34" s="700">
        <f t="shared" ref="AL34:AL43" si="15">AF34</f>
        <v>61</v>
      </c>
      <c r="AM34" s="691">
        <v>2.0</v>
      </c>
      <c r="AN34" s="693">
        <f t="shared" ref="AN34:AN43" si="16">AM34/AK34</f>
        <v>0.2</v>
      </c>
      <c r="AO34" s="691">
        <v>44.0</v>
      </c>
      <c r="AP34" s="701">
        <v>14.0</v>
      </c>
      <c r="AQ34" s="702">
        <v>6.0</v>
      </c>
      <c r="AR34" s="702">
        <v>24.0</v>
      </c>
      <c r="AS34" s="703">
        <v>170.0</v>
      </c>
      <c r="AT34" s="693">
        <f t="shared" ref="AT34:AT42" si="17">AF34/AS34</f>
        <v>0.3588235294</v>
      </c>
    </row>
    <row r="35" ht="15.75" customHeight="1">
      <c r="A35" s="681" t="s">
        <v>2624</v>
      </c>
      <c r="B35" s="691">
        <v>0.0</v>
      </c>
      <c r="C35" s="691">
        <v>0.0</v>
      </c>
      <c r="D35" s="691">
        <v>1.0</v>
      </c>
      <c r="E35" s="691">
        <v>0.0</v>
      </c>
      <c r="F35" s="691">
        <v>5.0</v>
      </c>
      <c r="G35" s="691">
        <v>4.0</v>
      </c>
      <c r="H35" s="691">
        <v>11.0</v>
      </c>
      <c r="I35" s="691">
        <v>2.0</v>
      </c>
      <c r="J35" s="681"/>
      <c r="K35" s="681"/>
      <c r="L35" s="681"/>
      <c r="M35" s="681"/>
      <c r="N35" s="681"/>
      <c r="O35" s="681"/>
      <c r="P35" s="681"/>
      <c r="Q35" s="681"/>
      <c r="R35" s="681"/>
      <c r="S35" s="681"/>
      <c r="T35" s="681"/>
      <c r="U35" s="681"/>
      <c r="V35" s="681"/>
      <c r="W35" s="681"/>
      <c r="X35" s="681"/>
      <c r="Y35" s="681"/>
      <c r="Z35" s="681"/>
      <c r="AA35" s="681"/>
      <c r="AB35" s="681"/>
      <c r="AC35" s="681"/>
      <c r="AD35" s="681"/>
      <c r="AE35" s="681"/>
      <c r="AF35" s="681">
        <f t="shared" si="13"/>
        <v>23</v>
      </c>
      <c r="AG35" s="691">
        <v>178.0</v>
      </c>
      <c r="AH35" s="704">
        <f>18/AG35</f>
        <v>0.1011235955</v>
      </c>
      <c r="AI35" s="693"/>
      <c r="AJ35" s="693">
        <f t="shared" si="14"/>
        <v>0.1</v>
      </c>
      <c r="AK35" s="705">
        <v>6.0</v>
      </c>
      <c r="AL35" s="700">
        <f t="shared" si="15"/>
        <v>23</v>
      </c>
      <c r="AM35" s="705">
        <v>0.0</v>
      </c>
      <c r="AN35" s="693">
        <f t="shared" si="16"/>
        <v>0</v>
      </c>
      <c r="AO35" s="691">
        <v>10.0</v>
      </c>
      <c r="AP35" s="701">
        <v>1.0</v>
      </c>
      <c r="AQ35" s="702">
        <v>7.0</v>
      </c>
      <c r="AR35" s="702">
        <v>2.0</v>
      </c>
      <c r="AS35" s="703">
        <v>165.0</v>
      </c>
      <c r="AT35" s="704">
        <f t="shared" si="17"/>
        <v>0.1393939394</v>
      </c>
    </row>
    <row r="36" ht="19.5" customHeight="1">
      <c r="A36" s="691" t="s">
        <v>3474</v>
      </c>
      <c r="B36" s="691">
        <v>0.0</v>
      </c>
      <c r="C36" s="691">
        <v>0.0</v>
      </c>
      <c r="D36" s="691">
        <v>3.0</v>
      </c>
      <c r="E36" s="691">
        <v>1.0</v>
      </c>
      <c r="F36" s="691">
        <v>4.0</v>
      </c>
      <c r="G36" s="691">
        <v>0.0</v>
      </c>
      <c r="H36" s="691">
        <v>5.0</v>
      </c>
      <c r="I36" s="691">
        <v>2.0</v>
      </c>
      <c r="J36" s="681"/>
      <c r="K36" s="681"/>
      <c r="L36" s="681"/>
      <c r="M36" s="681"/>
      <c r="N36" s="681"/>
      <c r="O36" s="681"/>
      <c r="P36" s="681"/>
      <c r="Q36" s="681"/>
      <c r="R36" s="681"/>
      <c r="S36" s="681"/>
      <c r="T36" s="681"/>
      <c r="U36" s="681"/>
      <c r="V36" s="681"/>
      <c r="W36" s="681"/>
      <c r="X36" s="681"/>
      <c r="Y36" s="681"/>
      <c r="Z36" s="681"/>
      <c r="AA36" s="681"/>
      <c r="AB36" s="681"/>
      <c r="AC36" s="681"/>
      <c r="AD36" s="681"/>
      <c r="AE36" s="681"/>
      <c r="AF36" s="681">
        <f t="shared" si="13"/>
        <v>15</v>
      </c>
      <c r="AG36" s="691"/>
      <c r="AH36" s="704"/>
      <c r="AI36" s="693"/>
      <c r="AJ36" s="693">
        <f t="shared" si="14"/>
        <v>0.375</v>
      </c>
      <c r="AK36" s="706"/>
      <c r="AL36" s="700">
        <f t="shared" si="15"/>
        <v>15</v>
      </c>
      <c r="AM36" s="706"/>
      <c r="AN36" s="693" t="str">
        <f t="shared" si="16"/>
        <v>#DIV/0!</v>
      </c>
      <c r="AO36" s="691">
        <v>8.0</v>
      </c>
      <c r="AP36" s="701">
        <v>3.0</v>
      </c>
      <c r="AQ36" s="702">
        <v>2.0</v>
      </c>
      <c r="AR36" s="702">
        <v>3.0</v>
      </c>
      <c r="AS36" s="703"/>
      <c r="AT36" s="704" t="str">
        <f t="shared" si="17"/>
        <v>#DIV/0!</v>
      </c>
    </row>
    <row r="37" ht="15.75" customHeight="1">
      <c r="A37" s="681" t="s">
        <v>2622</v>
      </c>
      <c r="B37" s="691">
        <v>1.0</v>
      </c>
      <c r="C37" s="691">
        <v>2.0</v>
      </c>
      <c r="D37" s="691">
        <v>1.0</v>
      </c>
      <c r="E37" s="691">
        <v>0.0</v>
      </c>
      <c r="F37" s="691">
        <v>1.0</v>
      </c>
      <c r="G37" s="691">
        <v>2.0</v>
      </c>
      <c r="H37" s="691">
        <v>4.0</v>
      </c>
      <c r="I37" s="691">
        <v>5.0</v>
      </c>
      <c r="J37" s="681"/>
      <c r="K37" s="681"/>
      <c r="L37" s="681"/>
      <c r="M37" s="681"/>
      <c r="N37" s="681"/>
      <c r="O37" s="681"/>
      <c r="P37" s="681"/>
      <c r="Q37" s="681"/>
      <c r="R37" s="681"/>
      <c r="S37" s="681"/>
      <c r="T37" s="681"/>
      <c r="U37" s="681"/>
      <c r="V37" s="681"/>
      <c r="W37" s="681"/>
      <c r="X37" s="681"/>
      <c r="Y37" s="681"/>
      <c r="Z37" s="681"/>
      <c r="AA37" s="681"/>
      <c r="AB37" s="681"/>
      <c r="AC37" s="681"/>
      <c r="AD37" s="681"/>
      <c r="AE37" s="681"/>
      <c r="AF37" s="681">
        <f t="shared" si="13"/>
        <v>16</v>
      </c>
      <c r="AG37" s="691">
        <v>100.0</v>
      </c>
      <c r="AH37" s="704">
        <f t="shared" ref="AH37:AH43" si="18">AF37/AG37</f>
        <v>0.16</v>
      </c>
      <c r="AI37" s="693"/>
      <c r="AJ37" s="693">
        <f t="shared" si="14"/>
        <v>0.2857142857</v>
      </c>
      <c r="AK37" s="691">
        <v>7.0</v>
      </c>
      <c r="AL37" s="700">
        <f t="shared" si="15"/>
        <v>16</v>
      </c>
      <c r="AM37" s="691">
        <v>2.0</v>
      </c>
      <c r="AN37" s="693">
        <f t="shared" si="16"/>
        <v>0.2857142857</v>
      </c>
      <c r="AO37" s="691">
        <v>7.0</v>
      </c>
      <c r="AP37" s="701">
        <v>2.0</v>
      </c>
      <c r="AQ37" s="702">
        <v>3.0</v>
      </c>
      <c r="AR37" s="702">
        <v>2.0</v>
      </c>
      <c r="AS37" s="703">
        <v>160.0</v>
      </c>
      <c r="AT37" s="704">
        <f t="shared" si="17"/>
        <v>0.1</v>
      </c>
    </row>
    <row r="38" ht="15.75" customHeight="1">
      <c r="A38" s="681" t="s">
        <v>2627</v>
      </c>
      <c r="B38" s="691">
        <v>2.0</v>
      </c>
      <c r="C38" s="691">
        <v>1.0</v>
      </c>
      <c r="D38" s="691">
        <v>2.0</v>
      </c>
      <c r="E38" s="691">
        <v>2.0</v>
      </c>
      <c r="F38" s="691">
        <v>1.0</v>
      </c>
      <c r="G38" s="691">
        <v>0.0</v>
      </c>
      <c r="H38" s="691">
        <v>4.0</v>
      </c>
      <c r="I38" s="691">
        <v>5.0</v>
      </c>
      <c r="J38" s="681"/>
      <c r="K38" s="681"/>
      <c r="L38" s="681"/>
      <c r="M38" s="681"/>
      <c r="N38" s="681"/>
      <c r="O38" s="681"/>
      <c r="P38" s="681"/>
      <c r="Q38" s="681"/>
      <c r="R38" s="681"/>
      <c r="S38" s="681"/>
      <c r="T38" s="681"/>
      <c r="U38" s="681"/>
      <c r="V38" s="681"/>
      <c r="W38" s="681"/>
      <c r="X38" s="681"/>
      <c r="Y38" s="681"/>
      <c r="Z38" s="681"/>
      <c r="AA38" s="681"/>
      <c r="AB38" s="681"/>
      <c r="AC38" s="681"/>
      <c r="AD38" s="681"/>
      <c r="AE38" s="681"/>
      <c r="AF38" s="681">
        <f t="shared" si="13"/>
        <v>17</v>
      </c>
      <c r="AG38" s="691">
        <v>131.0</v>
      </c>
      <c r="AH38" s="704">
        <f t="shared" si="18"/>
        <v>0.1297709924</v>
      </c>
      <c r="AI38" s="693"/>
      <c r="AJ38" s="693">
        <f t="shared" si="14"/>
        <v>0.3333333333</v>
      </c>
      <c r="AK38" s="691">
        <v>7.0</v>
      </c>
      <c r="AL38" s="700">
        <f t="shared" si="15"/>
        <v>17</v>
      </c>
      <c r="AM38" s="691">
        <v>1.0</v>
      </c>
      <c r="AN38" s="693">
        <f t="shared" si="16"/>
        <v>0.1428571429</v>
      </c>
      <c r="AO38" s="691">
        <v>9.0</v>
      </c>
      <c r="AP38" s="701">
        <v>3.0</v>
      </c>
      <c r="AQ38" s="702">
        <v>1.0</v>
      </c>
      <c r="AR38" s="702">
        <v>6.0</v>
      </c>
      <c r="AS38" s="703">
        <v>110.0</v>
      </c>
      <c r="AT38" s="704">
        <f t="shared" si="17"/>
        <v>0.1545454545</v>
      </c>
    </row>
    <row r="39" ht="15.75" customHeight="1">
      <c r="A39" s="691" t="s">
        <v>3054</v>
      </c>
      <c r="B39" s="691">
        <v>4.0</v>
      </c>
      <c r="C39" s="691">
        <v>9.0</v>
      </c>
      <c r="D39" s="691">
        <v>4.0</v>
      </c>
      <c r="E39" s="691">
        <v>4.0</v>
      </c>
      <c r="F39" s="691">
        <v>9.0</v>
      </c>
      <c r="G39" s="691">
        <v>7.0</v>
      </c>
      <c r="H39" s="691">
        <v>8.0</v>
      </c>
      <c r="I39" s="691">
        <v>1.0</v>
      </c>
      <c r="J39" s="681"/>
      <c r="K39" s="681"/>
      <c r="L39" s="681"/>
      <c r="M39" s="681"/>
      <c r="N39" s="681"/>
      <c r="O39" s="681"/>
      <c r="P39" s="681"/>
      <c r="Q39" s="681"/>
      <c r="R39" s="681"/>
      <c r="S39" s="681"/>
      <c r="T39" s="681"/>
      <c r="U39" s="681"/>
      <c r="V39" s="681"/>
      <c r="W39" s="681"/>
      <c r="X39" s="681"/>
      <c r="Y39" s="681"/>
      <c r="Z39" s="681"/>
      <c r="AA39" s="681"/>
      <c r="AB39" s="681"/>
      <c r="AC39" s="681"/>
      <c r="AD39" s="681"/>
      <c r="AE39" s="681"/>
      <c r="AF39" s="681">
        <f t="shared" si="13"/>
        <v>46</v>
      </c>
      <c r="AG39" s="691">
        <v>57.0</v>
      </c>
      <c r="AH39" s="693">
        <f t="shared" si="18"/>
        <v>0.8070175439</v>
      </c>
      <c r="AI39" s="693"/>
      <c r="AJ39" s="693">
        <f t="shared" si="14"/>
        <v>0.2894736842</v>
      </c>
      <c r="AK39" s="691">
        <v>3.0</v>
      </c>
      <c r="AL39" s="700">
        <f t="shared" si="15"/>
        <v>46</v>
      </c>
      <c r="AM39" s="691">
        <v>1.0</v>
      </c>
      <c r="AN39" s="693">
        <f t="shared" si="16"/>
        <v>0.3333333333</v>
      </c>
      <c r="AO39" s="691">
        <v>38.0</v>
      </c>
      <c r="AP39" s="701">
        <v>11.0</v>
      </c>
      <c r="AQ39" s="702">
        <v>8.0</v>
      </c>
      <c r="AR39" s="702">
        <v>18.0</v>
      </c>
      <c r="AS39" s="703">
        <v>75.0</v>
      </c>
      <c r="AT39" s="693">
        <f t="shared" si="17"/>
        <v>0.6133333333</v>
      </c>
    </row>
    <row r="40" ht="15.75" customHeight="1">
      <c r="A40" s="707" t="s">
        <v>3475</v>
      </c>
      <c r="B40" s="691">
        <v>0.0</v>
      </c>
      <c r="C40" s="691">
        <v>1.0</v>
      </c>
      <c r="D40" s="691">
        <v>2.0</v>
      </c>
      <c r="E40" s="691">
        <v>18.0</v>
      </c>
      <c r="F40" s="691">
        <v>2.0</v>
      </c>
      <c r="G40" s="691">
        <v>0.0</v>
      </c>
      <c r="H40" s="691">
        <v>0.0</v>
      </c>
      <c r="I40" s="691">
        <v>2.0</v>
      </c>
      <c r="J40" s="681"/>
      <c r="K40" s="681"/>
      <c r="L40" s="681"/>
      <c r="M40" s="681"/>
      <c r="N40" s="681"/>
      <c r="O40" s="681"/>
      <c r="P40" s="681"/>
      <c r="Q40" s="681"/>
      <c r="R40" s="681"/>
      <c r="S40" s="681"/>
      <c r="T40" s="681"/>
      <c r="U40" s="681"/>
      <c r="V40" s="681"/>
      <c r="W40" s="681"/>
      <c r="X40" s="681"/>
      <c r="Y40" s="681"/>
      <c r="Z40" s="681"/>
      <c r="AA40" s="681"/>
      <c r="AB40" s="681"/>
      <c r="AC40" s="681"/>
      <c r="AD40" s="681"/>
      <c r="AE40" s="681"/>
      <c r="AF40" s="681">
        <f t="shared" si="13"/>
        <v>25</v>
      </c>
      <c r="AG40" s="691">
        <v>50.0</v>
      </c>
      <c r="AH40" s="693">
        <f t="shared" si="18"/>
        <v>0.5</v>
      </c>
      <c r="AI40" s="693"/>
      <c r="AJ40" s="693">
        <f t="shared" si="14"/>
        <v>0.3448275862</v>
      </c>
      <c r="AK40" s="700"/>
      <c r="AL40" s="700">
        <f t="shared" si="15"/>
        <v>25</v>
      </c>
      <c r="AM40" s="691">
        <v>1.0</v>
      </c>
      <c r="AN40" s="693" t="str">
        <f t="shared" si="16"/>
        <v>#DIV/0!</v>
      </c>
      <c r="AO40" s="691">
        <v>29.0</v>
      </c>
      <c r="AP40" s="701">
        <v>10.0</v>
      </c>
      <c r="AQ40" s="702">
        <v>14.0</v>
      </c>
      <c r="AR40" s="702">
        <v>5.0</v>
      </c>
      <c r="AS40" s="694">
        <v>50.0</v>
      </c>
      <c r="AT40" s="693">
        <f t="shared" si="17"/>
        <v>0.5</v>
      </c>
    </row>
    <row r="41" ht="15.75" customHeight="1">
      <c r="A41" s="691" t="s">
        <v>3476</v>
      </c>
      <c r="B41" s="691">
        <v>0.0</v>
      </c>
      <c r="C41" s="691">
        <v>1.0</v>
      </c>
      <c r="D41" s="691">
        <v>1.0</v>
      </c>
      <c r="E41" s="691">
        <v>0.0</v>
      </c>
      <c r="F41" s="691">
        <v>0.0</v>
      </c>
      <c r="G41" s="691">
        <v>0.0</v>
      </c>
      <c r="H41" s="691">
        <v>0.0</v>
      </c>
      <c r="I41" s="691"/>
      <c r="J41" s="681"/>
      <c r="K41" s="681"/>
      <c r="L41" s="681"/>
      <c r="M41" s="681"/>
      <c r="N41" s="681"/>
      <c r="O41" s="681"/>
      <c r="P41" s="681"/>
      <c r="Q41" s="681"/>
      <c r="R41" s="681"/>
      <c r="S41" s="681"/>
      <c r="T41" s="681"/>
      <c r="U41" s="681"/>
      <c r="V41" s="681"/>
      <c r="W41" s="681"/>
      <c r="X41" s="681"/>
      <c r="Y41" s="681"/>
      <c r="Z41" s="681"/>
      <c r="AA41" s="681"/>
      <c r="AB41" s="681"/>
      <c r="AC41" s="681"/>
      <c r="AD41" s="681"/>
      <c r="AE41" s="681"/>
      <c r="AF41" s="681">
        <f t="shared" si="13"/>
        <v>2</v>
      </c>
      <c r="AG41" s="691">
        <v>15.0</v>
      </c>
      <c r="AH41" s="704">
        <f t="shared" si="18"/>
        <v>0.1333333333</v>
      </c>
      <c r="AI41" s="681"/>
      <c r="AJ41" s="693" t="str">
        <f t="shared" si="14"/>
        <v>#DIV/0!</v>
      </c>
      <c r="AK41" s="700">
        <v>4.0</v>
      </c>
      <c r="AL41" s="700">
        <f t="shared" si="15"/>
        <v>2</v>
      </c>
      <c r="AM41" s="681"/>
      <c r="AN41" s="693">
        <f t="shared" si="16"/>
        <v>0</v>
      </c>
      <c r="AO41" s="691">
        <v>0.0</v>
      </c>
      <c r="AP41" s="701">
        <v>7.0</v>
      </c>
      <c r="AQ41" s="702">
        <v>0.0</v>
      </c>
      <c r="AR41" s="702">
        <v>0.0</v>
      </c>
      <c r="AS41" s="694">
        <v>15.0</v>
      </c>
      <c r="AT41" s="693">
        <f t="shared" si="17"/>
        <v>0.1333333333</v>
      </c>
    </row>
    <row r="42" ht="15.75" customHeight="1">
      <c r="A42" s="691" t="s">
        <v>3477</v>
      </c>
      <c r="B42" s="691">
        <v>2.0</v>
      </c>
      <c r="C42" s="691">
        <v>1.0</v>
      </c>
      <c r="D42" s="691">
        <v>2.0</v>
      </c>
      <c r="E42" s="691">
        <v>2.0</v>
      </c>
      <c r="F42" s="691">
        <v>0.0</v>
      </c>
      <c r="G42" s="691">
        <v>0.0</v>
      </c>
      <c r="H42" s="691">
        <v>0.0</v>
      </c>
      <c r="I42" s="691">
        <v>3.0</v>
      </c>
      <c r="J42" s="681"/>
      <c r="K42" s="681"/>
      <c r="L42" s="681"/>
      <c r="M42" s="681"/>
      <c r="N42" s="681"/>
      <c r="O42" s="681"/>
      <c r="P42" s="681"/>
      <c r="Q42" s="681"/>
      <c r="R42" s="681"/>
      <c r="S42" s="681"/>
      <c r="T42" s="681"/>
      <c r="U42" s="681"/>
      <c r="V42" s="681"/>
      <c r="W42" s="681"/>
      <c r="X42" s="681"/>
      <c r="Y42" s="681"/>
      <c r="Z42" s="681"/>
      <c r="AA42" s="681"/>
      <c r="AB42" s="681"/>
      <c r="AC42" s="681"/>
      <c r="AD42" s="681"/>
      <c r="AE42" s="681"/>
      <c r="AF42" s="681">
        <f t="shared" si="13"/>
        <v>10</v>
      </c>
      <c r="AG42" s="691">
        <v>20.0</v>
      </c>
      <c r="AH42" s="693">
        <f t="shared" si="18"/>
        <v>0.5</v>
      </c>
      <c r="AI42" s="681"/>
      <c r="AJ42" s="693">
        <f t="shared" si="14"/>
        <v>1</v>
      </c>
      <c r="AK42" s="700">
        <v>14.0</v>
      </c>
      <c r="AL42" s="700">
        <f t="shared" si="15"/>
        <v>10</v>
      </c>
      <c r="AM42" s="691">
        <v>2.0</v>
      </c>
      <c r="AN42" s="693">
        <f t="shared" si="16"/>
        <v>0.1428571429</v>
      </c>
      <c r="AO42" s="691">
        <v>7.0</v>
      </c>
      <c r="AP42" s="701">
        <v>7.0</v>
      </c>
      <c r="AQ42" s="702">
        <v>0.0</v>
      </c>
      <c r="AR42" s="702">
        <v>0.0</v>
      </c>
      <c r="AS42" s="694">
        <v>20.0</v>
      </c>
      <c r="AT42" s="693">
        <f t="shared" si="17"/>
        <v>0.5</v>
      </c>
    </row>
    <row r="43" ht="15.75" customHeight="1">
      <c r="A43" s="668" t="s">
        <v>2934</v>
      </c>
      <c r="B43" s="672">
        <f t="shared" ref="B43:AG43" si="19">SUM(B34:B42)</f>
        <v>18</v>
      </c>
      <c r="C43" s="672">
        <f t="shared" si="19"/>
        <v>25</v>
      </c>
      <c r="D43" s="672">
        <f t="shared" si="19"/>
        <v>21</v>
      </c>
      <c r="E43" s="672">
        <f t="shared" si="19"/>
        <v>36</v>
      </c>
      <c r="F43" s="672">
        <f t="shared" si="19"/>
        <v>28</v>
      </c>
      <c r="G43" s="672">
        <f t="shared" si="19"/>
        <v>18</v>
      </c>
      <c r="H43" s="672">
        <f t="shared" si="19"/>
        <v>41</v>
      </c>
      <c r="I43" s="672">
        <f t="shared" si="19"/>
        <v>28</v>
      </c>
      <c r="J43" s="672">
        <f t="shared" si="19"/>
        <v>0</v>
      </c>
      <c r="K43" s="672">
        <f t="shared" si="19"/>
        <v>0</v>
      </c>
      <c r="L43" s="672">
        <f t="shared" si="19"/>
        <v>0</v>
      </c>
      <c r="M43" s="672">
        <f t="shared" si="19"/>
        <v>0</v>
      </c>
      <c r="N43" s="672">
        <f t="shared" si="19"/>
        <v>0</v>
      </c>
      <c r="O43" s="672">
        <f t="shared" si="19"/>
        <v>0</v>
      </c>
      <c r="P43" s="672">
        <f t="shared" si="19"/>
        <v>0</v>
      </c>
      <c r="Q43" s="672">
        <f t="shared" si="19"/>
        <v>0</v>
      </c>
      <c r="R43" s="672">
        <f t="shared" si="19"/>
        <v>0</v>
      </c>
      <c r="S43" s="672">
        <f t="shared" si="19"/>
        <v>0</v>
      </c>
      <c r="T43" s="672">
        <f t="shared" si="19"/>
        <v>0</v>
      </c>
      <c r="U43" s="672">
        <f t="shared" si="19"/>
        <v>0</v>
      </c>
      <c r="V43" s="672">
        <f t="shared" si="19"/>
        <v>0</v>
      </c>
      <c r="W43" s="672">
        <f t="shared" si="19"/>
        <v>0</v>
      </c>
      <c r="X43" s="672">
        <f t="shared" si="19"/>
        <v>0</v>
      </c>
      <c r="Y43" s="672">
        <f t="shared" si="19"/>
        <v>0</v>
      </c>
      <c r="Z43" s="672">
        <f t="shared" si="19"/>
        <v>0</v>
      </c>
      <c r="AA43" s="672">
        <f t="shared" si="19"/>
        <v>0</v>
      </c>
      <c r="AB43" s="672">
        <f t="shared" si="19"/>
        <v>0</v>
      </c>
      <c r="AC43" s="672">
        <f t="shared" si="19"/>
        <v>0</v>
      </c>
      <c r="AD43" s="672">
        <f t="shared" si="19"/>
        <v>0</v>
      </c>
      <c r="AE43" s="672">
        <f t="shared" si="19"/>
        <v>0</v>
      </c>
      <c r="AF43" s="672">
        <f t="shared" si="19"/>
        <v>215</v>
      </c>
      <c r="AG43" s="672">
        <f t="shared" si="19"/>
        <v>680</v>
      </c>
      <c r="AH43" s="708">
        <f t="shared" si="18"/>
        <v>0.3161764706</v>
      </c>
      <c r="AI43" s="672"/>
      <c r="AJ43" s="708">
        <f t="shared" si="14"/>
        <v>0.3815789474</v>
      </c>
      <c r="AK43" s="709">
        <f>SUM(AK34:AK42)</f>
        <v>51</v>
      </c>
      <c r="AL43" s="672">
        <f t="shared" si="15"/>
        <v>215</v>
      </c>
      <c r="AM43" s="709">
        <f>SUM(AM34:AM42)</f>
        <v>9</v>
      </c>
      <c r="AN43" s="708">
        <f t="shared" si="16"/>
        <v>0.1764705882</v>
      </c>
      <c r="AO43" s="672">
        <f t="shared" ref="AO43:AS43" si="20">SUM(AO34:AO42)</f>
        <v>152</v>
      </c>
      <c r="AP43" s="710">
        <f t="shared" si="20"/>
        <v>58</v>
      </c>
      <c r="AQ43" s="672">
        <f t="shared" si="20"/>
        <v>41</v>
      </c>
      <c r="AR43" s="672">
        <f t="shared" si="20"/>
        <v>60</v>
      </c>
      <c r="AS43" s="711">
        <f t="shared" si="20"/>
        <v>765</v>
      </c>
      <c r="AT43" s="672"/>
    </row>
    <row r="44" ht="15.75" customHeight="1">
      <c r="A44" s="712"/>
      <c r="B44" s="697" t="s">
        <v>3478</v>
      </c>
      <c r="C44" s="670"/>
      <c r="D44" s="670"/>
      <c r="E44" s="670"/>
      <c r="F44" s="670"/>
      <c r="G44" s="670"/>
      <c r="H44" s="670"/>
      <c r="I44" s="670"/>
      <c r="J44" s="670"/>
      <c r="K44" s="670"/>
      <c r="L44" s="670"/>
      <c r="M44" s="670"/>
      <c r="N44" s="670"/>
      <c r="O44" s="670"/>
      <c r="P44" s="670"/>
      <c r="Q44" s="670"/>
      <c r="R44" s="670"/>
      <c r="S44" s="670"/>
      <c r="T44" s="670"/>
      <c r="U44" s="670"/>
      <c r="V44" s="670"/>
      <c r="W44" s="670"/>
      <c r="X44" s="670"/>
      <c r="Y44" s="670"/>
      <c r="Z44" s="670"/>
      <c r="AA44" s="670"/>
      <c r="AB44" s="670"/>
      <c r="AC44" s="670"/>
      <c r="AD44" s="670"/>
      <c r="AE44" s="671"/>
      <c r="AF44" s="686"/>
      <c r="AG44" s="713" t="s">
        <v>3460</v>
      </c>
      <c r="AH44" s="670"/>
      <c r="AI44" s="670"/>
      <c r="AJ44" s="670"/>
      <c r="AK44" s="714"/>
      <c r="AL44" s="698" t="s">
        <v>2938</v>
      </c>
      <c r="AM44" s="670"/>
      <c r="AN44" s="671"/>
      <c r="AO44" s="677"/>
      <c r="AP44" s="677"/>
      <c r="AQ44" s="677"/>
      <c r="AR44" s="677"/>
      <c r="AS44" s="675" t="s">
        <v>3461</v>
      </c>
      <c r="AT44" s="671"/>
    </row>
    <row r="45" ht="15.75" customHeight="1">
      <c r="A45" s="668" t="s">
        <v>2687</v>
      </c>
      <c r="B45" s="672">
        <v>1.0</v>
      </c>
      <c r="C45" s="672">
        <v>2.0</v>
      </c>
      <c r="D45" s="672">
        <v>3.0</v>
      </c>
      <c r="E45" s="672">
        <v>4.0</v>
      </c>
      <c r="F45" s="672">
        <v>5.0</v>
      </c>
      <c r="G45" s="672">
        <v>6.0</v>
      </c>
      <c r="H45" s="672">
        <v>7.0</v>
      </c>
      <c r="I45" s="672">
        <v>8.0</v>
      </c>
      <c r="J45" s="672">
        <v>9.0</v>
      </c>
      <c r="K45" s="672">
        <v>10.0</v>
      </c>
      <c r="L45" s="672">
        <v>11.0</v>
      </c>
      <c r="M45" s="672">
        <v>12.0</v>
      </c>
      <c r="N45" s="672">
        <v>13.0</v>
      </c>
      <c r="O45" s="672">
        <v>14.0</v>
      </c>
      <c r="P45" s="672">
        <v>15.0</v>
      </c>
      <c r="Q45" s="672">
        <v>16.0</v>
      </c>
      <c r="R45" s="672">
        <v>17.0</v>
      </c>
      <c r="S45" s="672">
        <v>18.0</v>
      </c>
      <c r="T45" s="672">
        <v>19.0</v>
      </c>
      <c r="U45" s="672">
        <v>20.0</v>
      </c>
      <c r="V45" s="672">
        <v>21.0</v>
      </c>
      <c r="W45" s="672">
        <v>22.0</v>
      </c>
      <c r="X45" s="672">
        <v>23.0</v>
      </c>
      <c r="Y45" s="672">
        <v>24.0</v>
      </c>
      <c r="Z45" s="672">
        <v>25.0</v>
      </c>
      <c r="AA45" s="672">
        <v>26.0</v>
      </c>
      <c r="AB45" s="672">
        <v>27.0</v>
      </c>
      <c r="AC45" s="672">
        <v>28.0</v>
      </c>
      <c r="AD45" s="672">
        <v>29.0</v>
      </c>
      <c r="AE45" s="672">
        <v>30.0</v>
      </c>
      <c r="AF45" s="686" t="s">
        <v>3479</v>
      </c>
      <c r="AG45" s="687" t="s">
        <v>3465</v>
      </c>
      <c r="AH45" s="688" t="s">
        <v>3466</v>
      </c>
      <c r="AI45" s="688" t="s">
        <v>2944</v>
      </c>
      <c r="AJ45" s="688" t="s">
        <v>2945</v>
      </c>
      <c r="AK45" s="689" t="s">
        <v>2737</v>
      </c>
      <c r="AL45" s="699" t="s">
        <v>2926</v>
      </c>
      <c r="AM45" s="699" t="s">
        <v>2737</v>
      </c>
      <c r="AN45" s="699" t="s">
        <v>3472</v>
      </c>
      <c r="AO45" s="401" t="s">
        <v>3480</v>
      </c>
      <c r="AP45" s="690" t="s">
        <v>2944</v>
      </c>
      <c r="AQ45" s="690" t="s">
        <v>3467</v>
      </c>
      <c r="AR45" s="690" t="s">
        <v>3329</v>
      </c>
      <c r="AS45" s="679" t="s">
        <v>2923</v>
      </c>
      <c r="AT45" s="680" t="s">
        <v>3466</v>
      </c>
    </row>
    <row r="46" ht="15.75" customHeight="1">
      <c r="A46" s="681" t="s">
        <v>3046</v>
      </c>
      <c r="B46" s="715">
        <f t="shared" ref="B46:C46" si="21">4+1</f>
        <v>5</v>
      </c>
      <c r="C46" s="715">
        <f t="shared" si="21"/>
        <v>5</v>
      </c>
      <c r="D46" s="716">
        <v>5.0</v>
      </c>
      <c r="E46" s="716">
        <v>4.0</v>
      </c>
      <c r="F46" s="716">
        <v>9.0</v>
      </c>
      <c r="G46" s="716">
        <v>1.0</v>
      </c>
      <c r="H46" s="716">
        <v>2.0</v>
      </c>
      <c r="I46" s="716">
        <v>3.0</v>
      </c>
      <c r="J46" s="715"/>
      <c r="K46" s="715"/>
      <c r="L46" s="715"/>
      <c r="M46" s="715"/>
      <c r="N46" s="715"/>
      <c r="O46" s="715"/>
      <c r="P46" s="715"/>
      <c r="Q46" s="715"/>
      <c r="R46" s="715"/>
      <c r="S46" s="715"/>
      <c r="T46" s="715"/>
      <c r="U46" s="715"/>
      <c r="V46" s="715"/>
      <c r="W46" s="715"/>
      <c r="X46" s="715"/>
      <c r="Y46" s="715"/>
      <c r="Z46" s="715"/>
      <c r="AA46" s="715"/>
      <c r="AB46" s="715"/>
      <c r="AC46" s="715"/>
      <c r="AD46" s="715"/>
      <c r="AE46" s="715"/>
      <c r="AF46" s="715">
        <f t="shared" ref="AF46:AF53" si="22">SUM(B46:AE46)</f>
        <v>34</v>
      </c>
      <c r="AG46" s="717">
        <v>167.0</v>
      </c>
      <c r="AH46" s="718">
        <f>AO46/AG46</f>
        <v>0.1736526946</v>
      </c>
      <c r="AI46" s="718"/>
      <c r="AJ46" s="718">
        <f t="shared" ref="AJ46:AJ54" si="23">AP46/AO46</f>
        <v>0.2068965517</v>
      </c>
      <c r="AK46" s="719"/>
      <c r="AL46" s="719">
        <f t="shared" ref="AL46:AL223" si="24">AF46</f>
        <v>34</v>
      </c>
      <c r="AM46" s="719"/>
      <c r="AN46" s="719" t="str">
        <f t="shared" ref="AN46:AN54" si="25">AM46/AK46</f>
        <v>#DIV/0!</v>
      </c>
      <c r="AO46" s="701">
        <v>29.0</v>
      </c>
      <c r="AP46" s="701">
        <f t="shared" ref="AP46:AP54" si="26">AO46-AQ46-AR46</f>
        <v>6</v>
      </c>
      <c r="AQ46" s="701">
        <v>2.0</v>
      </c>
      <c r="AR46" s="701">
        <v>21.0</v>
      </c>
      <c r="AS46" s="720">
        <v>100.0</v>
      </c>
      <c r="AT46" s="693"/>
    </row>
    <row r="47" ht="15.75" customHeight="1">
      <c r="A47" s="681" t="s">
        <v>2624</v>
      </c>
      <c r="B47" s="716">
        <v>4.0</v>
      </c>
      <c r="C47" s="716">
        <v>1.0</v>
      </c>
      <c r="D47" s="716">
        <v>1.0</v>
      </c>
      <c r="E47" s="716">
        <v>2.0</v>
      </c>
      <c r="F47" s="716">
        <v>1.0</v>
      </c>
      <c r="G47" s="716">
        <v>0.0</v>
      </c>
      <c r="H47" s="716">
        <v>1.0</v>
      </c>
      <c r="I47" s="716">
        <v>3.0</v>
      </c>
      <c r="J47" s="715"/>
      <c r="K47" s="715"/>
      <c r="L47" s="715"/>
      <c r="M47" s="715"/>
      <c r="N47" s="715"/>
      <c r="O47" s="715"/>
      <c r="P47" s="715"/>
      <c r="Q47" s="715"/>
      <c r="R47" s="715"/>
      <c r="S47" s="715"/>
      <c r="T47" s="715"/>
      <c r="U47" s="715"/>
      <c r="V47" s="715"/>
      <c r="W47" s="715"/>
      <c r="X47" s="715"/>
      <c r="Y47" s="715"/>
      <c r="Z47" s="715"/>
      <c r="AA47" s="715"/>
      <c r="AB47" s="715"/>
      <c r="AC47" s="715"/>
      <c r="AD47" s="715"/>
      <c r="AE47" s="715"/>
      <c r="AF47" s="715">
        <f t="shared" si="22"/>
        <v>13</v>
      </c>
      <c r="AG47" s="721">
        <v>253.0</v>
      </c>
      <c r="AH47" s="722">
        <f>23/AG47</f>
        <v>0.09090909091</v>
      </c>
      <c r="AI47" s="718"/>
      <c r="AJ47" s="718">
        <f t="shared" si="23"/>
        <v>0.2222222222</v>
      </c>
      <c r="AK47" s="719"/>
      <c r="AL47" s="719">
        <f t="shared" si="24"/>
        <v>13</v>
      </c>
      <c r="AM47" s="719"/>
      <c r="AN47" s="719" t="str">
        <f t="shared" si="25"/>
        <v>#DIV/0!</v>
      </c>
      <c r="AO47" s="701">
        <v>9.0</v>
      </c>
      <c r="AP47" s="701">
        <f t="shared" si="26"/>
        <v>2</v>
      </c>
      <c r="AQ47" s="701">
        <v>1.0</v>
      </c>
      <c r="AR47" s="701">
        <v>6.0</v>
      </c>
      <c r="AS47" s="720">
        <v>200.0</v>
      </c>
      <c r="AT47" s="693"/>
    </row>
    <row r="48" ht="15.75" customHeight="1">
      <c r="A48" s="691" t="s">
        <v>3481</v>
      </c>
      <c r="B48" s="716">
        <v>3.0</v>
      </c>
      <c r="C48" s="716">
        <v>1.0</v>
      </c>
      <c r="D48" s="716">
        <v>1.0</v>
      </c>
      <c r="E48" s="716">
        <v>3.0</v>
      </c>
      <c r="F48" s="716">
        <v>4.0</v>
      </c>
      <c r="G48" s="716">
        <v>2.0</v>
      </c>
      <c r="H48" s="716">
        <v>3.0</v>
      </c>
      <c r="I48" s="716">
        <v>5.0</v>
      </c>
      <c r="J48" s="715"/>
      <c r="K48" s="715"/>
      <c r="L48" s="715"/>
      <c r="M48" s="715"/>
      <c r="N48" s="715"/>
      <c r="O48" s="715"/>
      <c r="P48" s="715"/>
      <c r="Q48" s="715"/>
      <c r="R48" s="715"/>
      <c r="S48" s="715"/>
      <c r="T48" s="715"/>
      <c r="U48" s="715"/>
      <c r="V48" s="715"/>
      <c r="W48" s="715"/>
      <c r="X48" s="715"/>
      <c r="Y48" s="715"/>
      <c r="Z48" s="715"/>
      <c r="AA48" s="715"/>
      <c r="AB48" s="715"/>
      <c r="AC48" s="715"/>
      <c r="AD48" s="715"/>
      <c r="AE48" s="715"/>
      <c r="AF48" s="715">
        <f t="shared" si="22"/>
        <v>22</v>
      </c>
      <c r="AG48" s="706"/>
      <c r="AH48" s="706"/>
      <c r="AI48" s="718"/>
      <c r="AJ48" s="718">
        <f t="shared" si="23"/>
        <v>0.3571428571</v>
      </c>
      <c r="AK48" s="719"/>
      <c r="AL48" s="719">
        <f t="shared" si="24"/>
        <v>22</v>
      </c>
      <c r="AM48" s="719"/>
      <c r="AN48" s="719" t="str">
        <f t="shared" si="25"/>
        <v>#DIV/0!</v>
      </c>
      <c r="AO48" s="701">
        <v>14.0</v>
      </c>
      <c r="AP48" s="701">
        <f t="shared" si="26"/>
        <v>5</v>
      </c>
      <c r="AQ48" s="701">
        <v>2.0</v>
      </c>
      <c r="AR48" s="701">
        <v>7.0</v>
      </c>
      <c r="AS48" s="720"/>
      <c r="AT48" s="693"/>
    </row>
    <row r="49" ht="15.75" customHeight="1">
      <c r="A49" s="681" t="s">
        <v>2622</v>
      </c>
      <c r="B49" s="716">
        <v>3.0</v>
      </c>
      <c r="C49" s="716">
        <v>0.0</v>
      </c>
      <c r="D49" s="716">
        <v>1.0</v>
      </c>
      <c r="E49" s="716">
        <v>1.0</v>
      </c>
      <c r="F49" s="716">
        <v>2.0</v>
      </c>
      <c r="G49" s="716">
        <v>1.0</v>
      </c>
      <c r="H49" s="716">
        <v>0.0</v>
      </c>
      <c r="I49" s="716">
        <v>0.0</v>
      </c>
      <c r="J49" s="715"/>
      <c r="K49" s="715"/>
      <c r="L49" s="715"/>
      <c r="M49" s="715"/>
      <c r="N49" s="715"/>
      <c r="O49" s="715"/>
      <c r="P49" s="715"/>
      <c r="Q49" s="715"/>
      <c r="R49" s="715"/>
      <c r="S49" s="715"/>
      <c r="T49" s="715"/>
      <c r="U49" s="715"/>
      <c r="V49" s="715"/>
      <c r="W49" s="715"/>
      <c r="X49" s="715"/>
      <c r="Y49" s="715"/>
      <c r="Z49" s="715"/>
      <c r="AA49" s="715"/>
      <c r="AB49" s="715"/>
      <c r="AC49" s="715"/>
      <c r="AD49" s="715"/>
      <c r="AE49" s="715"/>
      <c r="AF49" s="715">
        <f t="shared" si="22"/>
        <v>8</v>
      </c>
      <c r="AG49" s="717">
        <v>128.0</v>
      </c>
      <c r="AH49" s="718">
        <f t="shared" ref="AH49:AH54" si="27">AO49/AG49</f>
        <v>0.0625</v>
      </c>
      <c r="AI49" s="718"/>
      <c r="AJ49" s="718">
        <f t="shared" si="23"/>
        <v>0.375</v>
      </c>
      <c r="AK49" s="719"/>
      <c r="AL49" s="719">
        <f t="shared" si="24"/>
        <v>8</v>
      </c>
      <c r="AM49" s="719"/>
      <c r="AN49" s="719" t="str">
        <f t="shared" si="25"/>
        <v>#DIV/0!</v>
      </c>
      <c r="AO49" s="701">
        <v>8.0</v>
      </c>
      <c r="AP49" s="701">
        <f t="shared" si="26"/>
        <v>3</v>
      </c>
      <c r="AQ49" s="701">
        <v>3.0</v>
      </c>
      <c r="AR49" s="701">
        <v>2.0</v>
      </c>
      <c r="AS49" s="720">
        <v>128.0</v>
      </c>
      <c r="AT49" s="693"/>
    </row>
    <row r="50" ht="15.75" customHeight="1">
      <c r="A50" s="681" t="s">
        <v>2627</v>
      </c>
      <c r="B50" s="716">
        <v>2.0</v>
      </c>
      <c r="C50" s="716">
        <v>2.0</v>
      </c>
      <c r="D50" s="716">
        <v>0.0</v>
      </c>
      <c r="E50" s="716">
        <v>0.0</v>
      </c>
      <c r="F50" s="716">
        <v>0.0</v>
      </c>
      <c r="G50" s="716">
        <v>0.0</v>
      </c>
      <c r="H50" s="716">
        <v>0.0</v>
      </c>
      <c r="I50" s="716">
        <v>1.0</v>
      </c>
      <c r="J50" s="715"/>
      <c r="K50" s="715"/>
      <c r="L50" s="715"/>
      <c r="M50" s="715"/>
      <c r="N50" s="715"/>
      <c r="O50" s="715"/>
      <c r="P50" s="715"/>
      <c r="Q50" s="715"/>
      <c r="R50" s="715"/>
      <c r="S50" s="715"/>
      <c r="T50" s="715"/>
      <c r="U50" s="715"/>
      <c r="V50" s="715"/>
      <c r="W50" s="715"/>
      <c r="X50" s="715"/>
      <c r="Y50" s="715"/>
      <c r="Z50" s="715"/>
      <c r="AA50" s="715"/>
      <c r="AB50" s="715"/>
      <c r="AC50" s="715"/>
      <c r="AD50" s="715"/>
      <c r="AE50" s="715"/>
      <c r="AF50" s="715">
        <f t="shared" si="22"/>
        <v>5</v>
      </c>
      <c r="AG50" s="717">
        <v>84.0</v>
      </c>
      <c r="AH50" s="718">
        <f t="shared" si="27"/>
        <v>0.04761904762</v>
      </c>
      <c r="AI50" s="718"/>
      <c r="AJ50" s="718">
        <f t="shared" si="23"/>
        <v>0.5</v>
      </c>
      <c r="AK50" s="719"/>
      <c r="AL50" s="719">
        <f t="shared" si="24"/>
        <v>5</v>
      </c>
      <c r="AM50" s="719"/>
      <c r="AN50" s="719" t="str">
        <f t="shared" si="25"/>
        <v>#DIV/0!</v>
      </c>
      <c r="AO50" s="701">
        <v>4.0</v>
      </c>
      <c r="AP50" s="701">
        <f t="shared" si="26"/>
        <v>2</v>
      </c>
      <c r="AQ50" s="701">
        <v>0.0</v>
      </c>
      <c r="AR50" s="701">
        <v>2.0</v>
      </c>
      <c r="AS50" s="720">
        <v>86.0</v>
      </c>
      <c r="AT50" s="693"/>
    </row>
    <row r="51" ht="15.75" customHeight="1">
      <c r="A51" s="691" t="s">
        <v>3054</v>
      </c>
      <c r="B51" s="716">
        <v>2.0</v>
      </c>
      <c r="C51" s="716">
        <v>0.0</v>
      </c>
      <c r="D51" s="716">
        <v>1.0</v>
      </c>
      <c r="E51" s="716">
        <v>2.0</v>
      </c>
      <c r="F51" s="716">
        <v>1.0</v>
      </c>
      <c r="G51" s="716">
        <v>0.0</v>
      </c>
      <c r="H51" s="716">
        <v>0.0</v>
      </c>
      <c r="I51" s="716">
        <v>1.0</v>
      </c>
      <c r="J51" s="715"/>
      <c r="K51" s="715"/>
      <c r="L51" s="715"/>
      <c r="M51" s="715"/>
      <c r="N51" s="715"/>
      <c r="O51" s="715"/>
      <c r="P51" s="715"/>
      <c r="Q51" s="715"/>
      <c r="R51" s="715"/>
      <c r="S51" s="715"/>
      <c r="T51" s="715"/>
      <c r="U51" s="715"/>
      <c r="V51" s="715"/>
      <c r="W51" s="715"/>
      <c r="X51" s="715"/>
      <c r="Y51" s="715"/>
      <c r="Z51" s="715"/>
      <c r="AA51" s="715"/>
      <c r="AB51" s="715"/>
      <c r="AC51" s="715"/>
      <c r="AD51" s="715"/>
      <c r="AE51" s="715"/>
      <c r="AF51" s="715">
        <f t="shared" si="22"/>
        <v>7</v>
      </c>
      <c r="AG51" s="717">
        <v>22.0</v>
      </c>
      <c r="AH51" s="718">
        <f t="shared" si="27"/>
        <v>0.2727272727</v>
      </c>
      <c r="AI51" s="718"/>
      <c r="AJ51" s="718">
        <f t="shared" si="23"/>
        <v>0.1666666667</v>
      </c>
      <c r="AK51" s="719"/>
      <c r="AL51" s="719">
        <f t="shared" si="24"/>
        <v>7</v>
      </c>
      <c r="AM51" s="719"/>
      <c r="AN51" s="719" t="str">
        <f t="shared" si="25"/>
        <v>#DIV/0!</v>
      </c>
      <c r="AO51" s="701">
        <v>6.0</v>
      </c>
      <c r="AP51" s="701">
        <f t="shared" si="26"/>
        <v>1</v>
      </c>
      <c r="AQ51" s="701">
        <v>0.0</v>
      </c>
      <c r="AR51" s="701">
        <v>5.0</v>
      </c>
      <c r="AS51" s="720">
        <v>45.0</v>
      </c>
      <c r="AT51" s="693"/>
    </row>
    <row r="52" ht="15.75" customHeight="1">
      <c r="A52" s="681" t="s">
        <v>2920</v>
      </c>
      <c r="B52" s="716">
        <v>2.0</v>
      </c>
      <c r="C52" s="716">
        <v>1.0</v>
      </c>
      <c r="D52" s="716">
        <v>2.0</v>
      </c>
      <c r="E52" s="716">
        <v>2.0</v>
      </c>
      <c r="F52" s="716">
        <v>0.0</v>
      </c>
      <c r="G52" s="716">
        <v>0.0</v>
      </c>
      <c r="H52" s="716">
        <v>1.0</v>
      </c>
      <c r="I52" s="716">
        <v>3.0</v>
      </c>
      <c r="J52" s="715"/>
      <c r="K52" s="715"/>
      <c r="L52" s="715"/>
      <c r="M52" s="715"/>
      <c r="N52" s="715"/>
      <c r="O52" s="715"/>
      <c r="P52" s="715"/>
      <c r="Q52" s="715"/>
      <c r="R52" s="715"/>
      <c r="S52" s="715"/>
      <c r="T52" s="715"/>
      <c r="U52" s="715"/>
      <c r="V52" s="715"/>
      <c r="W52" s="715"/>
      <c r="X52" s="715"/>
      <c r="Y52" s="715"/>
      <c r="Z52" s="715"/>
      <c r="AA52" s="715"/>
      <c r="AB52" s="715"/>
      <c r="AC52" s="715"/>
      <c r="AD52" s="715"/>
      <c r="AE52" s="715"/>
      <c r="AF52" s="715">
        <f t="shared" si="22"/>
        <v>11</v>
      </c>
      <c r="AG52" s="723">
        <f>727-678</f>
        <v>49</v>
      </c>
      <c r="AH52" s="718">
        <f t="shared" si="27"/>
        <v>0.1836734694</v>
      </c>
      <c r="AI52" s="718"/>
      <c r="AJ52" s="718">
        <f t="shared" si="23"/>
        <v>0.4444444444</v>
      </c>
      <c r="AK52" s="719"/>
      <c r="AL52" s="719">
        <f t="shared" si="24"/>
        <v>11</v>
      </c>
      <c r="AM52" s="719"/>
      <c r="AN52" s="719" t="str">
        <f t="shared" si="25"/>
        <v>#DIV/0!</v>
      </c>
      <c r="AO52" s="701">
        <v>9.0</v>
      </c>
      <c r="AP52" s="701">
        <f t="shared" si="26"/>
        <v>4</v>
      </c>
      <c r="AQ52" s="701">
        <v>2.0</v>
      </c>
      <c r="AR52" s="701">
        <v>3.0</v>
      </c>
      <c r="AS52" s="720"/>
      <c r="AT52" s="693"/>
    </row>
    <row r="53" ht="15.75" customHeight="1">
      <c r="A53" s="691" t="s">
        <v>3482</v>
      </c>
      <c r="B53" s="716">
        <v>1.0</v>
      </c>
      <c r="C53" s="716">
        <v>1.0</v>
      </c>
      <c r="D53" s="716">
        <v>1.0</v>
      </c>
      <c r="E53" s="716">
        <v>1.0</v>
      </c>
      <c r="F53" s="716">
        <v>1.0</v>
      </c>
      <c r="G53" s="716">
        <v>0.0</v>
      </c>
      <c r="H53" s="716">
        <v>1.0</v>
      </c>
      <c r="I53" s="716">
        <v>2.0</v>
      </c>
      <c r="J53" s="715"/>
      <c r="K53" s="715"/>
      <c r="L53" s="715"/>
      <c r="M53" s="715"/>
      <c r="N53" s="715"/>
      <c r="O53" s="715"/>
      <c r="P53" s="715"/>
      <c r="Q53" s="715"/>
      <c r="R53" s="715"/>
      <c r="S53" s="715"/>
      <c r="T53" s="715"/>
      <c r="U53" s="715"/>
      <c r="V53" s="715"/>
      <c r="W53" s="715"/>
      <c r="X53" s="715"/>
      <c r="Y53" s="715"/>
      <c r="Z53" s="715"/>
      <c r="AA53" s="715"/>
      <c r="AB53" s="715"/>
      <c r="AC53" s="715"/>
      <c r="AD53" s="715"/>
      <c r="AE53" s="715"/>
      <c r="AF53" s="715">
        <f t="shared" si="22"/>
        <v>8</v>
      </c>
      <c r="AG53" s="717">
        <v>24.0</v>
      </c>
      <c r="AH53" s="718">
        <f t="shared" si="27"/>
        <v>0.125</v>
      </c>
      <c r="AI53" s="718"/>
      <c r="AJ53" s="718">
        <f t="shared" si="23"/>
        <v>1</v>
      </c>
      <c r="AK53" s="719"/>
      <c r="AL53" s="719">
        <f t="shared" si="24"/>
        <v>8</v>
      </c>
      <c r="AM53" s="719"/>
      <c r="AN53" s="719" t="str">
        <f t="shared" si="25"/>
        <v>#DIV/0!</v>
      </c>
      <c r="AO53" s="701">
        <v>3.0</v>
      </c>
      <c r="AP53" s="701">
        <f t="shared" si="26"/>
        <v>3</v>
      </c>
      <c r="AQ53" s="701">
        <v>0.0</v>
      </c>
      <c r="AR53" s="701">
        <v>0.0</v>
      </c>
      <c r="AS53" s="720"/>
      <c r="AT53" s="681"/>
    </row>
    <row r="54" ht="15.75" customHeight="1">
      <c r="A54" s="724" t="s">
        <v>2934</v>
      </c>
      <c r="B54" s="725">
        <f t="shared" ref="B54:AG54" si="28">SUM(B46:B53)</f>
        <v>22</v>
      </c>
      <c r="C54" s="725">
        <f t="shared" si="28"/>
        <v>11</v>
      </c>
      <c r="D54" s="725">
        <f t="shared" si="28"/>
        <v>12</v>
      </c>
      <c r="E54" s="725">
        <f t="shared" si="28"/>
        <v>15</v>
      </c>
      <c r="F54" s="725">
        <f t="shared" si="28"/>
        <v>18</v>
      </c>
      <c r="G54" s="725">
        <f t="shared" si="28"/>
        <v>4</v>
      </c>
      <c r="H54" s="725">
        <f t="shared" si="28"/>
        <v>8</v>
      </c>
      <c r="I54" s="725">
        <f t="shared" si="28"/>
        <v>18</v>
      </c>
      <c r="J54" s="725">
        <f t="shared" si="28"/>
        <v>0</v>
      </c>
      <c r="K54" s="725">
        <f t="shared" si="28"/>
        <v>0</v>
      </c>
      <c r="L54" s="725">
        <f t="shared" si="28"/>
        <v>0</v>
      </c>
      <c r="M54" s="725">
        <f t="shared" si="28"/>
        <v>0</v>
      </c>
      <c r="N54" s="725">
        <f t="shared" si="28"/>
        <v>0</v>
      </c>
      <c r="O54" s="725">
        <f t="shared" si="28"/>
        <v>0</v>
      </c>
      <c r="P54" s="725">
        <f t="shared" si="28"/>
        <v>0</v>
      </c>
      <c r="Q54" s="725">
        <f t="shared" si="28"/>
        <v>0</v>
      </c>
      <c r="R54" s="725">
        <f t="shared" si="28"/>
        <v>0</v>
      </c>
      <c r="S54" s="725">
        <f t="shared" si="28"/>
        <v>0</v>
      </c>
      <c r="T54" s="725">
        <f t="shared" si="28"/>
        <v>0</v>
      </c>
      <c r="U54" s="725">
        <f t="shared" si="28"/>
        <v>0</v>
      </c>
      <c r="V54" s="725">
        <f t="shared" si="28"/>
        <v>0</v>
      </c>
      <c r="W54" s="725">
        <f t="shared" si="28"/>
        <v>0</v>
      </c>
      <c r="X54" s="725">
        <f t="shared" si="28"/>
        <v>0</v>
      </c>
      <c r="Y54" s="685">
        <f t="shared" si="28"/>
        <v>0</v>
      </c>
      <c r="Z54" s="685">
        <f t="shared" si="28"/>
        <v>0</v>
      </c>
      <c r="AA54" s="685">
        <f t="shared" si="28"/>
        <v>0</v>
      </c>
      <c r="AB54" s="685">
        <f t="shared" si="28"/>
        <v>0</v>
      </c>
      <c r="AC54" s="685">
        <f t="shared" si="28"/>
        <v>0</v>
      </c>
      <c r="AD54" s="685">
        <f t="shared" si="28"/>
        <v>0</v>
      </c>
      <c r="AE54" s="685">
        <f t="shared" si="28"/>
        <v>0</v>
      </c>
      <c r="AF54" s="672">
        <f t="shared" si="28"/>
        <v>108</v>
      </c>
      <c r="AG54" s="685">
        <f t="shared" si="28"/>
        <v>727</v>
      </c>
      <c r="AH54" s="726">
        <f t="shared" si="27"/>
        <v>0.1127922971</v>
      </c>
      <c r="AI54" s="727"/>
      <c r="AJ54" s="718">
        <f t="shared" si="23"/>
        <v>0.3170731707</v>
      </c>
      <c r="AK54" s="685"/>
      <c r="AL54" s="719">
        <f t="shared" si="24"/>
        <v>108</v>
      </c>
      <c r="AM54" s="685"/>
      <c r="AN54" s="719" t="str">
        <f t="shared" si="25"/>
        <v>#DIV/0!</v>
      </c>
      <c r="AO54" s="711">
        <f>SUM(AO46:AO53)</f>
        <v>82</v>
      </c>
      <c r="AP54" s="701">
        <f t="shared" si="26"/>
        <v>26</v>
      </c>
      <c r="AQ54" s="711">
        <f t="shared" ref="AQ54:AR54" si="29">SUM(AQ46:AQ53)</f>
        <v>10</v>
      </c>
      <c r="AR54" s="711">
        <f t="shared" si="29"/>
        <v>46</v>
      </c>
      <c r="AS54" s="685"/>
      <c r="AT54" s="672"/>
    </row>
    <row r="55" ht="15.75" customHeight="1">
      <c r="A55" s="668"/>
      <c r="B55" s="697" t="s">
        <v>3483</v>
      </c>
      <c r="C55" s="670"/>
      <c r="D55" s="670"/>
      <c r="E55" s="670"/>
      <c r="F55" s="670"/>
      <c r="G55" s="670"/>
      <c r="H55" s="670"/>
      <c r="I55" s="670"/>
      <c r="J55" s="670"/>
      <c r="K55" s="670"/>
      <c r="L55" s="670"/>
      <c r="M55" s="670"/>
      <c r="N55" s="670"/>
      <c r="O55" s="670"/>
      <c r="P55" s="670"/>
      <c r="Q55" s="670"/>
      <c r="R55" s="670"/>
      <c r="S55" s="670"/>
      <c r="T55" s="670"/>
      <c r="U55" s="670"/>
      <c r="V55" s="670"/>
      <c r="W55" s="670"/>
      <c r="X55" s="670"/>
      <c r="Y55" s="670"/>
      <c r="Z55" s="670"/>
      <c r="AA55" s="670"/>
      <c r="AB55" s="670"/>
      <c r="AC55" s="670"/>
      <c r="AD55" s="670"/>
      <c r="AE55" s="671"/>
      <c r="AF55" s="686"/>
      <c r="AG55" s="728" t="s">
        <v>3460</v>
      </c>
      <c r="AH55" s="729"/>
      <c r="AI55" s="729"/>
      <c r="AJ55" s="729"/>
      <c r="AK55" s="729"/>
      <c r="AL55" s="719" t="str">
        <f t="shared" si="24"/>
        <v/>
      </c>
      <c r="AM55" s="729"/>
      <c r="AN55" s="730"/>
      <c r="AO55" s="677"/>
      <c r="AP55" s="677"/>
      <c r="AQ55" s="677"/>
      <c r="AR55" s="677"/>
      <c r="AS55" s="675" t="s">
        <v>3461</v>
      </c>
      <c r="AT55" s="671"/>
    </row>
    <row r="56" ht="15.75" customHeight="1">
      <c r="A56" s="668" t="s">
        <v>2960</v>
      </c>
      <c r="B56" s="731">
        <v>1.0</v>
      </c>
      <c r="C56" s="731">
        <v>2.0</v>
      </c>
      <c r="D56" s="731">
        <v>3.0</v>
      </c>
      <c r="E56" s="672">
        <v>4.0</v>
      </c>
      <c r="F56" s="672">
        <v>5.0</v>
      </c>
      <c r="G56" s="672">
        <v>6.0</v>
      </c>
      <c r="H56" s="672">
        <v>7.0</v>
      </c>
      <c r="I56" s="672">
        <v>8.0</v>
      </c>
      <c r="J56" s="672">
        <v>9.0</v>
      </c>
      <c r="K56" s="672">
        <v>10.0</v>
      </c>
      <c r="L56" s="672">
        <v>11.0</v>
      </c>
      <c r="M56" s="672">
        <v>12.0</v>
      </c>
      <c r="N56" s="672">
        <v>13.0</v>
      </c>
      <c r="O56" s="672">
        <v>14.0</v>
      </c>
      <c r="P56" s="672">
        <v>15.0</v>
      </c>
      <c r="Q56" s="672">
        <v>16.0</v>
      </c>
      <c r="R56" s="672">
        <v>17.0</v>
      </c>
      <c r="S56" s="672">
        <v>18.0</v>
      </c>
      <c r="T56" s="672">
        <v>19.0</v>
      </c>
      <c r="U56" s="672">
        <v>20.0</v>
      </c>
      <c r="V56" s="672">
        <v>21.0</v>
      </c>
      <c r="W56" s="672">
        <v>22.0</v>
      </c>
      <c r="X56" s="672">
        <v>23.0</v>
      </c>
      <c r="Y56" s="672">
        <v>24.0</v>
      </c>
      <c r="Z56" s="672">
        <v>25.0</v>
      </c>
      <c r="AA56" s="672">
        <v>26.0</v>
      </c>
      <c r="AB56" s="672">
        <v>27.0</v>
      </c>
      <c r="AC56" s="672">
        <v>28.0</v>
      </c>
      <c r="AD56" s="672">
        <v>29.0</v>
      </c>
      <c r="AE56" s="672">
        <v>30.0</v>
      </c>
      <c r="AF56" s="686" t="s">
        <v>2934</v>
      </c>
      <c r="AG56" s="687" t="s">
        <v>3465</v>
      </c>
      <c r="AH56" s="688" t="s">
        <v>3466</v>
      </c>
      <c r="AI56" s="688" t="s">
        <v>2944</v>
      </c>
      <c r="AJ56" s="688" t="s">
        <v>2945</v>
      </c>
      <c r="AK56" s="689"/>
      <c r="AL56" s="719" t="str">
        <f t="shared" si="24"/>
        <v>TỔNG</v>
      </c>
      <c r="AM56" s="689"/>
      <c r="AN56" s="689" t="s">
        <v>3484</v>
      </c>
      <c r="AO56" s="401" t="s">
        <v>3485</v>
      </c>
      <c r="AP56" s="690" t="s">
        <v>2944</v>
      </c>
      <c r="AQ56" s="690" t="s">
        <v>3467</v>
      </c>
      <c r="AR56" s="690" t="s">
        <v>3329</v>
      </c>
      <c r="AS56" s="679" t="s">
        <v>2923</v>
      </c>
      <c r="AT56" s="680" t="s">
        <v>3466</v>
      </c>
    </row>
    <row r="57" ht="15.75" customHeight="1">
      <c r="A57" s="732" t="s">
        <v>3046</v>
      </c>
      <c r="B57" s="733">
        <v>6.0</v>
      </c>
      <c r="C57" s="733">
        <v>4.0</v>
      </c>
      <c r="D57" s="733">
        <v>3.0</v>
      </c>
      <c r="E57" s="734">
        <v>2.0</v>
      </c>
      <c r="F57" s="691">
        <v>5.0</v>
      </c>
      <c r="G57" s="691">
        <v>1.0</v>
      </c>
      <c r="H57" s="691">
        <v>3.0</v>
      </c>
      <c r="I57" s="691">
        <v>3.0</v>
      </c>
      <c r="J57" s="681"/>
      <c r="K57" s="681"/>
      <c r="L57" s="681"/>
      <c r="M57" s="681"/>
      <c r="N57" s="681"/>
      <c r="O57" s="681"/>
      <c r="P57" s="681"/>
      <c r="Q57" s="681"/>
      <c r="R57" s="681"/>
      <c r="S57" s="681"/>
      <c r="T57" s="681"/>
      <c r="U57" s="681"/>
      <c r="V57" s="681"/>
      <c r="W57" s="681"/>
      <c r="X57" s="681"/>
      <c r="Y57" s="681"/>
      <c r="Z57" s="681"/>
      <c r="AA57" s="681"/>
      <c r="AB57" s="681"/>
      <c r="AC57" s="681"/>
      <c r="AD57" s="681"/>
      <c r="AE57" s="681"/>
      <c r="AF57" s="681">
        <f t="shared" ref="AF57:AF64" si="30">SUM(B57:AE57)</f>
        <v>27</v>
      </c>
      <c r="AG57" s="692">
        <v>180.0</v>
      </c>
      <c r="AH57" s="735">
        <f>AF57/AG57</f>
        <v>0.15</v>
      </c>
      <c r="AI57" s="736">
        <f t="shared" ref="AI57:AI64" si="31">AG57*AJ57</f>
        <v>68.4</v>
      </c>
      <c r="AJ57" s="735">
        <v>0.38</v>
      </c>
      <c r="AK57" s="735"/>
      <c r="AL57" s="719">
        <f t="shared" si="24"/>
        <v>27</v>
      </c>
      <c r="AM57" s="735"/>
      <c r="AN57" s="735"/>
      <c r="AO57" s="701">
        <f>16+5</f>
        <v>21</v>
      </c>
      <c r="AP57" s="701">
        <f t="shared" ref="AP57:AP64" si="32">AO57-AQ57-AR57</f>
        <v>9</v>
      </c>
      <c r="AQ57" s="701">
        <v>4.0</v>
      </c>
      <c r="AR57" s="701">
        <v>8.0</v>
      </c>
      <c r="AS57" s="694">
        <v>214.0</v>
      </c>
      <c r="AT57" s="693"/>
    </row>
    <row r="58" ht="15.75" customHeight="1">
      <c r="A58" s="732" t="s">
        <v>2624</v>
      </c>
      <c r="B58" s="737">
        <v>9.0</v>
      </c>
      <c r="C58" s="738">
        <f>1+8</f>
        <v>9</v>
      </c>
      <c r="D58" s="739">
        <v>5.0</v>
      </c>
      <c r="E58" s="740">
        <v>18.0</v>
      </c>
      <c r="F58" s="691">
        <v>1.0</v>
      </c>
      <c r="G58" s="691">
        <v>1.0</v>
      </c>
      <c r="H58" s="691">
        <v>6.0</v>
      </c>
      <c r="I58" s="691">
        <v>9.0</v>
      </c>
      <c r="J58" s="681"/>
      <c r="K58" s="681"/>
      <c r="L58" s="681"/>
      <c r="M58" s="681"/>
      <c r="N58" s="681"/>
      <c r="O58" s="681"/>
      <c r="P58" s="681"/>
      <c r="Q58" s="681"/>
      <c r="R58" s="681"/>
      <c r="S58" s="681"/>
      <c r="T58" s="681"/>
      <c r="U58" s="681"/>
      <c r="V58" s="681"/>
      <c r="W58" s="681"/>
      <c r="X58" s="681"/>
      <c r="Y58" s="681"/>
      <c r="Z58" s="681"/>
      <c r="AA58" s="681"/>
      <c r="AB58" s="681"/>
      <c r="AC58" s="681"/>
      <c r="AD58" s="681"/>
      <c r="AE58" s="681"/>
      <c r="AF58" s="681">
        <f t="shared" si="30"/>
        <v>58</v>
      </c>
      <c r="AG58" s="741">
        <v>531.0</v>
      </c>
      <c r="AH58" s="742">
        <f>51/AG58</f>
        <v>0.09604519774</v>
      </c>
      <c r="AI58" s="736">
        <f t="shared" si="31"/>
        <v>201.78</v>
      </c>
      <c r="AJ58" s="735">
        <v>0.38</v>
      </c>
      <c r="AK58" s="735"/>
      <c r="AL58" s="719">
        <f t="shared" si="24"/>
        <v>58</v>
      </c>
      <c r="AM58" s="735"/>
      <c r="AN58" s="735"/>
      <c r="AO58" s="701">
        <v>34.0</v>
      </c>
      <c r="AP58" s="701">
        <f t="shared" si="32"/>
        <v>6</v>
      </c>
      <c r="AQ58" s="701">
        <v>4.0</v>
      </c>
      <c r="AR58" s="701">
        <v>24.0</v>
      </c>
      <c r="AS58" s="694">
        <v>540.0</v>
      </c>
      <c r="AT58" s="693"/>
    </row>
    <row r="59" ht="15.75" customHeight="1">
      <c r="A59" s="691" t="s">
        <v>3481</v>
      </c>
      <c r="B59" s="733"/>
      <c r="C59" s="733"/>
      <c r="D59" s="743"/>
      <c r="E59" s="740">
        <v>1.0</v>
      </c>
      <c r="F59" s="691">
        <v>2.0</v>
      </c>
      <c r="G59" s="691">
        <v>2.0</v>
      </c>
      <c r="H59" s="691">
        <v>1.0</v>
      </c>
      <c r="I59" s="691">
        <v>3.0</v>
      </c>
      <c r="J59" s="681"/>
      <c r="K59" s="681"/>
      <c r="L59" s="681"/>
      <c r="M59" s="681"/>
      <c r="N59" s="681"/>
      <c r="O59" s="681"/>
      <c r="P59" s="681"/>
      <c r="Q59" s="681"/>
      <c r="R59" s="681"/>
      <c r="S59" s="681"/>
      <c r="T59" s="681"/>
      <c r="U59" s="681"/>
      <c r="V59" s="681"/>
      <c r="W59" s="681"/>
      <c r="X59" s="681"/>
      <c r="Y59" s="681"/>
      <c r="Z59" s="681"/>
      <c r="AA59" s="681"/>
      <c r="AB59" s="681"/>
      <c r="AC59" s="681"/>
      <c r="AD59" s="681"/>
      <c r="AE59" s="681"/>
      <c r="AF59" s="681">
        <f t="shared" si="30"/>
        <v>9</v>
      </c>
      <c r="AG59" s="706"/>
      <c r="AH59" s="706"/>
      <c r="AI59" s="736" t="str">
        <f t="shared" si="31"/>
        <v>#REF!</v>
      </c>
      <c r="AJ59" s="735" t="str">
        <f>AI59/AG59</f>
        <v>#REF!</v>
      </c>
      <c r="AK59" s="735"/>
      <c r="AL59" s="719">
        <f t="shared" si="24"/>
        <v>9</v>
      </c>
      <c r="AM59" s="735"/>
      <c r="AN59" s="735"/>
      <c r="AO59" s="701">
        <v>17.0</v>
      </c>
      <c r="AP59" s="701">
        <f t="shared" si="32"/>
        <v>5</v>
      </c>
      <c r="AQ59" s="701">
        <v>1.0</v>
      </c>
      <c r="AR59" s="701">
        <v>11.0</v>
      </c>
      <c r="AS59" s="694"/>
      <c r="AT59" s="693"/>
    </row>
    <row r="60" ht="15.75" customHeight="1">
      <c r="A60" s="732" t="s">
        <v>2622</v>
      </c>
      <c r="B60" s="733">
        <v>6.0</v>
      </c>
      <c r="C60" s="733">
        <v>6.0</v>
      </c>
      <c r="D60" s="733">
        <v>3.0</v>
      </c>
      <c r="E60" s="734">
        <v>11.0</v>
      </c>
      <c r="F60" s="691">
        <v>9.0</v>
      </c>
      <c r="G60" s="691">
        <v>6.0</v>
      </c>
      <c r="H60" s="691">
        <v>17.0</v>
      </c>
      <c r="I60" s="691">
        <v>15.0</v>
      </c>
      <c r="J60" s="681"/>
      <c r="K60" s="681"/>
      <c r="L60" s="681"/>
      <c r="M60" s="681"/>
      <c r="N60" s="681"/>
      <c r="O60" s="681"/>
      <c r="P60" s="681"/>
      <c r="Q60" s="681"/>
      <c r="R60" s="681"/>
      <c r="S60" s="681"/>
      <c r="T60" s="681"/>
      <c r="U60" s="681"/>
      <c r="V60" s="681"/>
      <c r="W60" s="681"/>
      <c r="X60" s="681"/>
      <c r="Y60" s="681"/>
      <c r="Z60" s="681"/>
      <c r="AA60" s="681"/>
      <c r="AB60" s="681"/>
      <c r="AC60" s="681"/>
      <c r="AD60" s="681"/>
      <c r="AE60" s="681"/>
      <c r="AF60" s="681">
        <f t="shared" si="30"/>
        <v>73</v>
      </c>
      <c r="AG60" s="692">
        <v>408.0</v>
      </c>
      <c r="AH60" s="735">
        <f t="shared" ref="AH60:AH62" si="33">AF60/AG60</f>
        <v>0.1789215686</v>
      </c>
      <c r="AI60" s="736">
        <f t="shared" si="31"/>
        <v>159.12</v>
      </c>
      <c r="AJ60" s="735">
        <v>0.39</v>
      </c>
      <c r="AK60" s="735"/>
      <c r="AL60" s="719">
        <f t="shared" si="24"/>
        <v>73</v>
      </c>
      <c r="AM60" s="735"/>
      <c r="AN60" s="735"/>
      <c r="AO60" s="701">
        <v>41.0</v>
      </c>
      <c r="AP60" s="701">
        <f t="shared" si="32"/>
        <v>10</v>
      </c>
      <c r="AQ60" s="701">
        <v>8.0</v>
      </c>
      <c r="AR60" s="701">
        <v>23.0</v>
      </c>
      <c r="AS60" s="694">
        <v>320.0</v>
      </c>
      <c r="AT60" s="693"/>
    </row>
    <row r="61" ht="15.75" customHeight="1">
      <c r="A61" s="732" t="s">
        <v>2627</v>
      </c>
      <c r="B61" s="733">
        <v>3.0</v>
      </c>
      <c r="C61" s="733">
        <v>4.0</v>
      </c>
      <c r="D61" s="733">
        <v>7.0</v>
      </c>
      <c r="E61" s="734">
        <v>4.0</v>
      </c>
      <c r="F61" s="691">
        <v>1.0</v>
      </c>
      <c r="G61" s="691">
        <v>2.0</v>
      </c>
      <c r="H61" s="691">
        <v>10.0</v>
      </c>
      <c r="I61" s="691">
        <v>7.0</v>
      </c>
      <c r="J61" s="681"/>
      <c r="K61" s="681"/>
      <c r="L61" s="681"/>
      <c r="M61" s="681"/>
      <c r="N61" s="681"/>
      <c r="O61" s="681"/>
      <c r="P61" s="681"/>
      <c r="Q61" s="681"/>
      <c r="R61" s="681"/>
      <c r="S61" s="681"/>
      <c r="T61" s="681"/>
      <c r="U61" s="681"/>
      <c r="V61" s="681"/>
      <c r="W61" s="681"/>
      <c r="X61" s="681"/>
      <c r="Y61" s="681"/>
      <c r="Z61" s="681"/>
      <c r="AA61" s="681"/>
      <c r="AB61" s="681"/>
      <c r="AC61" s="681"/>
      <c r="AD61" s="681"/>
      <c r="AE61" s="681"/>
      <c r="AF61" s="681">
        <f t="shared" si="30"/>
        <v>38</v>
      </c>
      <c r="AG61" s="692">
        <v>195.0</v>
      </c>
      <c r="AH61" s="735">
        <f t="shared" si="33"/>
        <v>0.1948717949</v>
      </c>
      <c r="AI61" s="736">
        <f t="shared" si="31"/>
        <v>81.9</v>
      </c>
      <c r="AJ61" s="735">
        <v>0.42</v>
      </c>
      <c r="AK61" s="735"/>
      <c r="AL61" s="719">
        <f t="shared" si="24"/>
        <v>38</v>
      </c>
      <c r="AM61" s="735"/>
      <c r="AN61" s="735"/>
      <c r="AO61" s="701">
        <v>21.0</v>
      </c>
      <c r="AP61" s="701">
        <f t="shared" si="32"/>
        <v>10</v>
      </c>
      <c r="AQ61" s="701">
        <v>3.0</v>
      </c>
      <c r="AR61" s="701">
        <v>8.0</v>
      </c>
      <c r="AS61" s="694">
        <v>234.0</v>
      </c>
      <c r="AT61" s="693"/>
    </row>
    <row r="62" ht="15.75" customHeight="1">
      <c r="A62" s="744" t="s">
        <v>3054</v>
      </c>
      <c r="B62" s="733">
        <v>6.0</v>
      </c>
      <c r="C62" s="733">
        <v>3.0</v>
      </c>
      <c r="D62" s="733">
        <v>5.0</v>
      </c>
      <c r="E62" s="734">
        <v>2.0</v>
      </c>
      <c r="F62" s="691">
        <v>5.0</v>
      </c>
      <c r="G62" s="691">
        <v>3.0</v>
      </c>
      <c r="H62" s="691">
        <v>7.0</v>
      </c>
      <c r="I62" s="691">
        <v>3.0</v>
      </c>
      <c r="J62" s="681"/>
      <c r="K62" s="681"/>
      <c r="L62" s="681"/>
      <c r="M62" s="681"/>
      <c r="N62" s="681"/>
      <c r="O62" s="681"/>
      <c r="P62" s="681"/>
      <c r="Q62" s="681"/>
      <c r="R62" s="681"/>
      <c r="S62" s="681"/>
      <c r="T62" s="681"/>
      <c r="U62" s="681"/>
      <c r="V62" s="681"/>
      <c r="W62" s="681"/>
      <c r="X62" s="681"/>
      <c r="Y62" s="681"/>
      <c r="Z62" s="681"/>
      <c r="AA62" s="681"/>
      <c r="AB62" s="681"/>
      <c r="AC62" s="681"/>
      <c r="AD62" s="681"/>
      <c r="AE62" s="681"/>
      <c r="AF62" s="681">
        <f t="shared" si="30"/>
        <v>34</v>
      </c>
      <c r="AG62" s="692">
        <v>170.0</v>
      </c>
      <c r="AH62" s="735">
        <f t="shared" si="33"/>
        <v>0.2</v>
      </c>
      <c r="AI62" s="736">
        <f t="shared" si="31"/>
        <v>71.4</v>
      </c>
      <c r="AJ62" s="735">
        <v>0.42</v>
      </c>
      <c r="AK62" s="735"/>
      <c r="AL62" s="719">
        <f t="shared" si="24"/>
        <v>34</v>
      </c>
      <c r="AM62" s="735"/>
      <c r="AN62" s="735"/>
      <c r="AO62" s="701">
        <v>24.0</v>
      </c>
      <c r="AP62" s="701">
        <f t="shared" si="32"/>
        <v>8</v>
      </c>
      <c r="AQ62" s="701">
        <v>2.0</v>
      </c>
      <c r="AR62" s="701">
        <v>14.0</v>
      </c>
      <c r="AS62" s="694">
        <v>163.0</v>
      </c>
      <c r="AT62" s="693"/>
    </row>
    <row r="63" ht="15.75" customHeight="1">
      <c r="A63" s="745" t="s">
        <v>2920</v>
      </c>
      <c r="B63" s="746">
        <v>1.0</v>
      </c>
      <c r="C63" s="746">
        <v>6.0</v>
      </c>
      <c r="D63" s="746">
        <v>7.0</v>
      </c>
      <c r="E63" s="747">
        <v>6.0</v>
      </c>
      <c r="F63" s="748">
        <v>0.0</v>
      </c>
      <c r="G63" s="748">
        <v>1.0</v>
      </c>
      <c r="H63" s="748">
        <v>0.0</v>
      </c>
      <c r="I63" s="748">
        <v>3.0</v>
      </c>
      <c r="J63" s="749"/>
      <c r="K63" s="749"/>
      <c r="L63" s="749"/>
      <c r="M63" s="749"/>
      <c r="N63" s="749"/>
      <c r="O63" s="749"/>
      <c r="P63" s="749"/>
      <c r="Q63" s="749"/>
      <c r="R63" s="749"/>
      <c r="S63" s="749"/>
      <c r="T63" s="749"/>
      <c r="U63" s="749"/>
      <c r="V63" s="749"/>
      <c r="W63" s="749"/>
      <c r="X63" s="749"/>
      <c r="Y63" s="749"/>
      <c r="Z63" s="749"/>
      <c r="AA63" s="749"/>
      <c r="AB63" s="749"/>
      <c r="AC63" s="749"/>
      <c r="AD63" s="749"/>
      <c r="AE63" s="749"/>
      <c r="AF63" s="749">
        <f t="shared" si="30"/>
        <v>24</v>
      </c>
      <c r="AG63" s="750">
        <f>AG65-AG64-AG62-AG61-AG60-AG57-AG58</f>
        <v>44</v>
      </c>
      <c r="AH63" s="735">
        <f t="shared" ref="AH63:AH64" si="34">AO63/AG63</f>
        <v>0.5227272727</v>
      </c>
      <c r="AI63" s="736">
        <f t="shared" si="31"/>
        <v>25.96</v>
      </c>
      <c r="AJ63" s="735">
        <v>0.59</v>
      </c>
      <c r="AK63" s="735"/>
      <c r="AL63" s="719">
        <f t="shared" si="24"/>
        <v>24</v>
      </c>
      <c r="AM63" s="735"/>
      <c r="AN63" s="735"/>
      <c r="AO63" s="701">
        <v>23.0</v>
      </c>
      <c r="AP63" s="701">
        <f t="shared" si="32"/>
        <v>9</v>
      </c>
      <c r="AQ63" s="751">
        <v>3.0</v>
      </c>
      <c r="AR63" s="751">
        <v>11.0</v>
      </c>
      <c r="AS63" s="752"/>
      <c r="AT63" s="753"/>
    </row>
    <row r="64" ht="15.75" customHeight="1">
      <c r="A64" s="744" t="s">
        <v>3486</v>
      </c>
      <c r="B64" s="733">
        <v>3.0</v>
      </c>
      <c r="C64" s="733">
        <v>2.0</v>
      </c>
      <c r="D64" s="733">
        <v>1.0</v>
      </c>
      <c r="E64" s="734">
        <v>1.0</v>
      </c>
      <c r="F64" s="691">
        <v>2.0</v>
      </c>
      <c r="G64" s="691">
        <v>0.0</v>
      </c>
      <c r="H64" s="691">
        <v>1.0</v>
      </c>
      <c r="I64" s="691">
        <v>0.0</v>
      </c>
      <c r="J64" s="681"/>
      <c r="K64" s="681"/>
      <c r="L64" s="681"/>
      <c r="M64" s="681"/>
      <c r="N64" s="681"/>
      <c r="O64" s="681"/>
      <c r="P64" s="681"/>
      <c r="Q64" s="681"/>
      <c r="R64" s="681"/>
      <c r="S64" s="681"/>
      <c r="T64" s="681"/>
      <c r="U64" s="681"/>
      <c r="V64" s="681"/>
      <c r="W64" s="681"/>
      <c r="X64" s="681"/>
      <c r="Y64" s="681"/>
      <c r="Z64" s="681"/>
      <c r="AA64" s="681"/>
      <c r="AB64" s="681"/>
      <c r="AC64" s="681"/>
      <c r="AD64" s="681"/>
      <c r="AE64" s="681"/>
      <c r="AF64" s="681">
        <f t="shared" si="30"/>
        <v>10</v>
      </c>
      <c r="AG64" s="692">
        <v>20.0</v>
      </c>
      <c r="AH64" s="754">
        <f t="shared" si="34"/>
        <v>0.35</v>
      </c>
      <c r="AI64" s="736">
        <f t="shared" si="31"/>
        <v>12</v>
      </c>
      <c r="AJ64" s="735">
        <v>0.6</v>
      </c>
      <c r="AK64" s="755"/>
      <c r="AL64" s="719">
        <f t="shared" si="24"/>
        <v>10</v>
      </c>
      <c r="AM64" s="755"/>
      <c r="AN64" s="755"/>
      <c r="AO64" s="702">
        <v>7.0</v>
      </c>
      <c r="AP64" s="701">
        <f t="shared" si="32"/>
        <v>6</v>
      </c>
      <c r="AQ64" s="702">
        <v>0.0</v>
      </c>
      <c r="AR64" s="702">
        <v>1.0</v>
      </c>
      <c r="AS64" s="694"/>
      <c r="AT64" s="681"/>
    </row>
    <row r="65" ht="15.75" customHeight="1">
      <c r="A65" s="668" t="s">
        <v>2934</v>
      </c>
      <c r="B65" s="756">
        <f t="shared" ref="B65:AF65" si="35">SUM(B57:B64)</f>
        <v>34</v>
      </c>
      <c r="C65" s="756">
        <f t="shared" si="35"/>
        <v>34</v>
      </c>
      <c r="D65" s="756">
        <f t="shared" si="35"/>
        <v>31</v>
      </c>
      <c r="E65" s="756">
        <f t="shared" si="35"/>
        <v>45</v>
      </c>
      <c r="F65" s="756">
        <f t="shared" si="35"/>
        <v>25</v>
      </c>
      <c r="G65" s="756">
        <f t="shared" si="35"/>
        <v>16</v>
      </c>
      <c r="H65" s="756">
        <f t="shared" si="35"/>
        <v>45</v>
      </c>
      <c r="I65" s="756">
        <f t="shared" si="35"/>
        <v>43</v>
      </c>
      <c r="J65" s="756">
        <f t="shared" si="35"/>
        <v>0</v>
      </c>
      <c r="K65" s="756">
        <f t="shared" si="35"/>
        <v>0</v>
      </c>
      <c r="L65" s="756">
        <f t="shared" si="35"/>
        <v>0</v>
      </c>
      <c r="M65" s="756">
        <f t="shared" si="35"/>
        <v>0</v>
      </c>
      <c r="N65" s="756">
        <f t="shared" si="35"/>
        <v>0</v>
      </c>
      <c r="O65" s="756">
        <f t="shared" si="35"/>
        <v>0</v>
      </c>
      <c r="P65" s="756">
        <f t="shared" si="35"/>
        <v>0</v>
      </c>
      <c r="Q65" s="756">
        <f t="shared" si="35"/>
        <v>0</v>
      </c>
      <c r="R65" s="756">
        <f t="shared" si="35"/>
        <v>0</v>
      </c>
      <c r="S65" s="756">
        <f t="shared" si="35"/>
        <v>0</v>
      </c>
      <c r="T65" s="756">
        <f t="shared" si="35"/>
        <v>0</v>
      </c>
      <c r="U65" s="756">
        <f t="shared" si="35"/>
        <v>0</v>
      </c>
      <c r="V65" s="756">
        <f t="shared" si="35"/>
        <v>0</v>
      </c>
      <c r="W65" s="756">
        <f t="shared" si="35"/>
        <v>0</v>
      </c>
      <c r="X65" s="756">
        <f t="shared" si="35"/>
        <v>0</v>
      </c>
      <c r="Y65" s="756">
        <f t="shared" si="35"/>
        <v>0</v>
      </c>
      <c r="Z65" s="756">
        <f t="shared" si="35"/>
        <v>0</v>
      </c>
      <c r="AA65" s="756">
        <f t="shared" si="35"/>
        <v>0</v>
      </c>
      <c r="AB65" s="756">
        <f t="shared" si="35"/>
        <v>0</v>
      </c>
      <c r="AC65" s="756">
        <f t="shared" si="35"/>
        <v>0</v>
      </c>
      <c r="AD65" s="756">
        <f t="shared" si="35"/>
        <v>0</v>
      </c>
      <c r="AE65" s="756">
        <f t="shared" si="35"/>
        <v>0</v>
      </c>
      <c r="AF65" s="756">
        <f t="shared" si="35"/>
        <v>273</v>
      </c>
      <c r="AG65" s="678">
        <v>1548.0</v>
      </c>
      <c r="AH65" s="757">
        <f>AF65/AG65</f>
        <v>0.1763565891</v>
      </c>
      <c r="AI65" s="672">
        <f>AJ65*AG65</f>
        <v>619.2</v>
      </c>
      <c r="AJ65" s="718">
        <v>0.4</v>
      </c>
      <c r="AK65" s="677"/>
      <c r="AL65" s="719">
        <f t="shared" si="24"/>
        <v>273</v>
      </c>
      <c r="AM65" s="677"/>
      <c r="AN65" s="677" t="s">
        <v>3487</v>
      </c>
      <c r="AO65" s="710">
        <f t="shared" ref="AO65:AP65" si="36">SUM(AO57:AO64)</f>
        <v>188</v>
      </c>
      <c r="AP65" s="710">
        <f t="shared" si="36"/>
        <v>63</v>
      </c>
      <c r="AQ65" s="672"/>
      <c r="AR65" s="672"/>
      <c r="AS65" s="685"/>
      <c r="AT65" s="672"/>
    </row>
    <row r="66" ht="15.75" customHeight="1">
      <c r="A66" s="668"/>
      <c r="B66" s="697" t="s">
        <v>3488</v>
      </c>
      <c r="C66" s="670"/>
      <c r="D66" s="670"/>
      <c r="E66" s="670"/>
      <c r="F66" s="670"/>
      <c r="G66" s="670"/>
      <c r="H66" s="670"/>
      <c r="I66" s="670"/>
      <c r="J66" s="670"/>
      <c r="K66" s="670"/>
      <c r="L66" s="670"/>
      <c r="M66" s="670"/>
      <c r="N66" s="670"/>
      <c r="O66" s="670"/>
      <c r="P66" s="670"/>
      <c r="Q66" s="670"/>
      <c r="R66" s="670"/>
      <c r="S66" s="670"/>
      <c r="T66" s="670"/>
      <c r="U66" s="670"/>
      <c r="V66" s="670"/>
      <c r="W66" s="670"/>
      <c r="X66" s="670"/>
      <c r="Y66" s="670"/>
      <c r="Z66" s="670"/>
      <c r="AA66" s="670"/>
      <c r="AB66" s="670"/>
      <c r="AC66" s="670"/>
      <c r="AD66" s="670"/>
      <c r="AE66" s="671"/>
      <c r="AF66" s="686"/>
      <c r="AG66" s="728" t="s">
        <v>3460</v>
      </c>
      <c r="AH66" s="729"/>
      <c r="AI66" s="729"/>
      <c r="AJ66" s="729"/>
      <c r="AK66" s="729"/>
      <c r="AL66" s="719" t="str">
        <f t="shared" si="24"/>
        <v/>
      </c>
      <c r="AM66" s="729"/>
      <c r="AN66" s="730"/>
      <c r="AO66" s="677"/>
      <c r="AP66" s="677"/>
      <c r="AQ66" s="677"/>
      <c r="AR66" s="677"/>
      <c r="AS66" s="675" t="s">
        <v>3461</v>
      </c>
      <c r="AT66" s="671"/>
    </row>
    <row r="67" ht="15.75" customHeight="1">
      <c r="A67" s="668" t="s">
        <v>3489</v>
      </c>
      <c r="B67" s="672">
        <v>1.0</v>
      </c>
      <c r="C67" s="672">
        <v>2.0</v>
      </c>
      <c r="D67" s="672">
        <v>3.0</v>
      </c>
      <c r="E67" s="672">
        <v>4.0</v>
      </c>
      <c r="F67" s="672">
        <v>5.0</v>
      </c>
      <c r="G67" s="672">
        <v>6.0</v>
      </c>
      <c r="H67" s="672">
        <v>7.0</v>
      </c>
      <c r="I67" s="672">
        <v>8.0</v>
      </c>
      <c r="J67" s="672">
        <v>9.0</v>
      </c>
      <c r="K67" s="672">
        <v>10.0</v>
      </c>
      <c r="L67" s="672">
        <v>11.0</v>
      </c>
      <c r="M67" s="672">
        <v>12.0</v>
      </c>
      <c r="N67" s="672">
        <v>13.0</v>
      </c>
      <c r="O67" s="672">
        <v>14.0</v>
      </c>
      <c r="P67" s="672">
        <v>15.0</v>
      </c>
      <c r="Q67" s="672">
        <v>16.0</v>
      </c>
      <c r="R67" s="672">
        <v>17.0</v>
      </c>
      <c r="S67" s="672">
        <v>18.0</v>
      </c>
      <c r="T67" s="672">
        <v>19.0</v>
      </c>
      <c r="U67" s="672">
        <v>20.0</v>
      </c>
      <c r="V67" s="672">
        <v>21.0</v>
      </c>
      <c r="W67" s="672">
        <v>22.0</v>
      </c>
      <c r="X67" s="672">
        <v>23.0</v>
      </c>
      <c r="Y67" s="672">
        <v>24.0</v>
      </c>
      <c r="Z67" s="672">
        <v>25.0</v>
      </c>
      <c r="AA67" s="672">
        <v>26.0</v>
      </c>
      <c r="AB67" s="672">
        <v>27.0</v>
      </c>
      <c r="AC67" s="672">
        <v>28.0</v>
      </c>
      <c r="AD67" s="672">
        <v>29.0</v>
      </c>
      <c r="AE67" s="672">
        <v>30.0</v>
      </c>
      <c r="AF67" s="686" t="s">
        <v>2934</v>
      </c>
      <c r="AG67" s="687" t="s">
        <v>3465</v>
      </c>
      <c r="AH67" s="688" t="s">
        <v>3466</v>
      </c>
      <c r="AI67" s="688" t="s">
        <v>2944</v>
      </c>
      <c r="AJ67" s="688" t="s">
        <v>2945</v>
      </c>
      <c r="AK67" s="689"/>
      <c r="AL67" s="719" t="str">
        <f t="shared" si="24"/>
        <v>TỔNG</v>
      </c>
      <c r="AM67" s="689"/>
      <c r="AN67" s="689" t="s">
        <v>2737</v>
      </c>
      <c r="AO67" s="677"/>
      <c r="AP67" s="677"/>
      <c r="AQ67" s="677"/>
      <c r="AR67" s="677"/>
      <c r="AS67" s="679" t="s">
        <v>2923</v>
      </c>
      <c r="AT67" s="680" t="s">
        <v>3466</v>
      </c>
    </row>
    <row r="68" ht="20.25" customHeight="1">
      <c r="A68" s="681" t="s">
        <v>3046</v>
      </c>
      <c r="B68" s="681">
        <v>5.0</v>
      </c>
      <c r="C68" s="681">
        <v>9.0</v>
      </c>
      <c r="D68" s="691">
        <v>2.0</v>
      </c>
      <c r="E68" s="691">
        <v>4.0</v>
      </c>
      <c r="F68" s="691">
        <v>3.0</v>
      </c>
      <c r="G68" s="691">
        <v>2.0</v>
      </c>
      <c r="H68" s="691">
        <v>6.0</v>
      </c>
      <c r="I68" s="691">
        <v>7.0</v>
      </c>
      <c r="J68" s="681"/>
      <c r="K68" s="681"/>
      <c r="L68" s="681"/>
      <c r="M68" s="681"/>
      <c r="N68" s="681"/>
      <c r="O68" s="681"/>
      <c r="P68" s="681"/>
      <c r="Q68" s="681"/>
      <c r="R68" s="681"/>
      <c r="S68" s="681"/>
      <c r="T68" s="681"/>
      <c r="U68" s="681"/>
      <c r="V68" s="681"/>
      <c r="W68" s="681"/>
      <c r="X68" s="681"/>
      <c r="Y68" s="681"/>
      <c r="Z68" s="681"/>
      <c r="AA68" s="681"/>
      <c r="AB68" s="681"/>
      <c r="AC68" s="681"/>
      <c r="AD68" s="681"/>
      <c r="AE68" s="681"/>
      <c r="AF68" s="681">
        <f t="shared" ref="AF68:AF69" si="37">SUM(B68:AE68)</f>
        <v>38</v>
      </c>
      <c r="AG68" s="692">
        <v>170.0</v>
      </c>
      <c r="AH68" s="693">
        <f t="shared" ref="AH68:AH69" si="38">AF68/AG68</f>
        <v>0.2235294118</v>
      </c>
      <c r="AI68" s="758">
        <f t="shared" ref="AI68:AI69" si="39">AG68*AJ68</f>
        <v>51</v>
      </c>
      <c r="AJ68" s="693">
        <v>0.3</v>
      </c>
      <c r="AK68" s="758"/>
      <c r="AL68" s="719">
        <f t="shared" si="24"/>
        <v>38</v>
      </c>
      <c r="AM68" s="758"/>
      <c r="AN68" s="758">
        <v>8.0</v>
      </c>
      <c r="AO68" s="693"/>
      <c r="AP68" s="693"/>
      <c r="AQ68" s="693"/>
      <c r="AR68" s="693"/>
      <c r="AS68" s="694">
        <v>223.0</v>
      </c>
      <c r="AT68" s="693"/>
    </row>
    <row r="69" ht="24.0" customHeight="1">
      <c r="A69" s="681" t="s">
        <v>2624</v>
      </c>
      <c r="B69" s="681">
        <v>2.0</v>
      </c>
      <c r="C69" s="681">
        <v>7.0</v>
      </c>
      <c r="D69" s="691">
        <v>6.0</v>
      </c>
      <c r="E69" s="691">
        <v>7.0</v>
      </c>
      <c r="F69" s="691">
        <v>1.0</v>
      </c>
      <c r="G69" s="691">
        <v>0.0</v>
      </c>
      <c r="H69" s="691">
        <v>14.0</v>
      </c>
      <c r="I69" s="691">
        <v>4.0</v>
      </c>
      <c r="J69" s="681"/>
      <c r="K69" s="681"/>
      <c r="L69" s="681"/>
      <c r="M69" s="681"/>
      <c r="N69" s="681"/>
      <c r="O69" s="681"/>
      <c r="P69" s="681"/>
      <c r="Q69" s="681"/>
      <c r="R69" s="681"/>
      <c r="S69" s="681"/>
      <c r="T69" s="681"/>
      <c r="U69" s="681"/>
      <c r="V69" s="681"/>
      <c r="W69" s="681"/>
      <c r="X69" s="681"/>
      <c r="Y69" s="681"/>
      <c r="Z69" s="681"/>
      <c r="AA69" s="681"/>
      <c r="AB69" s="681"/>
      <c r="AC69" s="681"/>
      <c r="AD69" s="681"/>
      <c r="AE69" s="681"/>
      <c r="AF69" s="681">
        <f t="shared" si="37"/>
        <v>41</v>
      </c>
      <c r="AG69" s="692">
        <v>165.0</v>
      </c>
      <c r="AH69" s="693">
        <f t="shared" si="38"/>
        <v>0.2484848485</v>
      </c>
      <c r="AI69" s="758">
        <f t="shared" si="39"/>
        <v>49.5</v>
      </c>
      <c r="AJ69" s="693">
        <v>0.3</v>
      </c>
      <c r="AK69" s="758"/>
      <c r="AL69" s="719">
        <f t="shared" si="24"/>
        <v>41</v>
      </c>
      <c r="AM69" s="758"/>
      <c r="AN69" s="758">
        <v>7.0</v>
      </c>
      <c r="AO69" s="693"/>
      <c r="AP69" s="693"/>
      <c r="AQ69" s="693"/>
      <c r="AR69" s="693"/>
      <c r="AS69" s="694">
        <v>200.0</v>
      </c>
      <c r="AT69" s="693"/>
    </row>
    <row r="70" ht="27.75" customHeight="1">
      <c r="A70" s="691" t="s">
        <v>3481</v>
      </c>
      <c r="B70" s="691">
        <v>0.0</v>
      </c>
      <c r="C70" s="691">
        <v>0.0</v>
      </c>
      <c r="D70" s="691">
        <v>4.0</v>
      </c>
      <c r="E70" s="691">
        <v>3.0</v>
      </c>
      <c r="F70" s="691">
        <v>1.0</v>
      </c>
      <c r="G70" s="691">
        <v>4.0</v>
      </c>
      <c r="H70" s="691">
        <v>4.0</v>
      </c>
      <c r="I70" s="691">
        <v>5.0</v>
      </c>
      <c r="J70" s="681"/>
      <c r="K70" s="681"/>
      <c r="L70" s="681"/>
      <c r="M70" s="681"/>
      <c r="N70" s="681"/>
      <c r="O70" s="681"/>
      <c r="P70" s="681"/>
      <c r="Q70" s="681"/>
      <c r="R70" s="681"/>
      <c r="S70" s="681"/>
      <c r="T70" s="681"/>
      <c r="U70" s="681"/>
      <c r="V70" s="681"/>
      <c r="W70" s="681"/>
      <c r="X70" s="681"/>
      <c r="Y70" s="681"/>
      <c r="Z70" s="681"/>
      <c r="AA70" s="681"/>
      <c r="AB70" s="681"/>
      <c r="AC70" s="681"/>
      <c r="AD70" s="681"/>
      <c r="AE70" s="681"/>
      <c r="AF70" s="681"/>
      <c r="AG70" s="692"/>
      <c r="AH70" s="693"/>
      <c r="AI70" s="758"/>
      <c r="AJ70" s="693"/>
      <c r="AK70" s="758"/>
      <c r="AL70" s="719" t="str">
        <f t="shared" si="24"/>
        <v/>
      </c>
      <c r="AM70" s="758"/>
      <c r="AN70" s="758"/>
      <c r="AO70" s="693"/>
      <c r="AP70" s="693"/>
      <c r="AQ70" s="693"/>
      <c r="AR70" s="693"/>
      <c r="AS70" s="694"/>
      <c r="AT70" s="693"/>
    </row>
    <row r="71" ht="27.75" customHeight="1">
      <c r="A71" s="681" t="s">
        <v>2622</v>
      </c>
      <c r="B71" s="691">
        <v>6.0</v>
      </c>
      <c r="C71" s="691">
        <v>9.0</v>
      </c>
      <c r="D71" s="691">
        <v>13.0</v>
      </c>
      <c r="E71" s="691">
        <v>7.0</v>
      </c>
      <c r="F71" s="691">
        <v>8.0</v>
      </c>
      <c r="G71" s="691">
        <v>1.0</v>
      </c>
      <c r="H71" s="691">
        <v>11.0</v>
      </c>
      <c r="I71" s="691">
        <v>6.0</v>
      </c>
      <c r="J71" s="681"/>
      <c r="K71" s="681"/>
      <c r="L71" s="681"/>
      <c r="M71" s="681"/>
      <c r="N71" s="681"/>
      <c r="O71" s="681"/>
      <c r="P71" s="681"/>
      <c r="Q71" s="681"/>
      <c r="R71" s="681"/>
      <c r="S71" s="681"/>
      <c r="T71" s="681"/>
      <c r="U71" s="681"/>
      <c r="V71" s="681"/>
      <c r="W71" s="681"/>
      <c r="X71" s="681"/>
      <c r="Y71" s="681"/>
      <c r="Z71" s="681"/>
      <c r="AA71" s="681"/>
      <c r="AB71" s="681"/>
      <c r="AC71" s="681"/>
      <c r="AD71" s="681"/>
      <c r="AE71" s="681"/>
      <c r="AF71" s="681">
        <f t="shared" ref="AF71:AF75" si="40">SUM(B71:AE71)</f>
        <v>61</v>
      </c>
      <c r="AG71" s="692">
        <v>280.0</v>
      </c>
      <c r="AH71" s="693">
        <f t="shared" ref="AH71:AH76" si="41">AF71/AG71</f>
        <v>0.2178571429</v>
      </c>
      <c r="AI71" s="758">
        <f t="shared" ref="AI71:AI75" si="42">AG71*AJ71</f>
        <v>84</v>
      </c>
      <c r="AJ71" s="693">
        <v>0.3</v>
      </c>
      <c r="AK71" s="758"/>
      <c r="AL71" s="719">
        <f t="shared" si="24"/>
        <v>61</v>
      </c>
      <c r="AM71" s="758"/>
      <c r="AN71" s="758">
        <v>13.0</v>
      </c>
      <c r="AO71" s="693"/>
      <c r="AP71" s="693"/>
      <c r="AQ71" s="693"/>
      <c r="AR71" s="693"/>
      <c r="AS71" s="694">
        <v>450.0</v>
      </c>
      <c r="AT71" s="693"/>
    </row>
    <row r="72" ht="15.75" customHeight="1">
      <c r="A72" s="681" t="s">
        <v>2627</v>
      </c>
      <c r="B72" s="691">
        <v>2.0</v>
      </c>
      <c r="C72" s="691">
        <v>2.0</v>
      </c>
      <c r="D72" s="691">
        <v>1.0</v>
      </c>
      <c r="E72" s="691">
        <v>1.0</v>
      </c>
      <c r="F72" s="691">
        <v>1.0</v>
      </c>
      <c r="G72" s="691">
        <v>1.0</v>
      </c>
      <c r="H72" s="691">
        <v>4.0</v>
      </c>
      <c r="I72" s="691">
        <v>9.0</v>
      </c>
      <c r="J72" s="681"/>
      <c r="K72" s="681"/>
      <c r="L72" s="681"/>
      <c r="M72" s="681"/>
      <c r="N72" s="681"/>
      <c r="O72" s="681"/>
      <c r="P72" s="681"/>
      <c r="Q72" s="681"/>
      <c r="R72" s="681"/>
      <c r="S72" s="681"/>
      <c r="T72" s="681"/>
      <c r="U72" s="681"/>
      <c r="V72" s="681"/>
      <c r="W72" s="681"/>
      <c r="X72" s="681"/>
      <c r="Y72" s="681"/>
      <c r="Z72" s="681"/>
      <c r="AA72" s="681"/>
      <c r="AB72" s="681"/>
      <c r="AC72" s="681"/>
      <c r="AD72" s="681"/>
      <c r="AE72" s="681"/>
      <c r="AF72" s="681">
        <f t="shared" si="40"/>
        <v>21</v>
      </c>
      <c r="AG72" s="692">
        <v>65.0</v>
      </c>
      <c r="AH72" s="693">
        <f t="shared" si="41"/>
        <v>0.3230769231</v>
      </c>
      <c r="AI72" s="758">
        <f t="shared" si="42"/>
        <v>19.5</v>
      </c>
      <c r="AJ72" s="693">
        <v>0.3</v>
      </c>
      <c r="AK72" s="758"/>
      <c r="AL72" s="719">
        <f t="shared" si="24"/>
        <v>21</v>
      </c>
      <c r="AM72" s="758"/>
      <c r="AN72" s="758">
        <v>4.0</v>
      </c>
      <c r="AO72" s="693"/>
      <c r="AP72" s="693"/>
      <c r="AQ72" s="693"/>
      <c r="AR72" s="693"/>
      <c r="AS72" s="694">
        <v>71.0</v>
      </c>
      <c r="AT72" s="693"/>
    </row>
    <row r="73" ht="15.75" customHeight="1">
      <c r="A73" s="691" t="s">
        <v>3054</v>
      </c>
      <c r="B73" s="691">
        <v>2.0</v>
      </c>
      <c r="C73" s="691">
        <v>1.0</v>
      </c>
      <c r="D73" s="691">
        <v>3.0</v>
      </c>
      <c r="E73" s="691">
        <v>1.0</v>
      </c>
      <c r="F73" s="681"/>
      <c r="G73" s="691">
        <v>0.0</v>
      </c>
      <c r="H73" s="691">
        <v>0.0</v>
      </c>
      <c r="I73" s="691">
        <v>3.0</v>
      </c>
      <c r="J73" s="681"/>
      <c r="K73" s="681"/>
      <c r="L73" s="681"/>
      <c r="M73" s="681"/>
      <c r="N73" s="681"/>
      <c r="O73" s="681"/>
      <c r="P73" s="681"/>
      <c r="Q73" s="681"/>
      <c r="R73" s="681"/>
      <c r="S73" s="681"/>
      <c r="T73" s="681"/>
      <c r="U73" s="681"/>
      <c r="V73" s="681"/>
      <c r="W73" s="681"/>
      <c r="X73" s="681"/>
      <c r="Y73" s="681"/>
      <c r="Z73" s="681"/>
      <c r="AA73" s="681"/>
      <c r="AB73" s="681"/>
      <c r="AC73" s="681"/>
      <c r="AD73" s="681"/>
      <c r="AE73" s="681"/>
      <c r="AF73" s="681">
        <f t="shared" si="40"/>
        <v>10</v>
      </c>
      <c r="AG73" s="692">
        <v>15.0</v>
      </c>
      <c r="AH73" s="693">
        <f t="shared" si="41"/>
        <v>0.6666666667</v>
      </c>
      <c r="AI73" s="758">
        <f t="shared" si="42"/>
        <v>6.9</v>
      </c>
      <c r="AJ73" s="693">
        <v>0.46</v>
      </c>
      <c r="AK73" s="758"/>
      <c r="AL73" s="719">
        <f t="shared" si="24"/>
        <v>10</v>
      </c>
      <c r="AM73" s="758"/>
      <c r="AN73" s="758">
        <v>5.0</v>
      </c>
      <c r="AO73" s="693"/>
      <c r="AP73" s="693"/>
      <c r="AQ73" s="693"/>
      <c r="AR73" s="693"/>
      <c r="AS73" s="694">
        <v>105.0</v>
      </c>
      <c r="AT73" s="693"/>
    </row>
    <row r="74" ht="15.75" customHeight="1">
      <c r="A74" s="681" t="s">
        <v>2920</v>
      </c>
      <c r="B74" s="681">
        <v>1.0</v>
      </c>
      <c r="C74" s="681">
        <v>0.0</v>
      </c>
      <c r="D74" s="681">
        <v>2.0</v>
      </c>
      <c r="E74" s="691"/>
      <c r="F74" s="691">
        <v>4.0</v>
      </c>
      <c r="G74" s="691">
        <v>0.0</v>
      </c>
      <c r="H74" s="691">
        <v>5.0</v>
      </c>
      <c r="I74" s="691">
        <v>6.0</v>
      </c>
      <c r="J74" s="681"/>
      <c r="K74" s="681"/>
      <c r="L74" s="681"/>
      <c r="M74" s="681"/>
      <c r="N74" s="681"/>
      <c r="O74" s="681"/>
      <c r="P74" s="681"/>
      <c r="Q74" s="681"/>
      <c r="R74" s="681"/>
      <c r="S74" s="681"/>
      <c r="T74" s="681"/>
      <c r="U74" s="681"/>
      <c r="V74" s="681"/>
      <c r="W74" s="681"/>
      <c r="X74" s="681"/>
      <c r="Y74" s="681"/>
      <c r="Z74" s="681"/>
      <c r="AA74" s="681"/>
      <c r="AB74" s="681"/>
      <c r="AC74" s="681"/>
      <c r="AD74" s="681"/>
      <c r="AE74" s="681"/>
      <c r="AF74" s="681">
        <f t="shared" si="40"/>
        <v>18</v>
      </c>
      <c r="AG74" s="692">
        <v>42.0</v>
      </c>
      <c r="AH74" s="693">
        <f t="shared" si="41"/>
        <v>0.4285714286</v>
      </c>
      <c r="AI74" s="758">
        <f t="shared" si="42"/>
        <v>16.8</v>
      </c>
      <c r="AJ74" s="693">
        <v>0.4</v>
      </c>
      <c r="AK74" s="758"/>
      <c r="AL74" s="719">
        <f t="shared" si="24"/>
        <v>18</v>
      </c>
      <c r="AM74" s="758"/>
      <c r="AN74" s="758">
        <v>5.0</v>
      </c>
      <c r="AO74" s="693"/>
      <c r="AP74" s="693"/>
      <c r="AQ74" s="693"/>
      <c r="AR74" s="693"/>
      <c r="AS74" s="694"/>
      <c r="AT74" s="693"/>
    </row>
    <row r="75" ht="15.75" customHeight="1">
      <c r="A75" s="691" t="s">
        <v>3490</v>
      </c>
      <c r="B75" s="681">
        <v>5.0</v>
      </c>
      <c r="C75" s="681">
        <v>4.0</v>
      </c>
      <c r="D75" s="681">
        <v>0.0</v>
      </c>
      <c r="E75" s="691">
        <v>0.0</v>
      </c>
      <c r="F75" s="681"/>
      <c r="G75" s="691">
        <v>0.0</v>
      </c>
      <c r="H75" s="681"/>
      <c r="I75" s="691">
        <v>0.0</v>
      </c>
      <c r="J75" s="681"/>
      <c r="K75" s="681"/>
      <c r="L75" s="681"/>
      <c r="M75" s="681"/>
      <c r="N75" s="681"/>
      <c r="O75" s="681"/>
      <c r="P75" s="681"/>
      <c r="Q75" s="681"/>
      <c r="R75" s="681"/>
      <c r="S75" s="681"/>
      <c r="T75" s="681"/>
      <c r="U75" s="681"/>
      <c r="V75" s="681"/>
      <c r="W75" s="681"/>
      <c r="X75" s="681"/>
      <c r="Y75" s="681"/>
      <c r="Z75" s="681"/>
      <c r="AA75" s="681"/>
      <c r="AB75" s="681"/>
      <c r="AC75" s="681"/>
      <c r="AD75" s="681"/>
      <c r="AE75" s="681"/>
      <c r="AF75" s="681">
        <f t="shared" si="40"/>
        <v>9</v>
      </c>
      <c r="AG75" s="692">
        <v>50.0</v>
      </c>
      <c r="AH75" s="693">
        <f t="shared" si="41"/>
        <v>0.18</v>
      </c>
      <c r="AI75" s="758">
        <f t="shared" si="42"/>
        <v>24</v>
      </c>
      <c r="AJ75" s="693">
        <v>0.48</v>
      </c>
      <c r="AK75" s="758"/>
      <c r="AL75" s="719">
        <f t="shared" si="24"/>
        <v>9</v>
      </c>
      <c r="AM75" s="758"/>
      <c r="AN75" s="758">
        <v>8.0</v>
      </c>
      <c r="AO75" s="693"/>
      <c r="AP75" s="693"/>
      <c r="AQ75" s="693"/>
      <c r="AR75" s="693"/>
      <c r="AS75" s="694"/>
      <c r="AT75" s="693"/>
    </row>
    <row r="76" ht="15.75" customHeight="1">
      <c r="A76" s="668" t="s">
        <v>2934</v>
      </c>
      <c r="B76" s="756">
        <f t="shared" ref="B76:AG76" si="43">SUM(B68:B75)</f>
        <v>23</v>
      </c>
      <c r="C76" s="756">
        <f t="shared" si="43"/>
        <v>32</v>
      </c>
      <c r="D76" s="756">
        <f t="shared" si="43"/>
        <v>31</v>
      </c>
      <c r="E76" s="756">
        <f t="shared" si="43"/>
        <v>23</v>
      </c>
      <c r="F76" s="756">
        <f t="shared" si="43"/>
        <v>18</v>
      </c>
      <c r="G76" s="756">
        <f t="shared" si="43"/>
        <v>8</v>
      </c>
      <c r="H76" s="756">
        <f t="shared" si="43"/>
        <v>44</v>
      </c>
      <c r="I76" s="756">
        <f t="shared" si="43"/>
        <v>40</v>
      </c>
      <c r="J76" s="756">
        <f t="shared" si="43"/>
        <v>0</v>
      </c>
      <c r="K76" s="756">
        <f t="shared" si="43"/>
        <v>0</v>
      </c>
      <c r="L76" s="756">
        <f t="shared" si="43"/>
        <v>0</v>
      </c>
      <c r="M76" s="756">
        <f t="shared" si="43"/>
        <v>0</v>
      </c>
      <c r="N76" s="756">
        <f t="shared" si="43"/>
        <v>0</v>
      </c>
      <c r="O76" s="756">
        <f t="shared" si="43"/>
        <v>0</v>
      </c>
      <c r="P76" s="756">
        <f t="shared" si="43"/>
        <v>0</v>
      </c>
      <c r="Q76" s="756">
        <f t="shared" si="43"/>
        <v>0</v>
      </c>
      <c r="R76" s="756">
        <f t="shared" si="43"/>
        <v>0</v>
      </c>
      <c r="S76" s="756">
        <f t="shared" si="43"/>
        <v>0</v>
      </c>
      <c r="T76" s="756">
        <f t="shared" si="43"/>
        <v>0</v>
      </c>
      <c r="U76" s="756">
        <f t="shared" si="43"/>
        <v>0</v>
      </c>
      <c r="V76" s="756">
        <f t="shared" si="43"/>
        <v>0</v>
      </c>
      <c r="W76" s="756">
        <f t="shared" si="43"/>
        <v>0</v>
      </c>
      <c r="X76" s="756">
        <f t="shared" si="43"/>
        <v>0</v>
      </c>
      <c r="Y76" s="756">
        <f t="shared" si="43"/>
        <v>0</v>
      </c>
      <c r="Z76" s="756">
        <f t="shared" si="43"/>
        <v>0</v>
      </c>
      <c r="AA76" s="756">
        <f t="shared" si="43"/>
        <v>0</v>
      </c>
      <c r="AB76" s="756">
        <f t="shared" si="43"/>
        <v>0</v>
      </c>
      <c r="AC76" s="756">
        <f t="shared" si="43"/>
        <v>0</v>
      </c>
      <c r="AD76" s="756">
        <f t="shared" si="43"/>
        <v>0</v>
      </c>
      <c r="AE76" s="756">
        <f t="shared" si="43"/>
        <v>0</v>
      </c>
      <c r="AF76" s="756">
        <f t="shared" si="43"/>
        <v>198</v>
      </c>
      <c r="AG76" s="685">
        <f t="shared" si="43"/>
        <v>787</v>
      </c>
      <c r="AH76" s="757">
        <f t="shared" si="41"/>
        <v>0.25158831</v>
      </c>
      <c r="AI76" s="759">
        <f>SUM(AI68:AI75)</f>
        <v>251.7</v>
      </c>
      <c r="AJ76" s="695">
        <v>0.32</v>
      </c>
      <c r="AK76" s="672"/>
      <c r="AL76" s="719">
        <f t="shared" si="24"/>
        <v>198</v>
      </c>
      <c r="AM76" s="672"/>
      <c r="AN76" s="759">
        <f>SUM(AN68:AN75)</f>
        <v>50</v>
      </c>
      <c r="AO76" s="672"/>
      <c r="AP76" s="672"/>
      <c r="AQ76" s="672"/>
      <c r="AR76" s="672"/>
      <c r="AS76" s="711">
        <f>SUM(AS68:AS75)</f>
        <v>1049</v>
      </c>
      <c r="AT76" s="672"/>
    </row>
    <row r="77" ht="15.75" customHeight="1">
      <c r="A77" s="760"/>
      <c r="B77" s="760"/>
      <c r="C77" s="760"/>
      <c r="D77" s="760"/>
      <c r="E77" s="760"/>
      <c r="F77" s="760"/>
      <c r="G77" s="760"/>
      <c r="H77" s="760"/>
      <c r="I77" s="760"/>
      <c r="J77" s="760"/>
      <c r="K77" s="760"/>
      <c r="L77" s="760"/>
      <c r="M77" s="760"/>
      <c r="N77" s="760"/>
      <c r="O77" s="760"/>
      <c r="P77" s="760"/>
      <c r="Q77" s="760"/>
      <c r="R77" s="760"/>
      <c r="S77" s="760"/>
      <c r="T77" s="760"/>
      <c r="U77" s="760"/>
      <c r="V77" s="760"/>
      <c r="W77" s="760"/>
      <c r="X77" s="760"/>
      <c r="Y77" s="760"/>
      <c r="Z77" s="760"/>
      <c r="AA77" s="760"/>
      <c r="AB77" s="760"/>
      <c r="AC77" s="760"/>
      <c r="AD77" s="760"/>
      <c r="AE77" s="760"/>
      <c r="AF77" s="760"/>
      <c r="AG77" s="761"/>
      <c r="AH77" s="760"/>
      <c r="AI77" s="760">
        <v>252.0</v>
      </c>
      <c r="AJ77" s="760"/>
      <c r="AK77" s="760"/>
      <c r="AL77" s="719" t="str">
        <f t="shared" si="24"/>
        <v/>
      </c>
      <c r="AM77" s="760"/>
      <c r="AN77" s="760"/>
      <c r="AO77" s="760"/>
      <c r="AP77" s="760"/>
      <c r="AQ77" s="760"/>
      <c r="AR77" s="760"/>
      <c r="AS77" s="761"/>
      <c r="AT77" s="760"/>
    </row>
    <row r="78" ht="15.75" hidden="1" customHeight="1">
      <c r="A78" s="762" t="s">
        <v>2944</v>
      </c>
      <c r="B78" s="670"/>
      <c r="C78" s="670"/>
      <c r="D78" s="670"/>
      <c r="E78" s="670"/>
      <c r="F78" s="670"/>
      <c r="G78" s="670"/>
      <c r="H78" s="670"/>
      <c r="I78" s="670"/>
      <c r="J78" s="670"/>
      <c r="K78" s="670"/>
      <c r="L78" s="670"/>
      <c r="M78" s="670"/>
      <c r="N78" s="670"/>
      <c r="O78" s="670"/>
      <c r="P78" s="670"/>
      <c r="Q78" s="670"/>
      <c r="R78" s="670"/>
      <c r="S78" s="670"/>
      <c r="T78" s="670"/>
      <c r="U78" s="670"/>
      <c r="V78" s="670"/>
      <c r="W78" s="670"/>
      <c r="X78" s="670"/>
      <c r="Y78" s="670"/>
      <c r="Z78" s="670"/>
      <c r="AA78" s="670"/>
      <c r="AB78" s="670"/>
      <c r="AC78" s="670"/>
      <c r="AD78" s="670"/>
      <c r="AE78" s="670"/>
      <c r="AF78" s="671"/>
      <c r="AG78" s="763"/>
      <c r="AH78" s="755"/>
      <c r="AI78" s="755"/>
      <c r="AJ78" s="755"/>
      <c r="AK78" s="755"/>
      <c r="AL78" s="719" t="str">
        <f t="shared" si="24"/>
        <v/>
      </c>
      <c r="AM78" s="755"/>
      <c r="AN78" s="755"/>
      <c r="AO78" s="755"/>
      <c r="AP78" s="755"/>
      <c r="AQ78" s="755"/>
      <c r="AR78" s="755"/>
      <c r="AS78" s="763"/>
      <c r="AT78" s="755"/>
    </row>
    <row r="79" ht="15.75" hidden="1" customHeight="1">
      <c r="A79" s="676" t="s">
        <v>3462</v>
      </c>
      <c r="B79" s="672">
        <v>1.0</v>
      </c>
      <c r="C79" s="672">
        <v>2.0</v>
      </c>
      <c r="D79" s="672">
        <v>3.0</v>
      </c>
      <c r="E79" s="672">
        <v>4.0</v>
      </c>
      <c r="F79" s="672">
        <v>5.0</v>
      </c>
      <c r="G79" s="672">
        <v>6.0</v>
      </c>
      <c r="H79" s="672">
        <v>7.0</v>
      </c>
      <c r="I79" s="672">
        <v>8.0</v>
      </c>
      <c r="J79" s="672">
        <v>9.0</v>
      </c>
      <c r="K79" s="672">
        <v>10.0</v>
      </c>
      <c r="L79" s="672">
        <v>11.0</v>
      </c>
      <c r="M79" s="672">
        <v>12.0</v>
      </c>
      <c r="N79" s="672">
        <v>13.0</v>
      </c>
      <c r="O79" s="672">
        <v>14.0</v>
      </c>
      <c r="P79" s="672">
        <v>15.0</v>
      </c>
      <c r="Q79" s="672">
        <v>16.0</v>
      </c>
      <c r="R79" s="672">
        <v>17.0</v>
      </c>
      <c r="S79" s="672">
        <v>18.0</v>
      </c>
      <c r="T79" s="672">
        <v>19.0</v>
      </c>
      <c r="U79" s="672">
        <v>20.0</v>
      </c>
      <c r="V79" s="672">
        <v>21.0</v>
      </c>
      <c r="W79" s="672">
        <v>22.0</v>
      </c>
      <c r="X79" s="672">
        <v>23.0</v>
      </c>
      <c r="Y79" s="672">
        <v>24.0</v>
      </c>
      <c r="Z79" s="672">
        <v>25.0</v>
      </c>
      <c r="AA79" s="672">
        <v>26.0</v>
      </c>
      <c r="AB79" s="672">
        <v>27.0</v>
      </c>
      <c r="AC79" s="672">
        <v>28.0</v>
      </c>
      <c r="AD79" s="672">
        <v>29.0</v>
      </c>
      <c r="AE79" s="672">
        <v>30.0</v>
      </c>
      <c r="AF79" s="677" t="s">
        <v>2934</v>
      </c>
      <c r="AG79" s="678"/>
      <c r="AH79" s="677"/>
      <c r="AI79" s="677"/>
      <c r="AJ79" s="677"/>
      <c r="AK79" s="677"/>
      <c r="AL79" s="719" t="str">
        <f t="shared" si="24"/>
        <v>TỔNG</v>
      </c>
      <c r="AM79" s="677"/>
      <c r="AN79" s="677"/>
      <c r="AO79" s="677"/>
      <c r="AP79" s="677"/>
      <c r="AQ79" s="677"/>
      <c r="AR79" s="677"/>
      <c r="AS79" s="678"/>
      <c r="AT79" s="677"/>
    </row>
    <row r="80" ht="15.75" hidden="1" customHeight="1">
      <c r="A80" s="681" t="s">
        <v>3046</v>
      </c>
      <c r="B80" s="691">
        <v>0.0</v>
      </c>
      <c r="C80" s="691">
        <v>0.0</v>
      </c>
      <c r="D80" s="691">
        <v>0.0</v>
      </c>
      <c r="E80" s="681"/>
      <c r="F80" s="681"/>
      <c r="G80" s="681"/>
      <c r="H80" s="681"/>
      <c r="I80" s="681"/>
      <c r="J80" s="681"/>
      <c r="K80" s="681"/>
      <c r="L80" s="681"/>
      <c r="M80" s="681"/>
      <c r="N80" s="681"/>
      <c r="O80" s="681"/>
      <c r="P80" s="681"/>
      <c r="Q80" s="681"/>
      <c r="R80" s="681"/>
      <c r="S80" s="681"/>
      <c r="T80" s="681"/>
      <c r="U80" s="681"/>
      <c r="V80" s="681"/>
      <c r="W80" s="681"/>
      <c r="X80" s="681"/>
      <c r="Y80" s="681"/>
      <c r="Z80" s="681"/>
      <c r="AA80" s="681"/>
      <c r="AB80" s="681"/>
      <c r="AC80" s="681"/>
      <c r="AD80" s="681"/>
      <c r="AE80" s="681"/>
      <c r="AF80" s="681">
        <f t="shared" ref="AF80:AF86" si="44">SUM(B80:AE80)</f>
        <v>0</v>
      </c>
      <c r="AG80" s="682"/>
      <c r="AH80" s="681"/>
      <c r="AI80" s="681"/>
      <c r="AJ80" s="681"/>
      <c r="AK80" s="681"/>
      <c r="AL80" s="719">
        <f t="shared" si="24"/>
        <v>0</v>
      </c>
      <c r="AM80" s="681"/>
      <c r="AN80" s="681"/>
      <c r="AO80" s="681"/>
      <c r="AP80" s="681"/>
      <c r="AQ80" s="681"/>
      <c r="AR80" s="681"/>
      <c r="AS80" s="682"/>
      <c r="AT80" s="681"/>
    </row>
    <row r="81" ht="15.75" hidden="1" customHeight="1">
      <c r="A81" s="681" t="s">
        <v>2624</v>
      </c>
      <c r="B81" s="691">
        <v>0.0</v>
      </c>
      <c r="C81" s="691">
        <v>0.0</v>
      </c>
      <c r="D81" s="691">
        <v>0.0</v>
      </c>
      <c r="E81" s="681"/>
      <c r="F81" s="681"/>
      <c r="G81" s="681"/>
      <c r="H81" s="681"/>
      <c r="I81" s="681"/>
      <c r="J81" s="681"/>
      <c r="K81" s="681"/>
      <c r="L81" s="681"/>
      <c r="M81" s="681"/>
      <c r="N81" s="681"/>
      <c r="O81" s="681"/>
      <c r="P81" s="681"/>
      <c r="Q81" s="681"/>
      <c r="R81" s="681"/>
      <c r="S81" s="681"/>
      <c r="T81" s="681"/>
      <c r="U81" s="681"/>
      <c r="V81" s="681"/>
      <c r="W81" s="681"/>
      <c r="X81" s="681"/>
      <c r="Y81" s="681"/>
      <c r="Z81" s="681"/>
      <c r="AA81" s="681"/>
      <c r="AB81" s="681"/>
      <c r="AC81" s="681"/>
      <c r="AD81" s="681"/>
      <c r="AE81" s="681"/>
      <c r="AF81" s="681">
        <f t="shared" si="44"/>
        <v>0</v>
      </c>
      <c r="AG81" s="682"/>
      <c r="AH81" s="681"/>
      <c r="AI81" s="681"/>
      <c r="AJ81" s="681"/>
      <c r="AK81" s="681"/>
      <c r="AL81" s="719">
        <f t="shared" si="24"/>
        <v>0</v>
      </c>
      <c r="AM81" s="681"/>
      <c r="AN81" s="681"/>
      <c r="AO81" s="681"/>
      <c r="AP81" s="681"/>
      <c r="AQ81" s="681"/>
      <c r="AR81" s="681"/>
      <c r="AS81" s="682"/>
      <c r="AT81" s="681"/>
    </row>
    <row r="82" ht="15.75" hidden="1" customHeight="1">
      <c r="A82" s="681" t="s">
        <v>2622</v>
      </c>
      <c r="B82" s="691">
        <v>1.0</v>
      </c>
      <c r="C82" s="691">
        <v>1.0</v>
      </c>
      <c r="D82" s="691">
        <v>1.0</v>
      </c>
      <c r="E82" s="681"/>
      <c r="F82" s="681"/>
      <c r="G82" s="681"/>
      <c r="H82" s="681"/>
      <c r="I82" s="681"/>
      <c r="J82" s="681"/>
      <c r="K82" s="681"/>
      <c r="L82" s="681"/>
      <c r="M82" s="681"/>
      <c r="N82" s="681"/>
      <c r="O82" s="681"/>
      <c r="P82" s="681"/>
      <c r="Q82" s="681"/>
      <c r="R82" s="681"/>
      <c r="S82" s="681"/>
      <c r="T82" s="681"/>
      <c r="U82" s="681"/>
      <c r="V82" s="681"/>
      <c r="W82" s="681"/>
      <c r="X82" s="681"/>
      <c r="Y82" s="681"/>
      <c r="Z82" s="681"/>
      <c r="AA82" s="681"/>
      <c r="AB82" s="681"/>
      <c r="AC82" s="681"/>
      <c r="AD82" s="681"/>
      <c r="AE82" s="681"/>
      <c r="AF82" s="681">
        <f t="shared" si="44"/>
        <v>3</v>
      </c>
      <c r="AG82" s="682"/>
      <c r="AH82" s="681"/>
      <c r="AI82" s="681"/>
      <c r="AJ82" s="681"/>
      <c r="AK82" s="681"/>
      <c r="AL82" s="719">
        <f t="shared" si="24"/>
        <v>3</v>
      </c>
      <c r="AM82" s="681"/>
      <c r="AN82" s="681"/>
      <c r="AO82" s="681"/>
      <c r="AP82" s="681"/>
      <c r="AQ82" s="681"/>
      <c r="AR82" s="681"/>
      <c r="AS82" s="682"/>
      <c r="AT82" s="681"/>
    </row>
    <row r="83" ht="15.75" hidden="1" customHeight="1">
      <c r="A83" s="681" t="s">
        <v>2627</v>
      </c>
      <c r="B83" s="691">
        <v>0.0</v>
      </c>
      <c r="C83" s="691">
        <v>0.0</v>
      </c>
      <c r="D83" s="691">
        <v>0.0</v>
      </c>
      <c r="E83" s="681"/>
      <c r="F83" s="681"/>
      <c r="G83" s="681"/>
      <c r="H83" s="681"/>
      <c r="I83" s="681"/>
      <c r="J83" s="681"/>
      <c r="K83" s="681"/>
      <c r="L83" s="681"/>
      <c r="M83" s="681"/>
      <c r="N83" s="681"/>
      <c r="O83" s="681"/>
      <c r="P83" s="681"/>
      <c r="Q83" s="681"/>
      <c r="R83" s="681"/>
      <c r="S83" s="681"/>
      <c r="T83" s="681"/>
      <c r="U83" s="681"/>
      <c r="V83" s="681"/>
      <c r="W83" s="681"/>
      <c r="X83" s="681"/>
      <c r="Y83" s="681"/>
      <c r="Z83" s="681"/>
      <c r="AA83" s="681"/>
      <c r="AB83" s="681"/>
      <c r="AC83" s="681"/>
      <c r="AD83" s="681"/>
      <c r="AE83" s="681"/>
      <c r="AF83" s="681">
        <f t="shared" si="44"/>
        <v>0</v>
      </c>
      <c r="AG83" s="682"/>
      <c r="AH83" s="681"/>
      <c r="AI83" s="681"/>
      <c r="AJ83" s="681"/>
      <c r="AK83" s="681"/>
      <c r="AL83" s="719">
        <f t="shared" si="24"/>
        <v>0</v>
      </c>
      <c r="AM83" s="681"/>
      <c r="AN83" s="681"/>
      <c r="AO83" s="681"/>
      <c r="AP83" s="681"/>
      <c r="AQ83" s="681"/>
      <c r="AR83" s="681"/>
      <c r="AS83" s="682"/>
      <c r="AT83" s="681"/>
    </row>
    <row r="84" ht="15.75" hidden="1" customHeight="1">
      <c r="A84" s="691" t="s">
        <v>3054</v>
      </c>
      <c r="B84" s="691">
        <v>1.0</v>
      </c>
      <c r="C84" s="691">
        <v>1.0</v>
      </c>
      <c r="D84" s="691">
        <v>0.0</v>
      </c>
      <c r="E84" s="681"/>
      <c r="F84" s="681"/>
      <c r="G84" s="681"/>
      <c r="H84" s="681"/>
      <c r="I84" s="681"/>
      <c r="J84" s="681"/>
      <c r="K84" s="681"/>
      <c r="L84" s="681"/>
      <c r="M84" s="681"/>
      <c r="N84" s="681"/>
      <c r="O84" s="681"/>
      <c r="P84" s="681"/>
      <c r="Q84" s="681"/>
      <c r="R84" s="681"/>
      <c r="S84" s="681"/>
      <c r="T84" s="681"/>
      <c r="U84" s="681"/>
      <c r="V84" s="681"/>
      <c r="W84" s="681"/>
      <c r="X84" s="681"/>
      <c r="Y84" s="681"/>
      <c r="Z84" s="681"/>
      <c r="AA84" s="681"/>
      <c r="AB84" s="681"/>
      <c r="AC84" s="681"/>
      <c r="AD84" s="681"/>
      <c r="AE84" s="681"/>
      <c r="AF84" s="681">
        <f t="shared" si="44"/>
        <v>2</v>
      </c>
      <c r="AG84" s="682"/>
      <c r="AH84" s="681"/>
      <c r="AI84" s="681"/>
      <c r="AJ84" s="681"/>
      <c r="AK84" s="681"/>
      <c r="AL84" s="719">
        <f t="shared" si="24"/>
        <v>2</v>
      </c>
      <c r="AM84" s="681"/>
      <c r="AN84" s="681"/>
      <c r="AO84" s="681"/>
      <c r="AP84" s="681"/>
      <c r="AQ84" s="681"/>
      <c r="AR84" s="681"/>
      <c r="AS84" s="682"/>
      <c r="AT84" s="681"/>
    </row>
    <row r="85" ht="15.75" hidden="1" customHeight="1">
      <c r="A85" s="681" t="s">
        <v>2920</v>
      </c>
      <c r="B85" s="681"/>
      <c r="C85" s="681"/>
      <c r="D85" s="681"/>
      <c r="E85" s="681"/>
      <c r="F85" s="681"/>
      <c r="G85" s="681"/>
      <c r="H85" s="681"/>
      <c r="I85" s="681"/>
      <c r="J85" s="681"/>
      <c r="K85" s="681"/>
      <c r="L85" s="681"/>
      <c r="M85" s="681"/>
      <c r="N85" s="681"/>
      <c r="O85" s="681"/>
      <c r="P85" s="681"/>
      <c r="Q85" s="681"/>
      <c r="R85" s="681"/>
      <c r="S85" s="681"/>
      <c r="T85" s="681"/>
      <c r="U85" s="681"/>
      <c r="V85" s="681"/>
      <c r="W85" s="681"/>
      <c r="X85" s="681"/>
      <c r="Y85" s="681"/>
      <c r="Z85" s="681"/>
      <c r="AA85" s="681"/>
      <c r="AB85" s="681"/>
      <c r="AC85" s="681"/>
      <c r="AD85" s="681"/>
      <c r="AE85" s="681"/>
      <c r="AF85" s="681">
        <f t="shared" si="44"/>
        <v>0</v>
      </c>
      <c r="AG85" s="682"/>
      <c r="AH85" s="681"/>
      <c r="AI85" s="681"/>
      <c r="AJ85" s="681"/>
      <c r="AK85" s="681"/>
      <c r="AL85" s="719">
        <f t="shared" si="24"/>
        <v>0</v>
      </c>
      <c r="AM85" s="681"/>
      <c r="AN85" s="681"/>
      <c r="AO85" s="681"/>
      <c r="AP85" s="681"/>
      <c r="AQ85" s="681"/>
      <c r="AR85" s="681"/>
      <c r="AS85" s="682"/>
      <c r="AT85" s="681"/>
    </row>
    <row r="86" ht="15.75" hidden="1" customHeight="1">
      <c r="A86" s="681" t="s">
        <v>3464</v>
      </c>
      <c r="B86" s="681"/>
      <c r="C86" s="681"/>
      <c r="D86" s="681"/>
      <c r="E86" s="681"/>
      <c r="F86" s="681"/>
      <c r="G86" s="681"/>
      <c r="H86" s="681"/>
      <c r="I86" s="681"/>
      <c r="J86" s="681"/>
      <c r="K86" s="681"/>
      <c r="L86" s="681"/>
      <c r="M86" s="681"/>
      <c r="N86" s="681"/>
      <c r="O86" s="681"/>
      <c r="P86" s="681"/>
      <c r="Q86" s="681"/>
      <c r="R86" s="681"/>
      <c r="S86" s="681"/>
      <c r="T86" s="681"/>
      <c r="U86" s="681"/>
      <c r="V86" s="681"/>
      <c r="W86" s="681"/>
      <c r="X86" s="681"/>
      <c r="Y86" s="681"/>
      <c r="Z86" s="681"/>
      <c r="AA86" s="681"/>
      <c r="AB86" s="681"/>
      <c r="AC86" s="681"/>
      <c r="AD86" s="681"/>
      <c r="AE86" s="681"/>
      <c r="AF86" s="681">
        <f t="shared" si="44"/>
        <v>0</v>
      </c>
      <c r="AG86" s="682"/>
      <c r="AH86" s="681"/>
      <c r="AI86" s="681"/>
      <c r="AJ86" s="681"/>
      <c r="AK86" s="681"/>
      <c r="AL86" s="719">
        <f t="shared" si="24"/>
        <v>0</v>
      </c>
      <c r="AM86" s="681"/>
      <c r="AN86" s="681"/>
      <c r="AO86" s="681"/>
      <c r="AP86" s="681"/>
      <c r="AQ86" s="681"/>
      <c r="AR86" s="681"/>
      <c r="AS86" s="682"/>
      <c r="AT86" s="681"/>
    </row>
    <row r="87" ht="15.75" hidden="1" customHeight="1">
      <c r="A87" s="668" t="s">
        <v>2934</v>
      </c>
      <c r="B87" s="672">
        <f t="shared" ref="B87:AF87" si="45">SUM(B80:B86)</f>
        <v>2</v>
      </c>
      <c r="C87" s="672">
        <f t="shared" si="45"/>
        <v>2</v>
      </c>
      <c r="D87" s="672">
        <f t="shared" si="45"/>
        <v>1</v>
      </c>
      <c r="E87" s="672">
        <f t="shared" si="45"/>
        <v>0</v>
      </c>
      <c r="F87" s="672">
        <f t="shared" si="45"/>
        <v>0</v>
      </c>
      <c r="G87" s="672">
        <f t="shared" si="45"/>
        <v>0</v>
      </c>
      <c r="H87" s="672">
        <f t="shared" si="45"/>
        <v>0</v>
      </c>
      <c r="I87" s="672">
        <f t="shared" si="45"/>
        <v>0</v>
      </c>
      <c r="J87" s="672">
        <f t="shared" si="45"/>
        <v>0</v>
      </c>
      <c r="K87" s="672">
        <f t="shared" si="45"/>
        <v>0</v>
      </c>
      <c r="L87" s="672">
        <f t="shared" si="45"/>
        <v>0</v>
      </c>
      <c r="M87" s="672">
        <f t="shared" si="45"/>
        <v>0</v>
      </c>
      <c r="N87" s="672">
        <f t="shared" si="45"/>
        <v>0</v>
      </c>
      <c r="O87" s="672">
        <f t="shared" si="45"/>
        <v>0</v>
      </c>
      <c r="P87" s="672">
        <f t="shared" si="45"/>
        <v>0</v>
      </c>
      <c r="Q87" s="672">
        <f t="shared" si="45"/>
        <v>0</v>
      </c>
      <c r="R87" s="672">
        <f t="shared" si="45"/>
        <v>0</v>
      </c>
      <c r="S87" s="672">
        <f t="shared" si="45"/>
        <v>0</v>
      </c>
      <c r="T87" s="672">
        <f t="shared" si="45"/>
        <v>0</v>
      </c>
      <c r="U87" s="672">
        <f t="shared" si="45"/>
        <v>0</v>
      </c>
      <c r="V87" s="672">
        <f t="shared" si="45"/>
        <v>0</v>
      </c>
      <c r="W87" s="672">
        <f t="shared" si="45"/>
        <v>0</v>
      </c>
      <c r="X87" s="672">
        <f t="shared" si="45"/>
        <v>0</v>
      </c>
      <c r="Y87" s="672">
        <f t="shared" si="45"/>
        <v>0</v>
      </c>
      <c r="Z87" s="672">
        <f t="shared" si="45"/>
        <v>0</v>
      </c>
      <c r="AA87" s="672">
        <f t="shared" si="45"/>
        <v>0</v>
      </c>
      <c r="AB87" s="672">
        <f t="shared" si="45"/>
        <v>0</v>
      </c>
      <c r="AC87" s="672">
        <f t="shared" si="45"/>
        <v>0</v>
      </c>
      <c r="AD87" s="672">
        <f t="shared" si="45"/>
        <v>0</v>
      </c>
      <c r="AE87" s="672">
        <f t="shared" si="45"/>
        <v>0</v>
      </c>
      <c r="AF87" s="672">
        <f t="shared" si="45"/>
        <v>5</v>
      </c>
      <c r="AG87" s="685"/>
      <c r="AH87" s="672"/>
      <c r="AI87" s="672"/>
      <c r="AJ87" s="672"/>
      <c r="AK87" s="672"/>
      <c r="AL87" s="719">
        <f t="shared" si="24"/>
        <v>5</v>
      </c>
      <c r="AM87" s="672"/>
      <c r="AN87" s="672"/>
      <c r="AO87" s="672"/>
      <c r="AP87" s="672"/>
      <c r="AQ87" s="672"/>
      <c r="AR87" s="672"/>
      <c r="AS87" s="685"/>
      <c r="AT87" s="672"/>
    </row>
    <row r="88" ht="15.75" hidden="1" customHeight="1">
      <c r="A88" s="762" t="s">
        <v>2944</v>
      </c>
      <c r="B88" s="670"/>
      <c r="C88" s="670"/>
      <c r="D88" s="670"/>
      <c r="E88" s="670"/>
      <c r="F88" s="670"/>
      <c r="G88" s="670"/>
      <c r="H88" s="670"/>
      <c r="I88" s="670"/>
      <c r="J88" s="670"/>
      <c r="K88" s="670"/>
      <c r="L88" s="670"/>
      <c r="M88" s="670"/>
      <c r="N88" s="670"/>
      <c r="O88" s="670"/>
      <c r="P88" s="670"/>
      <c r="Q88" s="670"/>
      <c r="R88" s="670"/>
      <c r="S88" s="670"/>
      <c r="T88" s="670"/>
      <c r="U88" s="670"/>
      <c r="V88" s="670"/>
      <c r="W88" s="670"/>
      <c r="X88" s="670"/>
      <c r="Y88" s="670"/>
      <c r="Z88" s="670"/>
      <c r="AA88" s="670"/>
      <c r="AB88" s="670"/>
      <c r="AC88" s="670"/>
      <c r="AD88" s="670"/>
      <c r="AE88" s="670"/>
      <c r="AF88" s="671"/>
      <c r="AG88" s="678"/>
      <c r="AH88" s="677"/>
      <c r="AI88" s="677"/>
      <c r="AJ88" s="677"/>
      <c r="AK88" s="677"/>
      <c r="AL88" s="719" t="str">
        <f t="shared" si="24"/>
        <v/>
      </c>
      <c r="AM88" s="677"/>
      <c r="AN88" s="677"/>
      <c r="AO88" s="677"/>
      <c r="AP88" s="677"/>
      <c r="AQ88" s="677"/>
      <c r="AR88" s="677"/>
      <c r="AS88" s="678"/>
      <c r="AT88" s="677"/>
    </row>
    <row r="89" ht="15.75" hidden="1" customHeight="1">
      <c r="A89" s="668" t="s">
        <v>2883</v>
      </c>
      <c r="B89" s="672">
        <v>1.0</v>
      </c>
      <c r="C89" s="672">
        <v>2.0</v>
      </c>
      <c r="D89" s="672">
        <v>3.0</v>
      </c>
      <c r="E89" s="672">
        <v>4.0</v>
      </c>
      <c r="F89" s="672">
        <v>5.0</v>
      </c>
      <c r="G89" s="672">
        <v>6.0</v>
      </c>
      <c r="H89" s="672">
        <v>7.0</v>
      </c>
      <c r="I89" s="672">
        <v>8.0</v>
      </c>
      <c r="J89" s="672">
        <v>9.0</v>
      </c>
      <c r="K89" s="672">
        <v>10.0</v>
      </c>
      <c r="L89" s="672">
        <v>11.0</v>
      </c>
      <c r="M89" s="672">
        <v>12.0</v>
      </c>
      <c r="N89" s="672">
        <v>13.0</v>
      </c>
      <c r="O89" s="672">
        <v>14.0</v>
      </c>
      <c r="P89" s="672">
        <v>15.0</v>
      </c>
      <c r="Q89" s="672">
        <v>16.0</v>
      </c>
      <c r="R89" s="672">
        <v>17.0</v>
      </c>
      <c r="S89" s="672">
        <v>18.0</v>
      </c>
      <c r="T89" s="672">
        <v>19.0</v>
      </c>
      <c r="U89" s="672">
        <v>20.0</v>
      </c>
      <c r="V89" s="672">
        <v>21.0</v>
      </c>
      <c r="W89" s="672">
        <v>22.0</v>
      </c>
      <c r="X89" s="672">
        <v>23.0</v>
      </c>
      <c r="Y89" s="672">
        <v>24.0</v>
      </c>
      <c r="Z89" s="672">
        <v>25.0</v>
      </c>
      <c r="AA89" s="672">
        <v>26.0</v>
      </c>
      <c r="AB89" s="672">
        <v>27.0</v>
      </c>
      <c r="AC89" s="672">
        <v>28.0</v>
      </c>
      <c r="AD89" s="672">
        <v>29.0</v>
      </c>
      <c r="AE89" s="672">
        <v>30.0</v>
      </c>
      <c r="AF89" s="677" t="s">
        <v>2934</v>
      </c>
      <c r="AG89" s="678"/>
      <c r="AH89" s="677"/>
      <c r="AI89" s="677"/>
      <c r="AJ89" s="677"/>
      <c r="AK89" s="677"/>
      <c r="AL89" s="719" t="str">
        <f t="shared" si="24"/>
        <v>TỔNG</v>
      </c>
      <c r="AM89" s="677"/>
      <c r="AN89" s="677"/>
      <c r="AO89" s="677"/>
      <c r="AP89" s="677"/>
      <c r="AQ89" s="677"/>
      <c r="AR89" s="677"/>
      <c r="AS89" s="678"/>
      <c r="AT89" s="677"/>
    </row>
    <row r="90" ht="15.75" hidden="1" customHeight="1">
      <c r="A90" s="681" t="s">
        <v>3046</v>
      </c>
      <c r="B90" s="691">
        <v>7.0</v>
      </c>
      <c r="C90" s="691">
        <v>3.0</v>
      </c>
      <c r="D90" s="691">
        <v>3.0</v>
      </c>
      <c r="E90" s="681"/>
      <c r="F90" s="681"/>
      <c r="G90" s="681"/>
      <c r="H90" s="681"/>
      <c r="I90" s="681"/>
      <c r="J90" s="681"/>
      <c r="K90" s="681"/>
      <c r="L90" s="681"/>
      <c r="M90" s="681"/>
      <c r="N90" s="681"/>
      <c r="O90" s="681"/>
      <c r="P90" s="681"/>
      <c r="Q90" s="681"/>
      <c r="R90" s="681"/>
      <c r="S90" s="681"/>
      <c r="T90" s="681"/>
      <c r="U90" s="681"/>
      <c r="V90" s="681"/>
      <c r="W90" s="681"/>
      <c r="X90" s="681"/>
      <c r="Y90" s="681"/>
      <c r="Z90" s="681"/>
      <c r="AA90" s="681"/>
      <c r="AB90" s="681"/>
      <c r="AC90" s="681"/>
      <c r="AD90" s="681"/>
      <c r="AE90" s="681"/>
      <c r="AF90" s="681">
        <f t="shared" ref="AF90:AF96" si="46">SUM(B90:AE90)</f>
        <v>13</v>
      </c>
      <c r="AG90" s="682"/>
      <c r="AH90" s="681"/>
      <c r="AI90" s="681"/>
      <c r="AJ90" s="681"/>
      <c r="AK90" s="681"/>
      <c r="AL90" s="719">
        <f t="shared" si="24"/>
        <v>13</v>
      </c>
      <c r="AM90" s="681"/>
      <c r="AN90" s="681"/>
      <c r="AO90" s="681"/>
      <c r="AP90" s="681"/>
      <c r="AQ90" s="681"/>
      <c r="AR90" s="681"/>
      <c r="AS90" s="682"/>
      <c r="AT90" s="681"/>
    </row>
    <row r="91" ht="15.75" hidden="1" customHeight="1">
      <c r="A91" s="681" t="s">
        <v>2624</v>
      </c>
      <c r="B91" s="691">
        <v>18.0</v>
      </c>
      <c r="C91" s="691">
        <v>13.0</v>
      </c>
      <c r="D91" s="691">
        <v>20.0</v>
      </c>
      <c r="E91" s="681"/>
      <c r="F91" s="681"/>
      <c r="G91" s="681"/>
      <c r="H91" s="681"/>
      <c r="I91" s="681"/>
      <c r="J91" s="681"/>
      <c r="K91" s="681"/>
      <c r="L91" s="681"/>
      <c r="M91" s="681"/>
      <c r="N91" s="681"/>
      <c r="O91" s="681"/>
      <c r="P91" s="681"/>
      <c r="Q91" s="681"/>
      <c r="R91" s="681"/>
      <c r="S91" s="681"/>
      <c r="T91" s="681"/>
      <c r="U91" s="681"/>
      <c r="V91" s="681"/>
      <c r="W91" s="681"/>
      <c r="X91" s="681"/>
      <c r="Y91" s="681"/>
      <c r="Z91" s="681"/>
      <c r="AA91" s="681"/>
      <c r="AB91" s="681"/>
      <c r="AC91" s="681"/>
      <c r="AD91" s="681"/>
      <c r="AE91" s="681"/>
      <c r="AF91" s="681">
        <f t="shared" si="46"/>
        <v>51</v>
      </c>
      <c r="AG91" s="682"/>
      <c r="AH91" s="681"/>
      <c r="AI91" s="681"/>
      <c r="AJ91" s="681"/>
      <c r="AK91" s="681"/>
      <c r="AL91" s="719">
        <f t="shared" si="24"/>
        <v>51</v>
      </c>
      <c r="AM91" s="681"/>
      <c r="AN91" s="681"/>
      <c r="AO91" s="681"/>
      <c r="AP91" s="681"/>
      <c r="AQ91" s="681"/>
      <c r="AR91" s="681"/>
      <c r="AS91" s="682"/>
      <c r="AT91" s="681"/>
    </row>
    <row r="92" ht="15.75" hidden="1" customHeight="1">
      <c r="A92" s="681" t="s">
        <v>2622</v>
      </c>
      <c r="B92" s="691">
        <v>4.0</v>
      </c>
      <c r="C92" s="691">
        <v>4.0</v>
      </c>
      <c r="D92" s="691">
        <v>3.0</v>
      </c>
      <c r="E92" s="681"/>
      <c r="F92" s="681"/>
      <c r="G92" s="681"/>
      <c r="H92" s="681"/>
      <c r="I92" s="681"/>
      <c r="J92" s="681"/>
      <c r="K92" s="681"/>
      <c r="L92" s="681"/>
      <c r="M92" s="681"/>
      <c r="N92" s="681"/>
      <c r="O92" s="681"/>
      <c r="P92" s="681"/>
      <c r="Q92" s="681"/>
      <c r="R92" s="681"/>
      <c r="S92" s="681"/>
      <c r="T92" s="681"/>
      <c r="U92" s="681"/>
      <c r="V92" s="681"/>
      <c r="W92" s="681"/>
      <c r="X92" s="681"/>
      <c r="Y92" s="681"/>
      <c r="Z92" s="681"/>
      <c r="AA92" s="681"/>
      <c r="AB92" s="681"/>
      <c r="AC92" s="681"/>
      <c r="AD92" s="681"/>
      <c r="AE92" s="681"/>
      <c r="AF92" s="681">
        <f t="shared" si="46"/>
        <v>11</v>
      </c>
      <c r="AG92" s="682"/>
      <c r="AH92" s="681"/>
      <c r="AI92" s="681"/>
      <c r="AJ92" s="681"/>
      <c r="AK92" s="681"/>
      <c r="AL92" s="719">
        <f t="shared" si="24"/>
        <v>11</v>
      </c>
      <c r="AM92" s="681"/>
      <c r="AN92" s="681"/>
      <c r="AO92" s="681"/>
      <c r="AP92" s="681"/>
      <c r="AQ92" s="681"/>
      <c r="AR92" s="681"/>
      <c r="AS92" s="682"/>
      <c r="AT92" s="681"/>
    </row>
    <row r="93" ht="15.75" hidden="1" customHeight="1">
      <c r="A93" s="681" t="s">
        <v>2627</v>
      </c>
      <c r="B93" s="691">
        <v>1.0</v>
      </c>
      <c r="C93" s="691">
        <v>0.0</v>
      </c>
      <c r="D93" s="691">
        <v>2.0</v>
      </c>
      <c r="E93" s="681"/>
      <c r="F93" s="681"/>
      <c r="G93" s="681"/>
      <c r="H93" s="681"/>
      <c r="I93" s="681"/>
      <c r="J93" s="681"/>
      <c r="K93" s="681"/>
      <c r="L93" s="681"/>
      <c r="M93" s="681"/>
      <c r="N93" s="681"/>
      <c r="O93" s="681"/>
      <c r="P93" s="681"/>
      <c r="Q93" s="681"/>
      <c r="R93" s="681"/>
      <c r="S93" s="681"/>
      <c r="T93" s="681"/>
      <c r="U93" s="681"/>
      <c r="V93" s="681"/>
      <c r="W93" s="681"/>
      <c r="X93" s="681"/>
      <c r="Y93" s="681"/>
      <c r="Z93" s="681"/>
      <c r="AA93" s="681"/>
      <c r="AB93" s="681"/>
      <c r="AC93" s="681"/>
      <c r="AD93" s="681"/>
      <c r="AE93" s="681"/>
      <c r="AF93" s="681">
        <f t="shared" si="46"/>
        <v>3</v>
      </c>
      <c r="AG93" s="682"/>
      <c r="AH93" s="681"/>
      <c r="AI93" s="681"/>
      <c r="AJ93" s="681"/>
      <c r="AK93" s="681"/>
      <c r="AL93" s="719">
        <f t="shared" si="24"/>
        <v>3</v>
      </c>
      <c r="AM93" s="681"/>
      <c r="AN93" s="681"/>
      <c r="AO93" s="681"/>
      <c r="AP93" s="681"/>
      <c r="AQ93" s="681"/>
      <c r="AR93" s="681"/>
      <c r="AS93" s="682"/>
      <c r="AT93" s="681"/>
    </row>
    <row r="94" ht="15.75" hidden="1" customHeight="1">
      <c r="A94" s="691" t="s">
        <v>3054</v>
      </c>
      <c r="B94" s="691">
        <v>0.0</v>
      </c>
      <c r="C94" s="691">
        <v>1.0</v>
      </c>
      <c r="D94" s="691">
        <v>0.0</v>
      </c>
      <c r="E94" s="681"/>
      <c r="F94" s="681"/>
      <c r="G94" s="681"/>
      <c r="H94" s="681"/>
      <c r="I94" s="681"/>
      <c r="J94" s="681"/>
      <c r="K94" s="681"/>
      <c r="L94" s="681"/>
      <c r="M94" s="681"/>
      <c r="N94" s="681"/>
      <c r="O94" s="681"/>
      <c r="P94" s="681"/>
      <c r="Q94" s="681"/>
      <c r="R94" s="681"/>
      <c r="S94" s="681"/>
      <c r="T94" s="681"/>
      <c r="U94" s="681"/>
      <c r="V94" s="681"/>
      <c r="W94" s="681"/>
      <c r="X94" s="681"/>
      <c r="Y94" s="681"/>
      <c r="Z94" s="681"/>
      <c r="AA94" s="681"/>
      <c r="AB94" s="681"/>
      <c r="AC94" s="681"/>
      <c r="AD94" s="681"/>
      <c r="AE94" s="681"/>
      <c r="AF94" s="681">
        <f t="shared" si="46"/>
        <v>1</v>
      </c>
      <c r="AG94" s="682"/>
      <c r="AH94" s="681"/>
      <c r="AI94" s="681"/>
      <c r="AJ94" s="681"/>
      <c r="AK94" s="681"/>
      <c r="AL94" s="719">
        <f t="shared" si="24"/>
        <v>1</v>
      </c>
      <c r="AM94" s="681"/>
      <c r="AN94" s="681"/>
      <c r="AO94" s="681"/>
      <c r="AP94" s="681"/>
      <c r="AQ94" s="681"/>
      <c r="AR94" s="681"/>
      <c r="AS94" s="682"/>
      <c r="AT94" s="681"/>
    </row>
    <row r="95" ht="15.75" hidden="1" customHeight="1">
      <c r="A95" s="681" t="s">
        <v>2920</v>
      </c>
      <c r="B95" s="681"/>
      <c r="C95" s="681"/>
      <c r="D95" s="681"/>
      <c r="E95" s="681"/>
      <c r="F95" s="681"/>
      <c r="G95" s="681"/>
      <c r="H95" s="681"/>
      <c r="I95" s="681"/>
      <c r="J95" s="681"/>
      <c r="K95" s="681"/>
      <c r="L95" s="681"/>
      <c r="M95" s="681"/>
      <c r="N95" s="681"/>
      <c r="O95" s="681"/>
      <c r="P95" s="681"/>
      <c r="Q95" s="681"/>
      <c r="R95" s="681"/>
      <c r="S95" s="681"/>
      <c r="T95" s="681"/>
      <c r="U95" s="681"/>
      <c r="V95" s="681"/>
      <c r="W95" s="681"/>
      <c r="X95" s="681"/>
      <c r="Y95" s="681"/>
      <c r="Z95" s="681"/>
      <c r="AA95" s="681"/>
      <c r="AB95" s="681"/>
      <c r="AC95" s="681"/>
      <c r="AD95" s="681"/>
      <c r="AE95" s="681"/>
      <c r="AF95" s="681">
        <f t="shared" si="46"/>
        <v>0</v>
      </c>
      <c r="AG95" s="682"/>
      <c r="AH95" s="681"/>
      <c r="AI95" s="681"/>
      <c r="AJ95" s="681"/>
      <c r="AK95" s="681"/>
      <c r="AL95" s="719">
        <f t="shared" si="24"/>
        <v>0</v>
      </c>
      <c r="AM95" s="681"/>
      <c r="AN95" s="681"/>
      <c r="AO95" s="681"/>
      <c r="AP95" s="681"/>
      <c r="AQ95" s="681"/>
      <c r="AR95" s="681"/>
      <c r="AS95" s="682"/>
      <c r="AT95" s="681"/>
    </row>
    <row r="96" ht="15.75" hidden="1" customHeight="1">
      <c r="A96" s="691" t="s">
        <v>3464</v>
      </c>
      <c r="B96" s="681"/>
      <c r="C96" s="681"/>
      <c r="D96" s="681"/>
      <c r="E96" s="681"/>
      <c r="F96" s="681"/>
      <c r="G96" s="681"/>
      <c r="H96" s="681"/>
      <c r="I96" s="681"/>
      <c r="J96" s="681"/>
      <c r="K96" s="681"/>
      <c r="L96" s="681"/>
      <c r="M96" s="681"/>
      <c r="N96" s="681"/>
      <c r="O96" s="681"/>
      <c r="P96" s="681"/>
      <c r="Q96" s="681"/>
      <c r="R96" s="681"/>
      <c r="S96" s="681"/>
      <c r="T96" s="681"/>
      <c r="U96" s="681"/>
      <c r="V96" s="681"/>
      <c r="W96" s="681"/>
      <c r="X96" s="681"/>
      <c r="Y96" s="681"/>
      <c r="Z96" s="681"/>
      <c r="AA96" s="681"/>
      <c r="AB96" s="681"/>
      <c r="AC96" s="681"/>
      <c r="AD96" s="681"/>
      <c r="AE96" s="681"/>
      <c r="AF96" s="681">
        <f t="shared" si="46"/>
        <v>0</v>
      </c>
      <c r="AG96" s="682"/>
      <c r="AH96" s="681"/>
      <c r="AI96" s="681"/>
      <c r="AJ96" s="681"/>
      <c r="AK96" s="681"/>
      <c r="AL96" s="719">
        <f t="shared" si="24"/>
        <v>0</v>
      </c>
      <c r="AM96" s="681"/>
      <c r="AN96" s="681"/>
      <c r="AO96" s="681"/>
      <c r="AP96" s="681"/>
      <c r="AQ96" s="681"/>
      <c r="AR96" s="681"/>
      <c r="AS96" s="682"/>
      <c r="AT96" s="681"/>
    </row>
    <row r="97" ht="15.75" hidden="1" customHeight="1">
      <c r="A97" s="668" t="s">
        <v>2934</v>
      </c>
      <c r="B97" s="672">
        <f t="shared" ref="B97:AF97" si="47">SUM(B90:B96)</f>
        <v>30</v>
      </c>
      <c r="C97" s="672">
        <f t="shared" si="47"/>
        <v>21</v>
      </c>
      <c r="D97" s="672">
        <f t="shared" si="47"/>
        <v>28</v>
      </c>
      <c r="E97" s="672">
        <f t="shared" si="47"/>
        <v>0</v>
      </c>
      <c r="F97" s="672">
        <f t="shared" si="47"/>
        <v>0</v>
      </c>
      <c r="G97" s="672">
        <f t="shared" si="47"/>
        <v>0</v>
      </c>
      <c r="H97" s="672">
        <f t="shared" si="47"/>
        <v>0</v>
      </c>
      <c r="I97" s="672">
        <f t="shared" si="47"/>
        <v>0</v>
      </c>
      <c r="J97" s="672">
        <f t="shared" si="47"/>
        <v>0</v>
      </c>
      <c r="K97" s="672">
        <f t="shared" si="47"/>
        <v>0</v>
      </c>
      <c r="L97" s="672">
        <f t="shared" si="47"/>
        <v>0</v>
      </c>
      <c r="M97" s="672">
        <f t="shared" si="47"/>
        <v>0</v>
      </c>
      <c r="N97" s="672">
        <f t="shared" si="47"/>
        <v>0</v>
      </c>
      <c r="O97" s="672">
        <f t="shared" si="47"/>
        <v>0</v>
      </c>
      <c r="P97" s="672">
        <f t="shared" si="47"/>
        <v>0</v>
      </c>
      <c r="Q97" s="672">
        <f t="shared" si="47"/>
        <v>0</v>
      </c>
      <c r="R97" s="672">
        <f t="shared" si="47"/>
        <v>0</v>
      </c>
      <c r="S97" s="672">
        <f t="shared" si="47"/>
        <v>0</v>
      </c>
      <c r="T97" s="672">
        <f t="shared" si="47"/>
        <v>0</v>
      </c>
      <c r="U97" s="672">
        <f t="shared" si="47"/>
        <v>0</v>
      </c>
      <c r="V97" s="672">
        <f t="shared" si="47"/>
        <v>0</v>
      </c>
      <c r="W97" s="672">
        <f t="shared" si="47"/>
        <v>0</v>
      </c>
      <c r="X97" s="672">
        <f t="shared" si="47"/>
        <v>0</v>
      </c>
      <c r="Y97" s="672">
        <f t="shared" si="47"/>
        <v>0</v>
      </c>
      <c r="Z97" s="672">
        <f t="shared" si="47"/>
        <v>0</v>
      </c>
      <c r="AA97" s="672">
        <f t="shared" si="47"/>
        <v>0</v>
      </c>
      <c r="AB97" s="672">
        <f t="shared" si="47"/>
        <v>0</v>
      </c>
      <c r="AC97" s="672">
        <f t="shared" si="47"/>
        <v>0</v>
      </c>
      <c r="AD97" s="672">
        <f t="shared" si="47"/>
        <v>0</v>
      </c>
      <c r="AE97" s="672">
        <f t="shared" si="47"/>
        <v>0</v>
      </c>
      <c r="AF97" s="672">
        <f t="shared" si="47"/>
        <v>79</v>
      </c>
      <c r="AG97" s="685"/>
      <c r="AH97" s="672"/>
      <c r="AI97" s="672"/>
      <c r="AJ97" s="672"/>
      <c r="AK97" s="672"/>
      <c r="AL97" s="719">
        <f t="shared" si="24"/>
        <v>79</v>
      </c>
      <c r="AM97" s="672"/>
      <c r="AN97" s="672"/>
      <c r="AO97" s="672"/>
      <c r="AP97" s="672"/>
      <c r="AQ97" s="672"/>
      <c r="AR97" s="672"/>
      <c r="AS97" s="685"/>
      <c r="AT97" s="672"/>
    </row>
    <row r="98" ht="15.75" hidden="1" customHeight="1">
      <c r="A98" s="762" t="s">
        <v>2944</v>
      </c>
      <c r="B98" s="670"/>
      <c r="C98" s="670"/>
      <c r="D98" s="670"/>
      <c r="E98" s="670"/>
      <c r="F98" s="670"/>
      <c r="G98" s="670"/>
      <c r="H98" s="670"/>
      <c r="I98" s="670"/>
      <c r="J98" s="670"/>
      <c r="K98" s="670"/>
      <c r="L98" s="670"/>
      <c r="M98" s="670"/>
      <c r="N98" s="670"/>
      <c r="O98" s="670"/>
      <c r="P98" s="670"/>
      <c r="Q98" s="670"/>
      <c r="R98" s="670"/>
      <c r="S98" s="670"/>
      <c r="T98" s="670"/>
      <c r="U98" s="670"/>
      <c r="V98" s="670"/>
      <c r="W98" s="670"/>
      <c r="X98" s="670"/>
      <c r="Y98" s="670"/>
      <c r="Z98" s="670"/>
      <c r="AA98" s="670"/>
      <c r="AB98" s="670"/>
      <c r="AC98" s="670"/>
      <c r="AD98" s="670"/>
      <c r="AE98" s="670"/>
      <c r="AF98" s="671"/>
      <c r="AG98" s="678"/>
      <c r="AH98" s="677"/>
      <c r="AI98" s="677"/>
      <c r="AJ98" s="677"/>
      <c r="AK98" s="677"/>
      <c r="AL98" s="719" t="str">
        <f t="shared" si="24"/>
        <v/>
      </c>
      <c r="AM98" s="677"/>
      <c r="AN98" s="677"/>
      <c r="AO98" s="677"/>
      <c r="AP98" s="677"/>
      <c r="AQ98" s="677"/>
      <c r="AR98" s="677"/>
      <c r="AS98" s="678"/>
      <c r="AT98" s="677"/>
    </row>
    <row r="99" ht="15.75" hidden="1" customHeight="1">
      <c r="A99" s="668" t="s">
        <v>2664</v>
      </c>
      <c r="B99" s="672">
        <v>1.0</v>
      </c>
      <c r="C99" s="672">
        <v>2.0</v>
      </c>
      <c r="D99" s="672">
        <v>3.0</v>
      </c>
      <c r="E99" s="672">
        <v>4.0</v>
      </c>
      <c r="F99" s="672">
        <v>5.0</v>
      </c>
      <c r="G99" s="672">
        <v>6.0</v>
      </c>
      <c r="H99" s="672">
        <v>7.0</v>
      </c>
      <c r="I99" s="672">
        <v>8.0</v>
      </c>
      <c r="J99" s="672">
        <v>9.0</v>
      </c>
      <c r="K99" s="672">
        <v>10.0</v>
      </c>
      <c r="L99" s="672">
        <v>11.0</v>
      </c>
      <c r="M99" s="672">
        <v>12.0</v>
      </c>
      <c r="N99" s="672">
        <v>13.0</v>
      </c>
      <c r="O99" s="672">
        <v>14.0</v>
      </c>
      <c r="P99" s="672">
        <v>15.0</v>
      </c>
      <c r="Q99" s="672">
        <v>16.0</v>
      </c>
      <c r="R99" s="672">
        <v>17.0</v>
      </c>
      <c r="S99" s="672">
        <v>18.0</v>
      </c>
      <c r="T99" s="672">
        <v>19.0</v>
      </c>
      <c r="U99" s="672">
        <v>20.0</v>
      </c>
      <c r="V99" s="672">
        <v>21.0</v>
      </c>
      <c r="W99" s="672">
        <v>22.0</v>
      </c>
      <c r="X99" s="672">
        <v>23.0</v>
      </c>
      <c r="Y99" s="672">
        <v>24.0</v>
      </c>
      <c r="Z99" s="672">
        <v>25.0</v>
      </c>
      <c r="AA99" s="672">
        <v>26.0</v>
      </c>
      <c r="AB99" s="672">
        <v>27.0</v>
      </c>
      <c r="AC99" s="672">
        <v>28.0</v>
      </c>
      <c r="AD99" s="672">
        <v>29.0</v>
      </c>
      <c r="AE99" s="672">
        <v>30.0</v>
      </c>
      <c r="AF99" s="677" t="s">
        <v>2934</v>
      </c>
      <c r="AG99" s="678"/>
      <c r="AH99" s="677"/>
      <c r="AI99" s="677"/>
      <c r="AJ99" s="677"/>
      <c r="AK99" s="677"/>
      <c r="AL99" s="719" t="str">
        <f t="shared" si="24"/>
        <v>TỔNG</v>
      </c>
      <c r="AM99" s="677"/>
      <c r="AN99" s="677"/>
      <c r="AO99" s="677"/>
      <c r="AP99" s="677"/>
      <c r="AQ99" s="677"/>
      <c r="AR99" s="677"/>
      <c r="AS99" s="678"/>
      <c r="AT99" s="677"/>
    </row>
    <row r="100" ht="15.75" hidden="1" customHeight="1">
      <c r="A100" s="681" t="s">
        <v>3046</v>
      </c>
      <c r="B100" s="691">
        <v>2.0</v>
      </c>
      <c r="C100" s="691">
        <v>1.0</v>
      </c>
      <c r="D100" s="691">
        <v>8.0</v>
      </c>
      <c r="E100" s="681"/>
      <c r="F100" s="681"/>
      <c r="G100" s="681"/>
      <c r="H100" s="681"/>
      <c r="I100" s="681"/>
      <c r="J100" s="681"/>
      <c r="K100" s="681"/>
      <c r="L100" s="681"/>
      <c r="M100" s="681"/>
      <c r="N100" s="681"/>
      <c r="O100" s="681"/>
      <c r="P100" s="681"/>
      <c r="Q100" s="681"/>
      <c r="R100" s="681"/>
      <c r="S100" s="681"/>
      <c r="T100" s="681"/>
      <c r="U100" s="681"/>
      <c r="V100" s="681"/>
      <c r="W100" s="681"/>
      <c r="X100" s="681"/>
      <c r="Y100" s="681"/>
      <c r="Z100" s="681"/>
      <c r="AA100" s="681"/>
      <c r="AB100" s="681"/>
      <c r="AC100" s="681"/>
      <c r="AD100" s="681"/>
      <c r="AE100" s="681"/>
      <c r="AF100" s="681">
        <f t="shared" ref="AF100:AF106" si="48">SUM(B100:AE100)</f>
        <v>11</v>
      </c>
      <c r="AG100" s="682"/>
      <c r="AH100" s="681"/>
      <c r="AI100" s="681"/>
      <c r="AJ100" s="681"/>
      <c r="AK100" s="681"/>
      <c r="AL100" s="719">
        <f t="shared" si="24"/>
        <v>11</v>
      </c>
      <c r="AM100" s="681"/>
      <c r="AN100" s="681"/>
      <c r="AO100" s="681"/>
      <c r="AP100" s="681"/>
      <c r="AQ100" s="681"/>
      <c r="AR100" s="681"/>
      <c r="AS100" s="682"/>
      <c r="AT100" s="681"/>
    </row>
    <row r="101" ht="15.75" hidden="1" customHeight="1">
      <c r="A101" s="681" t="s">
        <v>2624</v>
      </c>
      <c r="B101" s="691">
        <v>5.0</v>
      </c>
      <c r="C101" s="691">
        <v>5.0</v>
      </c>
      <c r="D101" s="691">
        <v>5.0</v>
      </c>
      <c r="E101" s="681"/>
      <c r="F101" s="681"/>
      <c r="G101" s="681"/>
      <c r="H101" s="681"/>
      <c r="I101" s="681"/>
      <c r="J101" s="681"/>
      <c r="K101" s="681"/>
      <c r="L101" s="681"/>
      <c r="M101" s="681"/>
      <c r="N101" s="681"/>
      <c r="O101" s="681"/>
      <c r="P101" s="681"/>
      <c r="Q101" s="681"/>
      <c r="R101" s="681"/>
      <c r="S101" s="681"/>
      <c r="T101" s="681"/>
      <c r="U101" s="681"/>
      <c r="V101" s="681"/>
      <c r="W101" s="681"/>
      <c r="X101" s="681"/>
      <c r="Y101" s="681"/>
      <c r="Z101" s="681"/>
      <c r="AA101" s="681"/>
      <c r="AB101" s="681"/>
      <c r="AC101" s="681"/>
      <c r="AD101" s="681"/>
      <c r="AE101" s="681"/>
      <c r="AF101" s="681">
        <f t="shared" si="48"/>
        <v>15</v>
      </c>
      <c r="AG101" s="682"/>
      <c r="AH101" s="681"/>
      <c r="AI101" s="681"/>
      <c r="AJ101" s="681"/>
      <c r="AK101" s="681"/>
      <c r="AL101" s="719">
        <f t="shared" si="24"/>
        <v>15</v>
      </c>
      <c r="AM101" s="681"/>
      <c r="AN101" s="681"/>
      <c r="AO101" s="681"/>
      <c r="AP101" s="681"/>
      <c r="AQ101" s="681"/>
      <c r="AR101" s="681"/>
      <c r="AS101" s="682"/>
      <c r="AT101" s="681"/>
    </row>
    <row r="102" ht="15.75" hidden="1" customHeight="1">
      <c r="A102" s="681" t="s">
        <v>2622</v>
      </c>
      <c r="B102" s="691">
        <v>1.0</v>
      </c>
      <c r="C102" s="691">
        <v>3.0</v>
      </c>
      <c r="D102" s="691">
        <v>5.0</v>
      </c>
      <c r="E102" s="681"/>
      <c r="F102" s="681"/>
      <c r="G102" s="681"/>
      <c r="H102" s="681"/>
      <c r="I102" s="681"/>
      <c r="J102" s="681"/>
      <c r="K102" s="681"/>
      <c r="L102" s="681"/>
      <c r="M102" s="681"/>
      <c r="N102" s="681"/>
      <c r="O102" s="681"/>
      <c r="P102" s="681"/>
      <c r="Q102" s="681"/>
      <c r="R102" s="681"/>
      <c r="S102" s="681"/>
      <c r="T102" s="681"/>
      <c r="U102" s="681"/>
      <c r="V102" s="681"/>
      <c r="W102" s="681"/>
      <c r="X102" s="681"/>
      <c r="Y102" s="681"/>
      <c r="Z102" s="681"/>
      <c r="AA102" s="681"/>
      <c r="AB102" s="681"/>
      <c r="AC102" s="681"/>
      <c r="AD102" s="681"/>
      <c r="AE102" s="681"/>
      <c r="AF102" s="681">
        <f t="shared" si="48"/>
        <v>9</v>
      </c>
      <c r="AG102" s="682"/>
      <c r="AH102" s="681"/>
      <c r="AI102" s="681"/>
      <c r="AJ102" s="681"/>
      <c r="AK102" s="681"/>
      <c r="AL102" s="719">
        <f t="shared" si="24"/>
        <v>9</v>
      </c>
      <c r="AM102" s="681"/>
      <c r="AN102" s="681"/>
      <c r="AO102" s="681"/>
      <c r="AP102" s="681"/>
      <c r="AQ102" s="681"/>
      <c r="AR102" s="681"/>
      <c r="AS102" s="682"/>
      <c r="AT102" s="681"/>
    </row>
    <row r="103" ht="15.75" hidden="1" customHeight="1">
      <c r="A103" s="681" t="s">
        <v>2627</v>
      </c>
      <c r="B103" s="691">
        <v>1.0</v>
      </c>
      <c r="C103" s="691">
        <v>0.0</v>
      </c>
      <c r="D103" s="691">
        <v>0.0</v>
      </c>
      <c r="E103" s="681"/>
      <c r="F103" s="681"/>
      <c r="G103" s="681"/>
      <c r="H103" s="681"/>
      <c r="I103" s="681"/>
      <c r="J103" s="681"/>
      <c r="K103" s="681"/>
      <c r="L103" s="681"/>
      <c r="M103" s="681"/>
      <c r="N103" s="681"/>
      <c r="O103" s="681"/>
      <c r="P103" s="681"/>
      <c r="Q103" s="681"/>
      <c r="R103" s="681"/>
      <c r="S103" s="681"/>
      <c r="T103" s="681"/>
      <c r="U103" s="681"/>
      <c r="V103" s="681"/>
      <c r="W103" s="681"/>
      <c r="X103" s="681"/>
      <c r="Y103" s="681"/>
      <c r="Z103" s="681"/>
      <c r="AA103" s="681"/>
      <c r="AB103" s="681"/>
      <c r="AC103" s="681"/>
      <c r="AD103" s="681"/>
      <c r="AE103" s="681"/>
      <c r="AF103" s="681">
        <f t="shared" si="48"/>
        <v>1</v>
      </c>
      <c r="AG103" s="682"/>
      <c r="AH103" s="681"/>
      <c r="AI103" s="681"/>
      <c r="AJ103" s="681"/>
      <c r="AK103" s="681"/>
      <c r="AL103" s="719">
        <f t="shared" si="24"/>
        <v>1</v>
      </c>
      <c r="AM103" s="681"/>
      <c r="AN103" s="681"/>
      <c r="AO103" s="681"/>
      <c r="AP103" s="681"/>
      <c r="AQ103" s="681"/>
      <c r="AR103" s="681"/>
      <c r="AS103" s="682"/>
      <c r="AT103" s="681"/>
    </row>
    <row r="104" ht="15.75" hidden="1" customHeight="1">
      <c r="A104" s="691" t="s">
        <v>3054</v>
      </c>
      <c r="B104" s="691">
        <v>1.0</v>
      </c>
      <c r="C104" s="691">
        <v>0.0</v>
      </c>
      <c r="D104" s="691">
        <v>0.0</v>
      </c>
      <c r="E104" s="681"/>
      <c r="F104" s="681"/>
      <c r="G104" s="681"/>
      <c r="H104" s="681"/>
      <c r="I104" s="681"/>
      <c r="J104" s="681"/>
      <c r="K104" s="681"/>
      <c r="L104" s="681"/>
      <c r="M104" s="681"/>
      <c r="N104" s="681"/>
      <c r="O104" s="681"/>
      <c r="P104" s="681"/>
      <c r="Q104" s="681"/>
      <c r="R104" s="681"/>
      <c r="S104" s="681"/>
      <c r="T104" s="681"/>
      <c r="U104" s="681"/>
      <c r="V104" s="681"/>
      <c r="W104" s="681"/>
      <c r="X104" s="681"/>
      <c r="Y104" s="681"/>
      <c r="Z104" s="681"/>
      <c r="AA104" s="681"/>
      <c r="AB104" s="681"/>
      <c r="AC104" s="681"/>
      <c r="AD104" s="681"/>
      <c r="AE104" s="681"/>
      <c r="AF104" s="681">
        <f t="shared" si="48"/>
        <v>1</v>
      </c>
      <c r="AG104" s="682"/>
      <c r="AH104" s="681"/>
      <c r="AI104" s="681"/>
      <c r="AJ104" s="681"/>
      <c r="AK104" s="681"/>
      <c r="AL104" s="719">
        <f t="shared" si="24"/>
        <v>1</v>
      </c>
      <c r="AM104" s="681"/>
      <c r="AN104" s="681"/>
      <c r="AO104" s="681"/>
      <c r="AP104" s="681"/>
      <c r="AQ104" s="681"/>
      <c r="AR104" s="681"/>
      <c r="AS104" s="682"/>
      <c r="AT104" s="681"/>
    </row>
    <row r="105" ht="15.75" hidden="1" customHeight="1">
      <c r="A105" s="681" t="s">
        <v>2920</v>
      </c>
      <c r="B105" s="681"/>
      <c r="C105" s="681"/>
      <c r="D105" s="681"/>
      <c r="E105" s="681"/>
      <c r="F105" s="681"/>
      <c r="G105" s="681"/>
      <c r="H105" s="681"/>
      <c r="I105" s="681"/>
      <c r="J105" s="681"/>
      <c r="K105" s="681"/>
      <c r="L105" s="681"/>
      <c r="M105" s="681"/>
      <c r="N105" s="681"/>
      <c r="O105" s="681"/>
      <c r="P105" s="681"/>
      <c r="Q105" s="681"/>
      <c r="R105" s="681"/>
      <c r="S105" s="681"/>
      <c r="T105" s="681"/>
      <c r="U105" s="681"/>
      <c r="V105" s="681"/>
      <c r="W105" s="681"/>
      <c r="X105" s="681"/>
      <c r="Y105" s="681"/>
      <c r="Z105" s="681"/>
      <c r="AA105" s="681"/>
      <c r="AB105" s="681"/>
      <c r="AC105" s="681"/>
      <c r="AD105" s="681"/>
      <c r="AE105" s="681"/>
      <c r="AF105" s="681">
        <f t="shared" si="48"/>
        <v>0</v>
      </c>
      <c r="AG105" s="682"/>
      <c r="AH105" s="681"/>
      <c r="AI105" s="681"/>
      <c r="AJ105" s="681"/>
      <c r="AK105" s="681"/>
      <c r="AL105" s="719">
        <f t="shared" si="24"/>
        <v>0</v>
      </c>
      <c r="AM105" s="681"/>
      <c r="AN105" s="681"/>
      <c r="AO105" s="681"/>
      <c r="AP105" s="681"/>
      <c r="AQ105" s="681"/>
      <c r="AR105" s="681"/>
      <c r="AS105" s="682"/>
      <c r="AT105" s="681"/>
    </row>
    <row r="106" ht="15.75" hidden="1" customHeight="1">
      <c r="A106" s="681" t="s">
        <v>3464</v>
      </c>
      <c r="B106" s="681"/>
      <c r="C106" s="681"/>
      <c r="D106" s="681"/>
      <c r="E106" s="681"/>
      <c r="F106" s="681"/>
      <c r="G106" s="681"/>
      <c r="H106" s="681"/>
      <c r="I106" s="681"/>
      <c r="J106" s="681"/>
      <c r="K106" s="681"/>
      <c r="L106" s="681"/>
      <c r="M106" s="681"/>
      <c r="N106" s="681"/>
      <c r="O106" s="681"/>
      <c r="P106" s="681"/>
      <c r="Q106" s="681"/>
      <c r="R106" s="681"/>
      <c r="S106" s="681"/>
      <c r="T106" s="681"/>
      <c r="U106" s="681"/>
      <c r="V106" s="681"/>
      <c r="W106" s="681"/>
      <c r="X106" s="681"/>
      <c r="Y106" s="681"/>
      <c r="Z106" s="681"/>
      <c r="AA106" s="681"/>
      <c r="AB106" s="681"/>
      <c r="AC106" s="681"/>
      <c r="AD106" s="681"/>
      <c r="AE106" s="681"/>
      <c r="AF106" s="681">
        <f t="shared" si="48"/>
        <v>0</v>
      </c>
      <c r="AG106" s="682"/>
      <c r="AH106" s="681"/>
      <c r="AI106" s="681"/>
      <c r="AJ106" s="681"/>
      <c r="AK106" s="681"/>
      <c r="AL106" s="719">
        <f t="shared" si="24"/>
        <v>0</v>
      </c>
      <c r="AM106" s="681"/>
      <c r="AN106" s="681"/>
      <c r="AO106" s="681"/>
      <c r="AP106" s="681"/>
      <c r="AQ106" s="681"/>
      <c r="AR106" s="681"/>
      <c r="AS106" s="682"/>
      <c r="AT106" s="681"/>
    </row>
    <row r="107" ht="15.75" hidden="1" customHeight="1">
      <c r="A107" s="668" t="s">
        <v>2934</v>
      </c>
      <c r="B107" s="672">
        <f t="shared" ref="B107:AF107" si="49">SUM(B100:B106)</f>
        <v>10</v>
      </c>
      <c r="C107" s="672">
        <f t="shared" si="49"/>
        <v>9</v>
      </c>
      <c r="D107" s="672">
        <f t="shared" si="49"/>
        <v>18</v>
      </c>
      <c r="E107" s="672">
        <f t="shared" si="49"/>
        <v>0</v>
      </c>
      <c r="F107" s="672">
        <f t="shared" si="49"/>
        <v>0</v>
      </c>
      <c r="G107" s="672">
        <f t="shared" si="49"/>
        <v>0</v>
      </c>
      <c r="H107" s="672">
        <f t="shared" si="49"/>
        <v>0</v>
      </c>
      <c r="I107" s="672">
        <f t="shared" si="49"/>
        <v>0</v>
      </c>
      <c r="J107" s="672">
        <f t="shared" si="49"/>
        <v>0</v>
      </c>
      <c r="K107" s="672">
        <f t="shared" si="49"/>
        <v>0</v>
      </c>
      <c r="L107" s="672">
        <f t="shared" si="49"/>
        <v>0</v>
      </c>
      <c r="M107" s="672">
        <f t="shared" si="49"/>
        <v>0</v>
      </c>
      <c r="N107" s="672">
        <f t="shared" si="49"/>
        <v>0</v>
      </c>
      <c r="O107" s="672">
        <f t="shared" si="49"/>
        <v>0</v>
      </c>
      <c r="P107" s="672">
        <f t="shared" si="49"/>
        <v>0</v>
      </c>
      <c r="Q107" s="672">
        <f t="shared" si="49"/>
        <v>0</v>
      </c>
      <c r="R107" s="672">
        <f t="shared" si="49"/>
        <v>0</v>
      </c>
      <c r="S107" s="672">
        <f t="shared" si="49"/>
        <v>0</v>
      </c>
      <c r="T107" s="672">
        <f t="shared" si="49"/>
        <v>0</v>
      </c>
      <c r="U107" s="672">
        <f t="shared" si="49"/>
        <v>0</v>
      </c>
      <c r="V107" s="672">
        <f t="shared" si="49"/>
        <v>0</v>
      </c>
      <c r="W107" s="672">
        <f t="shared" si="49"/>
        <v>0</v>
      </c>
      <c r="X107" s="672">
        <f t="shared" si="49"/>
        <v>0</v>
      </c>
      <c r="Y107" s="672">
        <f t="shared" si="49"/>
        <v>0</v>
      </c>
      <c r="Z107" s="672">
        <f t="shared" si="49"/>
        <v>0</v>
      </c>
      <c r="AA107" s="672">
        <f t="shared" si="49"/>
        <v>0</v>
      </c>
      <c r="AB107" s="672">
        <f t="shared" si="49"/>
        <v>0</v>
      </c>
      <c r="AC107" s="672">
        <f t="shared" si="49"/>
        <v>0</v>
      </c>
      <c r="AD107" s="672">
        <f t="shared" si="49"/>
        <v>0</v>
      </c>
      <c r="AE107" s="672">
        <f t="shared" si="49"/>
        <v>0</v>
      </c>
      <c r="AF107" s="672">
        <f t="shared" si="49"/>
        <v>37</v>
      </c>
      <c r="AG107" s="685"/>
      <c r="AH107" s="672"/>
      <c r="AI107" s="672"/>
      <c r="AJ107" s="672"/>
      <c r="AK107" s="672"/>
      <c r="AL107" s="719">
        <f t="shared" si="24"/>
        <v>37</v>
      </c>
      <c r="AM107" s="672"/>
      <c r="AN107" s="672"/>
      <c r="AO107" s="672"/>
      <c r="AP107" s="672"/>
      <c r="AQ107" s="672"/>
      <c r="AR107" s="672"/>
      <c r="AS107" s="685"/>
      <c r="AT107" s="672"/>
    </row>
    <row r="108" ht="15.75" hidden="1" customHeight="1">
      <c r="A108" s="762" t="s">
        <v>2944</v>
      </c>
      <c r="B108" s="670"/>
      <c r="C108" s="670"/>
      <c r="D108" s="670"/>
      <c r="E108" s="670"/>
      <c r="F108" s="670"/>
      <c r="G108" s="670"/>
      <c r="H108" s="670"/>
      <c r="I108" s="670"/>
      <c r="J108" s="670"/>
      <c r="K108" s="670"/>
      <c r="L108" s="670"/>
      <c r="M108" s="670"/>
      <c r="N108" s="670"/>
      <c r="O108" s="670"/>
      <c r="P108" s="670"/>
      <c r="Q108" s="670"/>
      <c r="R108" s="670"/>
      <c r="S108" s="670"/>
      <c r="T108" s="670"/>
      <c r="U108" s="670"/>
      <c r="V108" s="670"/>
      <c r="W108" s="670"/>
      <c r="X108" s="670"/>
      <c r="Y108" s="670"/>
      <c r="Z108" s="670"/>
      <c r="AA108" s="670"/>
      <c r="AB108" s="670"/>
      <c r="AC108" s="670"/>
      <c r="AD108" s="670"/>
      <c r="AE108" s="670"/>
      <c r="AF108" s="671"/>
      <c r="AG108" s="678"/>
      <c r="AH108" s="677"/>
      <c r="AI108" s="677"/>
      <c r="AJ108" s="677"/>
      <c r="AK108" s="677"/>
      <c r="AL108" s="719" t="str">
        <f t="shared" si="24"/>
        <v/>
      </c>
      <c r="AM108" s="677"/>
      <c r="AN108" s="677"/>
      <c r="AO108" s="677"/>
      <c r="AP108" s="677"/>
      <c r="AQ108" s="677"/>
      <c r="AR108" s="677"/>
      <c r="AS108" s="678"/>
      <c r="AT108" s="677"/>
    </row>
    <row r="109" ht="15.75" hidden="1" customHeight="1">
      <c r="A109" s="668" t="s">
        <v>2681</v>
      </c>
      <c r="B109" s="672">
        <v>1.0</v>
      </c>
      <c r="C109" s="672">
        <v>2.0</v>
      </c>
      <c r="D109" s="672">
        <v>3.0</v>
      </c>
      <c r="E109" s="672">
        <v>4.0</v>
      </c>
      <c r="F109" s="672">
        <v>5.0</v>
      </c>
      <c r="G109" s="672">
        <v>6.0</v>
      </c>
      <c r="H109" s="672">
        <v>7.0</v>
      </c>
      <c r="I109" s="672">
        <v>8.0</v>
      </c>
      <c r="J109" s="672">
        <v>9.0</v>
      </c>
      <c r="K109" s="672">
        <v>10.0</v>
      </c>
      <c r="L109" s="672">
        <v>11.0</v>
      </c>
      <c r="M109" s="672">
        <v>12.0</v>
      </c>
      <c r="N109" s="672">
        <v>13.0</v>
      </c>
      <c r="O109" s="672">
        <v>14.0</v>
      </c>
      <c r="P109" s="672">
        <v>15.0</v>
      </c>
      <c r="Q109" s="672">
        <v>16.0</v>
      </c>
      <c r="R109" s="672">
        <v>17.0</v>
      </c>
      <c r="S109" s="672">
        <v>18.0</v>
      </c>
      <c r="T109" s="672">
        <v>19.0</v>
      </c>
      <c r="U109" s="672">
        <v>20.0</v>
      </c>
      <c r="V109" s="672">
        <v>21.0</v>
      </c>
      <c r="W109" s="672">
        <v>22.0</v>
      </c>
      <c r="X109" s="672">
        <v>23.0</v>
      </c>
      <c r="Y109" s="672">
        <v>24.0</v>
      </c>
      <c r="Z109" s="672">
        <v>25.0</v>
      </c>
      <c r="AA109" s="672">
        <v>26.0</v>
      </c>
      <c r="AB109" s="672">
        <v>27.0</v>
      </c>
      <c r="AC109" s="672">
        <v>28.0</v>
      </c>
      <c r="AD109" s="672">
        <v>29.0</v>
      </c>
      <c r="AE109" s="672">
        <v>30.0</v>
      </c>
      <c r="AF109" s="677" t="s">
        <v>2934</v>
      </c>
      <c r="AG109" s="678"/>
      <c r="AH109" s="677"/>
      <c r="AI109" s="677"/>
      <c r="AJ109" s="677"/>
      <c r="AK109" s="677"/>
      <c r="AL109" s="719" t="str">
        <f t="shared" si="24"/>
        <v>TỔNG</v>
      </c>
      <c r="AM109" s="677"/>
      <c r="AN109" s="677"/>
      <c r="AO109" s="677"/>
      <c r="AP109" s="677"/>
      <c r="AQ109" s="677"/>
      <c r="AR109" s="677"/>
      <c r="AS109" s="678"/>
      <c r="AT109" s="677"/>
    </row>
    <row r="110" ht="15.75" hidden="1" customHeight="1">
      <c r="A110" s="681" t="s">
        <v>3046</v>
      </c>
      <c r="B110" s="691">
        <v>4.0</v>
      </c>
      <c r="C110" s="691">
        <v>2.0</v>
      </c>
      <c r="D110" s="691">
        <v>0.0</v>
      </c>
      <c r="E110" s="681"/>
      <c r="F110" s="681"/>
      <c r="G110" s="681"/>
      <c r="H110" s="681"/>
      <c r="I110" s="681"/>
      <c r="J110" s="681"/>
      <c r="K110" s="681"/>
      <c r="L110" s="681"/>
      <c r="M110" s="681"/>
      <c r="N110" s="681"/>
      <c r="O110" s="681"/>
      <c r="P110" s="681"/>
      <c r="Q110" s="681"/>
      <c r="R110" s="681"/>
      <c r="S110" s="681"/>
      <c r="T110" s="681"/>
      <c r="U110" s="681"/>
      <c r="V110" s="681"/>
      <c r="W110" s="681"/>
      <c r="X110" s="681"/>
      <c r="Y110" s="681"/>
      <c r="Z110" s="681"/>
      <c r="AA110" s="681"/>
      <c r="AB110" s="681"/>
      <c r="AC110" s="681"/>
      <c r="AD110" s="681"/>
      <c r="AE110" s="681"/>
      <c r="AF110" s="681">
        <f t="shared" ref="AF110:AF116" si="50">SUM(B110:AE110)</f>
        <v>6</v>
      </c>
      <c r="AG110" s="682"/>
      <c r="AH110" s="681"/>
      <c r="AI110" s="681"/>
      <c r="AJ110" s="681"/>
      <c r="AK110" s="681"/>
      <c r="AL110" s="719">
        <f t="shared" si="24"/>
        <v>6</v>
      </c>
      <c r="AM110" s="681"/>
      <c r="AN110" s="681"/>
      <c r="AO110" s="681"/>
      <c r="AP110" s="681"/>
      <c r="AQ110" s="681"/>
      <c r="AR110" s="681"/>
      <c r="AS110" s="682"/>
      <c r="AT110" s="681"/>
    </row>
    <row r="111" ht="15.75" hidden="1" customHeight="1">
      <c r="A111" s="681" t="s">
        <v>2624</v>
      </c>
      <c r="B111" s="691">
        <v>0.0</v>
      </c>
      <c r="C111" s="691">
        <v>1.0</v>
      </c>
      <c r="D111" s="691">
        <v>1.0</v>
      </c>
      <c r="E111" s="681"/>
      <c r="F111" s="681"/>
      <c r="G111" s="681"/>
      <c r="H111" s="681"/>
      <c r="I111" s="681"/>
      <c r="J111" s="681"/>
      <c r="K111" s="681"/>
      <c r="L111" s="681"/>
      <c r="M111" s="681"/>
      <c r="N111" s="681"/>
      <c r="O111" s="681"/>
      <c r="P111" s="681"/>
      <c r="Q111" s="681"/>
      <c r="R111" s="681"/>
      <c r="S111" s="681"/>
      <c r="T111" s="681"/>
      <c r="U111" s="681"/>
      <c r="V111" s="681"/>
      <c r="W111" s="681"/>
      <c r="X111" s="681"/>
      <c r="Y111" s="681"/>
      <c r="Z111" s="681"/>
      <c r="AA111" s="681"/>
      <c r="AB111" s="681"/>
      <c r="AC111" s="681"/>
      <c r="AD111" s="681"/>
      <c r="AE111" s="681"/>
      <c r="AF111" s="681">
        <f t="shared" si="50"/>
        <v>2</v>
      </c>
      <c r="AG111" s="682"/>
      <c r="AH111" s="681"/>
      <c r="AI111" s="681"/>
      <c r="AJ111" s="681"/>
      <c r="AK111" s="681"/>
      <c r="AL111" s="719">
        <f t="shared" si="24"/>
        <v>2</v>
      </c>
      <c r="AM111" s="681"/>
      <c r="AN111" s="681"/>
      <c r="AO111" s="681"/>
      <c r="AP111" s="681"/>
      <c r="AQ111" s="681"/>
      <c r="AR111" s="681"/>
      <c r="AS111" s="682"/>
      <c r="AT111" s="681"/>
    </row>
    <row r="112" ht="15.75" hidden="1" customHeight="1">
      <c r="A112" s="681" t="s">
        <v>2622</v>
      </c>
      <c r="B112" s="691">
        <v>1.0</v>
      </c>
      <c r="C112" s="691">
        <v>0.0</v>
      </c>
      <c r="D112" s="691">
        <v>0.0</v>
      </c>
      <c r="E112" s="681"/>
      <c r="F112" s="681"/>
      <c r="G112" s="681"/>
      <c r="H112" s="681"/>
      <c r="I112" s="681"/>
      <c r="J112" s="681"/>
      <c r="K112" s="681"/>
      <c r="L112" s="681"/>
      <c r="M112" s="681"/>
      <c r="N112" s="681"/>
      <c r="O112" s="681"/>
      <c r="P112" s="681"/>
      <c r="Q112" s="681"/>
      <c r="R112" s="681"/>
      <c r="S112" s="681"/>
      <c r="T112" s="681"/>
      <c r="U112" s="681"/>
      <c r="V112" s="681"/>
      <c r="W112" s="681"/>
      <c r="X112" s="681"/>
      <c r="Y112" s="681"/>
      <c r="Z112" s="681"/>
      <c r="AA112" s="681"/>
      <c r="AB112" s="681"/>
      <c r="AC112" s="681"/>
      <c r="AD112" s="681"/>
      <c r="AE112" s="681"/>
      <c r="AF112" s="681">
        <f t="shared" si="50"/>
        <v>1</v>
      </c>
      <c r="AG112" s="682"/>
      <c r="AH112" s="681"/>
      <c r="AI112" s="681"/>
      <c r="AJ112" s="681"/>
      <c r="AK112" s="681"/>
      <c r="AL112" s="719">
        <f t="shared" si="24"/>
        <v>1</v>
      </c>
      <c r="AM112" s="681"/>
      <c r="AN112" s="681"/>
      <c r="AO112" s="681"/>
      <c r="AP112" s="681"/>
      <c r="AQ112" s="681"/>
      <c r="AR112" s="681"/>
      <c r="AS112" s="682"/>
      <c r="AT112" s="681"/>
    </row>
    <row r="113" ht="15.75" hidden="1" customHeight="1">
      <c r="A113" s="681" t="s">
        <v>2627</v>
      </c>
      <c r="B113" s="691">
        <v>1.0</v>
      </c>
      <c r="C113" s="691">
        <v>0.0</v>
      </c>
      <c r="D113" s="691">
        <v>0.0</v>
      </c>
      <c r="E113" s="681"/>
      <c r="F113" s="681"/>
      <c r="G113" s="681"/>
      <c r="H113" s="681"/>
      <c r="I113" s="681"/>
      <c r="J113" s="681"/>
      <c r="K113" s="681"/>
      <c r="L113" s="681"/>
      <c r="M113" s="681"/>
      <c r="N113" s="681"/>
      <c r="O113" s="681"/>
      <c r="P113" s="681"/>
      <c r="Q113" s="681"/>
      <c r="R113" s="681"/>
      <c r="S113" s="681"/>
      <c r="T113" s="681"/>
      <c r="U113" s="681"/>
      <c r="V113" s="681"/>
      <c r="W113" s="681"/>
      <c r="X113" s="681"/>
      <c r="Y113" s="681"/>
      <c r="Z113" s="681"/>
      <c r="AA113" s="681"/>
      <c r="AB113" s="681"/>
      <c r="AC113" s="681"/>
      <c r="AD113" s="681"/>
      <c r="AE113" s="681"/>
      <c r="AF113" s="681">
        <f t="shared" si="50"/>
        <v>1</v>
      </c>
      <c r="AG113" s="682"/>
      <c r="AH113" s="681"/>
      <c r="AI113" s="681"/>
      <c r="AJ113" s="681"/>
      <c r="AK113" s="681"/>
      <c r="AL113" s="719">
        <f t="shared" si="24"/>
        <v>1</v>
      </c>
      <c r="AM113" s="681"/>
      <c r="AN113" s="681"/>
      <c r="AO113" s="681"/>
      <c r="AP113" s="681"/>
      <c r="AQ113" s="681"/>
      <c r="AR113" s="681"/>
      <c r="AS113" s="682"/>
      <c r="AT113" s="681"/>
    </row>
    <row r="114" ht="15.75" hidden="1" customHeight="1">
      <c r="A114" s="691" t="s">
        <v>3054</v>
      </c>
      <c r="B114" s="691">
        <v>1.0</v>
      </c>
      <c r="C114" s="691">
        <v>4.0</v>
      </c>
      <c r="D114" s="691">
        <v>1.0</v>
      </c>
      <c r="E114" s="681"/>
      <c r="F114" s="681"/>
      <c r="G114" s="681"/>
      <c r="H114" s="681"/>
      <c r="I114" s="681"/>
      <c r="J114" s="681"/>
      <c r="K114" s="681"/>
      <c r="L114" s="681"/>
      <c r="M114" s="681"/>
      <c r="N114" s="681"/>
      <c r="O114" s="681"/>
      <c r="P114" s="681"/>
      <c r="Q114" s="681"/>
      <c r="R114" s="681"/>
      <c r="S114" s="681"/>
      <c r="T114" s="681"/>
      <c r="U114" s="681"/>
      <c r="V114" s="681"/>
      <c r="W114" s="681"/>
      <c r="X114" s="681"/>
      <c r="Y114" s="681"/>
      <c r="Z114" s="681"/>
      <c r="AA114" s="681"/>
      <c r="AB114" s="681"/>
      <c r="AC114" s="681"/>
      <c r="AD114" s="681"/>
      <c r="AE114" s="681"/>
      <c r="AF114" s="681">
        <f t="shared" si="50"/>
        <v>6</v>
      </c>
      <c r="AG114" s="682"/>
      <c r="AH114" s="681"/>
      <c r="AI114" s="681"/>
      <c r="AJ114" s="681"/>
      <c r="AK114" s="681"/>
      <c r="AL114" s="719">
        <f t="shared" si="24"/>
        <v>6</v>
      </c>
      <c r="AM114" s="681"/>
      <c r="AN114" s="681"/>
      <c r="AO114" s="681"/>
      <c r="AP114" s="681"/>
      <c r="AQ114" s="681"/>
      <c r="AR114" s="681"/>
      <c r="AS114" s="682"/>
      <c r="AT114" s="681"/>
    </row>
    <row r="115" ht="15.75" hidden="1" customHeight="1">
      <c r="A115" s="681" t="s">
        <v>2920</v>
      </c>
      <c r="B115" s="681"/>
      <c r="C115" s="681"/>
      <c r="D115" s="681"/>
      <c r="E115" s="681"/>
      <c r="F115" s="681"/>
      <c r="G115" s="681"/>
      <c r="H115" s="681"/>
      <c r="I115" s="681"/>
      <c r="J115" s="681"/>
      <c r="K115" s="681"/>
      <c r="L115" s="681"/>
      <c r="M115" s="681"/>
      <c r="N115" s="681"/>
      <c r="O115" s="681"/>
      <c r="P115" s="681"/>
      <c r="Q115" s="681"/>
      <c r="R115" s="681"/>
      <c r="S115" s="681"/>
      <c r="T115" s="681"/>
      <c r="U115" s="681"/>
      <c r="V115" s="681"/>
      <c r="W115" s="681"/>
      <c r="X115" s="681"/>
      <c r="Y115" s="681"/>
      <c r="Z115" s="681"/>
      <c r="AA115" s="681"/>
      <c r="AB115" s="681"/>
      <c r="AC115" s="681"/>
      <c r="AD115" s="681"/>
      <c r="AE115" s="681"/>
      <c r="AF115" s="681">
        <f t="shared" si="50"/>
        <v>0</v>
      </c>
      <c r="AG115" s="682"/>
      <c r="AH115" s="681"/>
      <c r="AI115" s="681"/>
      <c r="AJ115" s="681"/>
      <c r="AK115" s="681"/>
      <c r="AL115" s="719">
        <f t="shared" si="24"/>
        <v>0</v>
      </c>
      <c r="AM115" s="681"/>
      <c r="AN115" s="681"/>
      <c r="AO115" s="681"/>
      <c r="AP115" s="681"/>
      <c r="AQ115" s="681"/>
      <c r="AR115" s="681"/>
      <c r="AS115" s="682"/>
      <c r="AT115" s="681"/>
    </row>
    <row r="116" ht="15.75" hidden="1" customHeight="1">
      <c r="A116" s="681" t="s">
        <v>3464</v>
      </c>
      <c r="B116" s="681"/>
      <c r="C116" s="681"/>
      <c r="D116" s="681"/>
      <c r="E116" s="681"/>
      <c r="F116" s="681"/>
      <c r="G116" s="681"/>
      <c r="H116" s="681"/>
      <c r="I116" s="681"/>
      <c r="J116" s="681"/>
      <c r="K116" s="681"/>
      <c r="L116" s="681"/>
      <c r="M116" s="681"/>
      <c r="N116" s="681"/>
      <c r="O116" s="681"/>
      <c r="P116" s="681"/>
      <c r="Q116" s="681"/>
      <c r="R116" s="681"/>
      <c r="S116" s="681"/>
      <c r="T116" s="681"/>
      <c r="U116" s="681"/>
      <c r="V116" s="681"/>
      <c r="W116" s="681"/>
      <c r="X116" s="681"/>
      <c r="Y116" s="681"/>
      <c r="Z116" s="681"/>
      <c r="AA116" s="681"/>
      <c r="AB116" s="681"/>
      <c r="AC116" s="681"/>
      <c r="AD116" s="681"/>
      <c r="AE116" s="681"/>
      <c r="AF116" s="681">
        <f t="shared" si="50"/>
        <v>0</v>
      </c>
      <c r="AG116" s="682"/>
      <c r="AH116" s="681"/>
      <c r="AI116" s="681"/>
      <c r="AJ116" s="681"/>
      <c r="AK116" s="681"/>
      <c r="AL116" s="719">
        <f t="shared" si="24"/>
        <v>0</v>
      </c>
      <c r="AM116" s="681"/>
      <c r="AN116" s="681"/>
      <c r="AO116" s="681"/>
      <c r="AP116" s="681"/>
      <c r="AQ116" s="681"/>
      <c r="AR116" s="681"/>
      <c r="AS116" s="682"/>
      <c r="AT116" s="681"/>
    </row>
    <row r="117" ht="15.75" hidden="1" customHeight="1">
      <c r="A117" s="668" t="s">
        <v>2934</v>
      </c>
      <c r="B117" s="672">
        <f t="shared" ref="B117:AF117" si="51">SUM(B110:B116)</f>
        <v>7</v>
      </c>
      <c r="C117" s="672">
        <f t="shared" si="51"/>
        <v>7</v>
      </c>
      <c r="D117" s="672">
        <f t="shared" si="51"/>
        <v>2</v>
      </c>
      <c r="E117" s="672">
        <f t="shared" si="51"/>
        <v>0</v>
      </c>
      <c r="F117" s="672">
        <f t="shared" si="51"/>
        <v>0</v>
      </c>
      <c r="G117" s="672">
        <f t="shared" si="51"/>
        <v>0</v>
      </c>
      <c r="H117" s="672">
        <f t="shared" si="51"/>
        <v>0</v>
      </c>
      <c r="I117" s="672">
        <f t="shared" si="51"/>
        <v>0</v>
      </c>
      <c r="J117" s="672">
        <f t="shared" si="51"/>
        <v>0</v>
      </c>
      <c r="K117" s="672">
        <f t="shared" si="51"/>
        <v>0</v>
      </c>
      <c r="L117" s="672">
        <f t="shared" si="51"/>
        <v>0</v>
      </c>
      <c r="M117" s="672">
        <f t="shared" si="51"/>
        <v>0</v>
      </c>
      <c r="N117" s="672">
        <f t="shared" si="51"/>
        <v>0</v>
      </c>
      <c r="O117" s="672">
        <f t="shared" si="51"/>
        <v>0</v>
      </c>
      <c r="P117" s="672">
        <f t="shared" si="51"/>
        <v>0</v>
      </c>
      <c r="Q117" s="672">
        <f t="shared" si="51"/>
        <v>0</v>
      </c>
      <c r="R117" s="672">
        <f t="shared" si="51"/>
        <v>0</v>
      </c>
      <c r="S117" s="672">
        <f t="shared" si="51"/>
        <v>0</v>
      </c>
      <c r="T117" s="672">
        <f t="shared" si="51"/>
        <v>0</v>
      </c>
      <c r="U117" s="672">
        <f t="shared" si="51"/>
        <v>0</v>
      </c>
      <c r="V117" s="672">
        <f t="shared" si="51"/>
        <v>0</v>
      </c>
      <c r="W117" s="672">
        <f t="shared" si="51"/>
        <v>0</v>
      </c>
      <c r="X117" s="672">
        <f t="shared" si="51"/>
        <v>0</v>
      </c>
      <c r="Y117" s="672">
        <f t="shared" si="51"/>
        <v>0</v>
      </c>
      <c r="Z117" s="672">
        <f t="shared" si="51"/>
        <v>0</v>
      </c>
      <c r="AA117" s="672">
        <f t="shared" si="51"/>
        <v>0</v>
      </c>
      <c r="AB117" s="672">
        <f t="shared" si="51"/>
        <v>0</v>
      </c>
      <c r="AC117" s="672">
        <f t="shared" si="51"/>
        <v>0</v>
      </c>
      <c r="AD117" s="672">
        <f t="shared" si="51"/>
        <v>0</v>
      </c>
      <c r="AE117" s="672">
        <f t="shared" si="51"/>
        <v>0</v>
      </c>
      <c r="AF117" s="672">
        <f t="shared" si="51"/>
        <v>16</v>
      </c>
      <c r="AG117" s="685"/>
      <c r="AH117" s="672"/>
      <c r="AI117" s="672"/>
      <c r="AJ117" s="672"/>
      <c r="AK117" s="672"/>
      <c r="AL117" s="719">
        <f t="shared" si="24"/>
        <v>16</v>
      </c>
      <c r="AM117" s="672"/>
      <c r="AN117" s="672"/>
      <c r="AO117" s="672"/>
      <c r="AP117" s="672"/>
      <c r="AQ117" s="672"/>
      <c r="AR117" s="672"/>
      <c r="AS117" s="685"/>
      <c r="AT117" s="672"/>
    </row>
    <row r="118" ht="15.75" hidden="1" customHeight="1">
      <c r="A118" s="762" t="s">
        <v>2944</v>
      </c>
      <c r="B118" s="670"/>
      <c r="C118" s="670"/>
      <c r="D118" s="670"/>
      <c r="E118" s="670"/>
      <c r="F118" s="670"/>
      <c r="G118" s="670"/>
      <c r="H118" s="670"/>
      <c r="I118" s="670"/>
      <c r="J118" s="670"/>
      <c r="K118" s="670"/>
      <c r="L118" s="670"/>
      <c r="M118" s="670"/>
      <c r="N118" s="670"/>
      <c r="O118" s="670"/>
      <c r="P118" s="670"/>
      <c r="Q118" s="670"/>
      <c r="R118" s="670"/>
      <c r="S118" s="670"/>
      <c r="T118" s="670"/>
      <c r="U118" s="670"/>
      <c r="V118" s="670"/>
      <c r="W118" s="670"/>
      <c r="X118" s="670"/>
      <c r="Y118" s="670"/>
      <c r="Z118" s="670"/>
      <c r="AA118" s="670"/>
      <c r="AB118" s="670"/>
      <c r="AC118" s="670"/>
      <c r="AD118" s="670"/>
      <c r="AE118" s="670"/>
      <c r="AF118" s="671"/>
      <c r="AG118" s="678"/>
      <c r="AH118" s="677"/>
      <c r="AI118" s="677"/>
      <c r="AJ118" s="677"/>
      <c r="AK118" s="677"/>
      <c r="AL118" s="719" t="str">
        <f t="shared" si="24"/>
        <v/>
      </c>
      <c r="AM118" s="677"/>
      <c r="AN118" s="677"/>
      <c r="AO118" s="677"/>
      <c r="AP118" s="677"/>
      <c r="AQ118" s="677"/>
      <c r="AR118" s="677"/>
      <c r="AS118" s="678"/>
      <c r="AT118" s="677"/>
    </row>
    <row r="119" ht="15.75" hidden="1" customHeight="1">
      <c r="A119" s="668" t="s">
        <v>2687</v>
      </c>
      <c r="B119" s="672">
        <v>1.0</v>
      </c>
      <c r="C119" s="672">
        <v>2.0</v>
      </c>
      <c r="D119" s="672">
        <v>3.0</v>
      </c>
      <c r="E119" s="672">
        <v>4.0</v>
      </c>
      <c r="F119" s="672">
        <v>5.0</v>
      </c>
      <c r="G119" s="672">
        <v>6.0</v>
      </c>
      <c r="H119" s="672">
        <v>7.0</v>
      </c>
      <c r="I119" s="672">
        <v>8.0</v>
      </c>
      <c r="J119" s="672">
        <v>9.0</v>
      </c>
      <c r="K119" s="672">
        <v>10.0</v>
      </c>
      <c r="L119" s="672">
        <v>11.0</v>
      </c>
      <c r="M119" s="672">
        <v>12.0</v>
      </c>
      <c r="N119" s="672">
        <v>13.0</v>
      </c>
      <c r="O119" s="672">
        <v>14.0</v>
      </c>
      <c r="P119" s="672">
        <v>15.0</v>
      </c>
      <c r="Q119" s="672">
        <v>16.0</v>
      </c>
      <c r="R119" s="672">
        <v>17.0</v>
      </c>
      <c r="S119" s="672">
        <v>18.0</v>
      </c>
      <c r="T119" s="672">
        <v>19.0</v>
      </c>
      <c r="U119" s="672">
        <v>20.0</v>
      </c>
      <c r="V119" s="672">
        <v>21.0</v>
      </c>
      <c r="W119" s="672">
        <v>22.0</v>
      </c>
      <c r="X119" s="672">
        <v>23.0</v>
      </c>
      <c r="Y119" s="672">
        <v>24.0</v>
      </c>
      <c r="Z119" s="672">
        <v>25.0</v>
      </c>
      <c r="AA119" s="672">
        <v>26.0</v>
      </c>
      <c r="AB119" s="672">
        <v>27.0</v>
      </c>
      <c r="AC119" s="672">
        <v>28.0</v>
      </c>
      <c r="AD119" s="672">
        <v>29.0</v>
      </c>
      <c r="AE119" s="672">
        <v>30.0</v>
      </c>
      <c r="AF119" s="677" t="s">
        <v>2934</v>
      </c>
      <c r="AG119" s="678"/>
      <c r="AH119" s="677"/>
      <c r="AI119" s="677"/>
      <c r="AJ119" s="677"/>
      <c r="AK119" s="677"/>
      <c r="AL119" s="719" t="str">
        <f t="shared" si="24"/>
        <v>TỔNG</v>
      </c>
      <c r="AM119" s="677"/>
      <c r="AN119" s="677"/>
      <c r="AO119" s="677"/>
      <c r="AP119" s="677"/>
      <c r="AQ119" s="677"/>
      <c r="AR119" s="677"/>
      <c r="AS119" s="678"/>
      <c r="AT119" s="677"/>
    </row>
    <row r="120" ht="15.75" hidden="1" customHeight="1">
      <c r="A120" s="681" t="s">
        <v>3046</v>
      </c>
      <c r="B120" s="691">
        <v>2.0</v>
      </c>
      <c r="C120" s="691">
        <v>3.0</v>
      </c>
      <c r="D120" s="691">
        <v>0.0</v>
      </c>
      <c r="E120" s="681"/>
      <c r="F120" s="681"/>
      <c r="G120" s="681"/>
      <c r="H120" s="681"/>
      <c r="I120" s="681"/>
      <c r="J120" s="681"/>
      <c r="K120" s="681"/>
      <c r="L120" s="681"/>
      <c r="M120" s="681"/>
      <c r="N120" s="681"/>
      <c r="O120" s="681"/>
      <c r="P120" s="681"/>
      <c r="Q120" s="681"/>
      <c r="R120" s="681"/>
      <c r="S120" s="681"/>
      <c r="T120" s="681"/>
      <c r="U120" s="681"/>
      <c r="V120" s="681"/>
      <c r="W120" s="681"/>
      <c r="X120" s="681"/>
      <c r="Y120" s="681"/>
      <c r="Z120" s="681"/>
      <c r="AA120" s="681"/>
      <c r="AB120" s="681"/>
      <c r="AC120" s="681"/>
      <c r="AD120" s="681"/>
      <c r="AE120" s="681"/>
      <c r="AF120" s="681">
        <f t="shared" ref="AF120:AF126" si="52">SUM(B120:AE120)</f>
        <v>5</v>
      </c>
      <c r="AG120" s="682"/>
      <c r="AH120" s="681"/>
      <c r="AI120" s="681"/>
      <c r="AJ120" s="681"/>
      <c r="AK120" s="681"/>
      <c r="AL120" s="719">
        <f t="shared" si="24"/>
        <v>5</v>
      </c>
      <c r="AM120" s="681"/>
      <c r="AN120" s="681"/>
      <c r="AO120" s="681"/>
      <c r="AP120" s="681"/>
      <c r="AQ120" s="681"/>
      <c r="AR120" s="681"/>
      <c r="AS120" s="682"/>
      <c r="AT120" s="681"/>
    </row>
    <row r="121" ht="15.75" hidden="1" customHeight="1">
      <c r="A121" s="681" t="s">
        <v>2624</v>
      </c>
      <c r="B121" s="691">
        <v>2.0</v>
      </c>
      <c r="C121" s="691">
        <v>0.0</v>
      </c>
      <c r="D121" s="691">
        <v>1.0</v>
      </c>
      <c r="E121" s="681"/>
      <c r="F121" s="681"/>
      <c r="G121" s="681"/>
      <c r="H121" s="681"/>
      <c r="I121" s="681"/>
      <c r="J121" s="681"/>
      <c r="K121" s="681"/>
      <c r="L121" s="681"/>
      <c r="M121" s="681"/>
      <c r="N121" s="681"/>
      <c r="O121" s="681"/>
      <c r="P121" s="681"/>
      <c r="Q121" s="681"/>
      <c r="R121" s="681"/>
      <c r="S121" s="681"/>
      <c r="T121" s="681"/>
      <c r="U121" s="681"/>
      <c r="V121" s="681"/>
      <c r="W121" s="681"/>
      <c r="X121" s="681"/>
      <c r="Y121" s="681"/>
      <c r="Z121" s="681"/>
      <c r="AA121" s="681"/>
      <c r="AB121" s="681"/>
      <c r="AC121" s="681"/>
      <c r="AD121" s="681"/>
      <c r="AE121" s="681"/>
      <c r="AF121" s="681">
        <f t="shared" si="52"/>
        <v>3</v>
      </c>
      <c r="AG121" s="682"/>
      <c r="AH121" s="681"/>
      <c r="AI121" s="681"/>
      <c r="AJ121" s="681"/>
      <c r="AK121" s="681"/>
      <c r="AL121" s="719">
        <f t="shared" si="24"/>
        <v>3</v>
      </c>
      <c r="AM121" s="681"/>
      <c r="AN121" s="681"/>
      <c r="AO121" s="681"/>
      <c r="AP121" s="681"/>
      <c r="AQ121" s="681"/>
      <c r="AR121" s="681"/>
      <c r="AS121" s="682"/>
      <c r="AT121" s="681"/>
    </row>
    <row r="122" ht="15.75" hidden="1" customHeight="1">
      <c r="A122" s="681" t="s">
        <v>2622</v>
      </c>
      <c r="B122" s="691">
        <v>1.0</v>
      </c>
      <c r="C122" s="691">
        <v>0.0</v>
      </c>
      <c r="D122" s="691">
        <v>0.0</v>
      </c>
      <c r="E122" s="681"/>
      <c r="F122" s="681"/>
      <c r="G122" s="681"/>
      <c r="H122" s="681"/>
      <c r="I122" s="681"/>
      <c r="J122" s="681"/>
      <c r="K122" s="681"/>
      <c r="L122" s="681"/>
      <c r="M122" s="681"/>
      <c r="N122" s="681"/>
      <c r="O122" s="681"/>
      <c r="P122" s="681"/>
      <c r="Q122" s="681"/>
      <c r="R122" s="681"/>
      <c r="S122" s="681"/>
      <c r="T122" s="681"/>
      <c r="U122" s="681"/>
      <c r="V122" s="681"/>
      <c r="W122" s="681"/>
      <c r="X122" s="681"/>
      <c r="Y122" s="681"/>
      <c r="Z122" s="681"/>
      <c r="AA122" s="681"/>
      <c r="AB122" s="681"/>
      <c r="AC122" s="681"/>
      <c r="AD122" s="681"/>
      <c r="AE122" s="681"/>
      <c r="AF122" s="681">
        <f t="shared" si="52"/>
        <v>1</v>
      </c>
      <c r="AG122" s="682"/>
      <c r="AH122" s="681"/>
      <c r="AI122" s="681"/>
      <c r="AJ122" s="681"/>
      <c r="AK122" s="681"/>
      <c r="AL122" s="719">
        <f t="shared" si="24"/>
        <v>1</v>
      </c>
      <c r="AM122" s="681"/>
      <c r="AN122" s="681"/>
      <c r="AO122" s="681"/>
      <c r="AP122" s="681"/>
      <c r="AQ122" s="681"/>
      <c r="AR122" s="681"/>
      <c r="AS122" s="682"/>
      <c r="AT122" s="681"/>
    </row>
    <row r="123" ht="15.75" hidden="1" customHeight="1">
      <c r="A123" s="681" t="s">
        <v>2627</v>
      </c>
      <c r="B123" s="691">
        <v>0.0</v>
      </c>
      <c r="C123" s="691">
        <v>0.0</v>
      </c>
      <c r="D123" s="691">
        <v>0.0</v>
      </c>
      <c r="E123" s="681"/>
      <c r="F123" s="681"/>
      <c r="G123" s="681"/>
      <c r="H123" s="681"/>
      <c r="I123" s="681"/>
      <c r="J123" s="681"/>
      <c r="K123" s="681"/>
      <c r="L123" s="681"/>
      <c r="M123" s="681"/>
      <c r="N123" s="681"/>
      <c r="O123" s="681"/>
      <c r="P123" s="681"/>
      <c r="Q123" s="681"/>
      <c r="R123" s="681"/>
      <c r="S123" s="681"/>
      <c r="T123" s="681"/>
      <c r="U123" s="681"/>
      <c r="V123" s="681"/>
      <c r="W123" s="681"/>
      <c r="X123" s="681"/>
      <c r="Y123" s="681"/>
      <c r="Z123" s="681"/>
      <c r="AA123" s="681"/>
      <c r="AB123" s="681"/>
      <c r="AC123" s="681"/>
      <c r="AD123" s="681"/>
      <c r="AE123" s="681"/>
      <c r="AF123" s="681">
        <f t="shared" si="52"/>
        <v>0</v>
      </c>
      <c r="AG123" s="682"/>
      <c r="AH123" s="681"/>
      <c r="AI123" s="681"/>
      <c r="AJ123" s="681"/>
      <c r="AK123" s="681"/>
      <c r="AL123" s="719">
        <f t="shared" si="24"/>
        <v>0</v>
      </c>
      <c r="AM123" s="681"/>
      <c r="AN123" s="681"/>
      <c r="AO123" s="681"/>
      <c r="AP123" s="681"/>
      <c r="AQ123" s="681"/>
      <c r="AR123" s="681"/>
      <c r="AS123" s="682"/>
      <c r="AT123" s="681"/>
    </row>
    <row r="124" ht="15.75" hidden="1" customHeight="1">
      <c r="A124" s="691" t="s">
        <v>3054</v>
      </c>
      <c r="B124" s="691">
        <v>0.0</v>
      </c>
      <c r="C124" s="691">
        <v>0.0</v>
      </c>
      <c r="D124" s="691">
        <v>1.0</v>
      </c>
      <c r="E124" s="681"/>
      <c r="F124" s="681"/>
      <c r="G124" s="681"/>
      <c r="H124" s="681"/>
      <c r="I124" s="681"/>
      <c r="J124" s="681"/>
      <c r="K124" s="681"/>
      <c r="L124" s="681"/>
      <c r="M124" s="681"/>
      <c r="N124" s="681"/>
      <c r="O124" s="681"/>
      <c r="P124" s="681"/>
      <c r="Q124" s="681"/>
      <c r="R124" s="681"/>
      <c r="S124" s="681"/>
      <c r="T124" s="681"/>
      <c r="U124" s="681"/>
      <c r="V124" s="681"/>
      <c r="W124" s="681"/>
      <c r="X124" s="681"/>
      <c r="Y124" s="681"/>
      <c r="Z124" s="681"/>
      <c r="AA124" s="681"/>
      <c r="AB124" s="681"/>
      <c r="AC124" s="681"/>
      <c r="AD124" s="681"/>
      <c r="AE124" s="681"/>
      <c r="AF124" s="681">
        <f t="shared" si="52"/>
        <v>1</v>
      </c>
      <c r="AG124" s="682"/>
      <c r="AH124" s="681"/>
      <c r="AI124" s="681"/>
      <c r="AJ124" s="681"/>
      <c r="AK124" s="681"/>
      <c r="AL124" s="719">
        <f t="shared" si="24"/>
        <v>1</v>
      </c>
      <c r="AM124" s="681"/>
      <c r="AN124" s="681"/>
      <c r="AO124" s="681"/>
      <c r="AP124" s="681"/>
      <c r="AQ124" s="681"/>
      <c r="AR124" s="681"/>
      <c r="AS124" s="682"/>
      <c r="AT124" s="681"/>
    </row>
    <row r="125" ht="15.75" hidden="1" customHeight="1">
      <c r="A125" s="681" t="s">
        <v>2920</v>
      </c>
      <c r="B125" s="681"/>
      <c r="C125" s="681"/>
      <c r="D125" s="681"/>
      <c r="E125" s="681"/>
      <c r="F125" s="681"/>
      <c r="G125" s="681"/>
      <c r="H125" s="681"/>
      <c r="I125" s="681"/>
      <c r="J125" s="681"/>
      <c r="K125" s="681"/>
      <c r="L125" s="681"/>
      <c r="M125" s="681"/>
      <c r="N125" s="681"/>
      <c r="O125" s="681"/>
      <c r="P125" s="681"/>
      <c r="Q125" s="681"/>
      <c r="R125" s="681"/>
      <c r="S125" s="681"/>
      <c r="T125" s="681"/>
      <c r="U125" s="681"/>
      <c r="V125" s="681"/>
      <c r="W125" s="681"/>
      <c r="X125" s="681"/>
      <c r="Y125" s="681"/>
      <c r="Z125" s="681"/>
      <c r="AA125" s="681"/>
      <c r="AB125" s="681"/>
      <c r="AC125" s="681"/>
      <c r="AD125" s="681"/>
      <c r="AE125" s="681"/>
      <c r="AF125" s="681">
        <f t="shared" si="52"/>
        <v>0</v>
      </c>
      <c r="AG125" s="682"/>
      <c r="AH125" s="681"/>
      <c r="AI125" s="681"/>
      <c r="AJ125" s="681"/>
      <c r="AK125" s="681"/>
      <c r="AL125" s="719">
        <f t="shared" si="24"/>
        <v>0</v>
      </c>
      <c r="AM125" s="681"/>
      <c r="AN125" s="681"/>
      <c r="AO125" s="681"/>
      <c r="AP125" s="681"/>
      <c r="AQ125" s="681"/>
      <c r="AR125" s="681"/>
      <c r="AS125" s="682"/>
      <c r="AT125" s="681"/>
    </row>
    <row r="126" ht="15.75" hidden="1" customHeight="1">
      <c r="A126" s="681" t="s">
        <v>3464</v>
      </c>
      <c r="B126" s="681"/>
      <c r="C126" s="681"/>
      <c r="D126" s="681"/>
      <c r="E126" s="681"/>
      <c r="F126" s="681"/>
      <c r="G126" s="681"/>
      <c r="H126" s="681"/>
      <c r="I126" s="681"/>
      <c r="J126" s="681"/>
      <c r="K126" s="681"/>
      <c r="L126" s="681"/>
      <c r="M126" s="681"/>
      <c r="N126" s="681"/>
      <c r="O126" s="681"/>
      <c r="P126" s="681"/>
      <c r="Q126" s="681"/>
      <c r="R126" s="681"/>
      <c r="S126" s="681"/>
      <c r="T126" s="681"/>
      <c r="U126" s="681"/>
      <c r="V126" s="681"/>
      <c r="W126" s="681"/>
      <c r="X126" s="681"/>
      <c r="Y126" s="681"/>
      <c r="Z126" s="681"/>
      <c r="AA126" s="681"/>
      <c r="AB126" s="681"/>
      <c r="AC126" s="681"/>
      <c r="AD126" s="681"/>
      <c r="AE126" s="681"/>
      <c r="AF126" s="681">
        <f t="shared" si="52"/>
        <v>0</v>
      </c>
      <c r="AG126" s="682"/>
      <c r="AH126" s="681"/>
      <c r="AI126" s="681"/>
      <c r="AJ126" s="681"/>
      <c r="AK126" s="681"/>
      <c r="AL126" s="719">
        <f t="shared" si="24"/>
        <v>0</v>
      </c>
      <c r="AM126" s="681"/>
      <c r="AN126" s="681"/>
      <c r="AO126" s="681"/>
      <c r="AP126" s="681"/>
      <c r="AQ126" s="681"/>
      <c r="AR126" s="681"/>
      <c r="AS126" s="682"/>
      <c r="AT126" s="681"/>
    </row>
    <row r="127" ht="15.75" hidden="1" customHeight="1">
      <c r="A127" s="668" t="s">
        <v>2934</v>
      </c>
      <c r="B127" s="672">
        <f t="shared" ref="B127:AF127" si="53">SUM(B120:B126)</f>
        <v>5</v>
      </c>
      <c r="C127" s="672">
        <f t="shared" si="53"/>
        <v>3</v>
      </c>
      <c r="D127" s="672">
        <f t="shared" si="53"/>
        <v>2</v>
      </c>
      <c r="E127" s="672">
        <f t="shared" si="53"/>
        <v>0</v>
      </c>
      <c r="F127" s="672">
        <f t="shared" si="53"/>
        <v>0</v>
      </c>
      <c r="G127" s="672">
        <f t="shared" si="53"/>
        <v>0</v>
      </c>
      <c r="H127" s="672">
        <f t="shared" si="53"/>
        <v>0</v>
      </c>
      <c r="I127" s="672">
        <f t="shared" si="53"/>
        <v>0</v>
      </c>
      <c r="J127" s="672">
        <f t="shared" si="53"/>
        <v>0</v>
      </c>
      <c r="K127" s="672">
        <f t="shared" si="53"/>
        <v>0</v>
      </c>
      <c r="L127" s="672">
        <f t="shared" si="53"/>
        <v>0</v>
      </c>
      <c r="M127" s="672">
        <f t="shared" si="53"/>
        <v>0</v>
      </c>
      <c r="N127" s="672">
        <f t="shared" si="53"/>
        <v>0</v>
      </c>
      <c r="O127" s="672">
        <f t="shared" si="53"/>
        <v>0</v>
      </c>
      <c r="P127" s="672">
        <f t="shared" si="53"/>
        <v>0</v>
      </c>
      <c r="Q127" s="672">
        <f t="shared" si="53"/>
        <v>0</v>
      </c>
      <c r="R127" s="672">
        <f t="shared" si="53"/>
        <v>0</v>
      </c>
      <c r="S127" s="672">
        <f t="shared" si="53"/>
        <v>0</v>
      </c>
      <c r="T127" s="672">
        <f t="shared" si="53"/>
        <v>0</v>
      </c>
      <c r="U127" s="672">
        <f t="shared" si="53"/>
        <v>0</v>
      </c>
      <c r="V127" s="672">
        <f t="shared" si="53"/>
        <v>0</v>
      </c>
      <c r="W127" s="672">
        <f t="shared" si="53"/>
        <v>0</v>
      </c>
      <c r="X127" s="672">
        <f t="shared" si="53"/>
        <v>0</v>
      </c>
      <c r="Y127" s="672">
        <f t="shared" si="53"/>
        <v>0</v>
      </c>
      <c r="Z127" s="672">
        <f t="shared" si="53"/>
        <v>0</v>
      </c>
      <c r="AA127" s="672">
        <f t="shared" si="53"/>
        <v>0</v>
      </c>
      <c r="AB127" s="672">
        <f t="shared" si="53"/>
        <v>0</v>
      </c>
      <c r="AC127" s="672">
        <f t="shared" si="53"/>
        <v>0</v>
      </c>
      <c r="AD127" s="672">
        <f t="shared" si="53"/>
        <v>0</v>
      </c>
      <c r="AE127" s="672">
        <f t="shared" si="53"/>
        <v>0</v>
      </c>
      <c r="AF127" s="672">
        <f t="shared" si="53"/>
        <v>10</v>
      </c>
      <c r="AG127" s="685"/>
      <c r="AH127" s="672"/>
      <c r="AI127" s="672"/>
      <c r="AJ127" s="672"/>
      <c r="AK127" s="672"/>
      <c r="AL127" s="719">
        <f t="shared" si="24"/>
        <v>10</v>
      </c>
      <c r="AM127" s="672"/>
      <c r="AN127" s="672"/>
      <c r="AO127" s="672"/>
      <c r="AP127" s="672"/>
      <c r="AQ127" s="672"/>
      <c r="AR127" s="672"/>
      <c r="AS127" s="685"/>
      <c r="AT127" s="672"/>
    </row>
    <row r="128" ht="15.75" hidden="1" customHeight="1">
      <c r="A128" s="762" t="s">
        <v>2944</v>
      </c>
      <c r="B128" s="670"/>
      <c r="C128" s="670"/>
      <c r="D128" s="670"/>
      <c r="E128" s="670"/>
      <c r="F128" s="670"/>
      <c r="G128" s="670"/>
      <c r="H128" s="670"/>
      <c r="I128" s="670"/>
      <c r="J128" s="670"/>
      <c r="K128" s="670"/>
      <c r="L128" s="670"/>
      <c r="M128" s="670"/>
      <c r="N128" s="670"/>
      <c r="O128" s="670"/>
      <c r="P128" s="670"/>
      <c r="Q128" s="670"/>
      <c r="R128" s="670"/>
      <c r="S128" s="670"/>
      <c r="T128" s="670"/>
      <c r="U128" s="670"/>
      <c r="V128" s="670"/>
      <c r="W128" s="670"/>
      <c r="X128" s="670"/>
      <c r="Y128" s="670"/>
      <c r="Z128" s="670"/>
      <c r="AA128" s="670"/>
      <c r="AB128" s="670"/>
      <c r="AC128" s="670"/>
      <c r="AD128" s="670"/>
      <c r="AE128" s="670"/>
      <c r="AF128" s="671"/>
      <c r="AG128" s="678"/>
      <c r="AH128" s="677"/>
      <c r="AI128" s="677"/>
      <c r="AJ128" s="677"/>
      <c r="AK128" s="677"/>
      <c r="AL128" s="719" t="str">
        <f t="shared" si="24"/>
        <v/>
      </c>
      <c r="AM128" s="677"/>
      <c r="AN128" s="677"/>
      <c r="AO128" s="677"/>
      <c r="AP128" s="677"/>
      <c r="AQ128" s="677"/>
      <c r="AR128" s="677"/>
      <c r="AS128" s="678"/>
      <c r="AT128" s="677"/>
    </row>
    <row r="129" ht="15.75" hidden="1" customHeight="1">
      <c r="A129" s="668" t="s">
        <v>2960</v>
      </c>
      <c r="B129" s="672">
        <v>1.0</v>
      </c>
      <c r="C129" s="672">
        <v>2.0</v>
      </c>
      <c r="D129" s="672">
        <v>3.0</v>
      </c>
      <c r="E129" s="672">
        <v>4.0</v>
      </c>
      <c r="F129" s="672">
        <v>5.0</v>
      </c>
      <c r="G129" s="672">
        <v>6.0</v>
      </c>
      <c r="H129" s="672">
        <v>7.0</v>
      </c>
      <c r="I129" s="672">
        <v>8.0</v>
      </c>
      <c r="J129" s="672">
        <v>9.0</v>
      </c>
      <c r="K129" s="672">
        <v>10.0</v>
      </c>
      <c r="L129" s="672">
        <v>11.0</v>
      </c>
      <c r="M129" s="672">
        <v>12.0</v>
      </c>
      <c r="N129" s="672">
        <v>13.0</v>
      </c>
      <c r="O129" s="672">
        <v>14.0</v>
      </c>
      <c r="P129" s="672">
        <v>15.0</v>
      </c>
      <c r="Q129" s="672">
        <v>16.0</v>
      </c>
      <c r="R129" s="672">
        <v>17.0</v>
      </c>
      <c r="S129" s="672">
        <v>18.0</v>
      </c>
      <c r="T129" s="672">
        <v>19.0</v>
      </c>
      <c r="U129" s="672">
        <v>20.0</v>
      </c>
      <c r="V129" s="672">
        <v>21.0</v>
      </c>
      <c r="W129" s="672">
        <v>22.0</v>
      </c>
      <c r="X129" s="672">
        <v>23.0</v>
      </c>
      <c r="Y129" s="672">
        <v>24.0</v>
      </c>
      <c r="Z129" s="672">
        <v>25.0</v>
      </c>
      <c r="AA129" s="672">
        <v>26.0</v>
      </c>
      <c r="AB129" s="672">
        <v>27.0</v>
      </c>
      <c r="AC129" s="672">
        <v>28.0</v>
      </c>
      <c r="AD129" s="672">
        <v>29.0</v>
      </c>
      <c r="AE129" s="672">
        <v>30.0</v>
      </c>
      <c r="AF129" s="677" t="s">
        <v>2934</v>
      </c>
      <c r="AG129" s="678"/>
      <c r="AH129" s="677"/>
      <c r="AI129" s="677"/>
      <c r="AJ129" s="677"/>
      <c r="AK129" s="677"/>
      <c r="AL129" s="719" t="str">
        <f t="shared" si="24"/>
        <v>TỔNG</v>
      </c>
      <c r="AM129" s="677"/>
      <c r="AN129" s="677"/>
      <c r="AO129" s="677"/>
      <c r="AP129" s="677"/>
      <c r="AQ129" s="677"/>
      <c r="AR129" s="677"/>
      <c r="AS129" s="678"/>
      <c r="AT129" s="677"/>
    </row>
    <row r="130" ht="15.75" hidden="1" customHeight="1">
      <c r="A130" s="681" t="s">
        <v>3046</v>
      </c>
      <c r="B130" s="691">
        <v>1.0</v>
      </c>
      <c r="C130" s="691">
        <v>0.0</v>
      </c>
      <c r="D130" s="691">
        <v>0.0</v>
      </c>
      <c r="E130" s="681"/>
      <c r="F130" s="681"/>
      <c r="G130" s="681"/>
      <c r="H130" s="681"/>
      <c r="I130" s="681"/>
      <c r="J130" s="681"/>
      <c r="K130" s="681"/>
      <c r="L130" s="681"/>
      <c r="M130" s="681"/>
      <c r="N130" s="681"/>
      <c r="O130" s="681"/>
      <c r="P130" s="681"/>
      <c r="Q130" s="681"/>
      <c r="R130" s="681"/>
      <c r="S130" s="681"/>
      <c r="T130" s="681"/>
      <c r="U130" s="681"/>
      <c r="V130" s="681"/>
      <c r="W130" s="681"/>
      <c r="X130" s="681"/>
      <c r="Y130" s="681"/>
      <c r="Z130" s="681"/>
      <c r="AA130" s="681"/>
      <c r="AB130" s="681"/>
      <c r="AC130" s="681"/>
      <c r="AD130" s="681"/>
      <c r="AE130" s="681"/>
      <c r="AF130" s="681">
        <f t="shared" ref="AF130:AF136" si="54">SUM(B130:AE130)</f>
        <v>1</v>
      </c>
      <c r="AG130" s="682"/>
      <c r="AH130" s="681"/>
      <c r="AI130" s="681"/>
      <c r="AJ130" s="681"/>
      <c r="AK130" s="681"/>
      <c r="AL130" s="719">
        <f t="shared" si="24"/>
        <v>1</v>
      </c>
      <c r="AM130" s="681"/>
      <c r="AN130" s="681"/>
      <c r="AO130" s="681"/>
      <c r="AP130" s="681"/>
      <c r="AQ130" s="681"/>
      <c r="AR130" s="681"/>
      <c r="AS130" s="682"/>
      <c r="AT130" s="681"/>
    </row>
    <row r="131" ht="15.75" hidden="1" customHeight="1">
      <c r="A131" s="681" t="s">
        <v>2624</v>
      </c>
      <c r="B131" s="691">
        <v>1.0</v>
      </c>
      <c r="C131" s="691">
        <v>1.0</v>
      </c>
      <c r="D131" s="691">
        <v>4.0</v>
      </c>
      <c r="E131" s="681"/>
      <c r="F131" s="681"/>
      <c r="G131" s="681"/>
      <c r="H131" s="681"/>
      <c r="I131" s="681"/>
      <c r="J131" s="681"/>
      <c r="K131" s="681"/>
      <c r="L131" s="681"/>
      <c r="M131" s="681"/>
      <c r="N131" s="681"/>
      <c r="O131" s="681"/>
      <c r="P131" s="681"/>
      <c r="Q131" s="681"/>
      <c r="R131" s="681"/>
      <c r="S131" s="681"/>
      <c r="T131" s="681"/>
      <c r="U131" s="681"/>
      <c r="V131" s="681"/>
      <c r="W131" s="681"/>
      <c r="X131" s="681"/>
      <c r="Y131" s="681"/>
      <c r="Z131" s="681"/>
      <c r="AA131" s="681"/>
      <c r="AB131" s="681"/>
      <c r="AC131" s="681"/>
      <c r="AD131" s="681"/>
      <c r="AE131" s="681"/>
      <c r="AF131" s="681">
        <f t="shared" si="54"/>
        <v>6</v>
      </c>
      <c r="AG131" s="682"/>
      <c r="AH131" s="681"/>
      <c r="AI131" s="681"/>
      <c r="AJ131" s="681"/>
      <c r="AK131" s="681"/>
      <c r="AL131" s="719">
        <f t="shared" si="24"/>
        <v>6</v>
      </c>
      <c r="AM131" s="681"/>
      <c r="AN131" s="681"/>
      <c r="AO131" s="681"/>
      <c r="AP131" s="681"/>
      <c r="AQ131" s="681"/>
      <c r="AR131" s="681"/>
      <c r="AS131" s="682"/>
      <c r="AT131" s="681"/>
    </row>
    <row r="132" ht="15.75" hidden="1" customHeight="1">
      <c r="A132" s="681" t="s">
        <v>2622</v>
      </c>
      <c r="B132" s="691">
        <v>0.0</v>
      </c>
      <c r="C132" s="691">
        <v>1.0</v>
      </c>
      <c r="D132" s="691">
        <v>1.0</v>
      </c>
      <c r="E132" s="681"/>
      <c r="F132" s="681"/>
      <c r="G132" s="681"/>
      <c r="H132" s="681"/>
      <c r="I132" s="681"/>
      <c r="J132" s="681"/>
      <c r="K132" s="681"/>
      <c r="L132" s="681"/>
      <c r="M132" s="681"/>
      <c r="N132" s="681"/>
      <c r="O132" s="681"/>
      <c r="P132" s="681"/>
      <c r="Q132" s="681"/>
      <c r="R132" s="681"/>
      <c r="S132" s="681"/>
      <c r="T132" s="681"/>
      <c r="U132" s="681"/>
      <c r="V132" s="681"/>
      <c r="W132" s="681"/>
      <c r="X132" s="681"/>
      <c r="Y132" s="681"/>
      <c r="Z132" s="681"/>
      <c r="AA132" s="681"/>
      <c r="AB132" s="681"/>
      <c r="AC132" s="681"/>
      <c r="AD132" s="681"/>
      <c r="AE132" s="681"/>
      <c r="AF132" s="681">
        <f t="shared" si="54"/>
        <v>2</v>
      </c>
      <c r="AG132" s="682"/>
      <c r="AH132" s="681"/>
      <c r="AI132" s="681"/>
      <c r="AJ132" s="681"/>
      <c r="AK132" s="681"/>
      <c r="AL132" s="719">
        <f t="shared" si="24"/>
        <v>2</v>
      </c>
      <c r="AM132" s="681"/>
      <c r="AN132" s="681"/>
      <c r="AO132" s="681"/>
      <c r="AP132" s="681"/>
      <c r="AQ132" s="681"/>
      <c r="AR132" s="681"/>
      <c r="AS132" s="682"/>
      <c r="AT132" s="681"/>
    </row>
    <row r="133" ht="15.75" hidden="1" customHeight="1">
      <c r="A133" s="681" t="s">
        <v>2627</v>
      </c>
      <c r="B133" s="691">
        <v>1.0</v>
      </c>
      <c r="C133" s="691">
        <v>0.0</v>
      </c>
      <c r="D133" s="691">
        <v>3.0</v>
      </c>
      <c r="E133" s="681"/>
      <c r="F133" s="681"/>
      <c r="G133" s="681"/>
      <c r="H133" s="681"/>
      <c r="I133" s="681"/>
      <c r="J133" s="681"/>
      <c r="K133" s="681"/>
      <c r="L133" s="681"/>
      <c r="M133" s="681"/>
      <c r="N133" s="681"/>
      <c r="O133" s="681"/>
      <c r="P133" s="681"/>
      <c r="Q133" s="681"/>
      <c r="R133" s="681"/>
      <c r="S133" s="681"/>
      <c r="T133" s="681"/>
      <c r="U133" s="681"/>
      <c r="V133" s="681"/>
      <c r="W133" s="681"/>
      <c r="X133" s="681"/>
      <c r="Y133" s="681"/>
      <c r="Z133" s="681"/>
      <c r="AA133" s="681"/>
      <c r="AB133" s="681"/>
      <c r="AC133" s="681"/>
      <c r="AD133" s="681"/>
      <c r="AE133" s="681"/>
      <c r="AF133" s="681">
        <f t="shared" si="54"/>
        <v>4</v>
      </c>
      <c r="AG133" s="682"/>
      <c r="AH133" s="681"/>
      <c r="AI133" s="681"/>
      <c r="AJ133" s="681"/>
      <c r="AK133" s="681"/>
      <c r="AL133" s="719">
        <f t="shared" si="24"/>
        <v>4</v>
      </c>
      <c r="AM133" s="681"/>
      <c r="AN133" s="681"/>
      <c r="AO133" s="681"/>
      <c r="AP133" s="681"/>
      <c r="AQ133" s="681"/>
      <c r="AR133" s="681"/>
      <c r="AS133" s="682"/>
      <c r="AT133" s="681"/>
    </row>
    <row r="134" ht="15.75" hidden="1" customHeight="1">
      <c r="A134" s="691" t="s">
        <v>3054</v>
      </c>
      <c r="B134" s="691">
        <v>0.0</v>
      </c>
      <c r="C134" s="691">
        <v>0.0</v>
      </c>
      <c r="D134" s="691">
        <v>0.0</v>
      </c>
      <c r="E134" s="681"/>
      <c r="F134" s="681"/>
      <c r="G134" s="681"/>
      <c r="H134" s="681"/>
      <c r="I134" s="681"/>
      <c r="J134" s="681"/>
      <c r="K134" s="681"/>
      <c r="L134" s="681"/>
      <c r="M134" s="681"/>
      <c r="N134" s="681"/>
      <c r="O134" s="681"/>
      <c r="P134" s="681"/>
      <c r="Q134" s="681"/>
      <c r="R134" s="681"/>
      <c r="S134" s="681"/>
      <c r="T134" s="681"/>
      <c r="U134" s="681"/>
      <c r="V134" s="681"/>
      <c r="W134" s="681"/>
      <c r="X134" s="681"/>
      <c r="Y134" s="681"/>
      <c r="Z134" s="681"/>
      <c r="AA134" s="681"/>
      <c r="AB134" s="681"/>
      <c r="AC134" s="681"/>
      <c r="AD134" s="681"/>
      <c r="AE134" s="681"/>
      <c r="AF134" s="681">
        <f t="shared" si="54"/>
        <v>0</v>
      </c>
      <c r="AG134" s="682"/>
      <c r="AH134" s="681"/>
      <c r="AI134" s="681"/>
      <c r="AJ134" s="681"/>
      <c r="AK134" s="681"/>
      <c r="AL134" s="719">
        <f t="shared" si="24"/>
        <v>0</v>
      </c>
      <c r="AM134" s="681"/>
      <c r="AN134" s="681"/>
      <c r="AO134" s="681"/>
      <c r="AP134" s="681"/>
      <c r="AQ134" s="681"/>
      <c r="AR134" s="681"/>
      <c r="AS134" s="682"/>
      <c r="AT134" s="681"/>
    </row>
    <row r="135" ht="15.75" hidden="1" customHeight="1">
      <c r="A135" s="681" t="s">
        <v>2920</v>
      </c>
      <c r="B135" s="681"/>
      <c r="C135" s="681"/>
      <c r="D135" s="681"/>
      <c r="E135" s="681"/>
      <c r="F135" s="681"/>
      <c r="G135" s="681"/>
      <c r="H135" s="681"/>
      <c r="I135" s="681"/>
      <c r="J135" s="681"/>
      <c r="K135" s="681"/>
      <c r="L135" s="681"/>
      <c r="M135" s="681"/>
      <c r="N135" s="681"/>
      <c r="O135" s="681"/>
      <c r="P135" s="681"/>
      <c r="Q135" s="681"/>
      <c r="R135" s="681"/>
      <c r="S135" s="681"/>
      <c r="T135" s="681"/>
      <c r="U135" s="681"/>
      <c r="V135" s="681"/>
      <c r="W135" s="681"/>
      <c r="X135" s="681"/>
      <c r="Y135" s="681"/>
      <c r="Z135" s="681"/>
      <c r="AA135" s="681"/>
      <c r="AB135" s="681"/>
      <c r="AC135" s="681"/>
      <c r="AD135" s="681"/>
      <c r="AE135" s="681"/>
      <c r="AF135" s="681">
        <f t="shared" si="54"/>
        <v>0</v>
      </c>
      <c r="AG135" s="682"/>
      <c r="AH135" s="681"/>
      <c r="AI135" s="681"/>
      <c r="AJ135" s="681"/>
      <c r="AK135" s="681"/>
      <c r="AL135" s="719">
        <f t="shared" si="24"/>
        <v>0</v>
      </c>
      <c r="AM135" s="681"/>
      <c r="AN135" s="681"/>
      <c r="AO135" s="681"/>
      <c r="AP135" s="681"/>
      <c r="AQ135" s="681"/>
      <c r="AR135" s="681"/>
      <c r="AS135" s="682"/>
      <c r="AT135" s="681"/>
    </row>
    <row r="136" ht="15.75" hidden="1" customHeight="1">
      <c r="A136" s="681" t="s">
        <v>3464</v>
      </c>
      <c r="B136" s="681"/>
      <c r="C136" s="681"/>
      <c r="D136" s="681"/>
      <c r="E136" s="681"/>
      <c r="F136" s="681"/>
      <c r="G136" s="681"/>
      <c r="H136" s="681"/>
      <c r="I136" s="681"/>
      <c r="J136" s="681"/>
      <c r="K136" s="681"/>
      <c r="L136" s="681"/>
      <c r="M136" s="681"/>
      <c r="N136" s="681"/>
      <c r="O136" s="681"/>
      <c r="P136" s="681"/>
      <c r="Q136" s="681"/>
      <c r="R136" s="681"/>
      <c r="S136" s="681"/>
      <c r="T136" s="681"/>
      <c r="U136" s="681"/>
      <c r="V136" s="681"/>
      <c r="W136" s="681"/>
      <c r="X136" s="681"/>
      <c r="Y136" s="681"/>
      <c r="Z136" s="681"/>
      <c r="AA136" s="681"/>
      <c r="AB136" s="681"/>
      <c r="AC136" s="681"/>
      <c r="AD136" s="681"/>
      <c r="AE136" s="681"/>
      <c r="AF136" s="681">
        <f t="shared" si="54"/>
        <v>0</v>
      </c>
      <c r="AG136" s="682"/>
      <c r="AH136" s="681"/>
      <c r="AI136" s="681"/>
      <c r="AJ136" s="681"/>
      <c r="AK136" s="681"/>
      <c r="AL136" s="719">
        <f t="shared" si="24"/>
        <v>0</v>
      </c>
      <c r="AM136" s="681"/>
      <c r="AN136" s="681"/>
      <c r="AO136" s="681"/>
      <c r="AP136" s="681"/>
      <c r="AQ136" s="681"/>
      <c r="AR136" s="681"/>
      <c r="AS136" s="682"/>
      <c r="AT136" s="681"/>
    </row>
    <row r="137" ht="15.75" hidden="1" customHeight="1">
      <c r="A137" s="668" t="s">
        <v>2934</v>
      </c>
      <c r="B137" s="672">
        <f t="shared" ref="B137:AF137" si="55">SUM(B130:B136)</f>
        <v>3</v>
      </c>
      <c r="C137" s="672">
        <f t="shared" si="55"/>
        <v>2</v>
      </c>
      <c r="D137" s="672">
        <f t="shared" si="55"/>
        <v>8</v>
      </c>
      <c r="E137" s="672">
        <f t="shared" si="55"/>
        <v>0</v>
      </c>
      <c r="F137" s="672">
        <f t="shared" si="55"/>
        <v>0</v>
      </c>
      <c r="G137" s="672">
        <f t="shared" si="55"/>
        <v>0</v>
      </c>
      <c r="H137" s="672">
        <f t="shared" si="55"/>
        <v>0</v>
      </c>
      <c r="I137" s="672">
        <f t="shared" si="55"/>
        <v>0</v>
      </c>
      <c r="J137" s="672">
        <f t="shared" si="55"/>
        <v>0</v>
      </c>
      <c r="K137" s="672">
        <f t="shared" si="55"/>
        <v>0</v>
      </c>
      <c r="L137" s="672">
        <f t="shared" si="55"/>
        <v>0</v>
      </c>
      <c r="M137" s="672">
        <f t="shared" si="55"/>
        <v>0</v>
      </c>
      <c r="N137" s="672">
        <f t="shared" si="55"/>
        <v>0</v>
      </c>
      <c r="O137" s="672">
        <f t="shared" si="55"/>
        <v>0</v>
      </c>
      <c r="P137" s="672">
        <f t="shared" si="55"/>
        <v>0</v>
      </c>
      <c r="Q137" s="672">
        <f t="shared" si="55"/>
        <v>0</v>
      </c>
      <c r="R137" s="672">
        <f t="shared" si="55"/>
        <v>0</v>
      </c>
      <c r="S137" s="672">
        <f t="shared" si="55"/>
        <v>0</v>
      </c>
      <c r="T137" s="672">
        <f t="shared" si="55"/>
        <v>0</v>
      </c>
      <c r="U137" s="672">
        <f t="shared" si="55"/>
        <v>0</v>
      </c>
      <c r="V137" s="672">
        <f t="shared" si="55"/>
        <v>0</v>
      </c>
      <c r="W137" s="672">
        <f t="shared" si="55"/>
        <v>0</v>
      </c>
      <c r="X137" s="672">
        <f t="shared" si="55"/>
        <v>0</v>
      </c>
      <c r="Y137" s="672">
        <f t="shared" si="55"/>
        <v>0</v>
      </c>
      <c r="Z137" s="672">
        <f t="shared" si="55"/>
        <v>0</v>
      </c>
      <c r="AA137" s="672">
        <f t="shared" si="55"/>
        <v>0</v>
      </c>
      <c r="AB137" s="672">
        <f t="shared" si="55"/>
        <v>0</v>
      </c>
      <c r="AC137" s="672">
        <f t="shared" si="55"/>
        <v>0</v>
      </c>
      <c r="AD137" s="672">
        <f t="shared" si="55"/>
        <v>0</v>
      </c>
      <c r="AE137" s="672">
        <f t="shared" si="55"/>
        <v>0</v>
      </c>
      <c r="AF137" s="672">
        <f t="shared" si="55"/>
        <v>13</v>
      </c>
      <c r="AG137" s="685"/>
      <c r="AH137" s="672"/>
      <c r="AI137" s="672"/>
      <c r="AJ137" s="672"/>
      <c r="AK137" s="672"/>
      <c r="AL137" s="719">
        <f t="shared" si="24"/>
        <v>13</v>
      </c>
      <c r="AM137" s="672"/>
      <c r="AN137" s="672"/>
      <c r="AO137" s="672"/>
      <c r="AP137" s="672"/>
      <c r="AQ137" s="672"/>
      <c r="AR137" s="672"/>
      <c r="AS137" s="685"/>
      <c r="AT137" s="672"/>
    </row>
    <row r="138" ht="15.75" hidden="1" customHeight="1">
      <c r="A138" s="762" t="s">
        <v>2944</v>
      </c>
      <c r="B138" s="670"/>
      <c r="C138" s="670"/>
      <c r="D138" s="670"/>
      <c r="E138" s="670"/>
      <c r="F138" s="670"/>
      <c r="G138" s="670"/>
      <c r="H138" s="670"/>
      <c r="I138" s="670"/>
      <c r="J138" s="670"/>
      <c r="K138" s="670"/>
      <c r="L138" s="670"/>
      <c r="M138" s="670"/>
      <c r="N138" s="670"/>
      <c r="O138" s="670"/>
      <c r="P138" s="670"/>
      <c r="Q138" s="670"/>
      <c r="R138" s="670"/>
      <c r="S138" s="670"/>
      <c r="T138" s="670"/>
      <c r="U138" s="670"/>
      <c r="V138" s="670"/>
      <c r="W138" s="670"/>
      <c r="X138" s="670"/>
      <c r="Y138" s="670"/>
      <c r="Z138" s="670"/>
      <c r="AA138" s="670"/>
      <c r="AB138" s="670"/>
      <c r="AC138" s="670"/>
      <c r="AD138" s="670"/>
      <c r="AE138" s="670"/>
      <c r="AF138" s="671"/>
      <c r="AG138" s="678"/>
      <c r="AH138" s="677"/>
      <c r="AI138" s="677"/>
      <c r="AJ138" s="677"/>
      <c r="AK138" s="677"/>
      <c r="AL138" s="719" t="str">
        <f t="shared" si="24"/>
        <v/>
      </c>
      <c r="AM138" s="677"/>
      <c r="AN138" s="677"/>
      <c r="AO138" s="677"/>
      <c r="AP138" s="677"/>
      <c r="AQ138" s="677"/>
      <c r="AR138" s="677"/>
      <c r="AS138" s="678"/>
      <c r="AT138" s="677"/>
    </row>
    <row r="139" ht="15.75" hidden="1" customHeight="1">
      <c r="A139" s="668" t="s">
        <v>3489</v>
      </c>
      <c r="B139" s="672">
        <v>1.0</v>
      </c>
      <c r="C139" s="672">
        <v>2.0</v>
      </c>
      <c r="D139" s="672">
        <v>3.0</v>
      </c>
      <c r="E139" s="672">
        <v>4.0</v>
      </c>
      <c r="F139" s="672">
        <v>5.0</v>
      </c>
      <c r="G139" s="672">
        <v>6.0</v>
      </c>
      <c r="H139" s="672">
        <v>7.0</v>
      </c>
      <c r="I139" s="672">
        <v>8.0</v>
      </c>
      <c r="J139" s="672">
        <v>9.0</v>
      </c>
      <c r="K139" s="672">
        <v>10.0</v>
      </c>
      <c r="L139" s="672">
        <v>11.0</v>
      </c>
      <c r="M139" s="672">
        <v>12.0</v>
      </c>
      <c r="N139" s="672">
        <v>13.0</v>
      </c>
      <c r="O139" s="672">
        <v>14.0</v>
      </c>
      <c r="P139" s="672">
        <v>15.0</v>
      </c>
      <c r="Q139" s="672">
        <v>16.0</v>
      </c>
      <c r="R139" s="672">
        <v>17.0</v>
      </c>
      <c r="S139" s="672">
        <v>18.0</v>
      </c>
      <c r="T139" s="672">
        <v>19.0</v>
      </c>
      <c r="U139" s="672">
        <v>20.0</v>
      </c>
      <c r="V139" s="672">
        <v>21.0</v>
      </c>
      <c r="W139" s="672">
        <v>22.0</v>
      </c>
      <c r="X139" s="672">
        <v>23.0</v>
      </c>
      <c r="Y139" s="672">
        <v>24.0</v>
      </c>
      <c r="Z139" s="672">
        <v>25.0</v>
      </c>
      <c r="AA139" s="672">
        <v>26.0</v>
      </c>
      <c r="AB139" s="672">
        <v>27.0</v>
      </c>
      <c r="AC139" s="672">
        <v>28.0</v>
      </c>
      <c r="AD139" s="672">
        <v>29.0</v>
      </c>
      <c r="AE139" s="672">
        <v>30.0</v>
      </c>
      <c r="AF139" s="677" t="s">
        <v>2934</v>
      </c>
      <c r="AG139" s="678"/>
      <c r="AH139" s="677"/>
      <c r="AI139" s="677"/>
      <c r="AJ139" s="677"/>
      <c r="AK139" s="677"/>
      <c r="AL139" s="719" t="str">
        <f t="shared" si="24"/>
        <v>TỔNG</v>
      </c>
      <c r="AM139" s="677"/>
      <c r="AN139" s="677"/>
      <c r="AO139" s="677"/>
      <c r="AP139" s="677"/>
      <c r="AQ139" s="677"/>
      <c r="AR139" s="677"/>
      <c r="AS139" s="678"/>
      <c r="AT139" s="677"/>
    </row>
    <row r="140" ht="15.75" hidden="1" customHeight="1">
      <c r="A140" s="681" t="s">
        <v>3046</v>
      </c>
      <c r="B140" s="691"/>
      <c r="C140" s="691"/>
      <c r="D140" s="691"/>
      <c r="E140" s="681"/>
      <c r="F140" s="681"/>
      <c r="G140" s="681"/>
      <c r="H140" s="691">
        <v>4.0</v>
      </c>
      <c r="I140" s="681"/>
      <c r="J140" s="681"/>
      <c r="K140" s="681"/>
      <c r="L140" s="681"/>
      <c r="M140" s="681"/>
      <c r="N140" s="681"/>
      <c r="O140" s="681"/>
      <c r="P140" s="681"/>
      <c r="Q140" s="681"/>
      <c r="R140" s="681"/>
      <c r="S140" s="681"/>
      <c r="T140" s="681"/>
      <c r="U140" s="681"/>
      <c r="V140" s="681"/>
      <c r="W140" s="681"/>
      <c r="X140" s="681"/>
      <c r="Y140" s="681"/>
      <c r="Z140" s="681"/>
      <c r="AA140" s="681"/>
      <c r="AB140" s="681"/>
      <c r="AC140" s="681"/>
      <c r="AD140" s="681"/>
      <c r="AE140" s="681"/>
      <c r="AF140" s="681">
        <f t="shared" ref="AF140:AF141" si="56">SUM(B140:AE140)</f>
        <v>4</v>
      </c>
      <c r="AG140" s="682"/>
      <c r="AH140" s="681"/>
      <c r="AI140" s="681"/>
      <c r="AJ140" s="681"/>
      <c r="AK140" s="681"/>
      <c r="AL140" s="719">
        <f t="shared" si="24"/>
        <v>4</v>
      </c>
      <c r="AM140" s="681"/>
      <c r="AN140" s="681"/>
      <c r="AO140" s="681"/>
      <c r="AP140" s="681"/>
      <c r="AQ140" s="681"/>
      <c r="AR140" s="681"/>
      <c r="AS140" s="682"/>
      <c r="AT140" s="681"/>
    </row>
    <row r="141" ht="15.75" hidden="1" customHeight="1">
      <c r="A141" s="681" t="s">
        <v>2624</v>
      </c>
      <c r="B141" s="691"/>
      <c r="C141" s="691"/>
      <c r="D141" s="691"/>
      <c r="E141" s="681"/>
      <c r="F141" s="681"/>
      <c r="G141" s="681"/>
      <c r="H141" s="691">
        <v>6.0</v>
      </c>
      <c r="I141" s="681"/>
      <c r="J141" s="681"/>
      <c r="K141" s="681"/>
      <c r="L141" s="681"/>
      <c r="M141" s="681"/>
      <c r="N141" s="681"/>
      <c r="O141" s="681"/>
      <c r="P141" s="681"/>
      <c r="Q141" s="681"/>
      <c r="R141" s="681"/>
      <c r="S141" s="681"/>
      <c r="T141" s="681"/>
      <c r="U141" s="681"/>
      <c r="V141" s="681"/>
      <c r="W141" s="681"/>
      <c r="X141" s="681"/>
      <c r="Y141" s="681"/>
      <c r="Z141" s="681"/>
      <c r="AA141" s="681"/>
      <c r="AB141" s="681"/>
      <c r="AC141" s="681"/>
      <c r="AD141" s="681"/>
      <c r="AE141" s="681"/>
      <c r="AF141" s="681">
        <f t="shared" si="56"/>
        <v>6</v>
      </c>
      <c r="AG141" s="682"/>
      <c r="AH141" s="681"/>
      <c r="AI141" s="681"/>
      <c r="AJ141" s="681"/>
      <c r="AK141" s="681"/>
      <c r="AL141" s="719">
        <f t="shared" si="24"/>
        <v>6</v>
      </c>
      <c r="AM141" s="681"/>
      <c r="AN141" s="681"/>
      <c r="AO141" s="681"/>
      <c r="AP141" s="681"/>
      <c r="AQ141" s="681"/>
      <c r="AR141" s="681"/>
      <c r="AS141" s="682"/>
      <c r="AT141" s="681"/>
    </row>
    <row r="142" ht="15.75" hidden="1" customHeight="1">
      <c r="A142" s="691" t="s">
        <v>3491</v>
      </c>
      <c r="B142" s="691"/>
      <c r="C142" s="691"/>
      <c r="D142" s="691"/>
      <c r="E142" s="681"/>
      <c r="F142" s="681"/>
      <c r="G142" s="681"/>
      <c r="H142" s="691">
        <v>3.0</v>
      </c>
      <c r="I142" s="681"/>
      <c r="J142" s="681"/>
      <c r="K142" s="681"/>
      <c r="L142" s="681"/>
      <c r="M142" s="681"/>
      <c r="N142" s="681"/>
      <c r="O142" s="681"/>
      <c r="P142" s="681"/>
      <c r="Q142" s="681"/>
      <c r="R142" s="681"/>
      <c r="S142" s="681"/>
      <c r="T142" s="681"/>
      <c r="U142" s="681"/>
      <c r="V142" s="681"/>
      <c r="W142" s="681"/>
      <c r="X142" s="681"/>
      <c r="Y142" s="681"/>
      <c r="Z142" s="681"/>
      <c r="AA142" s="681"/>
      <c r="AB142" s="681"/>
      <c r="AC142" s="681"/>
      <c r="AD142" s="681"/>
      <c r="AE142" s="681"/>
      <c r="AF142" s="681"/>
      <c r="AG142" s="682"/>
      <c r="AH142" s="681"/>
      <c r="AI142" s="681"/>
      <c r="AJ142" s="681"/>
      <c r="AK142" s="681"/>
      <c r="AL142" s="719" t="str">
        <f t="shared" si="24"/>
        <v/>
      </c>
      <c r="AM142" s="681"/>
      <c r="AN142" s="681"/>
      <c r="AO142" s="681"/>
      <c r="AP142" s="681"/>
      <c r="AQ142" s="681"/>
      <c r="AR142" s="681"/>
      <c r="AS142" s="682"/>
      <c r="AT142" s="681"/>
    </row>
    <row r="143" ht="15.75" hidden="1" customHeight="1">
      <c r="A143" s="681" t="s">
        <v>2622</v>
      </c>
      <c r="B143" s="691"/>
      <c r="C143" s="691"/>
      <c r="D143" s="691"/>
      <c r="E143" s="681"/>
      <c r="F143" s="681"/>
      <c r="G143" s="681"/>
      <c r="H143" s="691">
        <v>10.0</v>
      </c>
      <c r="I143" s="681"/>
      <c r="J143" s="681"/>
      <c r="K143" s="681"/>
      <c r="L143" s="681"/>
      <c r="M143" s="681"/>
      <c r="N143" s="681"/>
      <c r="O143" s="681"/>
      <c r="P143" s="681"/>
      <c r="Q143" s="681"/>
      <c r="R143" s="681"/>
      <c r="S143" s="681"/>
      <c r="T143" s="681"/>
      <c r="U143" s="681"/>
      <c r="V143" s="681"/>
      <c r="W143" s="681"/>
      <c r="X143" s="681"/>
      <c r="Y143" s="681"/>
      <c r="Z143" s="681"/>
      <c r="AA143" s="681"/>
      <c r="AB143" s="681"/>
      <c r="AC143" s="681"/>
      <c r="AD143" s="681"/>
      <c r="AE143" s="681"/>
      <c r="AF143" s="681">
        <f t="shared" ref="AF143:AF147" si="57">SUM(B143:AE143)</f>
        <v>10</v>
      </c>
      <c r="AG143" s="682"/>
      <c r="AH143" s="681"/>
      <c r="AI143" s="681"/>
      <c r="AJ143" s="681"/>
      <c r="AK143" s="681"/>
      <c r="AL143" s="719">
        <f t="shared" si="24"/>
        <v>10</v>
      </c>
      <c r="AM143" s="681"/>
      <c r="AN143" s="681"/>
      <c r="AO143" s="681"/>
      <c r="AP143" s="681"/>
      <c r="AQ143" s="681"/>
      <c r="AR143" s="681"/>
      <c r="AS143" s="682"/>
      <c r="AT143" s="681"/>
    </row>
    <row r="144" ht="15.75" hidden="1" customHeight="1">
      <c r="A144" s="681" t="s">
        <v>2627</v>
      </c>
      <c r="B144" s="691"/>
      <c r="C144" s="691"/>
      <c r="D144" s="691"/>
      <c r="E144" s="681"/>
      <c r="F144" s="681"/>
      <c r="G144" s="681"/>
      <c r="H144" s="691">
        <v>0.0</v>
      </c>
      <c r="I144" s="681"/>
      <c r="J144" s="681"/>
      <c r="K144" s="681"/>
      <c r="L144" s="681"/>
      <c r="M144" s="681"/>
      <c r="N144" s="681"/>
      <c r="O144" s="681"/>
      <c r="P144" s="681"/>
      <c r="Q144" s="681"/>
      <c r="R144" s="681"/>
      <c r="S144" s="681"/>
      <c r="T144" s="681"/>
      <c r="U144" s="681"/>
      <c r="V144" s="681"/>
      <c r="W144" s="681"/>
      <c r="X144" s="681"/>
      <c r="Y144" s="681"/>
      <c r="Z144" s="681"/>
      <c r="AA144" s="681"/>
      <c r="AB144" s="681"/>
      <c r="AC144" s="681"/>
      <c r="AD144" s="681"/>
      <c r="AE144" s="681"/>
      <c r="AF144" s="681">
        <f t="shared" si="57"/>
        <v>0</v>
      </c>
      <c r="AG144" s="682"/>
      <c r="AH144" s="681"/>
      <c r="AI144" s="681"/>
      <c r="AJ144" s="681"/>
      <c r="AK144" s="681"/>
      <c r="AL144" s="719">
        <f t="shared" si="24"/>
        <v>0</v>
      </c>
      <c r="AM144" s="681"/>
      <c r="AN144" s="681"/>
      <c r="AO144" s="681"/>
      <c r="AP144" s="681"/>
      <c r="AQ144" s="681"/>
      <c r="AR144" s="681"/>
      <c r="AS144" s="682"/>
      <c r="AT144" s="681"/>
    </row>
    <row r="145" ht="15.75" hidden="1" customHeight="1">
      <c r="A145" s="691" t="s">
        <v>3054</v>
      </c>
      <c r="B145" s="691"/>
      <c r="C145" s="691"/>
      <c r="D145" s="691"/>
      <c r="E145" s="681"/>
      <c r="F145" s="681"/>
      <c r="G145" s="681"/>
      <c r="H145" s="691">
        <v>0.0</v>
      </c>
      <c r="I145" s="681"/>
      <c r="J145" s="681"/>
      <c r="K145" s="681"/>
      <c r="L145" s="681"/>
      <c r="M145" s="681"/>
      <c r="N145" s="681"/>
      <c r="O145" s="681"/>
      <c r="P145" s="681"/>
      <c r="Q145" s="681"/>
      <c r="R145" s="681"/>
      <c r="S145" s="681"/>
      <c r="T145" s="681"/>
      <c r="U145" s="681"/>
      <c r="V145" s="681"/>
      <c r="W145" s="681"/>
      <c r="X145" s="681"/>
      <c r="Y145" s="681"/>
      <c r="Z145" s="681"/>
      <c r="AA145" s="681"/>
      <c r="AB145" s="681"/>
      <c r="AC145" s="681"/>
      <c r="AD145" s="681"/>
      <c r="AE145" s="681"/>
      <c r="AF145" s="681">
        <f t="shared" si="57"/>
        <v>0</v>
      </c>
      <c r="AG145" s="682"/>
      <c r="AH145" s="681"/>
      <c r="AI145" s="681"/>
      <c r="AJ145" s="681"/>
      <c r="AK145" s="681"/>
      <c r="AL145" s="719">
        <f t="shared" si="24"/>
        <v>0</v>
      </c>
      <c r="AM145" s="681"/>
      <c r="AN145" s="681"/>
      <c r="AO145" s="681"/>
      <c r="AP145" s="681"/>
      <c r="AQ145" s="681"/>
      <c r="AR145" s="681"/>
      <c r="AS145" s="682"/>
      <c r="AT145" s="681"/>
    </row>
    <row r="146" ht="15.75" hidden="1" customHeight="1">
      <c r="A146" s="681" t="s">
        <v>2920</v>
      </c>
      <c r="B146" s="681"/>
      <c r="C146" s="681"/>
      <c r="D146" s="681"/>
      <c r="E146" s="681"/>
      <c r="F146" s="681"/>
      <c r="G146" s="681"/>
      <c r="H146" s="691">
        <v>10.0</v>
      </c>
      <c r="I146" s="681"/>
      <c r="J146" s="681"/>
      <c r="K146" s="681"/>
      <c r="L146" s="681"/>
      <c r="M146" s="681"/>
      <c r="N146" s="681"/>
      <c r="O146" s="681"/>
      <c r="P146" s="681"/>
      <c r="Q146" s="681"/>
      <c r="R146" s="681"/>
      <c r="S146" s="681"/>
      <c r="T146" s="681"/>
      <c r="U146" s="681"/>
      <c r="V146" s="681"/>
      <c r="W146" s="681"/>
      <c r="X146" s="681"/>
      <c r="Y146" s="681"/>
      <c r="Z146" s="681"/>
      <c r="AA146" s="681"/>
      <c r="AB146" s="681"/>
      <c r="AC146" s="681"/>
      <c r="AD146" s="681"/>
      <c r="AE146" s="681"/>
      <c r="AF146" s="681">
        <f t="shared" si="57"/>
        <v>10</v>
      </c>
      <c r="AG146" s="682"/>
      <c r="AH146" s="681"/>
      <c r="AI146" s="681"/>
      <c r="AJ146" s="681"/>
      <c r="AK146" s="681"/>
      <c r="AL146" s="719">
        <f t="shared" si="24"/>
        <v>10</v>
      </c>
      <c r="AM146" s="681"/>
      <c r="AN146" s="681"/>
      <c r="AO146" s="681"/>
      <c r="AP146" s="681"/>
      <c r="AQ146" s="681"/>
      <c r="AR146" s="681"/>
      <c r="AS146" s="682"/>
      <c r="AT146" s="681"/>
    </row>
    <row r="147" ht="15.75" hidden="1" customHeight="1">
      <c r="A147" s="691" t="s">
        <v>3490</v>
      </c>
      <c r="B147" s="681"/>
      <c r="C147" s="681"/>
      <c r="D147" s="681"/>
      <c r="E147" s="681"/>
      <c r="F147" s="681"/>
      <c r="G147" s="681"/>
      <c r="H147" s="691">
        <v>4.0</v>
      </c>
      <c r="I147" s="681"/>
      <c r="J147" s="681"/>
      <c r="K147" s="681"/>
      <c r="L147" s="681"/>
      <c r="M147" s="681"/>
      <c r="N147" s="681"/>
      <c r="O147" s="681"/>
      <c r="P147" s="681"/>
      <c r="Q147" s="681"/>
      <c r="R147" s="681"/>
      <c r="S147" s="681"/>
      <c r="T147" s="681"/>
      <c r="U147" s="681"/>
      <c r="V147" s="681"/>
      <c r="W147" s="681"/>
      <c r="X147" s="681"/>
      <c r="Y147" s="681"/>
      <c r="Z147" s="681"/>
      <c r="AA147" s="681"/>
      <c r="AB147" s="681"/>
      <c r="AC147" s="681"/>
      <c r="AD147" s="681"/>
      <c r="AE147" s="681"/>
      <c r="AF147" s="681">
        <f t="shared" si="57"/>
        <v>4</v>
      </c>
      <c r="AG147" s="682"/>
      <c r="AH147" s="681"/>
      <c r="AI147" s="681"/>
      <c r="AJ147" s="681"/>
      <c r="AK147" s="681"/>
      <c r="AL147" s="719">
        <f t="shared" si="24"/>
        <v>4</v>
      </c>
      <c r="AM147" s="681"/>
      <c r="AN147" s="681"/>
      <c r="AO147" s="681"/>
      <c r="AP147" s="681"/>
      <c r="AQ147" s="681"/>
      <c r="AR147" s="681"/>
      <c r="AS147" s="682"/>
      <c r="AT147" s="681"/>
    </row>
    <row r="148" ht="15.75" hidden="1" customHeight="1">
      <c r="A148" s="760"/>
      <c r="B148" s="760"/>
      <c r="C148" s="760"/>
      <c r="D148" s="760"/>
      <c r="E148" s="760"/>
      <c r="F148" s="760"/>
      <c r="G148" s="760"/>
      <c r="H148" s="760"/>
      <c r="I148" s="760"/>
      <c r="J148" s="760"/>
      <c r="K148" s="760"/>
      <c r="L148" s="760"/>
      <c r="M148" s="760"/>
      <c r="N148" s="760"/>
      <c r="O148" s="760"/>
      <c r="P148" s="760"/>
      <c r="Q148" s="760"/>
      <c r="R148" s="760"/>
      <c r="S148" s="760"/>
      <c r="T148" s="760"/>
      <c r="U148" s="760"/>
      <c r="V148" s="760"/>
      <c r="W148" s="760"/>
      <c r="X148" s="760"/>
      <c r="Y148" s="760"/>
      <c r="Z148" s="760"/>
      <c r="AA148" s="760"/>
      <c r="AB148" s="760"/>
      <c r="AC148" s="760"/>
      <c r="AD148" s="760"/>
      <c r="AE148" s="760"/>
      <c r="AF148" s="760"/>
      <c r="AG148" s="761"/>
      <c r="AH148" s="760"/>
      <c r="AI148" s="760"/>
      <c r="AJ148" s="760"/>
      <c r="AK148" s="760"/>
      <c r="AL148" s="719" t="str">
        <f t="shared" si="24"/>
        <v/>
      </c>
      <c r="AM148" s="760"/>
      <c r="AN148" s="760"/>
      <c r="AO148" s="760"/>
      <c r="AP148" s="760"/>
      <c r="AQ148" s="760"/>
      <c r="AR148" s="760"/>
      <c r="AS148" s="761"/>
      <c r="AT148" s="760"/>
    </row>
    <row r="149" ht="15.75" hidden="1" customHeight="1">
      <c r="A149" s="760"/>
      <c r="B149" s="760"/>
      <c r="C149" s="760"/>
      <c r="D149" s="760"/>
      <c r="E149" s="760"/>
      <c r="F149" s="760"/>
      <c r="G149" s="760"/>
      <c r="H149" s="760"/>
      <c r="I149" s="760"/>
      <c r="J149" s="760"/>
      <c r="K149" s="760"/>
      <c r="L149" s="760"/>
      <c r="M149" s="760"/>
      <c r="N149" s="760"/>
      <c r="O149" s="760"/>
      <c r="P149" s="760"/>
      <c r="Q149" s="760"/>
      <c r="R149" s="760"/>
      <c r="S149" s="760"/>
      <c r="T149" s="760"/>
      <c r="U149" s="760"/>
      <c r="V149" s="760"/>
      <c r="W149" s="760"/>
      <c r="X149" s="760"/>
      <c r="Y149" s="760"/>
      <c r="Z149" s="760"/>
      <c r="AA149" s="760"/>
      <c r="AB149" s="760"/>
      <c r="AC149" s="760"/>
      <c r="AD149" s="760"/>
      <c r="AE149" s="760"/>
      <c r="AF149" s="760"/>
      <c r="AG149" s="761"/>
      <c r="AH149" s="760"/>
      <c r="AI149" s="760"/>
      <c r="AJ149" s="764">
        <v>0.32</v>
      </c>
      <c r="AK149" s="760"/>
      <c r="AL149" s="719" t="str">
        <f t="shared" si="24"/>
        <v/>
      </c>
      <c r="AM149" s="760"/>
      <c r="AN149" s="760"/>
      <c r="AO149" s="760"/>
      <c r="AP149" s="760"/>
      <c r="AQ149" s="760"/>
      <c r="AR149" s="760"/>
      <c r="AS149" s="761"/>
      <c r="AT149" s="760"/>
    </row>
    <row r="150" ht="15.75" customHeight="1">
      <c r="A150" s="762" t="s">
        <v>2737</v>
      </c>
      <c r="B150" s="670"/>
      <c r="C150" s="670"/>
      <c r="D150" s="670"/>
      <c r="E150" s="670"/>
      <c r="F150" s="670"/>
      <c r="G150" s="670"/>
      <c r="H150" s="670"/>
      <c r="I150" s="670"/>
      <c r="J150" s="670"/>
      <c r="K150" s="670"/>
      <c r="L150" s="670"/>
      <c r="M150" s="670"/>
      <c r="N150" s="670"/>
      <c r="O150" s="670"/>
      <c r="P150" s="670"/>
      <c r="Q150" s="670"/>
      <c r="R150" s="670"/>
      <c r="S150" s="670"/>
      <c r="T150" s="670"/>
      <c r="U150" s="670"/>
      <c r="V150" s="670"/>
      <c r="W150" s="670"/>
      <c r="X150" s="670"/>
      <c r="Y150" s="670"/>
      <c r="Z150" s="670"/>
      <c r="AA150" s="670"/>
      <c r="AB150" s="670"/>
      <c r="AC150" s="670"/>
      <c r="AD150" s="670"/>
      <c r="AE150" s="670"/>
      <c r="AF150" s="671"/>
      <c r="AG150" s="673" t="s">
        <v>3460</v>
      </c>
      <c r="AH150" s="670"/>
      <c r="AI150" s="670"/>
      <c r="AJ150" s="671"/>
      <c r="AK150" s="755"/>
      <c r="AL150" s="719" t="str">
        <f t="shared" si="24"/>
        <v/>
      </c>
      <c r="AM150" s="755"/>
      <c r="AN150" s="755"/>
      <c r="AO150" s="755"/>
      <c r="AP150" s="755"/>
      <c r="AQ150" s="755"/>
      <c r="AR150" s="755"/>
      <c r="AS150" s="675" t="s">
        <v>3492</v>
      </c>
      <c r="AT150" s="671"/>
    </row>
    <row r="151" ht="15.75" hidden="1" customHeight="1">
      <c r="A151" s="676" t="s">
        <v>3462</v>
      </c>
      <c r="B151" s="672">
        <v>1.0</v>
      </c>
      <c r="C151" s="672">
        <v>2.0</v>
      </c>
      <c r="D151" s="672">
        <v>3.0</v>
      </c>
      <c r="E151" s="672">
        <v>4.0</v>
      </c>
      <c r="F151" s="672">
        <v>5.0</v>
      </c>
      <c r="G151" s="672">
        <v>6.0</v>
      </c>
      <c r="H151" s="672">
        <v>7.0</v>
      </c>
      <c r="I151" s="672">
        <v>8.0</v>
      </c>
      <c r="J151" s="672">
        <v>9.0</v>
      </c>
      <c r="K151" s="672">
        <v>10.0</v>
      </c>
      <c r="L151" s="672">
        <v>11.0</v>
      </c>
      <c r="M151" s="672">
        <v>12.0</v>
      </c>
      <c r="N151" s="672">
        <v>13.0</v>
      </c>
      <c r="O151" s="672">
        <v>14.0</v>
      </c>
      <c r="P151" s="672">
        <v>15.0</v>
      </c>
      <c r="Q151" s="672">
        <v>16.0</v>
      </c>
      <c r="R151" s="672">
        <v>17.0</v>
      </c>
      <c r="S151" s="672">
        <v>18.0</v>
      </c>
      <c r="T151" s="672">
        <v>19.0</v>
      </c>
      <c r="U151" s="672">
        <v>20.0</v>
      </c>
      <c r="V151" s="672">
        <v>21.0</v>
      </c>
      <c r="W151" s="672">
        <v>22.0</v>
      </c>
      <c r="X151" s="672">
        <v>23.0</v>
      </c>
      <c r="Y151" s="672">
        <v>24.0</v>
      </c>
      <c r="Z151" s="672">
        <v>25.0</v>
      </c>
      <c r="AA151" s="672">
        <v>26.0</v>
      </c>
      <c r="AB151" s="672">
        <v>27.0</v>
      </c>
      <c r="AC151" s="672">
        <v>28.0</v>
      </c>
      <c r="AD151" s="672">
        <v>29.0</v>
      </c>
      <c r="AE151" s="672">
        <v>30.0</v>
      </c>
      <c r="AF151" s="677" t="s">
        <v>3493</v>
      </c>
      <c r="AG151" s="765" t="s">
        <v>3494</v>
      </c>
      <c r="AH151" s="766" t="s">
        <v>3495</v>
      </c>
      <c r="AI151" s="767"/>
      <c r="AJ151" s="767"/>
      <c r="AK151" s="677"/>
      <c r="AL151" s="719" t="str">
        <f t="shared" si="24"/>
        <v>TỔNG
L8</v>
      </c>
      <c r="AM151" s="677"/>
      <c r="AN151" s="677"/>
      <c r="AO151" s="677"/>
      <c r="AP151" s="677"/>
      <c r="AQ151" s="677"/>
      <c r="AR151" s="677"/>
      <c r="AS151" s="679" t="s">
        <v>3496</v>
      </c>
      <c r="AT151" s="680" t="s">
        <v>3472</v>
      </c>
    </row>
    <row r="152" ht="15.75" hidden="1" customHeight="1">
      <c r="A152" s="681" t="s">
        <v>3046</v>
      </c>
      <c r="B152" s="691">
        <v>0.0</v>
      </c>
      <c r="C152" s="691">
        <v>0.0</v>
      </c>
      <c r="D152" s="691">
        <v>0.0</v>
      </c>
      <c r="E152" s="681"/>
      <c r="F152" s="681"/>
      <c r="G152" s="681"/>
      <c r="H152" s="681"/>
      <c r="I152" s="681"/>
      <c r="J152" s="681"/>
      <c r="K152" s="681"/>
      <c r="L152" s="681"/>
      <c r="M152" s="681"/>
      <c r="N152" s="681"/>
      <c r="O152" s="681"/>
      <c r="P152" s="681"/>
      <c r="Q152" s="681"/>
      <c r="R152" s="681"/>
      <c r="S152" s="681"/>
      <c r="T152" s="681"/>
      <c r="U152" s="681"/>
      <c r="V152" s="681"/>
      <c r="W152" s="681"/>
      <c r="X152" s="681"/>
      <c r="Y152" s="681"/>
      <c r="Z152" s="681"/>
      <c r="AA152" s="681"/>
      <c r="AB152" s="681"/>
      <c r="AC152" s="681"/>
      <c r="AD152" s="681"/>
      <c r="AE152" s="681"/>
      <c r="AF152" s="681">
        <f t="shared" ref="AF152:AF158" si="58">SUM(B152:AE152)</f>
        <v>0</v>
      </c>
      <c r="AG152" s="692">
        <v>0.0</v>
      </c>
      <c r="AH152" s="693" t="str">
        <f t="shared" ref="AH152:AH158" si="59">AF152/AG152</f>
        <v>#DIV/0!</v>
      </c>
      <c r="AI152" s="693"/>
      <c r="AJ152" s="693"/>
      <c r="AK152" s="693"/>
      <c r="AL152" s="719">
        <f t="shared" si="24"/>
        <v>0</v>
      </c>
      <c r="AM152" s="693"/>
      <c r="AN152" s="693"/>
      <c r="AO152" s="693"/>
      <c r="AP152" s="693"/>
      <c r="AQ152" s="693"/>
      <c r="AR152" s="693"/>
      <c r="AS152" s="768"/>
      <c r="AT152" s="693"/>
    </row>
    <row r="153" ht="15.75" hidden="1" customHeight="1">
      <c r="A153" s="681" t="s">
        <v>2624</v>
      </c>
      <c r="B153" s="691">
        <v>0.0</v>
      </c>
      <c r="C153" s="691">
        <v>0.0</v>
      </c>
      <c r="D153" s="691">
        <v>0.0</v>
      </c>
      <c r="E153" s="681"/>
      <c r="F153" s="681"/>
      <c r="G153" s="681"/>
      <c r="H153" s="681"/>
      <c r="I153" s="681"/>
      <c r="J153" s="681"/>
      <c r="K153" s="681"/>
      <c r="L153" s="681"/>
      <c r="M153" s="681"/>
      <c r="N153" s="681"/>
      <c r="O153" s="681"/>
      <c r="P153" s="681"/>
      <c r="Q153" s="681"/>
      <c r="R153" s="681"/>
      <c r="S153" s="681"/>
      <c r="T153" s="681"/>
      <c r="U153" s="681"/>
      <c r="V153" s="681"/>
      <c r="W153" s="681"/>
      <c r="X153" s="681"/>
      <c r="Y153" s="681"/>
      <c r="Z153" s="681"/>
      <c r="AA153" s="681"/>
      <c r="AB153" s="681"/>
      <c r="AC153" s="681"/>
      <c r="AD153" s="681"/>
      <c r="AE153" s="681"/>
      <c r="AF153" s="681">
        <f t="shared" si="58"/>
        <v>0</v>
      </c>
      <c r="AG153" s="692">
        <v>0.0</v>
      </c>
      <c r="AH153" s="693" t="str">
        <f t="shared" si="59"/>
        <v>#DIV/0!</v>
      </c>
      <c r="AI153" s="693"/>
      <c r="AJ153" s="693"/>
      <c r="AK153" s="693"/>
      <c r="AL153" s="719">
        <f t="shared" si="24"/>
        <v>0</v>
      </c>
      <c r="AM153" s="693"/>
      <c r="AN153" s="693"/>
      <c r="AO153" s="693"/>
      <c r="AP153" s="693"/>
      <c r="AQ153" s="693"/>
      <c r="AR153" s="693"/>
      <c r="AS153" s="768"/>
      <c r="AT153" s="693"/>
    </row>
    <row r="154" ht="15.75" hidden="1" customHeight="1">
      <c r="A154" s="681" t="s">
        <v>2622</v>
      </c>
      <c r="B154" s="691">
        <v>0.0</v>
      </c>
      <c r="C154" s="691">
        <v>0.0</v>
      </c>
      <c r="D154" s="691">
        <v>0.0</v>
      </c>
      <c r="E154" s="681"/>
      <c r="F154" s="681"/>
      <c r="G154" s="681"/>
      <c r="H154" s="681"/>
      <c r="I154" s="681"/>
      <c r="J154" s="681"/>
      <c r="K154" s="681"/>
      <c r="L154" s="681"/>
      <c r="M154" s="681"/>
      <c r="N154" s="681"/>
      <c r="O154" s="681"/>
      <c r="P154" s="681"/>
      <c r="Q154" s="681"/>
      <c r="R154" s="681"/>
      <c r="S154" s="681"/>
      <c r="T154" s="681"/>
      <c r="U154" s="681"/>
      <c r="V154" s="681"/>
      <c r="W154" s="681"/>
      <c r="X154" s="681"/>
      <c r="Y154" s="681"/>
      <c r="Z154" s="681"/>
      <c r="AA154" s="681"/>
      <c r="AB154" s="681"/>
      <c r="AC154" s="681"/>
      <c r="AD154" s="681"/>
      <c r="AE154" s="681"/>
      <c r="AF154" s="681">
        <f t="shared" si="58"/>
        <v>0</v>
      </c>
      <c r="AG154" s="769">
        <v>0.0</v>
      </c>
      <c r="AH154" s="693" t="str">
        <f t="shared" si="59"/>
        <v>#DIV/0!</v>
      </c>
      <c r="AI154" s="693"/>
      <c r="AJ154" s="693"/>
      <c r="AK154" s="693"/>
      <c r="AL154" s="719">
        <f t="shared" si="24"/>
        <v>0</v>
      </c>
      <c r="AM154" s="693"/>
      <c r="AN154" s="693"/>
      <c r="AO154" s="693"/>
      <c r="AP154" s="693"/>
      <c r="AQ154" s="693"/>
      <c r="AR154" s="693"/>
      <c r="AS154" s="768"/>
      <c r="AT154" s="693"/>
    </row>
    <row r="155" ht="15.75" hidden="1" customHeight="1">
      <c r="A155" s="681" t="s">
        <v>2627</v>
      </c>
      <c r="B155" s="691">
        <v>0.0</v>
      </c>
      <c r="C155" s="691">
        <v>1.0</v>
      </c>
      <c r="D155" s="691">
        <v>0.0</v>
      </c>
      <c r="E155" s="681"/>
      <c r="F155" s="681"/>
      <c r="G155" s="681"/>
      <c r="H155" s="681"/>
      <c r="I155" s="681"/>
      <c r="J155" s="681"/>
      <c r="K155" s="681"/>
      <c r="L155" s="681"/>
      <c r="M155" s="681"/>
      <c r="N155" s="681"/>
      <c r="O155" s="681"/>
      <c r="P155" s="681"/>
      <c r="Q155" s="681"/>
      <c r="R155" s="681"/>
      <c r="S155" s="681"/>
      <c r="T155" s="681"/>
      <c r="U155" s="681"/>
      <c r="V155" s="681"/>
      <c r="W155" s="681"/>
      <c r="X155" s="681"/>
      <c r="Y155" s="681"/>
      <c r="Z155" s="681"/>
      <c r="AA155" s="681"/>
      <c r="AB155" s="681"/>
      <c r="AC155" s="681"/>
      <c r="AD155" s="681"/>
      <c r="AE155" s="681"/>
      <c r="AF155" s="681">
        <f t="shared" si="58"/>
        <v>1</v>
      </c>
      <c r="AG155" s="692">
        <v>0.0</v>
      </c>
      <c r="AH155" s="693" t="str">
        <f t="shared" si="59"/>
        <v>#DIV/0!</v>
      </c>
      <c r="AI155" s="693"/>
      <c r="AJ155" s="693"/>
      <c r="AK155" s="693"/>
      <c r="AL155" s="719">
        <f t="shared" si="24"/>
        <v>1</v>
      </c>
      <c r="AM155" s="693"/>
      <c r="AN155" s="693"/>
      <c r="AO155" s="693"/>
      <c r="AP155" s="693"/>
      <c r="AQ155" s="693"/>
      <c r="AR155" s="693"/>
      <c r="AS155" s="768"/>
      <c r="AT155" s="693"/>
    </row>
    <row r="156" ht="15.75" hidden="1" customHeight="1">
      <c r="A156" s="691" t="s">
        <v>3054</v>
      </c>
      <c r="B156" s="691">
        <v>0.0</v>
      </c>
      <c r="C156" s="691">
        <v>0.0</v>
      </c>
      <c r="D156" s="691">
        <v>0.0</v>
      </c>
      <c r="E156" s="681"/>
      <c r="F156" s="681"/>
      <c r="G156" s="681"/>
      <c r="H156" s="681"/>
      <c r="I156" s="681"/>
      <c r="J156" s="681"/>
      <c r="K156" s="681"/>
      <c r="L156" s="681"/>
      <c r="M156" s="681"/>
      <c r="N156" s="681"/>
      <c r="O156" s="681"/>
      <c r="P156" s="681"/>
      <c r="Q156" s="681"/>
      <c r="R156" s="681"/>
      <c r="S156" s="681"/>
      <c r="T156" s="681"/>
      <c r="U156" s="681"/>
      <c r="V156" s="681"/>
      <c r="W156" s="681"/>
      <c r="X156" s="681"/>
      <c r="Y156" s="681"/>
      <c r="Z156" s="681"/>
      <c r="AA156" s="681"/>
      <c r="AB156" s="681"/>
      <c r="AC156" s="681"/>
      <c r="AD156" s="681"/>
      <c r="AE156" s="681"/>
      <c r="AF156" s="681">
        <f t="shared" si="58"/>
        <v>0</v>
      </c>
      <c r="AG156" s="692">
        <v>0.0</v>
      </c>
      <c r="AH156" s="693" t="str">
        <f t="shared" si="59"/>
        <v>#DIV/0!</v>
      </c>
      <c r="AI156" s="693"/>
      <c r="AJ156" s="693"/>
      <c r="AK156" s="693"/>
      <c r="AL156" s="719">
        <f t="shared" si="24"/>
        <v>0</v>
      </c>
      <c r="AM156" s="693"/>
      <c r="AN156" s="693"/>
      <c r="AO156" s="693"/>
      <c r="AP156" s="693"/>
      <c r="AQ156" s="693"/>
      <c r="AR156" s="693"/>
      <c r="AS156" s="768"/>
      <c r="AT156" s="693"/>
    </row>
    <row r="157" ht="15.75" hidden="1" customHeight="1">
      <c r="A157" s="681" t="s">
        <v>2920</v>
      </c>
      <c r="B157" s="681"/>
      <c r="C157" s="681"/>
      <c r="D157" s="681"/>
      <c r="E157" s="681"/>
      <c r="F157" s="681"/>
      <c r="G157" s="681"/>
      <c r="H157" s="681"/>
      <c r="I157" s="681"/>
      <c r="J157" s="681"/>
      <c r="K157" s="681"/>
      <c r="L157" s="681"/>
      <c r="M157" s="681"/>
      <c r="N157" s="681"/>
      <c r="O157" s="681"/>
      <c r="P157" s="681"/>
      <c r="Q157" s="681"/>
      <c r="R157" s="681"/>
      <c r="S157" s="681"/>
      <c r="T157" s="681"/>
      <c r="U157" s="681"/>
      <c r="V157" s="681"/>
      <c r="W157" s="681"/>
      <c r="X157" s="681"/>
      <c r="Y157" s="681"/>
      <c r="Z157" s="681"/>
      <c r="AA157" s="681"/>
      <c r="AB157" s="681"/>
      <c r="AC157" s="681"/>
      <c r="AD157" s="681"/>
      <c r="AE157" s="681"/>
      <c r="AF157" s="681">
        <f t="shared" si="58"/>
        <v>0</v>
      </c>
      <c r="AG157" s="682"/>
      <c r="AH157" s="693" t="str">
        <f t="shared" si="59"/>
        <v>#DIV/0!</v>
      </c>
      <c r="AI157" s="693"/>
      <c r="AJ157" s="693"/>
      <c r="AK157" s="693"/>
      <c r="AL157" s="719">
        <f t="shared" si="24"/>
        <v>0</v>
      </c>
      <c r="AM157" s="693"/>
      <c r="AN157" s="693"/>
      <c r="AO157" s="693"/>
      <c r="AP157" s="693"/>
      <c r="AQ157" s="693"/>
      <c r="AR157" s="693"/>
      <c r="AS157" s="768"/>
      <c r="AT157" s="693"/>
    </row>
    <row r="158" ht="15.75" hidden="1" customHeight="1">
      <c r="A158" s="681" t="s">
        <v>3464</v>
      </c>
      <c r="B158" s="681"/>
      <c r="C158" s="681"/>
      <c r="D158" s="681"/>
      <c r="E158" s="681"/>
      <c r="F158" s="681"/>
      <c r="G158" s="681"/>
      <c r="H158" s="681"/>
      <c r="I158" s="681"/>
      <c r="J158" s="681"/>
      <c r="K158" s="681"/>
      <c r="L158" s="681"/>
      <c r="M158" s="681"/>
      <c r="N158" s="681"/>
      <c r="O158" s="681"/>
      <c r="P158" s="681"/>
      <c r="Q158" s="681"/>
      <c r="R158" s="681"/>
      <c r="S158" s="681"/>
      <c r="T158" s="681"/>
      <c r="U158" s="681"/>
      <c r="V158" s="681"/>
      <c r="W158" s="681"/>
      <c r="X158" s="681"/>
      <c r="Y158" s="681"/>
      <c r="Z158" s="681"/>
      <c r="AA158" s="681"/>
      <c r="AB158" s="681"/>
      <c r="AC158" s="681"/>
      <c r="AD158" s="681"/>
      <c r="AE158" s="681"/>
      <c r="AF158" s="681">
        <f t="shared" si="58"/>
        <v>0</v>
      </c>
      <c r="AG158" s="682"/>
      <c r="AH158" s="693" t="str">
        <f t="shared" si="59"/>
        <v>#DIV/0!</v>
      </c>
      <c r="AI158" s="693"/>
      <c r="AJ158" s="693"/>
      <c r="AK158" s="693"/>
      <c r="AL158" s="719">
        <f t="shared" si="24"/>
        <v>0</v>
      </c>
      <c r="AM158" s="693"/>
      <c r="AN158" s="693"/>
      <c r="AO158" s="693"/>
      <c r="AP158" s="693"/>
      <c r="AQ158" s="693"/>
      <c r="AR158" s="693"/>
      <c r="AS158" s="768"/>
      <c r="AT158" s="693"/>
    </row>
    <row r="159" ht="15.75" hidden="1" customHeight="1">
      <c r="A159" s="668" t="s">
        <v>2934</v>
      </c>
      <c r="B159" s="672">
        <f t="shared" ref="B159:AF159" si="60">SUM(B152:B158)</f>
        <v>0</v>
      </c>
      <c r="C159" s="672">
        <f t="shared" si="60"/>
        <v>1</v>
      </c>
      <c r="D159" s="672">
        <f t="shared" si="60"/>
        <v>0</v>
      </c>
      <c r="E159" s="672">
        <f t="shared" si="60"/>
        <v>0</v>
      </c>
      <c r="F159" s="672">
        <f t="shared" si="60"/>
        <v>0</v>
      </c>
      <c r="G159" s="672">
        <f t="shared" si="60"/>
        <v>0</v>
      </c>
      <c r="H159" s="672">
        <f t="shared" si="60"/>
        <v>0</v>
      </c>
      <c r="I159" s="672">
        <f t="shared" si="60"/>
        <v>0</v>
      </c>
      <c r="J159" s="672">
        <f t="shared" si="60"/>
        <v>0</v>
      </c>
      <c r="K159" s="672">
        <f t="shared" si="60"/>
        <v>0</v>
      </c>
      <c r="L159" s="672">
        <f t="shared" si="60"/>
        <v>0</v>
      </c>
      <c r="M159" s="672">
        <f t="shared" si="60"/>
        <v>0</v>
      </c>
      <c r="N159" s="672">
        <f t="shared" si="60"/>
        <v>0</v>
      </c>
      <c r="O159" s="672">
        <f t="shared" si="60"/>
        <v>0</v>
      </c>
      <c r="P159" s="672">
        <f t="shared" si="60"/>
        <v>0</v>
      </c>
      <c r="Q159" s="672">
        <f t="shared" si="60"/>
        <v>0</v>
      </c>
      <c r="R159" s="672">
        <f t="shared" si="60"/>
        <v>0</v>
      </c>
      <c r="S159" s="672">
        <f t="shared" si="60"/>
        <v>0</v>
      </c>
      <c r="T159" s="672">
        <f t="shared" si="60"/>
        <v>0</v>
      </c>
      <c r="U159" s="672">
        <f t="shared" si="60"/>
        <v>0</v>
      </c>
      <c r="V159" s="672">
        <f t="shared" si="60"/>
        <v>0</v>
      </c>
      <c r="W159" s="672">
        <f t="shared" si="60"/>
        <v>0</v>
      </c>
      <c r="X159" s="672">
        <f t="shared" si="60"/>
        <v>0</v>
      </c>
      <c r="Y159" s="672">
        <f t="shared" si="60"/>
        <v>0</v>
      </c>
      <c r="Z159" s="672">
        <f t="shared" si="60"/>
        <v>0</v>
      </c>
      <c r="AA159" s="672">
        <f t="shared" si="60"/>
        <v>0</v>
      </c>
      <c r="AB159" s="672">
        <f t="shared" si="60"/>
        <v>0</v>
      </c>
      <c r="AC159" s="672">
        <f t="shared" si="60"/>
        <v>0</v>
      </c>
      <c r="AD159" s="672">
        <f t="shared" si="60"/>
        <v>0</v>
      </c>
      <c r="AE159" s="672">
        <f t="shared" si="60"/>
        <v>0</v>
      </c>
      <c r="AF159" s="672">
        <f t="shared" si="60"/>
        <v>1</v>
      </c>
      <c r="AG159" s="673" t="s">
        <v>3460</v>
      </c>
      <c r="AH159" s="670"/>
      <c r="AI159" s="670"/>
      <c r="AJ159" s="671"/>
      <c r="AK159" s="755"/>
      <c r="AL159" s="719">
        <f t="shared" si="24"/>
        <v>1</v>
      </c>
      <c r="AM159" s="755"/>
      <c r="AN159" s="755"/>
      <c r="AO159" s="755"/>
      <c r="AP159" s="755"/>
      <c r="AQ159" s="755"/>
      <c r="AR159" s="755"/>
      <c r="AS159" s="675" t="s">
        <v>3461</v>
      </c>
      <c r="AT159" s="671"/>
    </row>
    <row r="160" ht="15.75" hidden="1" customHeight="1">
      <c r="A160" s="668"/>
      <c r="B160" s="770" t="s">
        <v>3497</v>
      </c>
      <c r="C160" s="670"/>
      <c r="D160" s="670"/>
      <c r="E160" s="670"/>
      <c r="F160" s="670"/>
      <c r="G160" s="670"/>
      <c r="H160" s="670"/>
      <c r="I160" s="670"/>
      <c r="J160" s="670"/>
      <c r="K160" s="670"/>
      <c r="L160" s="670"/>
      <c r="M160" s="670"/>
      <c r="N160" s="670"/>
      <c r="O160" s="670"/>
      <c r="P160" s="670"/>
      <c r="Q160" s="670"/>
      <c r="R160" s="670"/>
      <c r="S160" s="670"/>
      <c r="T160" s="670"/>
      <c r="U160" s="670"/>
      <c r="V160" s="670"/>
      <c r="W160" s="670"/>
      <c r="X160" s="670"/>
      <c r="Y160" s="670"/>
      <c r="Z160" s="670"/>
      <c r="AA160" s="670"/>
      <c r="AB160" s="670"/>
      <c r="AC160" s="670"/>
      <c r="AD160" s="670"/>
      <c r="AE160" s="671"/>
      <c r="AF160" s="771"/>
      <c r="AG160" s="765"/>
      <c r="AH160" s="766"/>
      <c r="AI160" s="767"/>
      <c r="AJ160" s="767"/>
      <c r="AK160" s="677"/>
      <c r="AL160" s="719" t="str">
        <f t="shared" si="24"/>
        <v/>
      </c>
      <c r="AM160" s="677"/>
      <c r="AN160" s="677"/>
      <c r="AO160" s="677"/>
      <c r="AP160" s="677"/>
      <c r="AQ160" s="677"/>
      <c r="AR160" s="668"/>
      <c r="AS160" s="679"/>
      <c r="AT160" s="680"/>
    </row>
    <row r="161" ht="15.75" hidden="1" customHeight="1">
      <c r="A161" s="668" t="s">
        <v>2883</v>
      </c>
      <c r="B161" s="672">
        <v>1.0</v>
      </c>
      <c r="C161" s="672">
        <v>2.0</v>
      </c>
      <c r="D161" s="672">
        <v>3.0</v>
      </c>
      <c r="E161" s="672">
        <v>4.0</v>
      </c>
      <c r="F161" s="672">
        <v>5.0</v>
      </c>
      <c r="G161" s="672">
        <v>6.0</v>
      </c>
      <c r="H161" s="677" t="s">
        <v>3498</v>
      </c>
      <c r="I161" s="672">
        <v>8.0</v>
      </c>
      <c r="J161" s="672">
        <v>9.0</v>
      </c>
      <c r="K161" s="672">
        <v>10.0</v>
      </c>
      <c r="L161" s="672">
        <v>11.0</v>
      </c>
      <c r="M161" s="672">
        <v>12.0</v>
      </c>
      <c r="N161" s="672">
        <v>13.0</v>
      </c>
      <c r="O161" s="672">
        <v>14.0</v>
      </c>
      <c r="P161" s="672">
        <v>15.0</v>
      </c>
      <c r="Q161" s="672">
        <v>16.0</v>
      </c>
      <c r="R161" s="672">
        <v>17.0</v>
      </c>
      <c r="S161" s="672">
        <v>18.0</v>
      </c>
      <c r="T161" s="672">
        <v>19.0</v>
      </c>
      <c r="U161" s="672">
        <v>20.0</v>
      </c>
      <c r="V161" s="672">
        <v>21.0</v>
      </c>
      <c r="W161" s="672">
        <v>22.0</v>
      </c>
      <c r="X161" s="672">
        <v>23.0</v>
      </c>
      <c r="Y161" s="672">
        <v>24.0</v>
      </c>
      <c r="Z161" s="672">
        <v>25.0</v>
      </c>
      <c r="AA161" s="672">
        <v>26.0</v>
      </c>
      <c r="AB161" s="672">
        <v>27.0</v>
      </c>
      <c r="AC161" s="672">
        <v>28.0</v>
      </c>
      <c r="AD161" s="672">
        <v>29.0</v>
      </c>
      <c r="AE161" s="672">
        <v>30.0</v>
      </c>
      <c r="AF161" s="771" t="s">
        <v>3499</v>
      </c>
      <c r="AG161" s="765" t="s">
        <v>3494</v>
      </c>
      <c r="AH161" s="766" t="s">
        <v>3500</v>
      </c>
      <c r="AI161" s="767"/>
      <c r="AJ161" s="767"/>
      <c r="AK161" s="677"/>
      <c r="AL161" s="719" t="str">
        <f t="shared" si="24"/>
        <v>TỔNG
L8 đạt được</v>
      </c>
      <c r="AM161" s="677"/>
      <c r="AN161" s="677"/>
      <c r="AO161" s="677"/>
      <c r="AP161" s="677"/>
      <c r="AQ161" s="677"/>
      <c r="AR161" s="668" t="s">
        <v>2883</v>
      </c>
      <c r="AS161" s="679" t="s">
        <v>3496</v>
      </c>
      <c r="AT161" s="680" t="s">
        <v>3472</v>
      </c>
    </row>
    <row r="162" ht="15.75" hidden="1" customHeight="1">
      <c r="A162" s="681" t="s">
        <v>3046</v>
      </c>
      <c r="B162" s="691">
        <v>0.0</v>
      </c>
      <c r="C162" s="691">
        <v>0.0</v>
      </c>
      <c r="D162" s="691">
        <v>2.0</v>
      </c>
      <c r="E162" s="681"/>
      <c r="F162" s="681"/>
      <c r="G162" s="681"/>
      <c r="H162" s="691">
        <v>6.0</v>
      </c>
      <c r="I162" s="681"/>
      <c r="J162" s="681"/>
      <c r="K162" s="681"/>
      <c r="L162" s="681"/>
      <c r="M162" s="681"/>
      <c r="N162" s="681"/>
      <c r="O162" s="681"/>
      <c r="P162" s="681"/>
      <c r="Q162" s="681"/>
      <c r="R162" s="681"/>
      <c r="S162" s="681"/>
      <c r="T162" s="681"/>
      <c r="U162" s="681"/>
      <c r="V162" s="681"/>
      <c r="W162" s="681"/>
      <c r="X162" s="681"/>
      <c r="Y162" s="681"/>
      <c r="Z162" s="681"/>
      <c r="AA162" s="681"/>
      <c r="AB162" s="681"/>
      <c r="AC162" s="681"/>
      <c r="AD162" s="681"/>
      <c r="AE162" s="681"/>
      <c r="AF162" s="681">
        <f t="shared" ref="AF162:AF168" si="61">SUM(B162:AE162)</f>
        <v>8</v>
      </c>
      <c r="AG162" s="692">
        <v>14.0</v>
      </c>
      <c r="AH162" s="693">
        <f t="shared" ref="AH162:AH168" si="62">AF162/AG162</f>
        <v>0.5714285714</v>
      </c>
      <c r="AI162" s="693"/>
      <c r="AJ162" s="693"/>
      <c r="AK162" s="693"/>
      <c r="AL162" s="719">
        <f t="shared" si="24"/>
        <v>8</v>
      </c>
      <c r="AM162" s="693"/>
      <c r="AN162" s="693"/>
      <c r="AO162" s="693"/>
      <c r="AP162" s="693"/>
      <c r="AQ162" s="693"/>
      <c r="AR162" s="681" t="s">
        <v>3046</v>
      </c>
      <c r="AS162" s="694">
        <v>23.0</v>
      </c>
      <c r="AT162" s="693"/>
    </row>
    <row r="163" ht="15.75" hidden="1" customHeight="1">
      <c r="A163" s="681" t="s">
        <v>2624</v>
      </c>
      <c r="B163" s="691">
        <v>3.0</v>
      </c>
      <c r="C163" s="691">
        <v>1.0</v>
      </c>
      <c r="D163" s="691">
        <v>7.0</v>
      </c>
      <c r="E163" s="681"/>
      <c r="F163" s="681"/>
      <c r="G163" s="681"/>
      <c r="H163" s="691">
        <v>16.0</v>
      </c>
      <c r="I163" s="681"/>
      <c r="J163" s="681"/>
      <c r="K163" s="681"/>
      <c r="L163" s="681"/>
      <c r="M163" s="681"/>
      <c r="N163" s="681"/>
      <c r="O163" s="681"/>
      <c r="P163" s="681"/>
      <c r="Q163" s="681"/>
      <c r="R163" s="681"/>
      <c r="S163" s="681"/>
      <c r="T163" s="681"/>
      <c r="U163" s="681"/>
      <c r="V163" s="681"/>
      <c r="W163" s="681"/>
      <c r="X163" s="681"/>
      <c r="Y163" s="681"/>
      <c r="Z163" s="681"/>
      <c r="AA163" s="681"/>
      <c r="AB163" s="681"/>
      <c r="AC163" s="681"/>
      <c r="AD163" s="681"/>
      <c r="AE163" s="681"/>
      <c r="AF163" s="681">
        <f t="shared" si="61"/>
        <v>27</v>
      </c>
      <c r="AG163" s="692">
        <v>56.0</v>
      </c>
      <c r="AH163" s="693">
        <f t="shared" si="62"/>
        <v>0.4821428571</v>
      </c>
      <c r="AI163" s="693"/>
      <c r="AJ163" s="693"/>
      <c r="AK163" s="693"/>
      <c r="AL163" s="719">
        <f t="shared" si="24"/>
        <v>27</v>
      </c>
      <c r="AM163" s="693"/>
      <c r="AN163" s="693"/>
      <c r="AO163" s="693"/>
      <c r="AP163" s="693"/>
      <c r="AQ163" s="693"/>
      <c r="AR163" s="681" t="s">
        <v>2624</v>
      </c>
      <c r="AS163" s="694">
        <v>72.0</v>
      </c>
      <c r="AT163" s="693"/>
    </row>
    <row r="164" ht="15.75" hidden="1" customHeight="1">
      <c r="A164" s="681" t="s">
        <v>2622</v>
      </c>
      <c r="B164" s="691">
        <v>0.0</v>
      </c>
      <c r="C164" s="691">
        <v>1.0</v>
      </c>
      <c r="D164" s="691">
        <v>0.0</v>
      </c>
      <c r="E164" s="681"/>
      <c r="F164" s="681"/>
      <c r="G164" s="681"/>
      <c r="H164" s="691">
        <v>6.0</v>
      </c>
      <c r="I164" s="681"/>
      <c r="J164" s="681"/>
      <c r="K164" s="681"/>
      <c r="L164" s="681"/>
      <c r="M164" s="681"/>
      <c r="N164" s="681"/>
      <c r="O164" s="681"/>
      <c r="P164" s="681"/>
      <c r="Q164" s="681"/>
      <c r="R164" s="681"/>
      <c r="S164" s="681"/>
      <c r="T164" s="681"/>
      <c r="U164" s="681"/>
      <c r="V164" s="681"/>
      <c r="W164" s="681"/>
      <c r="X164" s="681"/>
      <c r="Y164" s="681"/>
      <c r="Z164" s="681"/>
      <c r="AA164" s="681"/>
      <c r="AB164" s="681"/>
      <c r="AC164" s="681"/>
      <c r="AD164" s="681"/>
      <c r="AE164" s="681"/>
      <c r="AF164" s="681">
        <f t="shared" si="61"/>
        <v>7</v>
      </c>
      <c r="AG164" s="769">
        <v>18.0</v>
      </c>
      <c r="AH164" s="693">
        <f t="shared" si="62"/>
        <v>0.3888888889</v>
      </c>
      <c r="AI164" s="693"/>
      <c r="AJ164" s="693"/>
      <c r="AK164" s="693"/>
      <c r="AL164" s="719">
        <f t="shared" si="24"/>
        <v>7</v>
      </c>
      <c r="AM164" s="693"/>
      <c r="AN164" s="693"/>
      <c r="AO164" s="693"/>
      <c r="AP164" s="693"/>
      <c r="AQ164" s="693"/>
      <c r="AR164" s="681" t="s">
        <v>2622</v>
      </c>
      <c r="AS164" s="694">
        <v>30.0</v>
      </c>
      <c r="AT164" s="693"/>
    </row>
    <row r="165" ht="15.75" hidden="1" customHeight="1">
      <c r="A165" s="681" t="s">
        <v>2627</v>
      </c>
      <c r="B165" s="691">
        <v>0.0</v>
      </c>
      <c r="C165" s="691">
        <v>0.0</v>
      </c>
      <c r="D165" s="691">
        <v>0.0</v>
      </c>
      <c r="E165" s="681"/>
      <c r="F165" s="681"/>
      <c r="G165" s="681"/>
      <c r="H165" s="691">
        <v>0.0</v>
      </c>
      <c r="I165" s="681"/>
      <c r="J165" s="681"/>
      <c r="K165" s="681"/>
      <c r="L165" s="681"/>
      <c r="M165" s="681"/>
      <c r="N165" s="681"/>
      <c r="O165" s="681"/>
      <c r="P165" s="681"/>
      <c r="Q165" s="681"/>
      <c r="R165" s="681"/>
      <c r="S165" s="681"/>
      <c r="T165" s="681"/>
      <c r="U165" s="681"/>
      <c r="V165" s="681"/>
      <c r="W165" s="681"/>
      <c r="X165" s="681"/>
      <c r="Y165" s="681"/>
      <c r="Z165" s="681"/>
      <c r="AA165" s="681"/>
      <c r="AB165" s="681"/>
      <c r="AC165" s="681"/>
      <c r="AD165" s="681"/>
      <c r="AE165" s="681"/>
      <c r="AF165" s="681">
        <f t="shared" si="61"/>
        <v>0</v>
      </c>
      <c r="AG165" s="692">
        <v>24.0</v>
      </c>
      <c r="AH165" s="693">
        <f t="shared" si="62"/>
        <v>0</v>
      </c>
      <c r="AI165" s="693"/>
      <c r="AJ165" s="693"/>
      <c r="AK165" s="693"/>
      <c r="AL165" s="719">
        <f t="shared" si="24"/>
        <v>0</v>
      </c>
      <c r="AM165" s="693"/>
      <c r="AN165" s="693"/>
      <c r="AO165" s="693"/>
      <c r="AP165" s="693"/>
      <c r="AQ165" s="693"/>
      <c r="AR165" s="681" t="s">
        <v>2627</v>
      </c>
      <c r="AS165" s="694">
        <v>22.0</v>
      </c>
      <c r="AT165" s="693"/>
    </row>
    <row r="166" ht="15.75" hidden="1" customHeight="1">
      <c r="A166" s="691" t="s">
        <v>3054</v>
      </c>
      <c r="B166" s="691">
        <v>0.0</v>
      </c>
      <c r="C166" s="691">
        <v>0.0</v>
      </c>
      <c r="D166" s="691">
        <v>0.0</v>
      </c>
      <c r="E166" s="681"/>
      <c r="F166" s="681"/>
      <c r="G166" s="681"/>
      <c r="H166" s="691">
        <v>2.0</v>
      </c>
      <c r="I166" s="681"/>
      <c r="J166" s="681"/>
      <c r="K166" s="681"/>
      <c r="L166" s="681"/>
      <c r="M166" s="681"/>
      <c r="N166" s="681"/>
      <c r="O166" s="681"/>
      <c r="P166" s="681"/>
      <c r="Q166" s="681"/>
      <c r="R166" s="681"/>
      <c r="S166" s="681"/>
      <c r="T166" s="681"/>
      <c r="U166" s="681"/>
      <c r="V166" s="681"/>
      <c r="W166" s="681"/>
      <c r="X166" s="681"/>
      <c r="Y166" s="681"/>
      <c r="Z166" s="681"/>
      <c r="AA166" s="681"/>
      <c r="AB166" s="681"/>
      <c r="AC166" s="681"/>
      <c r="AD166" s="681"/>
      <c r="AE166" s="681"/>
      <c r="AF166" s="681">
        <f t="shared" si="61"/>
        <v>2</v>
      </c>
      <c r="AG166" s="692">
        <v>8.0</v>
      </c>
      <c r="AH166" s="693">
        <f t="shared" si="62"/>
        <v>0.25</v>
      </c>
      <c r="AI166" s="693"/>
      <c r="AJ166" s="693"/>
      <c r="AK166" s="693"/>
      <c r="AL166" s="719">
        <f t="shared" si="24"/>
        <v>2</v>
      </c>
      <c r="AM166" s="693"/>
      <c r="AN166" s="693"/>
      <c r="AO166" s="693"/>
      <c r="AP166" s="693"/>
      <c r="AQ166" s="693"/>
      <c r="AR166" s="691" t="s">
        <v>3054</v>
      </c>
      <c r="AS166" s="694">
        <v>6.0</v>
      </c>
      <c r="AT166" s="693"/>
    </row>
    <row r="167" ht="15.75" hidden="1" customHeight="1">
      <c r="A167" s="681" t="s">
        <v>2920</v>
      </c>
      <c r="B167" s="681"/>
      <c r="C167" s="681"/>
      <c r="D167" s="681"/>
      <c r="E167" s="681"/>
      <c r="F167" s="681"/>
      <c r="G167" s="681"/>
      <c r="H167" s="691">
        <v>1.0</v>
      </c>
      <c r="I167" s="681"/>
      <c r="J167" s="681"/>
      <c r="K167" s="681"/>
      <c r="L167" s="681"/>
      <c r="M167" s="681"/>
      <c r="N167" s="681"/>
      <c r="O167" s="681"/>
      <c r="P167" s="681"/>
      <c r="Q167" s="681"/>
      <c r="R167" s="681"/>
      <c r="S167" s="681"/>
      <c r="T167" s="681"/>
      <c r="U167" s="681"/>
      <c r="V167" s="681"/>
      <c r="W167" s="681"/>
      <c r="X167" s="681"/>
      <c r="Y167" s="681"/>
      <c r="Z167" s="681"/>
      <c r="AA167" s="681"/>
      <c r="AB167" s="681"/>
      <c r="AC167" s="681"/>
      <c r="AD167" s="681"/>
      <c r="AE167" s="681"/>
      <c r="AF167" s="681">
        <f t="shared" si="61"/>
        <v>1</v>
      </c>
      <c r="AG167" s="682"/>
      <c r="AH167" s="693" t="str">
        <f t="shared" si="62"/>
        <v>#DIV/0!</v>
      </c>
      <c r="AI167" s="693"/>
      <c r="AJ167" s="693"/>
      <c r="AK167" s="693"/>
      <c r="AL167" s="719">
        <f t="shared" si="24"/>
        <v>1</v>
      </c>
      <c r="AM167" s="693"/>
      <c r="AN167" s="693"/>
      <c r="AO167" s="693"/>
      <c r="AP167" s="693"/>
      <c r="AQ167" s="693"/>
      <c r="AR167" s="681" t="s">
        <v>2920</v>
      </c>
      <c r="AS167" s="694"/>
      <c r="AT167" s="693"/>
    </row>
    <row r="168" ht="15.75" hidden="1" customHeight="1">
      <c r="A168" s="691" t="s">
        <v>3501</v>
      </c>
      <c r="B168" s="681"/>
      <c r="C168" s="681"/>
      <c r="D168" s="681"/>
      <c r="E168" s="681"/>
      <c r="F168" s="681"/>
      <c r="G168" s="681"/>
      <c r="H168" s="681"/>
      <c r="I168" s="681"/>
      <c r="J168" s="681"/>
      <c r="K168" s="681"/>
      <c r="L168" s="681"/>
      <c r="M168" s="681"/>
      <c r="N168" s="681"/>
      <c r="O168" s="681"/>
      <c r="P168" s="681"/>
      <c r="Q168" s="681"/>
      <c r="R168" s="681"/>
      <c r="S168" s="681"/>
      <c r="T168" s="681"/>
      <c r="U168" s="681"/>
      <c r="V168" s="681"/>
      <c r="W168" s="681"/>
      <c r="X168" s="681"/>
      <c r="Y168" s="681"/>
      <c r="Z168" s="681"/>
      <c r="AA168" s="681"/>
      <c r="AB168" s="681"/>
      <c r="AC168" s="681"/>
      <c r="AD168" s="681"/>
      <c r="AE168" s="681"/>
      <c r="AF168" s="681">
        <f t="shared" si="61"/>
        <v>0</v>
      </c>
      <c r="AG168" s="682"/>
      <c r="AH168" s="693" t="str">
        <f t="shared" si="62"/>
        <v>#DIV/0!</v>
      </c>
      <c r="AI168" s="693"/>
      <c r="AJ168" s="693"/>
      <c r="AK168" s="693"/>
      <c r="AL168" s="719">
        <f t="shared" si="24"/>
        <v>0</v>
      </c>
      <c r="AM168" s="693"/>
      <c r="AN168" s="693"/>
      <c r="AO168" s="693"/>
      <c r="AP168" s="693"/>
      <c r="AQ168" s="693"/>
      <c r="AR168" s="691" t="s">
        <v>3501</v>
      </c>
      <c r="AS168" s="694"/>
      <c r="AT168" s="693"/>
    </row>
    <row r="169" ht="15.75" hidden="1" customHeight="1">
      <c r="A169" s="668" t="s">
        <v>2934</v>
      </c>
      <c r="B169" s="672">
        <f t="shared" ref="B169:AF169" si="63">SUM(B162:B168)</f>
        <v>3</v>
      </c>
      <c r="C169" s="672">
        <f t="shared" si="63"/>
        <v>2</v>
      </c>
      <c r="D169" s="672">
        <f t="shared" si="63"/>
        <v>9</v>
      </c>
      <c r="E169" s="672">
        <f t="shared" si="63"/>
        <v>0</v>
      </c>
      <c r="F169" s="672">
        <f t="shared" si="63"/>
        <v>0</v>
      </c>
      <c r="G169" s="672">
        <f t="shared" si="63"/>
        <v>0</v>
      </c>
      <c r="H169" s="672">
        <f t="shared" si="63"/>
        <v>31</v>
      </c>
      <c r="I169" s="672">
        <f t="shared" si="63"/>
        <v>0</v>
      </c>
      <c r="J169" s="672">
        <f t="shared" si="63"/>
        <v>0</v>
      </c>
      <c r="K169" s="672">
        <f t="shared" si="63"/>
        <v>0</v>
      </c>
      <c r="L169" s="672">
        <f t="shared" si="63"/>
        <v>0</v>
      </c>
      <c r="M169" s="672">
        <f t="shared" si="63"/>
        <v>0</v>
      </c>
      <c r="N169" s="672">
        <f t="shared" si="63"/>
        <v>0</v>
      </c>
      <c r="O169" s="672">
        <f t="shared" si="63"/>
        <v>0</v>
      </c>
      <c r="P169" s="672">
        <f t="shared" si="63"/>
        <v>0</v>
      </c>
      <c r="Q169" s="672">
        <f t="shared" si="63"/>
        <v>0</v>
      </c>
      <c r="R169" s="672">
        <f t="shared" si="63"/>
        <v>0</v>
      </c>
      <c r="S169" s="672">
        <f t="shared" si="63"/>
        <v>0</v>
      </c>
      <c r="T169" s="672">
        <f t="shared" si="63"/>
        <v>0</v>
      </c>
      <c r="U169" s="672">
        <f t="shared" si="63"/>
        <v>0</v>
      </c>
      <c r="V169" s="672">
        <f t="shared" si="63"/>
        <v>0</v>
      </c>
      <c r="W169" s="672">
        <f t="shared" si="63"/>
        <v>0</v>
      </c>
      <c r="X169" s="672">
        <f t="shared" si="63"/>
        <v>0</v>
      </c>
      <c r="Y169" s="672">
        <f t="shared" si="63"/>
        <v>0</v>
      </c>
      <c r="Z169" s="672">
        <f t="shared" si="63"/>
        <v>0</v>
      </c>
      <c r="AA169" s="672">
        <f t="shared" si="63"/>
        <v>0</v>
      </c>
      <c r="AB169" s="672">
        <f t="shared" si="63"/>
        <v>0</v>
      </c>
      <c r="AC169" s="672">
        <f t="shared" si="63"/>
        <v>0</v>
      </c>
      <c r="AD169" s="672">
        <f t="shared" si="63"/>
        <v>0</v>
      </c>
      <c r="AE169" s="672">
        <f t="shared" si="63"/>
        <v>0</v>
      </c>
      <c r="AF169" s="672">
        <f t="shared" si="63"/>
        <v>45</v>
      </c>
      <c r="AG169" s="673" t="s">
        <v>3460</v>
      </c>
      <c r="AH169" s="670"/>
      <c r="AI169" s="670"/>
      <c r="AJ169" s="671"/>
      <c r="AK169" s="755"/>
      <c r="AL169" s="719">
        <f t="shared" si="24"/>
        <v>45</v>
      </c>
      <c r="AM169" s="755"/>
      <c r="AN169" s="755"/>
      <c r="AO169" s="755"/>
      <c r="AP169" s="755"/>
      <c r="AQ169" s="755"/>
      <c r="AR169" s="668" t="s">
        <v>2934</v>
      </c>
      <c r="AS169" s="675" t="s">
        <v>3461</v>
      </c>
      <c r="AT169" s="671"/>
    </row>
    <row r="170" ht="15.75" hidden="1" customHeight="1">
      <c r="A170" s="668"/>
      <c r="B170" s="770" t="s">
        <v>3502</v>
      </c>
      <c r="C170" s="670"/>
      <c r="D170" s="670"/>
      <c r="E170" s="670"/>
      <c r="F170" s="670"/>
      <c r="G170" s="670"/>
      <c r="H170" s="670"/>
      <c r="I170" s="670"/>
      <c r="J170" s="670"/>
      <c r="K170" s="670"/>
      <c r="L170" s="670"/>
      <c r="M170" s="670"/>
      <c r="N170" s="670"/>
      <c r="O170" s="670"/>
      <c r="P170" s="670"/>
      <c r="Q170" s="670"/>
      <c r="R170" s="670"/>
      <c r="S170" s="670"/>
      <c r="T170" s="670"/>
      <c r="U170" s="670"/>
      <c r="V170" s="670"/>
      <c r="W170" s="670"/>
      <c r="X170" s="670"/>
      <c r="Y170" s="670"/>
      <c r="Z170" s="670"/>
      <c r="AA170" s="670"/>
      <c r="AB170" s="670"/>
      <c r="AC170" s="670"/>
      <c r="AD170" s="670"/>
      <c r="AE170" s="671"/>
      <c r="AF170" s="771"/>
      <c r="AG170" s="765"/>
      <c r="AH170" s="766"/>
      <c r="AI170" s="767"/>
      <c r="AJ170" s="767"/>
      <c r="AK170" s="677"/>
      <c r="AL170" s="719" t="str">
        <f t="shared" si="24"/>
        <v/>
      </c>
      <c r="AM170" s="677"/>
      <c r="AN170" s="677"/>
      <c r="AO170" s="677"/>
      <c r="AP170" s="677"/>
      <c r="AQ170" s="677"/>
      <c r="AR170" s="677"/>
      <c r="AS170" s="679"/>
      <c r="AT170" s="680"/>
    </row>
    <row r="171" ht="15.75" hidden="1" customHeight="1">
      <c r="A171" s="668" t="s">
        <v>2664</v>
      </c>
      <c r="B171" s="749">
        <v>1.0</v>
      </c>
      <c r="C171" s="749">
        <v>2.0</v>
      </c>
      <c r="D171" s="677" t="s">
        <v>3503</v>
      </c>
      <c r="E171" s="672">
        <v>4.0</v>
      </c>
      <c r="F171" s="672">
        <v>5.0</v>
      </c>
      <c r="G171" s="672">
        <v>6.0</v>
      </c>
      <c r="H171" s="677" t="s">
        <v>3498</v>
      </c>
      <c r="I171" s="672">
        <v>8.0</v>
      </c>
      <c r="J171" s="672">
        <v>9.0</v>
      </c>
      <c r="K171" s="672">
        <v>10.0</v>
      </c>
      <c r="L171" s="672">
        <v>11.0</v>
      </c>
      <c r="M171" s="672">
        <v>12.0</v>
      </c>
      <c r="N171" s="672">
        <v>13.0</v>
      </c>
      <c r="O171" s="672">
        <v>14.0</v>
      </c>
      <c r="P171" s="672">
        <v>15.0</v>
      </c>
      <c r="Q171" s="672">
        <v>16.0</v>
      </c>
      <c r="R171" s="672">
        <v>17.0</v>
      </c>
      <c r="S171" s="672">
        <v>18.0</v>
      </c>
      <c r="T171" s="672">
        <v>19.0</v>
      </c>
      <c r="U171" s="672">
        <v>20.0</v>
      </c>
      <c r="V171" s="672">
        <v>21.0</v>
      </c>
      <c r="W171" s="672">
        <v>22.0</v>
      </c>
      <c r="X171" s="672">
        <v>23.0</v>
      </c>
      <c r="Y171" s="672">
        <v>24.0</v>
      </c>
      <c r="Z171" s="672">
        <v>25.0</v>
      </c>
      <c r="AA171" s="672">
        <v>26.0</v>
      </c>
      <c r="AB171" s="672">
        <v>27.0</v>
      </c>
      <c r="AC171" s="672">
        <v>28.0</v>
      </c>
      <c r="AD171" s="672">
        <v>29.0</v>
      </c>
      <c r="AE171" s="672">
        <v>30.0</v>
      </c>
      <c r="AF171" s="771" t="s">
        <v>3499</v>
      </c>
      <c r="AG171" s="765" t="s">
        <v>3494</v>
      </c>
      <c r="AH171" s="766" t="s">
        <v>3500</v>
      </c>
      <c r="AI171" s="767"/>
      <c r="AJ171" s="767"/>
      <c r="AK171" s="677"/>
      <c r="AL171" s="719" t="str">
        <f t="shared" si="24"/>
        <v>TỔNG
L8 đạt được</v>
      </c>
      <c r="AM171" s="677"/>
      <c r="AN171" s="677"/>
      <c r="AO171" s="677"/>
      <c r="AP171" s="677"/>
      <c r="AQ171" s="677"/>
      <c r="AR171" s="668" t="s">
        <v>2664</v>
      </c>
      <c r="AS171" s="679" t="s">
        <v>3496</v>
      </c>
      <c r="AT171" s="680" t="s">
        <v>3472</v>
      </c>
    </row>
    <row r="172" ht="15.75" hidden="1" customHeight="1">
      <c r="A172" s="681" t="s">
        <v>3046</v>
      </c>
      <c r="B172" s="691">
        <v>0.0</v>
      </c>
      <c r="C172" s="691">
        <v>0.0</v>
      </c>
      <c r="D172" s="691">
        <v>0.0</v>
      </c>
      <c r="E172" s="681"/>
      <c r="F172" s="681"/>
      <c r="G172" s="681"/>
      <c r="H172" s="691">
        <v>0.0</v>
      </c>
      <c r="I172" s="681"/>
      <c r="J172" s="681"/>
      <c r="K172" s="681"/>
      <c r="L172" s="681"/>
      <c r="M172" s="681"/>
      <c r="N172" s="681"/>
      <c r="O172" s="681"/>
      <c r="P172" s="681"/>
      <c r="Q172" s="681"/>
      <c r="R172" s="681"/>
      <c r="S172" s="681"/>
      <c r="T172" s="681"/>
      <c r="U172" s="681"/>
      <c r="V172" s="681"/>
      <c r="W172" s="681"/>
      <c r="X172" s="681"/>
      <c r="Y172" s="681"/>
      <c r="Z172" s="681"/>
      <c r="AA172" s="681"/>
      <c r="AB172" s="681"/>
      <c r="AC172" s="681"/>
      <c r="AD172" s="681"/>
      <c r="AE172" s="681"/>
      <c r="AF172" s="681">
        <f t="shared" ref="AF172:AF178" si="64">SUM(B172:AE172)</f>
        <v>0</v>
      </c>
      <c r="AG172" s="692">
        <v>14.0</v>
      </c>
      <c r="AH172" s="693">
        <f t="shared" ref="AH172:AH179" si="65">AF172/AG172</f>
        <v>0</v>
      </c>
      <c r="AI172" s="693"/>
      <c r="AJ172" s="693"/>
      <c r="AK172" s="693"/>
      <c r="AL172" s="719">
        <f t="shared" si="24"/>
        <v>0</v>
      </c>
      <c r="AM172" s="693"/>
      <c r="AN172" s="693"/>
      <c r="AO172" s="693"/>
      <c r="AP172" s="693"/>
      <c r="AQ172" s="693"/>
      <c r="AR172" s="681" t="s">
        <v>3046</v>
      </c>
      <c r="AS172" s="694">
        <v>27.0</v>
      </c>
      <c r="AT172" s="693"/>
    </row>
    <row r="173" ht="15.75" hidden="1" customHeight="1">
      <c r="A173" s="681" t="s">
        <v>2624</v>
      </c>
      <c r="B173" s="691">
        <v>0.0</v>
      </c>
      <c r="C173" s="691">
        <v>0.0</v>
      </c>
      <c r="D173" s="691">
        <v>1.0</v>
      </c>
      <c r="E173" s="681"/>
      <c r="F173" s="681"/>
      <c r="G173" s="681"/>
      <c r="H173" s="691">
        <v>2.0</v>
      </c>
      <c r="I173" s="681"/>
      <c r="J173" s="681"/>
      <c r="K173" s="681"/>
      <c r="L173" s="681"/>
      <c r="M173" s="681"/>
      <c r="N173" s="681"/>
      <c r="O173" s="681"/>
      <c r="P173" s="681"/>
      <c r="Q173" s="681"/>
      <c r="R173" s="681"/>
      <c r="S173" s="681"/>
      <c r="T173" s="681"/>
      <c r="U173" s="681"/>
      <c r="V173" s="681"/>
      <c r="W173" s="681"/>
      <c r="X173" s="681"/>
      <c r="Y173" s="681"/>
      <c r="Z173" s="681"/>
      <c r="AA173" s="681"/>
      <c r="AB173" s="681"/>
      <c r="AC173" s="681"/>
      <c r="AD173" s="681"/>
      <c r="AE173" s="681"/>
      <c r="AF173" s="681">
        <f t="shared" si="64"/>
        <v>3</v>
      </c>
      <c r="AG173" s="692">
        <v>24.0</v>
      </c>
      <c r="AH173" s="693">
        <f t="shared" si="65"/>
        <v>0.125</v>
      </c>
      <c r="AI173" s="693"/>
      <c r="AJ173" s="693"/>
      <c r="AK173" s="693"/>
      <c r="AL173" s="719">
        <f t="shared" si="24"/>
        <v>3</v>
      </c>
      <c r="AM173" s="693"/>
      <c r="AN173" s="693"/>
      <c r="AO173" s="693"/>
      <c r="AP173" s="693"/>
      <c r="AQ173" s="693"/>
      <c r="AR173" s="681" t="s">
        <v>2624</v>
      </c>
      <c r="AS173" s="694">
        <v>22.0</v>
      </c>
      <c r="AT173" s="693"/>
    </row>
    <row r="174" ht="15.75" hidden="1" customHeight="1">
      <c r="A174" s="681" t="s">
        <v>2622</v>
      </c>
      <c r="B174" s="691">
        <v>0.0</v>
      </c>
      <c r="C174" s="691">
        <v>0.0</v>
      </c>
      <c r="D174" s="691">
        <v>0.0</v>
      </c>
      <c r="E174" s="681"/>
      <c r="F174" s="681"/>
      <c r="G174" s="681"/>
      <c r="H174" s="691">
        <v>0.0</v>
      </c>
      <c r="I174" s="681"/>
      <c r="J174" s="681"/>
      <c r="K174" s="681"/>
      <c r="L174" s="681"/>
      <c r="M174" s="681"/>
      <c r="N174" s="681"/>
      <c r="O174" s="681"/>
      <c r="P174" s="681"/>
      <c r="Q174" s="681"/>
      <c r="R174" s="681"/>
      <c r="S174" s="681"/>
      <c r="T174" s="681"/>
      <c r="U174" s="681"/>
      <c r="V174" s="681"/>
      <c r="W174" s="681"/>
      <c r="X174" s="681"/>
      <c r="Y174" s="681"/>
      <c r="Z174" s="681"/>
      <c r="AA174" s="681"/>
      <c r="AB174" s="681"/>
      <c r="AC174" s="681"/>
      <c r="AD174" s="681"/>
      <c r="AE174" s="681"/>
      <c r="AF174" s="681">
        <f t="shared" si="64"/>
        <v>0</v>
      </c>
      <c r="AG174" s="692">
        <v>22.0</v>
      </c>
      <c r="AH174" s="693">
        <f t="shared" si="65"/>
        <v>0</v>
      </c>
      <c r="AI174" s="693"/>
      <c r="AJ174" s="693"/>
      <c r="AK174" s="693"/>
      <c r="AL174" s="719">
        <f t="shared" si="24"/>
        <v>0</v>
      </c>
      <c r="AM174" s="693"/>
      <c r="AN174" s="693"/>
      <c r="AO174" s="693"/>
      <c r="AP174" s="693"/>
      <c r="AQ174" s="693"/>
      <c r="AR174" s="681" t="s">
        <v>2622</v>
      </c>
      <c r="AS174" s="694">
        <v>28.0</v>
      </c>
      <c r="AT174" s="693"/>
    </row>
    <row r="175" ht="15.75" hidden="1" customHeight="1">
      <c r="A175" s="681" t="s">
        <v>2627</v>
      </c>
      <c r="B175" s="691">
        <v>0.0</v>
      </c>
      <c r="C175" s="691">
        <v>0.0</v>
      </c>
      <c r="D175" s="691">
        <v>1.0</v>
      </c>
      <c r="E175" s="681"/>
      <c r="F175" s="681"/>
      <c r="G175" s="681"/>
      <c r="H175" s="691">
        <v>1.0</v>
      </c>
      <c r="I175" s="681"/>
      <c r="J175" s="681"/>
      <c r="K175" s="681"/>
      <c r="L175" s="681"/>
      <c r="M175" s="681"/>
      <c r="N175" s="681"/>
      <c r="O175" s="681"/>
      <c r="P175" s="681"/>
      <c r="Q175" s="681"/>
      <c r="R175" s="681"/>
      <c r="S175" s="681"/>
      <c r="T175" s="681"/>
      <c r="U175" s="681"/>
      <c r="V175" s="681"/>
      <c r="W175" s="681"/>
      <c r="X175" s="681"/>
      <c r="Y175" s="681"/>
      <c r="Z175" s="681"/>
      <c r="AA175" s="681"/>
      <c r="AB175" s="681"/>
      <c r="AC175" s="681"/>
      <c r="AD175" s="681"/>
      <c r="AE175" s="681"/>
      <c r="AF175" s="681">
        <f t="shared" si="64"/>
        <v>2</v>
      </c>
      <c r="AG175" s="692">
        <v>15.0</v>
      </c>
      <c r="AH175" s="693">
        <f t="shared" si="65"/>
        <v>0.1333333333</v>
      </c>
      <c r="AI175" s="693"/>
      <c r="AJ175" s="693"/>
      <c r="AK175" s="693"/>
      <c r="AL175" s="719">
        <f t="shared" si="24"/>
        <v>2</v>
      </c>
      <c r="AM175" s="693"/>
      <c r="AN175" s="693"/>
      <c r="AO175" s="693"/>
      <c r="AP175" s="693"/>
      <c r="AQ175" s="693"/>
      <c r="AR175" s="681" t="s">
        <v>2627</v>
      </c>
      <c r="AS175" s="694">
        <v>21.0</v>
      </c>
      <c r="AT175" s="693"/>
    </row>
    <row r="176" ht="15.75" hidden="1" customHeight="1">
      <c r="A176" s="691" t="s">
        <v>3054</v>
      </c>
      <c r="B176" s="691">
        <v>0.0</v>
      </c>
      <c r="C176" s="691">
        <v>0.0</v>
      </c>
      <c r="D176" s="691">
        <v>0.0</v>
      </c>
      <c r="E176" s="681"/>
      <c r="F176" s="681"/>
      <c r="G176" s="681"/>
      <c r="H176" s="691">
        <v>0.0</v>
      </c>
      <c r="I176" s="681"/>
      <c r="J176" s="681"/>
      <c r="K176" s="681"/>
      <c r="L176" s="681"/>
      <c r="M176" s="681"/>
      <c r="N176" s="681"/>
      <c r="O176" s="681"/>
      <c r="P176" s="681"/>
      <c r="Q176" s="681"/>
      <c r="R176" s="681"/>
      <c r="S176" s="681"/>
      <c r="T176" s="681"/>
      <c r="U176" s="681"/>
      <c r="V176" s="681"/>
      <c r="W176" s="681"/>
      <c r="X176" s="681"/>
      <c r="Y176" s="681"/>
      <c r="Z176" s="681"/>
      <c r="AA176" s="681"/>
      <c r="AB176" s="681"/>
      <c r="AC176" s="681"/>
      <c r="AD176" s="681"/>
      <c r="AE176" s="681"/>
      <c r="AF176" s="681">
        <f t="shared" si="64"/>
        <v>0</v>
      </c>
      <c r="AG176" s="692">
        <v>2.0</v>
      </c>
      <c r="AH176" s="693">
        <f t="shared" si="65"/>
        <v>0</v>
      </c>
      <c r="AI176" s="693"/>
      <c r="AJ176" s="693"/>
      <c r="AK176" s="693"/>
      <c r="AL176" s="719">
        <f t="shared" si="24"/>
        <v>0</v>
      </c>
      <c r="AM176" s="693"/>
      <c r="AN176" s="693"/>
      <c r="AO176" s="693"/>
      <c r="AP176" s="693"/>
      <c r="AQ176" s="693"/>
      <c r="AR176" s="691" t="s">
        <v>3054</v>
      </c>
      <c r="AS176" s="694">
        <v>2.0</v>
      </c>
      <c r="AT176" s="693"/>
    </row>
    <row r="177" ht="15.75" hidden="1" customHeight="1">
      <c r="A177" s="691" t="s">
        <v>2920</v>
      </c>
      <c r="B177" s="681"/>
      <c r="C177" s="681"/>
      <c r="D177" s="691">
        <v>3.0</v>
      </c>
      <c r="E177" s="681"/>
      <c r="F177" s="681"/>
      <c r="G177" s="681"/>
      <c r="H177" s="691">
        <v>4.0</v>
      </c>
      <c r="I177" s="681"/>
      <c r="J177" s="681"/>
      <c r="K177" s="681"/>
      <c r="L177" s="681"/>
      <c r="M177" s="681"/>
      <c r="N177" s="681"/>
      <c r="O177" s="681"/>
      <c r="P177" s="681"/>
      <c r="Q177" s="681"/>
      <c r="R177" s="681"/>
      <c r="S177" s="681"/>
      <c r="T177" s="681"/>
      <c r="U177" s="681"/>
      <c r="V177" s="681"/>
      <c r="W177" s="681"/>
      <c r="X177" s="681"/>
      <c r="Y177" s="681"/>
      <c r="Z177" s="681"/>
      <c r="AA177" s="681"/>
      <c r="AB177" s="681"/>
      <c r="AC177" s="681"/>
      <c r="AD177" s="681"/>
      <c r="AE177" s="681"/>
      <c r="AF177" s="681">
        <f t="shared" si="64"/>
        <v>7</v>
      </c>
      <c r="AG177" s="682"/>
      <c r="AH177" s="693" t="str">
        <f t="shared" si="65"/>
        <v>#DIV/0!</v>
      </c>
      <c r="AI177" s="693"/>
      <c r="AJ177" s="693"/>
      <c r="AK177" s="693"/>
      <c r="AL177" s="719">
        <f t="shared" si="24"/>
        <v>7</v>
      </c>
      <c r="AM177" s="693"/>
      <c r="AN177" s="693"/>
      <c r="AO177" s="693"/>
      <c r="AP177" s="693"/>
      <c r="AQ177" s="693"/>
      <c r="AR177" s="691" t="s">
        <v>2920</v>
      </c>
      <c r="AS177" s="694"/>
      <c r="AT177" s="693"/>
    </row>
    <row r="178" ht="15.75" hidden="1" customHeight="1">
      <c r="A178" s="691" t="s">
        <v>3504</v>
      </c>
      <c r="B178" s="681"/>
      <c r="C178" s="681"/>
      <c r="D178" s="691">
        <v>1.0</v>
      </c>
      <c r="E178" s="681"/>
      <c r="F178" s="681"/>
      <c r="G178" s="681"/>
      <c r="H178" s="691">
        <v>2.0</v>
      </c>
      <c r="I178" s="681"/>
      <c r="J178" s="681"/>
      <c r="K178" s="681"/>
      <c r="L178" s="681"/>
      <c r="M178" s="681"/>
      <c r="N178" s="681"/>
      <c r="O178" s="681"/>
      <c r="P178" s="681"/>
      <c r="Q178" s="681"/>
      <c r="R178" s="681"/>
      <c r="S178" s="681"/>
      <c r="T178" s="681"/>
      <c r="U178" s="681"/>
      <c r="V178" s="681"/>
      <c r="W178" s="681"/>
      <c r="X178" s="681"/>
      <c r="Y178" s="681"/>
      <c r="Z178" s="681"/>
      <c r="AA178" s="681"/>
      <c r="AB178" s="681"/>
      <c r="AC178" s="681"/>
      <c r="AD178" s="681"/>
      <c r="AE178" s="681"/>
      <c r="AF178" s="681">
        <f t="shared" si="64"/>
        <v>3</v>
      </c>
      <c r="AG178" s="682"/>
      <c r="AH178" s="693" t="str">
        <f t="shared" si="65"/>
        <v>#DIV/0!</v>
      </c>
      <c r="AI178" s="693"/>
      <c r="AJ178" s="693"/>
      <c r="AK178" s="693"/>
      <c r="AL178" s="719">
        <f t="shared" si="24"/>
        <v>3</v>
      </c>
      <c r="AM178" s="693"/>
      <c r="AN178" s="693"/>
      <c r="AO178" s="693"/>
      <c r="AP178" s="693"/>
      <c r="AQ178" s="693"/>
      <c r="AR178" s="691" t="s">
        <v>3504</v>
      </c>
      <c r="AS178" s="694"/>
      <c r="AT178" s="693"/>
    </row>
    <row r="179" ht="15.75" hidden="1" customHeight="1">
      <c r="A179" s="668" t="s">
        <v>2934</v>
      </c>
      <c r="B179" s="685">
        <f t="shared" ref="B179:AG179" si="66">SUM(B172:B178)</f>
        <v>0</v>
      </c>
      <c r="C179" s="685">
        <f t="shared" si="66"/>
        <v>0</v>
      </c>
      <c r="D179" s="685">
        <f t="shared" si="66"/>
        <v>6</v>
      </c>
      <c r="E179" s="685">
        <f t="shared" si="66"/>
        <v>0</v>
      </c>
      <c r="F179" s="685">
        <f t="shared" si="66"/>
        <v>0</v>
      </c>
      <c r="G179" s="685">
        <f t="shared" si="66"/>
        <v>0</v>
      </c>
      <c r="H179" s="685">
        <f t="shared" si="66"/>
        <v>9</v>
      </c>
      <c r="I179" s="685">
        <f t="shared" si="66"/>
        <v>0</v>
      </c>
      <c r="J179" s="685">
        <f t="shared" si="66"/>
        <v>0</v>
      </c>
      <c r="K179" s="685">
        <f t="shared" si="66"/>
        <v>0</v>
      </c>
      <c r="L179" s="685">
        <f t="shared" si="66"/>
        <v>0</v>
      </c>
      <c r="M179" s="685">
        <f t="shared" si="66"/>
        <v>0</v>
      </c>
      <c r="N179" s="685">
        <f t="shared" si="66"/>
        <v>0</v>
      </c>
      <c r="O179" s="685">
        <f t="shared" si="66"/>
        <v>0</v>
      </c>
      <c r="P179" s="685">
        <f t="shared" si="66"/>
        <v>0</v>
      </c>
      <c r="Q179" s="685">
        <f t="shared" si="66"/>
        <v>0</v>
      </c>
      <c r="R179" s="685">
        <f t="shared" si="66"/>
        <v>0</v>
      </c>
      <c r="S179" s="685">
        <f t="shared" si="66"/>
        <v>0</v>
      </c>
      <c r="T179" s="685">
        <f t="shared" si="66"/>
        <v>0</v>
      </c>
      <c r="U179" s="685">
        <f t="shared" si="66"/>
        <v>0</v>
      </c>
      <c r="V179" s="685">
        <f t="shared" si="66"/>
        <v>0</v>
      </c>
      <c r="W179" s="685">
        <f t="shared" si="66"/>
        <v>0</v>
      </c>
      <c r="X179" s="685">
        <f t="shared" si="66"/>
        <v>0</v>
      </c>
      <c r="Y179" s="685">
        <f t="shared" si="66"/>
        <v>0</v>
      </c>
      <c r="Z179" s="685">
        <f t="shared" si="66"/>
        <v>0</v>
      </c>
      <c r="AA179" s="685">
        <f t="shared" si="66"/>
        <v>0</v>
      </c>
      <c r="AB179" s="685">
        <f t="shared" si="66"/>
        <v>0</v>
      </c>
      <c r="AC179" s="685">
        <f t="shared" si="66"/>
        <v>0</v>
      </c>
      <c r="AD179" s="685">
        <f t="shared" si="66"/>
        <v>0</v>
      </c>
      <c r="AE179" s="685">
        <f t="shared" si="66"/>
        <v>0</v>
      </c>
      <c r="AF179" s="685">
        <f t="shared" si="66"/>
        <v>15</v>
      </c>
      <c r="AG179" s="685">
        <f t="shared" si="66"/>
        <v>77</v>
      </c>
      <c r="AH179" s="772">
        <f t="shared" si="65"/>
        <v>0.1948051948</v>
      </c>
      <c r="AI179" s="729"/>
      <c r="AJ179" s="730"/>
      <c r="AK179" s="773"/>
      <c r="AL179" s="719">
        <f t="shared" si="24"/>
        <v>15</v>
      </c>
      <c r="AM179" s="773"/>
      <c r="AN179" s="755"/>
      <c r="AO179" s="755"/>
      <c r="AP179" s="755"/>
      <c r="AQ179" s="755"/>
      <c r="AR179" s="668" t="s">
        <v>2934</v>
      </c>
      <c r="AS179" s="675" t="s">
        <v>3461</v>
      </c>
      <c r="AT179" s="671"/>
    </row>
    <row r="180" ht="15.75" hidden="1" customHeight="1">
      <c r="A180" s="668"/>
      <c r="B180" s="770" t="s">
        <v>3505</v>
      </c>
      <c r="C180" s="670"/>
      <c r="D180" s="670"/>
      <c r="E180" s="670"/>
      <c r="F180" s="670"/>
      <c r="G180" s="670"/>
      <c r="H180" s="670"/>
      <c r="I180" s="670"/>
      <c r="J180" s="670"/>
      <c r="K180" s="670"/>
      <c r="L180" s="670"/>
      <c r="M180" s="670"/>
      <c r="N180" s="670"/>
      <c r="O180" s="670"/>
      <c r="P180" s="670"/>
      <c r="Q180" s="670"/>
      <c r="R180" s="670"/>
      <c r="S180" s="670"/>
      <c r="T180" s="670"/>
      <c r="U180" s="670"/>
      <c r="V180" s="670"/>
      <c r="W180" s="670"/>
      <c r="X180" s="670"/>
      <c r="Y180" s="670"/>
      <c r="Z180" s="670"/>
      <c r="AA180" s="670"/>
      <c r="AB180" s="670"/>
      <c r="AC180" s="670"/>
      <c r="AD180" s="670"/>
      <c r="AE180" s="671"/>
      <c r="AF180" s="771"/>
      <c r="AG180" s="765"/>
      <c r="AH180" s="766"/>
      <c r="AK180" s="774"/>
      <c r="AL180" s="719" t="str">
        <f t="shared" si="24"/>
        <v/>
      </c>
      <c r="AM180" s="774"/>
      <c r="AN180" s="774"/>
      <c r="AO180" s="677"/>
      <c r="AP180" s="677"/>
      <c r="AQ180" s="677"/>
      <c r="AR180" s="775" t="s">
        <v>2681</v>
      </c>
      <c r="AS180" s="679"/>
      <c r="AT180" s="680"/>
    </row>
    <row r="181" ht="15.75" customHeight="1">
      <c r="A181" s="668" t="s">
        <v>2681</v>
      </c>
      <c r="B181" s="749">
        <v>1.0</v>
      </c>
      <c r="C181" s="749">
        <v>2.0</v>
      </c>
      <c r="D181" s="677" t="s">
        <v>3506</v>
      </c>
      <c r="E181" s="672">
        <v>4.0</v>
      </c>
      <c r="F181" s="672">
        <v>5.0</v>
      </c>
      <c r="G181" s="672">
        <v>6.0</v>
      </c>
      <c r="H181" s="677" t="s">
        <v>3498</v>
      </c>
      <c r="I181" s="672">
        <v>8.0</v>
      </c>
      <c r="J181" s="672">
        <v>9.0</v>
      </c>
      <c r="K181" s="672">
        <v>10.0</v>
      </c>
      <c r="L181" s="672">
        <v>11.0</v>
      </c>
      <c r="M181" s="672">
        <v>12.0</v>
      </c>
      <c r="N181" s="672">
        <v>13.0</v>
      </c>
      <c r="O181" s="672">
        <v>14.0</v>
      </c>
      <c r="P181" s="672">
        <v>15.0</v>
      </c>
      <c r="Q181" s="672">
        <v>16.0</v>
      </c>
      <c r="R181" s="672">
        <v>17.0</v>
      </c>
      <c r="S181" s="672">
        <v>18.0</v>
      </c>
      <c r="T181" s="672">
        <v>19.0</v>
      </c>
      <c r="U181" s="672">
        <v>20.0</v>
      </c>
      <c r="V181" s="672">
        <v>21.0</v>
      </c>
      <c r="W181" s="672">
        <v>22.0</v>
      </c>
      <c r="X181" s="672">
        <v>23.0</v>
      </c>
      <c r="Y181" s="672">
        <v>24.0</v>
      </c>
      <c r="Z181" s="672">
        <v>25.0</v>
      </c>
      <c r="AA181" s="672">
        <v>26.0</v>
      </c>
      <c r="AB181" s="672">
        <v>27.0</v>
      </c>
      <c r="AC181" s="672">
        <v>28.0</v>
      </c>
      <c r="AD181" s="672">
        <v>29.0</v>
      </c>
      <c r="AE181" s="672">
        <v>30.0</v>
      </c>
      <c r="AF181" s="771" t="s">
        <v>3499</v>
      </c>
      <c r="AG181" s="765" t="s">
        <v>3494</v>
      </c>
      <c r="AH181" s="766" t="s">
        <v>3500</v>
      </c>
      <c r="AK181" s="774"/>
      <c r="AL181" s="719" t="str">
        <f t="shared" si="24"/>
        <v>TỔNG
L8 đạt được</v>
      </c>
      <c r="AM181" s="774"/>
      <c r="AN181" s="774"/>
      <c r="AO181" s="677"/>
      <c r="AP181" s="677"/>
      <c r="AQ181" s="677"/>
      <c r="AR181" s="776" t="s">
        <v>3046</v>
      </c>
      <c r="AS181" s="679" t="s">
        <v>3496</v>
      </c>
      <c r="AT181" s="680" t="s">
        <v>3472</v>
      </c>
    </row>
    <row r="182" ht="15.75" customHeight="1">
      <c r="A182" s="681" t="s">
        <v>3046</v>
      </c>
      <c r="B182" s="691"/>
      <c r="C182" s="691"/>
      <c r="D182" s="691"/>
      <c r="E182" s="681"/>
      <c r="F182" s="681"/>
      <c r="G182" s="681"/>
      <c r="H182" s="691">
        <v>2.0</v>
      </c>
      <c r="I182" s="691">
        <v>1.0</v>
      </c>
      <c r="J182" s="681"/>
      <c r="K182" s="681"/>
      <c r="L182" s="681"/>
      <c r="M182" s="681"/>
      <c r="N182" s="681"/>
      <c r="O182" s="681"/>
      <c r="P182" s="681"/>
      <c r="Q182" s="681"/>
      <c r="R182" s="681"/>
      <c r="S182" s="681"/>
      <c r="T182" s="681"/>
      <c r="U182" s="681"/>
      <c r="V182" s="681"/>
      <c r="W182" s="681"/>
      <c r="X182" s="681"/>
      <c r="Y182" s="681"/>
      <c r="Z182" s="681"/>
      <c r="AA182" s="681"/>
      <c r="AB182" s="681"/>
      <c r="AC182" s="681"/>
      <c r="AD182" s="681"/>
      <c r="AE182" s="681"/>
      <c r="AF182" s="681">
        <f t="shared" ref="AF182:AF189" si="67">SUM(B182:AE182)</f>
        <v>3</v>
      </c>
      <c r="AG182" s="692">
        <v>10.0</v>
      </c>
      <c r="AH182" s="693">
        <f t="shared" ref="AH182:AH183" si="68">AF182/AG182</f>
        <v>0.3</v>
      </c>
      <c r="AI182" s="693"/>
      <c r="AJ182" s="693"/>
      <c r="AK182" s="693"/>
      <c r="AL182" s="719">
        <f t="shared" si="24"/>
        <v>3</v>
      </c>
      <c r="AM182" s="693"/>
      <c r="AN182" s="693"/>
      <c r="AO182" s="693"/>
      <c r="AP182" s="693"/>
      <c r="AQ182" s="693"/>
      <c r="AR182" s="776" t="s">
        <v>2624</v>
      </c>
      <c r="AS182" s="694">
        <v>16.0</v>
      </c>
      <c r="AT182" s="693"/>
    </row>
    <row r="183" ht="15.75" customHeight="1">
      <c r="A183" s="681" t="s">
        <v>2624</v>
      </c>
      <c r="B183" s="691"/>
      <c r="C183" s="691"/>
      <c r="D183" s="691"/>
      <c r="E183" s="681"/>
      <c r="F183" s="681"/>
      <c r="G183" s="681"/>
      <c r="H183" s="691">
        <v>0.0</v>
      </c>
      <c r="I183" s="691">
        <v>0.0</v>
      </c>
      <c r="J183" s="681"/>
      <c r="K183" s="681"/>
      <c r="L183" s="681"/>
      <c r="M183" s="681"/>
      <c r="N183" s="681"/>
      <c r="O183" s="681"/>
      <c r="P183" s="681"/>
      <c r="Q183" s="681"/>
      <c r="R183" s="681"/>
      <c r="S183" s="681"/>
      <c r="T183" s="681"/>
      <c r="U183" s="681"/>
      <c r="V183" s="681"/>
      <c r="W183" s="681"/>
      <c r="X183" s="681"/>
      <c r="Y183" s="681"/>
      <c r="Z183" s="681"/>
      <c r="AA183" s="681"/>
      <c r="AB183" s="681"/>
      <c r="AC183" s="681"/>
      <c r="AD183" s="681"/>
      <c r="AE183" s="681"/>
      <c r="AF183" s="681">
        <f t="shared" si="67"/>
        <v>0</v>
      </c>
      <c r="AG183" s="741">
        <v>6.0</v>
      </c>
      <c r="AH183" s="777">
        <f t="shared" si="68"/>
        <v>0</v>
      </c>
      <c r="AI183" s="693"/>
      <c r="AJ183" s="693"/>
      <c r="AK183" s="693"/>
      <c r="AL183" s="719">
        <f t="shared" si="24"/>
        <v>0</v>
      </c>
      <c r="AM183" s="693"/>
      <c r="AN183" s="693"/>
      <c r="AO183" s="693"/>
      <c r="AP183" s="693"/>
      <c r="AQ183" s="693"/>
      <c r="AR183" s="778" t="s">
        <v>3507</v>
      </c>
      <c r="AS183" s="694">
        <v>7.0</v>
      </c>
      <c r="AT183" s="693"/>
    </row>
    <row r="184" ht="15.75" customHeight="1">
      <c r="A184" s="691" t="s">
        <v>3507</v>
      </c>
      <c r="B184" s="691"/>
      <c r="C184" s="691"/>
      <c r="D184" s="691"/>
      <c r="E184" s="681"/>
      <c r="F184" s="681"/>
      <c r="G184" s="681"/>
      <c r="H184" s="691">
        <v>0.0</v>
      </c>
      <c r="I184" s="691">
        <v>0.0</v>
      </c>
      <c r="J184" s="681"/>
      <c r="K184" s="681"/>
      <c r="L184" s="681"/>
      <c r="M184" s="681"/>
      <c r="N184" s="681"/>
      <c r="O184" s="681"/>
      <c r="P184" s="681"/>
      <c r="Q184" s="681"/>
      <c r="R184" s="681"/>
      <c r="S184" s="681"/>
      <c r="T184" s="681"/>
      <c r="U184" s="681"/>
      <c r="V184" s="681"/>
      <c r="W184" s="681"/>
      <c r="X184" s="681"/>
      <c r="Y184" s="681"/>
      <c r="Z184" s="681"/>
      <c r="AA184" s="681"/>
      <c r="AB184" s="681"/>
      <c r="AC184" s="681"/>
      <c r="AD184" s="681"/>
      <c r="AE184" s="681"/>
      <c r="AF184" s="681">
        <f t="shared" si="67"/>
        <v>0</v>
      </c>
      <c r="AG184" s="706"/>
      <c r="AH184" s="706"/>
      <c r="AI184" s="693"/>
      <c r="AJ184" s="693"/>
      <c r="AK184" s="693"/>
      <c r="AL184" s="719">
        <f t="shared" si="24"/>
        <v>0</v>
      </c>
      <c r="AM184" s="693"/>
      <c r="AN184" s="693"/>
      <c r="AO184" s="693"/>
      <c r="AP184" s="693"/>
      <c r="AQ184" s="693"/>
      <c r="AR184" s="778" t="s">
        <v>2622</v>
      </c>
      <c r="AS184" s="694"/>
      <c r="AT184" s="693"/>
    </row>
    <row r="185" ht="15.75" customHeight="1">
      <c r="A185" s="681" t="s">
        <v>2622</v>
      </c>
      <c r="B185" s="691"/>
      <c r="C185" s="691"/>
      <c r="D185" s="691"/>
      <c r="E185" s="681"/>
      <c r="F185" s="681"/>
      <c r="G185" s="681"/>
      <c r="H185" s="691">
        <v>2.0</v>
      </c>
      <c r="I185" s="691">
        <v>0.0</v>
      </c>
      <c r="J185" s="681"/>
      <c r="K185" s="681"/>
      <c r="L185" s="681"/>
      <c r="M185" s="681"/>
      <c r="N185" s="681"/>
      <c r="O185" s="681"/>
      <c r="P185" s="681"/>
      <c r="Q185" s="681"/>
      <c r="R185" s="681"/>
      <c r="S185" s="681"/>
      <c r="T185" s="681"/>
      <c r="U185" s="681"/>
      <c r="V185" s="681"/>
      <c r="W185" s="681"/>
      <c r="X185" s="681"/>
      <c r="Y185" s="681"/>
      <c r="Z185" s="681"/>
      <c r="AA185" s="681"/>
      <c r="AB185" s="681"/>
      <c r="AC185" s="681"/>
      <c r="AD185" s="681"/>
      <c r="AE185" s="681"/>
      <c r="AF185" s="681">
        <f t="shared" si="67"/>
        <v>2</v>
      </c>
      <c r="AG185" s="769">
        <v>7.0</v>
      </c>
      <c r="AH185" s="693">
        <f t="shared" ref="AH185:AH189" si="69">AF185/AG185</f>
        <v>0.2857142857</v>
      </c>
      <c r="AI185" s="693"/>
      <c r="AJ185" s="693"/>
      <c r="AK185" s="693"/>
      <c r="AL185" s="719">
        <f t="shared" si="24"/>
        <v>2</v>
      </c>
      <c r="AM185" s="693"/>
      <c r="AN185" s="693"/>
      <c r="AO185" s="693"/>
      <c r="AP185" s="693"/>
      <c r="AQ185" s="693"/>
      <c r="AR185" s="778" t="s">
        <v>2627</v>
      </c>
      <c r="AS185" s="694">
        <v>6.0</v>
      </c>
      <c r="AT185" s="693"/>
    </row>
    <row r="186" ht="15.75" customHeight="1">
      <c r="A186" s="681" t="s">
        <v>2627</v>
      </c>
      <c r="B186" s="691"/>
      <c r="C186" s="691"/>
      <c r="D186" s="691"/>
      <c r="E186" s="681"/>
      <c r="F186" s="681"/>
      <c r="G186" s="681"/>
      <c r="H186" s="691">
        <v>1.0</v>
      </c>
      <c r="I186" s="691">
        <v>0.0</v>
      </c>
      <c r="J186" s="681"/>
      <c r="K186" s="681"/>
      <c r="L186" s="681"/>
      <c r="M186" s="681"/>
      <c r="N186" s="681"/>
      <c r="O186" s="681"/>
      <c r="P186" s="681"/>
      <c r="Q186" s="681"/>
      <c r="R186" s="681"/>
      <c r="S186" s="681"/>
      <c r="T186" s="681"/>
      <c r="U186" s="681"/>
      <c r="V186" s="681"/>
      <c r="W186" s="681"/>
      <c r="X186" s="681"/>
      <c r="Y186" s="681"/>
      <c r="Z186" s="681"/>
      <c r="AA186" s="681"/>
      <c r="AB186" s="681"/>
      <c r="AC186" s="681"/>
      <c r="AD186" s="681"/>
      <c r="AE186" s="681"/>
      <c r="AF186" s="681">
        <f t="shared" si="67"/>
        <v>1</v>
      </c>
      <c r="AG186" s="692">
        <v>7.0</v>
      </c>
      <c r="AH186" s="693">
        <f t="shared" si="69"/>
        <v>0.1428571429</v>
      </c>
      <c r="AI186" s="693"/>
      <c r="AJ186" s="693"/>
      <c r="AK186" s="693"/>
      <c r="AL186" s="719">
        <f t="shared" si="24"/>
        <v>1</v>
      </c>
      <c r="AM186" s="693"/>
      <c r="AN186" s="693"/>
      <c r="AO186" s="693"/>
      <c r="AP186" s="693"/>
      <c r="AQ186" s="693"/>
      <c r="AR186" s="778" t="s">
        <v>3054</v>
      </c>
      <c r="AS186" s="694">
        <v>4.0</v>
      </c>
      <c r="AT186" s="693"/>
    </row>
    <row r="187" ht="15.75" customHeight="1">
      <c r="A187" s="691" t="s">
        <v>3054</v>
      </c>
      <c r="B187" s="691"/>
      <c r="C187" s="691"/>
      <c r="D187" s="691"/>
      <c r="E187" s="681"/>
      <c r="F187" s="681"/>
      <c r="G187" s="681"/>
      <c r="H187" s="691">
        <v>1.0</v>
      </c>
      <c r="I187" s="691">
        <v>0.0</v>
      </c>
      <c r="J187" s="681"/>
      <c r="K187" s="681"/>
      <c r="L187" s="681"/>
      <c r="M187" s="681"/>
      <c r="N187" s="681"/>
      <c r="O187" s="681"/>
      <c r="P187" s="681"/>
      <c r="Q187" s="681"/>
      <c r="R187" s="681"/>
      <c r="S187" s="681"/>
      <c r="T187" s="681"/>
      <c r="U187" s="681"/>
      <c r="V187" s="681"/>
      <c r="W187" s="681"/>
      <c r="X187" s="681"/>
      <c r="Y187" s="681"/>
      <c r="Z187" s="681"/>
      <c r="AA187" s="681"/>
      <c r="AB187" s="681"/>
      <c r="AC187" s="681"/>
      <c r="AD187" s="681"/>
      <c r="AE187" s="681"/>
      <c r="AF187" s="681">
        <f t="shared" si="67"/>
        <v>1</v>
      </c>
      <c r="AG187" s="692">
        <v>3.0</v>
      </c>
      <c r="AH187" s="693">
        <f t="shared" si="69"/>
        <v>0.3333333333</v>
      </c>
      <c r="AI187" s="693"/>
      <c r="AJ187" s="693"/>
      <c r="AK187" s="693"/>
      <c r="AL187" s="719">
        <f t="shared" si="24"/>
        <v>1</v>
      </c>
      <c r="AM187" s="693"/>
      <c r="AN187" s="693"/>
      <c r="AO187" s="693"/>
      <c r="AP187" s="693"/>
      <c r="AQ187" s="693"/>
      <c r="AR187" s="778" t="s">
        <v>2920</v>
      </c>
      <c r="AS187" s="694">
        <v>4.0</v>
      </c>
      <c r="AT187" s="693"/>
    </row>
    <row r="188" ht="15.75" customHeight="1">
      <c r="A188" s="681" t="s">
        <v>2920</v>
      </c>
      <c r="B188" s="691"/>
      <c r="C188" s="681"/>
      <c r="D188" s="691"/>
      <c r="E188" s="681"/>
      <c r="F188" s="681"/>
      <c r="G188" s="681"/>
      <c r="H188" s="691">
        <v>1.0</v>
      </c>
      <c r="I188" s="691">
        <v>0.0</v>
      </c>
      <c r="J188" s="681"/>
      <c r="K188" s="681"/>
      <c r="L188" s="681"/>
      <c r="M188" s="681"/>
      <c r="N188" s="681"/>
      <c r="O188" s="681"/>
      <c r="P188" s="681"/>
      <c r="Q188" s="681"/>
      <c r="R188" s="681"/>
      <c r="S188" s="681"/>
      <c r="T188" s="681"/>
      <c r="U188" s="681"/>
      <c r="V188" s="681"/>
      <c r="W188" s="681"/>
      <c r="X188" s="681"/>
      <c r="Y188" s="681"/>
      <c r="Z188" s="681"/>
      <c r="AA188" s="681"/>
      <c r="AB188" s="681"/>
      <c r="AC188" s="681"/>
      <c r="AD188" s="681"/>
      <c r="AE188" s="681"/>
      <c r="AF188" s="681">
        <f t="shared" si="67"/>
        <v>1</v>
      </c>
      <c r="AG188" s="682"/>
      <c r="AH188" s="693" t="str">
        <f t="shared" si="69"/>
        <v>#DIV/0!</v>
      </c>
      <c r="AI188" s="693"/>
      <c r="AJ188" s="693"/>
      <c r="AK188" s="693"/>
      <c r="AL188" s="719">
        <f t="shared" si="24"/>
        <v>1</v>
      </c>
      <c r="AM188" s="693"/>
      <c r="AN188" s="693"/>
      <c r="AO188" s="693"/>
      <c r="AP188" s="693"/>
      <c r="AQ188" s="693"/>
      <c r="AR188" s="778" t="s">
        <v>3464</v>
      </c>
      <c r="AS188" s="694"/>
      <c r="AT188" s="693"/>
    </row>
    <row r="189" ht="15.75" customHeight="1">
      <c r="A189" s="691" t="s">
        <v>3477</v>
      </c>
      <c r="B189" s="691"/>
      <c r="C189" s="681"/>
      <c r="D189" s="681"/>
      <c r="E189" s="681"/>
      <c r="F189" s="681"/>
      <c r="G189" s="779"/>
      <c r="H189" s="691"/>
      <c r="I189" s="691">
        <v>1.0</v>
      </c>
      <c r="K189" s="681"/>
      <c r="L189" s="681"/>
      <c r="M189" s="681"/>
      <c r="N189" s="681"/>
      <c r="O189" s="681"/>
      <c r="P189" s="681"/>
      <c r="Q189" s="681"/>
      <c r="R189" s="681"/>
      <c r="S189" s="681"/>
      <c r="T189" s="681"/>
      <c r="U189" s="681"/>
      <c r="V189" s="681"/>
      <c r="W189" s="681"/>
      <c r="X189" s="681"/>
      <c r="Y189" s="681"/>
      <c r="Z189" s="681"/>
      <c r="AA189" s="681"/>
      <c r="AB189" s="681"/>
      <c r="AC189" s="681"/>
      <c r="AD189" s="681"/>
      <c r="AE189" s="681"/>
      <c r="AF189" s="681">
        <f t="shared" si="67"/>
        <v>1</v>
      </c>
      <c r="AG189" s="682"/>
      <c r="AH189" s="693" t="str">
        <f t="shared" si="69"/>
        <v>#DIV/0!</v>
      </c>
      <c r="AI189" s="693"/>
      <c r="AJ189" s="693"/>
      <c r="AK189" s="693"/>
      <c r="AL189" s="719">
        <f t="shared" si="24"/>
        <v>1</v>
      </c>
      <c r="AM189" s="693"/>
      <c r="AN189" s="693"/>
      <c r="AO189" s="693"/>
      <c r="AP189" s="693"/>
      <c r="AQ189" s="693"/>
      <c r="AR189" s="780" t="s">
        <v>2934</v>
      </c>
      <c r="AS189" s="694">
        <f>SUM(AS182:AS188)</f>
        <v>37</v>
      </c>
      <c r="AT189" s="693"/>
    </row>
    <row r="190" ht="15.75" customHeight="1">
      <c r="A190" s="668" t="s">
        <v>2934</v>
      </c>
      <c r="B190" s="677">
        <v>0.0</v>
      </c>
      <c r="C190" s="672">
        <f t="shared" ref="C190:AF190" si="70">SUM(C182:C189)</f>
        <v>0</v>
      </c>
      <c r="D190" s="672">
        <f t="shared" si="70"/>
        <v>0</v>
      </c>
      <c r="E190" s="672">
        <f t="shared" si="70"/>
        <v>0</v>
      </c>
      <c r="F190" s="672">
        <f t="shared" si="70"/>
        <v>0</v>
      </c>
      <c r="G190" s="672">
        <f t="shared" si="70"/>
        <v>0</v>
      </c>
      <c r="H190" s="672">
        <f t="shared" si="70"/>
        <v>7</v>
      </c>
      <c r="I190" s="672">
        <f t="shared" si="70"/>
        <v>2</v>
      </c>
      <c r="J190" s="672">
        <f t="shared" si="70"/>
        <v>0</v>
      </c>
      <c r="K190" s="672">
        <f t="shared" si="70"/>
        <v>0</v>
      </c>
      <c r="L190" s="672">
        <f t="shared" si="70"/>
        <v>0</v>
      </c>
      <c r="M190" s="672">
        <f t="shared" si="70"/>
        <v>0</v>
      </c>
      <c r="N190" s="672">
        <f t="shared" si="70"/>
        <v>0</v>
      </c>
      <c r="O190" s="672">
        <f t="shared" si="70"/>
        <v>0</v>
      </c>
      <c r="P190" s="672">
        <f t="shared" si="70"/>
        <v>0</v>
      </c>
      <c r="Q190" s="672">
        <f t="shared" si="70"/>
        <v>0</v>
      </c>
      <c r="R190" s="672">
        <f t="shared" si="70"/>
        <v>0</v>
      </c>
      <c r="S190" s="672">
        <f t="shared" si="70"/>
        <v>0</v>
      </c>
      <c r="T190" s="672">
        <f t="shared" si="70"/>
        <v>0</v>
      </c>
      <c r="U190" s="672">
        <f t="shared" si="70"/>
        <v>0</v>
      </c>
      <c r="V190" s="672">
        <f t="shared" si="70"/>
        <v>0</v>
      </c>
      <c r="W190" s="672">
        <f t="shared" si="70"/>
        <v>0</v>
      </c>
      <c r="X190" s="672">
        <f t="shared" si="70"/>
        <v>0</v>
      </c>
      <c r="Y190" s="672">
        <f t="shared" si="70"/>
        <v>0</v>
      </c>
      <c r="Z190" s="672">
        <f t="shared" si="70"/>
        <v>0</v>
      </c>
      <c r="AA190" s="672">
        <f t="shared" si="70"/>
        <v>0</v>
      </c>
      <c r="AB190" s="672">
        <f t="shared" si="70"/>
        <v>0</v>
      </c>
      <c r="AC190" s="672">
        <f t="shared" si="70"/>
        <v>0</v>
      </c>
      <c r="AD190" s="672">
        <f t="shared" si="70"/>
        <v>0</v>
      </c>
      <c r="AE190" s="672">
        <f t="shared" si="70"/>
        <v>0</v>
      </c>
      <c r="AF190" s="672">
        <f t="shared" si="70"/>
        <v>9</v>
      </c>
      <c r="AG190" s="781">
        <v>49.0</v>
      </c>
      <c r="AH190" s="670"/>
      <c r="AI190" s="670"/>
      <c r="AJ190" s="671"/>
      <c r="AK190" s="755"/>
      <c r="AL190" s="719">
        <f t="shared" si="24"/>
        <v>9</v>
      </c>
      <c r="AM190" s="755"/>
      <c r="AN190" s="755"/>
      <c r="AO190" s="755"/>
      <c r="AP190" s="755"/>
      <c r="AQ190" s="755"/>
      <c r="AS190" s="675" t="s">
        <v>3461</v>
      </c>
      <c r="AT190" s="671"/>
    </row>
    <row r="191" ht="15.75" customHeight="1">
      <c r="A191" s="668"/>
      <c r="B191" s="697" t="s">
        <v>3508</v>
      </c>
      <c r="C191" s="670"/>
      <c r="D191" s="670"/>
      <c r="E191" s="670"/>
      <c r="F191" s="670"/>
      <c r="G191" s="670"/>
      <c r="H191" s="670"/>
      <c r="I191" s="670"/>
      <c r="J191" s="670"/>
      <c r="K191" s="670"/>
      <c r="L191" s="670"/>
      <c r="M191" s="670"/>
      <c r="N191" s="670"/>
      <c r="O191" s="670"/>
      <c r="P191" s="670"/>
      <c r="Q191" s="670"/>
      <c r="R191" s="670"/>
      <c r="S191" s="670"/>
      <c r="T191" s="670"/>
      <c r="U191" s="670"/>
      <c r="V191" s="670"/>
      <c r="W191" s="670"/>
      <c r="X191" s="670"/>
      <c r="Y191" s="670"/>
      <c r="Z191" s="670"/>
      <c r="AA191" s="670"/>
      <c r="AB191" s="670"/>
      <c r="AC191" s="670"/>
      <c r="AD191" s="670"/>
      <c r="AE191" s="671"/>
      <c r="AF191" s="771"/>
      <c r="AG191" s="765"/>
      <c r="AH191" s="766"/>
      <c r="AI191" s="767"/>
      <c r="AJ191" s="767"/>
      <c r="AK191" s="677"/>
      <c r="AL191" s="719" t="str">
        <f t="shared" si="24"/>
        <v/>
      </c>
      <c r="AM191" s="677"/>
      <c r="AN191" s="677"/>
      <c r="AO191" s="677"/>
      <c r="AP191" s="677"/>
      <c r="AQ191" s="677"/>
      <c r="AR191" s="677"/>
      <c r="AS191" s="679"/>
      <c r="AT191" s="680"/>
    </row>
    <row r="192" ht="15.75" customHeight="1">
      <c r="A192" s="668" t="s">
        <v>2687</v>
      </c>
      <c r="B192" s="672">
        <v>1.0</v>
      </c>
      <c r="C192" s="672">
        <v>2.0</v>
      </c>
      <c r="D192" s="672">
        <v>3.0</v>
      </c>
      <c r="E192" s="672">
        <v>4.0</v>
      </c>
      <c r="F192" s="672">
        <v>5.0</v>
      </c>
      <c r="G192" s="672">
        <v>6.0</v>
      </c>
      <c r="H192" s="677" t="s">
        <v>3509</v>
      </c>
      <c r="I192" s="672">
        <v>8.0</v>
      </c>
      <c r="J192" s="672">
        <v>9.0</v>
      </c>
      <c r="K192" s="672">
        <v>10.0</v>
      </c>
      <c r="L192" s="672">
        <v>11.0</v>
      </c>
      <c r="M192" s="672">
        <v>12.0</v>
      </c>
      <c r="N192" s="672">
        <v>13.0</v>
      </c>
      <c r="O192" s="672">
        <v>14.0</v>
      </c>
      <c r="P192" s="672">
        <v>15.0</v>
      </c>
      <c r="Q192" s="672">
        <v>16.0</v>
      </c>
      <c r="R192" s="672">
        <v>17.0</v>
      </c>
      <c r="S192" s="672">
        <v>18.0</v>
      </c>
      <c r="T192" s="672">
        <v>19.0</v>
      </c>
      <c r="U192" s="672">
        <v>20.0</v>
      </c>
      <c r="V192" s="672">
        <v>21.0</v>
      </c>
      <c r="W192" s="672">
        <v>22.0</v>
      </c>
      <c r="X192" s="672">
        <v>23.0</v>
      </c>
      <c r="Y192" s="672">
        <v>24.0</v>
      </c>
      <c r="Z192" s="672">
        <v>25.0</v>
      </c>
      <c r="AA192" s="672">
        <v>26.0</v>
      </c>
      <c r="AB192" s="672">
        <v>27.0</v>
      </c>
      <c r="AC192" s="672">
        <v>28.0</v>
      </c>
      <c r="AD192" s="672">
        <v>29.0</v>
      </c>
      <c r="AE192" s="672">
        <v>30.0</v>
      </c>
      <c r="AF192" s="771" t="s">
        <v>3499</v>
      </c>
      <c r="AG192" s="765" t="s">
        <v>3494</v>
      </c>
      <c r="AH192" s="766" t="s">
        <v>3500</v>
      </c>
      <c r="AI192" s="767"/>
      <c r="AJ192" s="767"/>
      <c r="AK192" s="677"/>
      <c r="AL192" s="719" t="str">
        <f t="shared" si="24"/>
        <v>TỔNG
L8 đạt được</v>
      </c>
      <c r="AM192" s="677"/>
      <c r="AN192" s="677"/>
      <c r="AO192" s="677"/>
      <c r="AP192" s="677"/>
      <c r="AQ192" s="677"/>
      <c r="AR192" s="677"/>
      <c r="AS192" s="679" t="s">
        <v>3496</v>
      </c>
      <c r="AT192" s="680" t="s">
        <v>3472</v>
      </c>
    </row>
    <row r="193" ht="15.75" customHeight="1">
      <c r="A193" s="681" t="s">
        <v>3046</v>
      </c>
      <c r="B193" s="782"/>
      <c r="C193" s="782"/>
      <c r="D193" s="384"/>
      <c r="E193" s="782"/>
      <c r="F193" s="681"/>
      <c r="G193" s="681"/>
      <c r="H193" s="691">
        <v>0.0</v>
      </c>
      <c r="I193" s="691">
        <v>0.0</v>
      </c>
      <c r="J193" s="681"/>
      <c r="K193" s="681"/>
      <c r="L193" s="681"/>
      <c r="M193" s="681"/>
      <c r="N193" s="681"/>
      <c r="O193" s="681"/>
      <c r="P193" s="681"/>
      <c r="Q193" s="681"/>
      <c r="R193" s="681"/>
      <c r="S193" s="681"/>
      <c r="T193" s="681"/>
      <c r="U193" s="681"/>
      <c r="V193" s="681"/>
      <c r="W193" s="681"/>
      <c r="X193" s="681"/>
      <c r="Y193" s="681"/>
      <c r="Z193" s="681"/>
      <c r="AA193" s="681"/>
      <c r="AB193" s="681"/>
      <c r="AC193" s="681"/>
      <c r="AD193" s="681"/>
      <c r="AE193" s="681"/>
      <c r="AF193" s="681">
        <f t="shared" ref="AF193:AF200" si="71">SUM(B193:AE193)</f>
        <v>0</v>
      </c>
      <c r="AG193" s="692">
        <v>9.0</v>
      </c>
      <c r="AH193" s="693">
        <f t="shared" ref="AH193:AH194" si="72">AF193/AG193</f>
        <v>0</v>
      </c>
      <c r="AI193" s="693"/>
      <c r="AJ193" s="693"/>
      <c r="AK193" s="693"/>
      <c r="AL193" s="719">
        <f t="shared" si="24"/>
        <v>0</v>
      </c>
      <c r="AM193" s="693"/>
      <c r="AN193" s="693"/>
      <c r="AO193" s="693"/>
      <c r="AP193" s="693"/>
      <c r="AQ193" s="693"/>
      <c r="AR193" s="693"/>
      <c r="AS193" s="694">
        <v>6.0</v>
      </c>
      <c r="AT193" s="693"/>
    </row>
    <row r="194" ht="15.75" customHeight="1">
      <c r="A194" s="681" t="s">
        <v>2624</v>
      </c>
      <c r="B194" s="782"/>
      <c r="C194" s="782"/>
      <c r="D194" s="384"/>
      <c r="E194" s="782"/>
      <c r="F194" s="681"/>
      <c r="G194" s="681"/>
      <c r="H194" s="691">
        <v>0.0</v>
      </c>
      <c r="I194" s="691">
        <v>0.0</v>
      </c>
      <c r="J194" s="681"/>
      <c r="K194" s="681"/>
      <c r="L194" s="681"/>
      <c r="M194" s="681"/>
      <c r="N194" s="681"/>
      <c r="O194" s="681"/>
      <c r="P194" s="681"/>
      <c r="Q194" s="681"/>
      <c r="R194" s="681"/>
      <c r="S194" s="681"/>
      <c r="T194" s="681"/>
      <c r="U194" s="681"/>
      <c r="V194" s="681"/>
      <c r="W194" s="681"/>
      <c r="X194" s="681"/>
      <c r="Y194" s="681"/>
      <c r="Z194" s="681"/>
      <c r="AA194" s="681"/>
      <c r="AB194" s="681"/>
      <c r="AC194" s="681"/>
      <c r="AD194" s="681"/>
      <c r="AE194" s="681"/>
      <c r="AF194" s="681">
        <f t="shared" si="71"/>
        <v>0</v>
      </c>
      <c r="AG194" s="692">
        <v>18.0</v>
      </c>
      <c r="AH194" s="693">
        <f t="shared" si="72"/>
        <v>0</v>
      </c>
      <c r="AI194" s="693"/>
      <c r="AJ194" s="693"/>
      <c r="AK194" s="693"/>
      <c r="AL194" s="719">
        <f t="shared" si="24"/>
        <v>0</v>
      </c>
      <c r="AM194" s="693"/>
      <c r="AN194" s="693"/>
      <c r="AO194" s="693"/>
      <c r="AP194" s="693"/>
      <c r="AQ194" s="693"/>
      <c r="AR194" s="693"/>
      <c r="AS194" s="694">
        <v>8.0</v>
      </c>
      <c r="AT194" s="693"/>
    </row>
    <row r="195" ht="15.75" customHeight="1">
      <c r="A195" s="691" t="s">
        <v>2947</v>
      </c>
      <c r="B195" s="782"/>
      <c r="C195" s="782"/>
      <c r="D195" s="384"/>
      <c r="E195" s="782"/>
      <c r="F195" s="681"/>
      <c r="G195" s="681"/>
      <c r="H195" s="691">
        <v>0.0</v>
      </c>
      <c r="I195" s="691">
        <v>0.0</v>
      </c>
      <c r="J195" s="681"/>
      <c r="K195" s="681"/>
      <c r="L195" s="681"/>
      <c r="M195" s="681"/>
      <c r="N195" s="681"/>
      <c r="O195" s="681"/>
      <c r="P195" s="681"/>
      <c r="Q195" s="681"/>
      <c r="R195" s="681"/>
      <c r="S195" s="681"/>
      <c r="T195" s="681"/>
      <c r="U195" s="681"/>
      <c r="V195" s="681"/>
      <c r="W195" s="681"/>
      <c r="X195" s="681"/>
      <c r="Y195" s="681"/>
      <c r="Z195" s="681"/>
      <c r="AA195" s="681"/>
      <c r="AB195" s="681"/>
      <c r="AC195" s="681"/>
      <c r="AD195" s="681"/>
      <c r="AE195" s="681"/>
      <c r="AF195" s="681">
        <f t="shared" si="71"/>
        <v>0</v>
      </c>
      <c r="AG195" s="769">
        <v>0.0</v>
      </c>
      <c r="AH195" s="693"/>
      <c r="AI195" s="693"/>
      <c r="AJ195" s="693"/>
      <c r="AK195" s="693"/>
      <c r="AL195" s="719">
        <f t="shared" si="24"/>
        <v>0</v>
      </c>
      <c r="AM195" s="693"/>
      <c r="AN195" s="693"/>
      <c r="AO195" s="693"/>
      <c r="AP195" s="693"/>
      <c r="AQ195" s="693"/>
      <c r="AR195" s="693"/>
      <c r="AS195" s="694"/>
      <c r="AT195" s="693"/>
    </row>
    <row r="196" ht="15.75" customHeight="1">
      <c r="A196" s="681" t="s">
        <v>2622</v>
      </c>
      <c r="B196" s="782"/>
      <c r="C196" s="782"/>
      <c r="D196" s="384"/>
      <c r="E196" s="782"/>
      <c r="F196" s="681"/>
      <c r="G196" s="681"/>
      <c r="H196" s="691">
        <v>0.0</v>
      </c>
      <c r="I196" s="691">
        <v>0.0</v>
      </c>
      <c r="J196" s="681"/>
      <c r="K196" s="681"/>
      <c r="L196" s="681"/>
      <c r="M196" s="681"/>
      <c r="N196" s="681"/>
      <c r="O196" s="681"/>
      <c r="P196" s="681"/>
      <c r="Q196" s="681"/>
      <c r="R196" s="681"/>
      <c r="S196" s="681"/>
      <c r="T196" s="681"/>
      <c r="U196" s="681"/>
      <c r="V196" s="681"/>
      <c r="W196" s="681"/>
      <c r="X196" s="681"/>
      <c r="Y196" s="681"/>
      <c r="Z196" s="681"/>
      <c r="AA196" s="681"/>
      <c r="AB196" s="681"/>
      <c r="AC196" s="681"/>
      <c r="AD196" s="681"/>
      <c r="AE196" s="681"/>
      <c r="AF196" s="681">
        <f t="shared" si="71"/>
        <v>0</v>
      </c>
      <c r="AG196" s="769">
        <v>8.0</v>
      </c>
      <c r="AH196" s="693">
        <f t="shared" ref="AH196:AH200" si="73">AF196/AG196</f>
        <v>0</v>
      </c>
      <c r="AI196" s="693"/>
      <c r="AJ196" s="693"/>
      <c r="AK196" s="693"/>
      <c r="AL196" s="719">
        <f t="shared" si="24"/>
        <v>0</v>
      </c>
      <c r="AM196" s="693"/>
      <c r="AN196" s="693"/>
      <c r="AO196" s="693"/>
      <c r="AP196" s="693"/>
      <c r="AQ196" s="693"/>
      <c r="AR196" s="693"/>
      <c r="AS196" s="694">
        <v>3.0</v>
      </c>
      <c r="AT196" s="693"/>
    </row>
    <row r="197" ht="15.75" customHeight="1">
      <c r="A197" s="681" t="s">
        <v>2627</v>
      </c>
      <c r="B197" s="782"/>
      <c r="C197" s="782"/>
      <c r="D197" s="384"/>
      <c r="E197" s="782"/>
      <c r="F197" s="681"/>
      <c r="G197" s="681"/>
      <c r="H197" s="691">
        <v>0.0</v>
      </c>
      <c r="I197" s="691">
        <v>0.0</v>
      </c>
      <c r="J197" s="681"/>
      <c r="K197" s="681"/>
      <c r="L197" s="681"/>
      <c r="M197" s="681"/>
      <c r="N197" s="681"/>
      <c r="O197" s="681"/>
      <c r="P197" s="681"/>
      <c r="Q197" s="681"/>
      <c r="R197" s="681"/>
      <c r="S197" s="681"/>
      <c r="T197" s="681"/>
      <c r="U197" s="681"/>
      <c r="V197" s="681"/>
      <c r="W197" s="681"/>
      <c r="X197" s="681"/>
      <c r="Y197" s="681"/>
      <c r="Z197" s="681"/>
      <c r="AA197" s="681"/>
      <c r="AB197" s="681"/>
      <c r="AC197" s="681"/>
      <c r="AD197" s="681"/>
      <c r="AE197" s="681"/>
      <c r="AF197" s="681">
        <f t="shared" si="71"/>
        <v>0</v>
      </c>
      <c r="AG197" s="692">
        <v>5.0</v>
      </c>
      <c r="AH197" s="693">
        <f t="shared" si="73"/>
        <v>0</v>
      </c>
      <c r="AI197" s="693"/>
      <c r="AJ197" s="693"/>
      <c r="AK197" s="693"/>
      <c r="AL197" s="719">
        <f t="shared" si="24"/>
        <v>0</v>
      </c>
      <c r="AM197" s="693"/>
      <c r="AN197" s="693"/>
      <c r="AO197" s="693"/>
      <c r="AP197" s="693"/>
      <c r="AQ197" s="693"/>
      <c r="AR197" s="693"/>
      <c r="AS197" s="694">
        <v>2.0</v>
      </c>
      <c r="AT197" s="693"/>
    </row>
    <row r="198" ht="15.75" customHeight="1">
      <c r="A198" s="691" t="s">
        <v>3054</v>
      </c>
      <c r="B198" s="782"/>
      <c r="C198" s="782"/>
      <c r="D198" s="384"/>
      <c r="E198" s="782"/>
      <c r="F198" s="681"/>
      <c r="G198" s="681"/>
      <c r="H198" s="691">
        <v>0.0</v>
      </c>
      <c r="I198" s="691">
        <v>0.0</v>
      </c>
      <c r="J198" s="681"/>
      <c r="K198" s="681"/>
      <c r="L198" s="681"/>
      <c r="M198" s="681"/>
      <c r="N198" s="681"/>
      <c r="O198" s="681"/>
      <c r="P198" s="681"/>
      <c r="Q198" s="681"/>
      <c r="R198" s="681"/>
      <c r="S198" s="681"/>
      <c r="T198" s="681"/>
      <c r="U198" s="681"/>
      <c r="V198" s="681"/>
      <c r="W198" s="681"/>
      <c r="X198" s="681"/>
      <c r="Y198" s="681"/>
      <c r="Z198" s="681"/>
      <c r="AA198" s="681"/>
      <c r="AB198" s="681"/>
      <c r="AC198" s="681"/>
      <c r="AD198" s="681"/>
      <c r="AE198" s="681"/>
      <c r="AF198" s="681">
        <f t="shared" si="71"/>
        <v>0</v>
      </c>
      <c r="AG198" s="692">
        <v>3.0</v>
      </c>
      <c r="AH198" s="693">
        <f t="shared" si="73"/>
        <v>0</v>
      </c>
      <c r="AI198" s="693"/>
      <c r="AJ198" s="693"/>
      <c r="AK198" s="693"/>
      <c r="AL198" s="719">
        <f t="shared" si="24"/>
        <v>0</v>
      </c>
      <c r="AM198" s="693"/>
      <c r="AN198" s="693"/>
      <c r="AO198" s="693"/>
      <c r="AP198" s="693"/>
      <c r="AQ198" s="693"/>
      <c r="AR198" s="693"/>
      <c r="AS198" s="694">
        <v>3.0</v>
      </c>
      <c r="AT198" s="693"/>
    </row>
    <row r="199" ht="15.75" customHeight="1">
      <c r="A199" s="681" t="s">
        <v>2920</v>
      </c>
      <c r="B199" s="782"/>
      <c r="C199" s="783"/>
      <c r="D199" s="384"/>
      <c r="E199" s="782"/>
      <c r="F199" s="681"/>
      <c r="G199" s="681"/>
      <c r="H199" s="691">
        <v>0.0</v>
      </c>
      <c r="I199" s="691">
        <v>0.0</v>
      </c>
      <c r="J199" s="681"/>
      <c r="K199" s="681"/>
      <c r="L199" s="681"/>
      <c r="M199" s="681"/>
      <c r="N199" s="681"/>
      <c r="O199" s="681"/>
      <c r="P199" s="681"/>
      <c r="Q199" s="681"/>
      <c r="R199" s="681"/>
      <c r="S199" s="681"/>
      <c r="T199" s="681"/>
      <c r="U199" s="681"/>
      <c r="V199" s="681"/>
      <c r="W199" s="681"/>
      <c r="X199" s="681"/>
      <c r="Y199" s="681"/>
      <c r="Z199" s="681"/>
      <c r="AA199" s="681"/>
      <c r="AB199" s="681"/>
      <c r="AC199" s="681"/>
      <c r="AD199" s="681"/>
      <c r="AE199" s="681"/>
      <c r="AF199" s="681">
        <f t="shared" si="71"/>
        <v>0</v>
      </c>
      <c r="AG199" s="692">
        <v>12.0</v>
      </c>
      <c r="AH199" s="693">
        <f t="shared" si="73"/>
        <v>0</v>
      </c>
      <c r="AI199" s="693"/>
      <c r="AJ199" s="693"/>
      <c r="AK199" s="693"/>
      <c r="AL199" s="719">
        <f t="shared" si="24"/>
        <v>0</v>
      </c>
      <c r="AM199" s="693"/>
      <c r="AN199" s="693"/>
      <c r="AO199" s="693"/>
      <c r="AP199" s="693"/>
      <c r="AQ199" s="693"/>
      <c r="AR199" s="693"/>
      <c r="AS199" s="694"/>
      <c r="AT199" s="693"/>
    </row>
    <row r="200" ht="15.75" customHeight="1">
      <c r="A200" s="691" t="s">
        <v>3482</v>
      </c>
      <c r="B200" s="782"/>
      <c r="C200" s="782"/>
      <c r="D200" s="384"/>
      <c r="E200" s="782"/>
      <c r="F200" s="681"/>
      <c r="G200" s="681"/>
      <c r="H200" s="691">
        <v>1.0</v>
      </c>
      <c r="I200" s="691">
        <v>0.0</v>
      </c>
      <c r="J200" s="681"/>
      <c r="K200" s="681"/>
      <c r="L200" s="681"/>
      <c r="M200" s="681"/>
      <c r="N200" s="681"/>
      <c r="O200" s="681"/>
      <c r="P200" s="681"/>
      <c r="Q200" s="681"/>
      <c r="R200" s="681"/>
      <c r="S200" s="681"/>
      <c r="T200" s="681"/>
      <c r="U200" s="681"/>
      <c r="V200" s="681"/>
      <c r="W200" s="681"/>
      <c r="X200" s="681"/>
      <c r="Y200" s="681"/>
      <c r="Z200" s="681"/>
      <c r="AA200" s="681"/>
      <c r="AB200" s="681"/>
      <c r="AC200" s="681"/>
      <c r="AD200" s="681"/>
      <c r="AE200" s="681"/>
      <c r="AF200" s="681">
        <f t="shared" si="71"/>
        <v>1</v>
      </c>
      <c r="AG200" s="692">
        <v>5.0</v>
      </c>
      <c r="AH200" s="693">
        <f t="shared" si="73"/>
        <v>0.2</v>
      </c>
      <c r="AI200" s="693"/>
      <c r="AJ200" s="693"/>
      <c r="AK200" s="693"/>
      <c r="AL200" s="719">
        <f t="shared" si="24"/>
        <v>1</v>
      </c>
      <c r="AM200" s="693"/>
      <c r="AN200" s="693"/>
      <c r="AO200" s="693"/>
      <c r="AP200" s="693"/>
      <c r="AQ200" s="693"/>
      <c r="AR200" s="693"/>
      <c r="AS200" s="694"/>
      <c r="AT200" s="693"/>
    </row>
    <row r="201" ht="15.75" customHeight="1">
      <c r="A201" s="668" t="s">
        <v>2934</v>
      </c>
      <c r="B201" s="672">
        <f t="shared" ref="B201:AF201" si="74">SUM(B193:B200)</f>
        <v>0</v>
      </c>
      <c r="C201" s="672">
        <f t="shared" si="74"/>
        <v>0</v>
      </c>
      <c r="D201" s="672">
        <f t="shared" si="74"/>
        <v>0</v>
      </c>
      <c r="E201" s="672">
        <f t="shared" si="74"/>
        <v>0</v>
      </c>
      <c r="F201" s="672">
        <f t="shared" si="74"/>
        <v>0</v>
      </c>
      <c r="G201" s="672">
        <f t="shared" si="74"/>
        <v>0</v>
      </c>
      <c r="H201" s="672">
        <f t="shared" si="74"/>
        <v>1</v>
      </c>
      <c r="I201" s="672">
        <f t="shared" si="74"/>
        <v>0</v>
      </c>
      <c r="J201" s="672">
        <f t="shared" si="74"/>
        <v>0</v>
      </c>
      <c r="K201" s="672">
        <f t="shared" si="74"/>
        <v>0</v>
      </c>
      <c r="L201" s="672">
        <f t="shared" si="74"/>
        <v>0</v>
      </c>
      <c r="M201" s="672">
        <f t="shared" si="74"/>
        <v>0</v>
      </c>
      <c r="N201" s="672">
        <f t="shared" si="74"/>
        <v>0</v>
      </c>
      <c r="O201" s="672">
        <f t="shared" si="74"/>
        <v>0</v>
      </c>
      <c r="P201" s="672">
        <f t="shared" si="74"/>
        <v>0</v>
      </c>
      <c r="Q201" s="672">
        <f t="shared" si="74"/>
        <v>0</v>
      </c>
      <c r="R201" s="672">
        <f t="shared" si="74"/>
        <v>0</v>
      </c>
      <c r="S201" s="672">
        <f t="shared" si="74"/>
        <v>0</v>
      </c>
      <c r="T201" s="672">
        <f t="shared" si="74"/>
        <v>0</v>
      </c>
      <c r="U201" s="672">
        <f t="shared" si="74"/>
        <v>0</v>
      </c>
      <c r="V201" s="672">
        <f t="shared" si="74"/>
        <v>0</v>
      </c>
      <c r="W201" s="672">
        <f t="shared" si="74"/>
        <v>0</v>
      </c>
      <c r="X201" s="672">
        <f t="shared" si="74"/>
        <v>0</v>
      </c>
      <c r="Y201" s="672">
        <f t="shared" si="74"/>
        <v>0</v>
      </c>
      <c r="Z201" s="672">
        <f t="shared" si="74"/>
        <v>0</v>
      </c>
      <c r="AA201" s="672">
        <f t="shared" si="74"/>
        <v>0</v>
      </c>
      <c r="AB201" s="672">
        <f t="shared" si="74"/>
        <v>0</v>
      </c>
      <c r="AC201" s="672">
        <f t="shared" si="74"/>
        <v>0</v>
      </c>
      <c r="AD201" s="672">
        <f t="shared" si="74"/>
        <v>0</v>
      </c>
      <c r="AE201" s="672">
        <f t="shared" si="74"/>
        <v>0</v>
      </c>
      <c r="AF201" s="672">
        <f t="shared" si="74"/>
        <v>1</v>
      </c>
      <c r="AG201" s="677">
        <v>60.0</v>
      </c>
      <c r="AH201" s="729"/>
      <c r="AI201" s="729"/>
      <c r="AJ201" s="730"/>
      <c r="AK201" s="773"/>
      <c r="AL201" s="719">
        <f t="shared" si="24"/>
        <v>1</v>
      </c>
      <c r="AM201" s="773"/>
      <c r="AN201" s="755"/>
      <c r="AO201" s="755"/>
      <c r="AP201" s="755"/>
      <c r="AQ201" s="755"/>
      <c r="AR201" s="755"/>
      <c r="AS201" s="675" t="s">
        <v>3461</v>
      </c>
      <c r="AT201" s="671"/>
    </row>
    <row r="202" ht="15.75" customHeight="1">
      <c r="A202" s="784"/>
      <c r="B202" s="697" t="s">
        <v>3510</v>
      </c>
      <c r="C202" s="670"/>
      <c r="D202" s="670"/>
      <c r="E202" s="670"/>
      <c r="F202" s="670"/>
      <c r="G202" s="670"/>
      <c r="H202" s="670"/>
      <c r="I202" s="670"/>
      <c r="J202" s="670"/>
      <c r="K202" s="670"/>
      <c r="L202" s="670"/>
      <c r="M202" s="670"/>
      <c r="N202" s="670"/>
      <c r="O202" s="670"/>
      <c r="P202" s="670"/>
      <c r="Q202" s="670"/>
      <c r="R202" s="670"/>
      <c r="S202" s="670"/>
      <c r="T202" s="670"/>
      <c r="U202" s="670"/>
      <c r="V202" s="670"/>
      <c r="W202" s="670"/>
      <c r="X202" s="670"/>
      <c r="Y202" s="670"/>
      <c r="Z202" s="670"/>
      <c r="AA202" s="670"/>
      <c r="AB202" s="670"/>
      <c r="AC202" s="670"/>
      <c r="AD202" s="670"/>
      <c r="AE202" s="671"/>
      <c r="AF202" s="771"/>
      <c r="AG202" s="765"/>
      <c r="AH202" s="766"/>
      <c r="AI202" s="767"/>
      <c r="AJ202" s="767"/>
      <c r="AK202" s="677"/>
      <c r="AL202" s="719" t="str">
        <f t="shared" si="24"/>
        <v/>
      </c>
      <c r="AM202" s="677"/>
      <c r="AN202" s="677"/>
      <c r="AO202" s="677"/>
      <c r="AP202" s="677"/>
      <c r="AQ202" s="677"/>
      <c r="AR202" s="677"/>
      <c r="AS202" s="679"/>
      <c r="AT202" s="680"/>
    </row>
    <row r="203" ht="15.75" customHeight="1">
      <c r="A203" s="784" t="s">
        <v>2960</v>
      </c>
      <c r="B203" s="672"/>
      <c r="C203" s="672"/>
      <c r="D203" s="677" t="s">
        <v>3511</v>
      </c>
      <c r="E203" s="672">
        <v>4.0</v>
      </c>
      <c r="F203" s="672">
        <v>5.0</v>
      </c>
      <c r="G203" s="672">
        <v>6.0</v>
      </c>
      <c r="H203" s="677" t="s">
        <v>3498</v>
      </c>
      <c r="I203" s="672">
        <v>8.0</v>
      </c>
      <c r="J203" s="672">
        <v>9.0</v>
      </c>
      <c r="K203" s="672">
        <v>10.0</v>
      </c>
      <c r="L203" s="672">
        <v>11.0</v>
      </c>
      <c r="M203" s="672">
        <v>12.0</v>
      </c>
      <c r="N203" s="672">
        <v>13.0</v>
      </c>
      <c r="O203" s="672">
        <v>14.0</v>
      </c>
      <c r="P203" s="672">
        <v>15.0</v>
      </c>
      <c r="Q203" s="672">
        <v>16.0</v>
      </c>
      <c r="R203" s="672">
        <v>17.0</v>
      </c>
      <c r="S203" s="672">
        <v>18.0</v>
      </c>
      <c r="T203" s="672">
        <v>19.0</v>
      </c>
      <c r="U203" s="672">
        <v>20.0</v>
      </c>
      <c r="V203" s="672">
        <v>21.0</v>
      </c>
      <c r="W203" s="672">
        <v>22.0</v>
      </c>
      <c r="X203" s="672">
        <v>23.0</v>
      </c>
      <c r="Y203" s="672">
        <v>24.0</v>
      </c>
      <c r="Z203" s="672">
        <v>25.0</v>
      </c>
      <c r="AA203" s="672">
        <v>26.0</v>
      </c>
      <c r="AB203" s="672">
        <v>27.0</v>
      </c>
      <c r="AC203" s="672">
        <v>28.0</v>
      </c>
      <c r="AD203" s="672">
        <v>29.0</v>
      </c>
      <c r="AE203" s="672">
        <v>30.0</v>
      </c>
      <c r="AF203" s="771" t="s">
        <v>3512</v>
      </c>
      <c r="AG203" s="765" t="s">
        <v>3494</v>
      </c>
      <c r="AH203" s="766" t="s">
        <v>3500</v>
      </c>
      <c r="AI203" s="767"/>
      <c r="AJ203" s="767"/>
      <c r="AK203" s="677"/>
      <c r="AL203" s="719" t="str">
        <f t="shared" si="24"/>
        <v>TỔNG
L5B</v>
      </c>
      <c r="AM203" s="677"/>
      <c r="AN203" s="677"/>
      <c r="AO203" s="677"/>
      <c r="AP203" s="677"/>
      <c r="AQ203" s="677"/>
      <c r="AR203" s="677"/>
      <c r="AS203" s="679" t="s">
        <v>3496</v>
      </c>
      <c r="AT203" s="680" t="s">
        <v>3472</v>
      </c>
    </row>
    <row r="204" ht="15.75" customHeight="1">
      <c r="A204" s="681" t="s">
        <v>3046</v>
      </c>
      <c r="B204" s="691"/>
      <c r="C204" s="691"/>
      <c r="D204" s="691"/>
      <c r="E204" s="681"/>
      <c r="F204" s="681"/>
      <c r="G204" s="681"/>
      <c r="H204" s="691">
        <v>1.0</v>
      </c>
      <c r="I204" s="691">
        <v>0.0</v>
      </c>
      <c r="J204" s="681"/>
      <c r="K204" s="681"/>
      <c r="L204" s="681"/>
      <c r="M204" s="681"/>
      <c r="N204" s="681"/>
      <c r="O204" s="681"/>
      <c r="P204" s="681"/>
      <c r="Q204" s="681"/>
      <c r="R204" s="681"/>
      <c r="S204" s="681"/>
      <c r="T204" s="681"/>
      <c r="U204" s="681"/>
      <c r="V204" s="681"/>
      <c r="W204" s="681"/>
      <c r="X204" s="681"/>
      <c r="Y204" s="681"/>
      <c r="Z204" s="681"/>
      <c r="AA204" s="681"/>
      <c r="AB204" s="681"/>
      <c r="AC204" s="681"/>
      <c r="AD204" s="681"/>
      <c r="AE204" s="681"/>
      <c r="AF204" s="681">
        <f t="shared" ref="AF204:AF211" si="75">SUM(D204:AE204)</f>
        <v>1</v>
      </c>
      <c r="AG204" s="692">
        <v>0.0</v>
      </c>
      <c r="AH204" s="693"/>
      <c r="AI204" s="693"/>
      <c r="AJ204" s="693"/>
      <c r="AK204" s="693"/>
      <c r="AL204" s="719">
        <f t="shared" si="24"/>
        <v>1</v>
      </c>
      <c r="AM204" s="693"/>
      <c r="AN204" s="693"/>
      <c r="AO204" s="693"/>
      <c r="AP204" s="693"/>
      <c r="AQ204" s="693"/>
      <c r="AR204" s="693"/>
      <c r="AS204" s="694">
        <v>22.0</v>
      </c>
      <c r="AT204" s="693"/>
    </row>
    <row r="205" ht="15.75" customHeight="1">
      <c r="A205" s="681" t="s">
        <v>2624</v>
      </c>
      <c r="B205" s="691"/>
      <c r="C205" s="691"/>
      <c r="D205" s="691"/>
      <c r="E205" s="681"/>
      <c r="F205" s="681"/>
      <c r="G205" s="681"/>
      <c r="H205" s="691">
        <v>1.0</v>
      </c>
      <c r="I205" s="691">
        <v>0.0</v>
      </c>
      <c r="J205" s="681"/>
      <c r="K205" s="681"/>
      <c r="L205" s="681"/>
      <c r="M205" s="681"/>
      <c r="N205" s="681"/>
      <c r="O205" s="681"/>
      <c r="P205" s="681"/>
      <c r="Q205" s="681"/>
      <c r="R205" s="681"/>
      <c r="S205" s="681"/>
      <c r="T205" s="681"/>
      <c r="U205" s="681"/>
      <c r="V205" s="681"/>
      <c r="W205" s="681"/>
      <c r="X205" s="681"/>
      <c r="Y205" s="681"/>
      <c r="Z205" s="681"/>
      <c r="AA205" s="681"/>
      <c r="AB205" s="681"/>
      <c r="AC205" s="681"/>
      <c r="AD205" s="681"/>
      <c r="AE205" s="681"/>
      <c r="AF205" s="681">
        <f t="shared" si="75"/>
        <v>1</v>
      </c>
      <c r="AG205" s="692">
        <v>0.0</v>
      </c>
      <c r="AH205" s="693"/>
      <c r="AI205" s="693"/>
      <c r="AJ205" s="693"/>
      <c r="AK205" s="693"/>
      <c r="AL205" s="719">
        <f t="shared" si="24"/>
        <v>1</v>
      </c>
      <c r="AM205" s="693"/>
      <c r="AN205" s="693"/>
      <c r="AO205" s="693"/>
      <c r="AP205" s="693"/>
      <c r="AQ205" s="693"/>
      <c r="AR205" s="693"/>
      <c r="AS205" s="694">
        <v>0.0</v>
      </c>
      <c r="AT205" s="693"/>
    </row>
    <row r="206" ht="15.75" customHeight="1">
      <c r="A206" s="691" t="s">
        <v>2947</v>
      </c>
      <c r="B206" s="691"/>
      <c r="C206" s="691"/>
      <c r="D206" s="691"/>
      <c r="E206" s="681"/>
      <c r="F206" s="681"/>
      <c r="G206" s="681"/>
      <c r="H206" s="691">
        <v>3.0</v>
      </c>
      <c r="I206" s="691">
        <v>0.0</v>
      </c>
      <c r="J206" s="681"/>
      <c r="K206" s="681"/>
      <c r="L206" s="681"/>
      <c r="M206" s="681"/>
      <c r="N206" s="681"/>
      <c r="O206" s="681"/>
      <c r="P206" s="681"/>
      <c r="Q206" s="681"/>
      <c r="R206" s="681"/>
      <c r="S206" s="681"/>
      <c r="T206" s="681"/>
      <c r="U206" s="681"/>
      <c r="V206" s="681"/>
      <c r="W206" s="681"/>
      <c r="X206" s="681"/>
      <c r="Y206" s="681"/>
      <c r="Z206" s="681"/>
      <c r="AA206" s="681"/>
      <c r="AB206" s="681"/>
      <c r="AC206" s="681"/>
      <c r="AD206" s="681"/>
      <c r="AE206" s="681"/>
      <c r="AF206" s="681">
        <f t="shared" si="75"/>
        <v>3</v>
      </c>
      <c r="AG206" s="769">
        <v>0.0</v>
      </c>
      <c r="AH206" s="693"/>
      <c r="AI206" s="693"/>
      <c r="AJ206" s="693"/>
      <c r="AK206" s="693"/>
      <c r="AL206" s="719">
        <f t="shared" si="24"/>
        <v>3</v>
      </c>
      <c r="AM206" s="693"/>
      <c r="AN206" s="693"/>
      <c r="AO206" s="693"/>
      <c r="AP206" s="693"/>
      <c r="AQ206" s="693"/>
      <c r="AR206" s="693"/>
      <c r="AS206" s="694">
        <v>0.0</v>
      </c>
      <c r="AT206" s="693"/>
    </row>
    <row r="207" ht="15.75" customHeight="1">
      <c r="A207" s="681" t="s">
        <v>2622</v>
      </c>
      <c r="B207" s="691"/>
      <c r="C207" s="691"/>
      <c r="D207" s="691"/>
      <c r="E207" s="681"/>
      <c r="F207" s="681"/>
      <c r="G207" s="681"/>
      <c r="H207" s="691">
        <v>7.0</v>
      </c>
      <c r="I207" s="691">
        <v>0.0</v>
      </c>
      <c r="J207" s="681"/>
      <c r="K207" s="681"/>
      <c r="L207" s="681"/>
      <c r="M207" s="681"/>
      <c r="N207" s="681"/>
      <c r="O207" s="681"/>
      <c r="P207" s="681"/>
      <c r="Q207" s="681"/>
      <c r="R207" s="681"/>
      <c r="S207" s="681"/>
      <c r="T207" s="681"/>
      <c r="U207" s="681"/>
      <c r="V207" s="681"/>
      <c r="W207" s="681"/>
      <c r="X207" s="681"/>
      <c r="Y207" s="681"/>
      <c r="Z207" s="681"/>
      <c r="AA207" s="681"/>
      <c r="AB207" s="681"/>
      <c r="AC207" s="681"/>
      <c r="AD207" s="681"/>
      <c r="AE207" s="681"/>
      <c r="AF207" s="681">
        <f t="shared" si="75"/>
        <v>7</v>
      </c>
      <c r="AG207" s="769">
        <v>0.0</v>
      </c>
      <c r="AH207" s="693"/>
      <c r="AI207" s="693"/>
      <c r="AJ207" s="693"/>
      <c r="AK207" s="693"/>
      <c r="AL207" s="719">
        <f t="shared" si="24"/>
        <v>7</v>
      </c>
      <c r="AM207" s="693"/>
      <c r="AN207" s="693"/>
      <c r="AO207" s="693"/>
      <c r="AP207" s="693"/>
      <c r="AQ207" s="693"/>
      <c r="AR207" s="693"/>
      <c r="AS207" s="694">
        <v>0.0</v>
      </c>
      <c r="AT207" s="693"/>
    </row>
    <row r="208" ht="15.75" customHeight="1">
      <c r="A208" s="681" t="s">
        <v>2627</v>
      </c>
      <c r="B208" s="691"/>
      <c r="C208" s="691"/>
      <c r="D208" s="691"/>
      <c r="E208" s="681"/>
      <c r="F208" s="681"/>
      <c r="G208" s="681"/>
      <c r="H208" s="691">
        <v>2.0</v>
      </c>
      <c r="I208" s="691">
        <v>0.0</v>
      </c>
      <c r="J208" s="681"/>
      <c r="K208" s="681"/>
      <c r="L208" s="681"/>
      <c r="M208" s="681"/>
      <c r="N208" s="681"/>
      <c r="O208" s="681"/>
      <c r="P208" s="681"/>
      <c r="Q208" s="681"/>
      <c r="R208" s="681"/>
      <c r="S208" s="681"/>
      <c r="T208" s="681"/>
      <c r="U208" s="681"/>
      <c r="V208" s="681"/>
      <c r="W208" s="681"/>
      <c r="X208" s="681"/>
      <c r="Y208" s="681"/>
      <c r="Z208" s="681"/>
      <c r="AA208" s="681"/>
      <c r="AB208" s="681"/>
      <c r="AC208" s="681"/>
      <c r="AD208" s="681"/>
      <c r="AE208" s="681"/>
      <c r="AF208" s="681">
        <f t="shared" si="75"/>
        <v>2</v>
      </c>
      <c r="AG208" s="692">
        <v>0.0</v>
      </c>
      <c r="AH208" s="693"/>
      <c r="AI208" s="693"/>
      <c r="AJ208" s="693"/>
      <c r="AK208" s="693"/>
      <c r="AL208" s="719">
        <f t="shared" si="24"/>
        <v>2</v>
      </c>
      <c r="AM208" s="693"/>
      <c r="AN208" s="693"/>
      <c r="AO208" s="693"/>
      <c r="AP208" s="693"/>
      <c r="AQ208" s="693"/>
      <c r="AR208" s="693"/>
      <c r="AS208" s="694">
        <v>11.0</v>
      </c>
      <c r="AT208" s="693"/>
    </row>
    <row r="209" ht="15.75" customHeight="1">
      <c r="A209" s="691" t="s">
        <v>3054</v>
      </c>
      <c r="B209" s="691"/>
      <c r="C209" s="691"/>
      <c r="D209" s="691"/>
      <c r="E209" s="681"/>
      <c r="F209" s="681"/>
      <c r="G209" s="681"/>
      <c r="H209" s="691">
        <v>1.0</v>
      </c>
      <c r="I209" s="691">
        <v>0.0</v>
      </c>
      <c r="J209" s="681"/>
      <c r="K209" s="681"/>
      <c r="L209" s="681"/>
      <c r="M209" s="681"/>
      <c r="N209" s="681"/>
      <c r="O209" s="681"/>
      <c r="P209" s="681"/>
      <c r="Q209" s="681"/>
      <c r="R209" s="681"/>
      <c r="S209" s="681"/>
      <c r="T209" s="681"/>
      <c r="U209" s="681"/>
      <c r="V209" s="681"/>
      <c r="W209" s="681"/>
      <c r="X209" s="681"/>
      <c r="Y209" s="681"/>
      <c r="Z209" s="681"/>
      <c r="AA209" s="681"/>
      <c r="AB209" s="681"/>
      <c r="AC209" s="681"/>
      <c r="AD209" s="681"/>
      <c r="AE209" s="681"/>
      <c r="AF209" s="681">
        <f t="shared" si="75"/>
        <v>1</v>
      </c>
      <c r="AG209" s="769">
        <v>0.0</v>
      </c>
      <c r="AH209" s="693"/>
      <c r="AI209" s="693"/>
      <c r="AJ209" s="693"/>
      <c r="AK209" s="693"/>
      <c r="AL209" s="719">
        <f t="shared" si="24"/>
        <v>1</v>
      </c>
      <c r="AM209" s="693"/>
      <c r="AN209" s="693"/>
      <c r="AO209" s="693"/>
      <c r="AP209" s="693"/>
      <c r="AQ209" s="693"/>
      <c r="AR209" s="693"/>
      <c r="AS209" s="694">
        <v>0.0</v>
      </c>
      <c r="AT209" s="693"/>
    </row>
    <row r="210" ht="15.75" customHeight="1">
      <c r="A210" s="681" t="s">
        <v>2920</v>
      </c>
      <c r="B210" s="681"/>
      <c r="C210" s="681"/>
      <c r="D210" s="691"/>
      <c r="E210" s="681"/>
      <c r="F210" s="681"/>
      <c r="G210" s="681"/>
      <c r="H210" s="691">
        <v>1.0</v>
      </c>
      <c r="I210" s="691">
        <v>0.0</v>
      </c>
      <c r="J210" s="681"/>
      <c r="K210" s="681"/>
      <c r="L210" s="681"/>
      <c r="M210" s="681"/>
      <c r="N210" s="681"/>
      <c r="O210" s="681"/>
      <c r="P210" s="681"/>
      <c r="Q210" s="681"/>
      <c r="R210" s="681"/>
      <c r="S210" s="681"/>
      <c r="T210" s="681"/>
      <c r="U210" s="681"/>
      <c r="V210" s="681"/>
      <c r="W210" s="681"/>
      <c r="X210" s="681"/>
      <c r="Y210" s="681"/>
      <c r="Z210" s="681"/>
      <c r="AA210" s="681"/>
      <c r="AB210" s="681"/>
      <c r="AC210" s="681"/>
      <c r="AD210" s="681"/>
      <c r="AE210" s="681"/>
      <c r="AF210" s="681">
        <f t="shared" si="75"/>
        <v>1</v>
      </c>
      <c r="AG210" s="682"/>
      <c r="AH210" s="693"/>
      <c r="AI210" s="693"/>
      <c r="AJ210" s="693"/>
      <c r="AK210" s="693"/>
      <c r="AL210" s="719">
        <f t="shared" si="24"/>
        <v>1</v>
      </c>
      <c r="AM210" s="693"/>
      <c r="AN210" s="693"/>
      <c r="AO210" s="693"/>
      <c r="AP210" s="693"/>
      <c r="AQ210" s="693"/>
      <c r="AR210" s="693"/>
      <c r="AS210" s="694"/>
      <c r="AT210" s="693"/>
    </row>
    <row r="211" ht="15.75" customHeight="1">
      <c r="A211" s="692" t="s">
        <v>3486</v>
      </c>
      <c r="B211" s="682"/>
      <c r="C211" s="682"/>
      <c r="D211" s="691"/>
      <c r="E211" s="682"/>
      <c r="F211" s="682"/>
      <c r="G211" s="682"/>
      <c r="H211" s="692">
        <v>4.0</v>
      </c>
      <c r="I211" s="691">
        <v>0.0</v>
      </c>
      <c r="J211" s="682"/>
      <c r="K211" s="682"/>
      <c r="L211" s="682"/>
      <c r="M211" s="682"/>
      <c r="N211" s="682"/>
      <c r="O211" s="682"/>
      <c r="P211" s="682"/>
      <c r="Q211" s="682"/>
      <c r="R211" s="682"/>
      <c r="S211" s="682"/>
      <c r="T211" s="682"/>
      <c r="U211" s="682"/>
      <c r="V211" s="682"/>
      <c r="W211" s="682"/>
      <c r="X211" s="682"/>
      <c r="Y211" s="682"/>
      <c r="Z211" s="682"/>
      <c r="AA211" s="682"/>
      <c r="AB211" s="682"/>
      <c r="AC211" s="682"/>
      <c r="AD211" s="682"/>
      <c r="AE211" s="682"/>
      <c r="AF211" s="681">
        <f t="shared" si="75"/>
        <v>4</v>
      </c>
      <c r="AG211" s="682"/>
      <c r="AH211" s="693"/>
      <c r="AI211" s="693"/>
      <c r="AJ211" s="693"/>
      <c r="AK211" s="693"/>
      <c r="AL211" s="719">
        <f t="shared" si="24"/>
        <v>4</v>
      </c>
      <c r="AM211" s="693"/>
      <c r="AN211" s="693"/>
      <c r="AO211" s="693"/>
      <c r="AP211" s="693"/>
      <c r="AQ211" s="693"/>
      <c r="AR211" s="693"/>
      <c r="AS211" s="694"/>
      <c r="AT211" s="693"/>
    </row>
    <row r="212" ht="15.75" customHeight="1">
      <c r="A212" s="668" t="s">
        <v>2934</v>
      </c>
      <c r="B212" s="685">
        <f t="shared" ref="B212:AH212" si="76">SUM(B204:B211)</f>
        <v>0</v>
      </c>
      <c r="C212" s="685">
        <f t="shared" si="76"/>
        <v>0</v>
      </c>
      <c r="D212" s="685">
        <f t="shared" si="76"/>
        <v>0</v>
      </c>
      <c r="E212" s="685">
        <f t="shared" si="76"/>
        <v>0</v>
      </c>
      <c r="F212" s="685">
        <f t="shared" si="76"/>
        <v>0</v>
      </c>
      <c r="G212" s="685">
        <f t="shared" si="76"/>
        <v>0</v>
      </c>
      <c r="H212" s="685">
        <f t="shared" si="76"/>
        <v>20</v>
      </c>
      <c r="I212" s="685">
        <f t="shared" si="76"/>
        <v>0</v>
      </c>
      <c r="J212" s="685">
        <f t="shared" si="76"/>
        <v>0</v>
      </c>
      <c r="K212" s="685">
        <f t="shared" si="76"/>
        <v>0</v>
      </c>
      <c r="L212" s="685">
        <f t="shared" si="76"/>
        <v>0</v>
      </c>
      <c r="M212" s="685">
        <f t="shared" si="76"/>
        <v>0</v>
      </c>
      <c r="N212" s="685">
        <f t="shared" si="76"/>
        <v>0</v>
      </c>
      <c r="O212" s="685">
        <f t="shared" si="76"/>
        <v>0</v>
      </c>
      <c r="P212" s="685">
        <f t="shared" si="76"/>
        <v>0</v>
      </c>
      <c r="Q212" s="685">
        <f t="shared" si="76"/>
        <v>0</v>
      </c>
      <c r="R212" s="685">
        <f t="shared" si="76"/>
        <v>0</v>
      </c>
      <c r="S212" s="685">
        <f t="shared" si="76"/>
        <v>0</v>
      </c>
      <c r="T212" s="685">
        <f t="shared" si="76"/>
        <v>0</v>
      </c>
      <c r="U212" s="685">
        <f t="shared" si="76"/>
        <v>0</v>
      </c>
      <c r="V212" s="685">
        <f t="shared" si="76"/>
        <v>0</v>
      </c>
      <c r="W212" s="685">
        <f t="shared" si="76"/>
        <v>0</v>
      </c>
      <c r="X212" s="685">
        <f t="shared" si="76"/>
        <v>0</v>
      </c>
      <c r="Y212" s="685">
        <f t="shared" si="76"/>
        <v>0</v>
      </c>
      <c r="Z212" s="685">
        <f t="shared" si="76"/>
        <v>0</v>
      </c>
      <c r="AA212" s="685">
        <f t="shared" si="76"/>
        <v>0</v>
      </c>
      <c r="AB212" s="685">
        <f t="shared" si="76"/>
        <v>0</v>
      </c>
      <c r="AC212" s="685">
        <f t="shared" si="76"/>
        <v>0</v>
      </c>
      <c r="AD212" s="685">
        <f t="shared" si="76"/>
        <v>0</v>
      </c>
      <c r="AE212" s="685">
        <f t="shared" si="76"/>
        <v>0</v>
      </c>
      <c r="AF212" s="685">
        <f t="shared" si="76"/>
        <v>20</v>
      </c>
      <c r="AG212" s="685">
        <f t="shared" si="76"/>
        <v>0</v>
      </c>
      <c r="AH212" s="785">
        <f t="shared" si="76"/>
        <v>0</v>
      </c>
      <c r="AI212" s="685"/>
      <c r="AJ212" s="685"/>
      <c r="AK212" s="685"/>
      <c r="AL212" s="719">
        <f t="shared" si="24"/>
        <v>20</v>
      </c>
      <c r="AM212" s="685"/>
      <c r="AN212" s="685"/>
      <c r="AO212" s="685"/>
      <c r="AP212" s="685"/>
      <c r="AQ212" s="685"/>
      <c r="AR212" s="685"/>
      <c r="AS212" s="711">
        <f>SUM(AS204:AS211)</f>
        <v>33</v>
      </c>
    </row>
    <row r="213" ht="15.75" customHeight="1">
      <c r="A213" s="668"/>
      <c r="B213" s="697" t="s">
        <v>3513</v>
      </c>
      <c r="C213" s="670"/>
      <c r="D213" s="670"/>
      <c r="E213" s="670"/>
      <c r="F213" s="670"/>
      <c r="G213" s="670"/>
      <c r="H213" s="670"/>
      <c r="I213" s="670"/>
      <c r="J213" s="670"/>
      <c r="K213" s="670"/>
      <c r="L213" s="670"/>
      <c r="M213" s="670"/>
      <c r="N213" s="670"/>
      <c r="O213" s="670"/>
      <c r="P213" s="670"/>
      <c r="Q213" s="670"/>
      <c r="R213" s="670"/>
      <c r="S213" s="670"/>
      <c r="T213" s="670"/>
      <c r="U213" s="670"/>
      <c r="V213" s="670"/>
      <c r="W213" s="670"/>
      <c r="X213" s="670"/>
      <c r="Y213" s="670"/>
      <c r="Z213" s="670"/>
      <c r="AA213" s="670"/>
      <c r="AB213" s="670"/>
      <c r="AC213" s="670"/>
      <c r="AD213" s="670"/>
      <c r="AE213" s="671"/>
      <c r="AF213" s="685"/>
      <c r="AG213" s="673" t="s">
        <v>3460</v>
      </c>
      <c r="AH213" s="671"/>
      <c r="AI213" s="729"/>
      <c r="AJ213" s="730"/>
      <c r="AK213" s="773"/>
      <c r="AL213" s="719" t="str">
        <f t="shared" si="24"/>
        <v/>
      </c>
      <c r="AM213" s="773"/>
      <c r="AN213" s="755"/>
      <c r="AO213" s="755"/>
      <c r="AP213" s="755"/>
      <c r="AQ213" s="755"/>
      <c r="AR213" s="755"/>
      <c r="AS213" s="675" t="s">
        <v>3461</v>
      </c>
      <c r="AT213" s="671"/>
    </row>
    <row r="214" ht="15.75" customHeight="1">
      <c r="A214" s="668" t="s">
        <v>3489</v>
      </c>
      <c r="B214" s="672">
        <v>1.0</v>
      </c>
      <c r="C214" s="672">
        <v>2.0</v>
      </c>
      <c r="D214" s="677">
        <v>3.0</v>
      </c>
      <c r="E214" s="672">
        <v>4.0</v>
      </c>
      <c r="F214" s="672">
        <v>5.0</v>
      </c>
      <c r="G214" s="672">
        <v>6.0</v>
      </c>
      <c r="H214" s="677" t="s">
        <v>3498</v>
      </c>
      <c r="I214" s="672">
        <v>8.0</v>
      </c>
      <c r="J214" s="672">
        <v>9.0</v>
      </c>
      <c r="K214" s="672">
        <v>10.0</v>
      </c>
      <c r="L214" s="672">
        <v>11.0</v>
      </c>
      <c r="M214" s="672">
        <v>12.0</v>
      </c>
      <c r="N214" s="672">
        <v>13.0</v>
      </c>
      <c r="O214" s="672">
        <v>14.0</v>
      </c>
      <c r="P214" s="672">
        <v>15.0</v>
      </c>
      <c r="Q214" s="672">
        <v>16.0</v>
      </c>
      <c r="R214" s="672">
        <v>17.0</v>
      </c>
      <c r="S214" s="672">
        <v>18.0</v>
      </c>
      <c r="T214" s="672">
        <v>19.0</v>
      </c>
      <c r="U214" s="672">
        <v>20.0</v>
      </c>
      <c r="V214" s="672">
        <v>21.0</v>
      </c>
      <c r="W214" s="672">
        <v>22.0</v>
      </c>
      <c r="X214" s="672">
        <v>23.0</v>
      </c>
      <c r="Y214" s="672">
        <v>24.0</v>
      </c>
      <c r="Z214" s="672">
        <v>25.0</v>
      </c>
      <c r="AA214" s="672">
        <v>26.0</v>
      </c>
      <c r="AB214" s="672">
        <v>27.0</v>
      </c>
      <c r="AC214" s="672">
        <v>28.0</v>
      </c>
      <c r="AD214" s="672">
        <v>29.0</v>
      </c>
      <c r="AE214" s="672">
        <v>30.0</v>
      </c>
      <c r="AF214" s="771" t="s">
        <v>3499</v>
      </c>
      <c r="AG214" s="765" t="s">
        <v>3494</v>
      </c>
      <c r="AH214" s="766" t="s">
        <v>3500</v>
      </c>
      <c r="AI214" s="767"/>
      <c r="AJ214" s="767"/>
      <c r="AK214" s="677"/>
      <c r="AL214" s="719" t="str">
        <f t="shared" si="24"/>
        <v>TỔNG
L8 đạt được</v>
      </c>
      <c r="AM214" s="677"/>
      <c r="AN214" s="677"/>
      <c r="AO214" s="677"/>
      <c r="AP214" s="677"/>
      <c r="AQ214" s="677"/>
      <c r="AR214" s="677"/>
      <c r="AS214" s="679" t="s">
        <v>3496</v>
      </c>
      <c r="AT214" s="680" t="s">
        <v>3472</v>
      </c>
    </row>
    <row r="215" ht="15.75" customHeight="1">
      <c r="A215" s="681" t="s">
        <v>3046</v>
      </c>
      <c r="B215" s="691"/>
      <c r="C215" s="691"/>
      <c r="D215" s="691"/>
      <c r="E215" s="681"/>
      <c r="F215" s="681"/>
      <c r="G215" s="681"/>
      <c r="H215" s="691">
        <v>0.0</v>
      </c>
      <c r="I215" s="691">
        <v>0.0</v>
      </c>
      <c r="J215" s="681"/>
      <c r="K215" s="681"/>
      <c r="L215" s="681"/>
      <c r="M215" s="681"/>
      <c r="N215" s="681"/>
      <c r="O215" s="681"/>
      <c r="P215" s="681"/>
      <c r="Q215" s="681"/>
      <c r="R215" s="681"/>
      <c r="S215" s="681"/>
      <c r="T215" s="681"/>
      <c r="U215" s="681"/>
      <c r="V215" s="681"/>
      <c r="W215" s="681"/>
      <c r="X215" s="681"/>
      <c r="Y215" s="681"/>
      <c r="Z215" s="681"/>
      <c r="AA215" s="681"/>
      <c r="AB215" s="681"/>
      <c r="AC215" s="681"/>
      <c r="AD215" s="681"/>
      <c r="AE215" s="681"/>
      <c r="AF215" s="681">
        <f t="shared" ref="AF215:AF216" si="77">SUM(B215:AE215)</f>
        <v>0</v>
      </c>
      <c r="AG215" s="692">
        <v>8.0</v>
      </c>
      <c r="AH215" s="693">
        <f t="shared" ref="AH215:AH216" si="78">AF215/AG215</f>
        <v>0</v>
      </c>
      <c r="AI215" s="693"/>
      <c r="AJ215" s="693"/>
      <c r="AK215" s="693"/>
      <c r="AL215" s="719">
        <f t="shared" si="24"/>
        <v>0</v>
      </c>
      <c r="AM215" s="693"/>
      <c r="AN215" s="693"/>
      <c r="AO215" s="693"/>
      <c r="AP215" s="693"/>
      <c r="AQ215" s="693"/>
      <c r="AR215" s="693"/>
      <c r="AS215" s="694">
        <v>13.0</v>
      </c>
      <c r="AT215" s="693"/>
    </row>
    <row r="216" ht="15.75" customHeight="1">
      <c r="A216" s="681" t="s">
        <v>2624</v>
      </c>
      <c r="B216" s="691"/>
      <c r="C216" s="691"/>
      <c r="D216" s="691"/>
      <c r="E216" s="681"/>
      <c r="F216" s="681"/>
      <c r="G216" s="681"/>
      <c r="H216" s="691">
        <v>0.0</v>
      </c>
      <c r="I216" s="691">
        <v>0.0</v>
      </c>
      <c r="J216" s="681"/>
      <c r="K216" s="681"/>
      <c r="L216" s="681"/>
      <c r="M216" s="681"/>
      <c r="N216" s="681"/>
      <c r="O216" s="681"/>
      <c r="P216" s="681"/>
      <c r="Q216" s="681"/>
      <c r="R216" s="681"/>
      <c r="S216" s="681"/>
      <c r="T216" s="681"/>
      <c r="U216" s="681"/>
      <c r="V216" s="681"/>
      <c r="W216" s="681"/>
      <c r="X216" s="681"/>
      <c r="Y216" s="681"/>
      <c r="Z216" s="681"/>
      <c r="AA216" s="681"/>
      <c r="AB216" s="681"/>
      <c r="AC216" s="681"/>
      <c r="AD216" s="681"/>
      <c r="AE216" s="681"/>
      <c r="AF216" s="681">
        <f t="shared" si="77"/>
        <v>0</v>
      </c>
      <c r="AG216" s="692">
        <v>7.0</v>
      </c>
      <c r="AH216" s="693">
        <f t="shared" si="78"/>
        <v>0</v>
      </c>
      <c r="AI216" s="693"/>
      <c r="AJ216" s="693"/>
      <c r="AK216" s="693"/>
      <c r="AL216" s="719">
        <f t="shared" si="24"/>
        <v>0</v>
      </c>
      <c r="AM216" s="693"/>
      <c r="AN216" s="693"/>
      <c r="AO216" s="693"/>
      <c r="AP216" s="693"/>
      <c r="AQ216" s="693"/>
      <c r="AR216" s="693"/>
      <c r="AS216" s="694">
        <v>10.0</v>
      </c>
      <c r="AT216" s="693"/>
    </row>
    <row r="217" ht="15.75" customHeight="1">
      <c r="A217" s="691" t="s">
        <v>3491</v>
      </c>
      <c r="B217" s="691"/>
      <c r="C217" s="691"/>
      <c r="D217" s="691"/>
      <c r="E217" s="681"/>
      <c r="F217" s="681"/>
      <c r="G217" s="681"/>
      <c r="H217" s="691">
        <v>0.0</v>
      </c>
      <c r="I217" s="691">
        <v>0.0</v>
      </c>
      <c r="J217" s="681"/>
      <c r="K217" s="681"/>
      <c r="L217" s="681"/>
      <c r="M217" s="681"/>
      <c r="N217" s="681"/>
      <c r="O217" s="681"/>
      <c r="P217" s="681"/>
      <c r="Q217" s="681"/>
      <c r="R217" s="681"/>
      <c r="S217" s="681"/>
      <c r="T217" s="681"/>
      <c r="U217" s="681"/>
      <c r="V217" s="681"/>
      <c r="W217" s="681"/>
      <c r="X217" s="681"/>
      <c r="Y217" s="681"/>
      <c r="Z217" s="681"/>
      <c r="AA217" s="681"/>
      <c r="AB217" s="681"/>
      <c r="AC217" s="681"/>
      <c r="AD217" s="681"/>
      <c r="AE217" s="681"/>
      <c r="AF217" s="681"/>
      <c r="AG217" s="769"/>
      <c r="AH217" s="693"/>
      <c r="AI217" s="693"/>
      <c r="AJ217" s="693"/>
      <c r="AK217" s="693"/>
      <c r="AL217" s="719" t="str">
        <f t="shared" si="24"/>
        <v/>
      </c>
      <c r="AM217" s="693"/>
      <c r="AN217" s="693"/>
      <c r="AO217" s="693"/>
      <c r="AP217" s="693"/>
      <c r="AQ217" s="693"/>
      <c r="AR217" s="693"/>
      <c r="AS217" s="694"/>
      <c r="AT217" s="693"/>
    </row>
    <row r="218" ht="15.75" customHeight="1">
      <c r="A218" s="681" t="s">
        <v>2622</v>
      </c>
      <c r="B218" s="691"/>
      <c r="C218" s="691"/>
      <c r="D218" s="691"/>
      <c r="E218" s="681"/>
      <c r="F218" s="681"/>
      <c r="G218" s="681"/>
      <c r="H218" s="691">
        <v>1.0</v>
      </c>
      <c r="I218" s="691">
        <v>0.0</v>
      </c>
      <c r="J218" s="681"/>
      <c r="K218" s="681"/>
      <c r="L218" s="681"/>
      <c r="M218" s="681"/>
      <c r="N218" s="681"/>
      <c r="O218" s="681"/>
      <c r="P218" s="681"/>
      <c r="Q218" s="681"/>
      <c r="R218" s="681"/>
      <c r="S218" s="681"/>
      <c r="T218" s="681"/>
      <c r="U218" s="681"/>
      <c r="V218" s="681"/>
      <c r="W218" s="681"/>
      <c r="X218" s="681"/>
      <c r="Y218" s="681"/>
      <c r="Z218" s="681"/>
      <c r="AA218" s="681"/>
      <c r="AB218" s="681"/>
      <c r="AC218" s="681"/>
      <c r="AD218" s="681"/>
      <c r="AE218" s="681"/>
      <c r="AF218" s="681">
        <f t="shared" ref="AF218:AF222" si="79">SUM(B218:AE218)</f>
        <v>1</v>
      </c>
      <c r="AG218" s="769">
        <v>13.0</v>
      </c>
      <c r="AH218" s="693">
        <f t="shared" ref="AH218:AH220" si="80">AF218/AG218</f>
        <v>0.07692307692</v>
      </c>
      <c r="AI218" s="693"/>
      <c r="AJ218" s="693"/>
      <c r="AK218" s="693"/>
      <c r="AL218" s="719">
        <f t="shared" si="24"/>
        <v>1</v>
      </c>
      <c r="AM218" s="693"/>
      <c r="AN218" s="693"/>
      <c r="AO218" s="693"/>
      <c r="AP218" s="693"/>
      <c r="AQ218" s="693"/>
      <c r="AR218" s="693"/>
      <c r="AS218" s="694">
        <v>10.0</v>
      </c>
      <c r="AT218" s="693"/>
    </row>
    <row r="219" ht="15.75" customHeight="1">
      <c r="A219" s="681" t="s">
        <v>2627</v>
      </c>
      <c r="B219" s="691"/>
      <c r="C219" s="691"/>
      <c r="D219" s="691"/>
      <c r="E219" s="681"/>
      <c r="F219" s="681"/>
      <c r="G219" s="681"/>
      <c r="H219" s="691">
        <v>0.0</v>
      </c>
      <c r="I219" s="381">
        <v>0.0</v>
      </c>
      <c r="J219" s="681"/>
      <c r="K219" s="681"/>
      <c r="L219" s="681"/>
      <c r="M219" s="681"/>
      <c r="N219" s="681"/>
      <c r="O219" s="681"/>
      <c r="P219" s="681"/>
      <c r="Q219" s="681"/>
      <c r="R219" s="681"/>
      <c r="S219" s="681"/>
      <c r="T219" s="681"/>
      <c r="U219" s="681"/>
      <c r="V219" s="681"/>
      <c r="W219" s="681"/>
      <c r="X219" s="681"/>
      <c r="Y219" s="681"/>
      <c r="Z219" s="681"/>
      <c r="AA219" s="681"/>
      <c r="AB219" s="681"/>
      <c r="AC219" s="681"/>
      <c r="AD219" s="681"/>
      <c r="AE219" s="681"/>
      <c r="AF219" s="681">
        <f t="shared" si="79"/>
        <v>0</v>
      </c>
      <c r="AG219" s="692">
        <v>4.0</v>
      </c>
      <c r="AH219" s="693">
        <f t="shared" si="80"/>
        <v>0</v>
      </c>
      <c r="AI219" s="693"/>
      <c r="AJ219" s="693"/>
      <c r="AK219" s="693"/>
      <c r="AL219" s="719">
        <f t="shared" si="24"/>
        <v>0</v>
      </c>
      <c r="AM219" s="693"/>
      <c r="AN219" s="693"/>
      <c r="AO219" s="693"/>
      <c r="AP219" s="693"/>
      <c r="AQ219" s="693"/>
      <c r="AR219" s="693"/>
      <c r="AS219" s="694">
        <v>2.0</v>
      </c>
      <c r="AT219" s="693"/>
    </row>
    <row r="220" ht="15.75" customHeight="1">
      <c r="A220" s="691" t="s">
        <v>3054</v>
      </c>
      <c r="B220" s="691"/>
      <c r="C220" s="691"/>
      <c r="D220" s="691"/>
      <c r="E220" s="681"/>
      <c r="F220" s="681"/>
      <c r="G220" s="681"/>
      <c r="H220" s="691">
        <v>0.0</v>
      </c>
      <c r="I220" s="691">
        <v>0.0</v>
      </c>
      <c r="J220" s="681"/>
      <c r="K220" s="681"/>
      <c r="L220" s="681"/>
      <c r="M220" s="681"/>
      <c r="N220" s="681"/>
      <c r="O220" s="681"/>
      <c r="P220" s="681"/>
      <c r="Q220" s="681"/>
      <c r="R220" s="681"/>
      <c r="S220" s="681"/>
      <c r="T220" s="681"/>
      <c r="U220" s="681"/>
      <c r="V220" s="681"/>
      <c r="W220" s="681"/>
      <c r="X220" s="681"/>
      <c r="Y220" s="681"/>
      <c r="Z220" s="681"/>
      <c r="AA220" s="681"/>
      <c r="AB220" s="681"/>
      <c r="AC220" s="681"/>
      <c r="AD220" s="681"/>
      <c r="AE220" s="681"/>
      <c r="AF220" s="681">
        <f t="shared" si="79"/>
        <v>0</v>
      </c>
      <c r="AG220" s="692">
        <v>5.0</v>
      </c>
      <c r="AH220" s="693">
        <f t="shared" si="80"/>
        <v>0</v>
      </c>
      <c r="AI220" s="693"/>
      <c r="AJ220" s="693"/>
      <c r="AK220" s="693"/>
      <c r="AL220" s="719">
        <f t="shared" si="24"/>
        <v>0</v>
      </c>
      <c r="AM220" s="693"/>
      <c r="AN220" s="693"/>
      <c r="AO220" s="693"/>
      <c r="AP220" s="693"/>
      <c r="AQ220" s="693"/>
      <c r="AR220" s="693"/>
      <c r="AS220" s="694">
        <v>5.0</v>
      </c>
      <c r="AT220" s="693"/>
    </row>
    <row r="221" ht="15.75" customHeight="1">
      <c r="A221" s="681" t="s">
        <v>2920</v>
      </c>
      <c r="B221" s="691"/>
      <c r="C221" s="691"/>
      <c r="D221" s="691"/>
      <c r="E221" s="681"/>
      <c r="F221" s="681"/>
      <c r="G221" s="681"/>
      <c r="H221" s="691">
        <v>0.0</v>
      </c>
      <c r="I221" s="691">
        <v>1.0</v>
      </c>
      <c r="J221" s="681"/>
      <c r="K221" s="681"/>
      <c r="L221" s="681"/>
      <c r="M221" s="681"/>
      <c r="N221" s="681"/>
      <c r="O221" s="681"/>
      <c r="P221" s="681"/>
      <c r="Q221" s="681"/>
      <c r="R221" s="681"/>
      <c r="S221" s="681"/>
      <c r="T221" s="681"/>
      <c r="U221" s="681"/>
      <c r="V221" s="681"/>
      <c r="W221" s="681"/>
      <c r="X221" s="681"/>
      <c r="Y221" s="681"/>
      <c r="Z221" s="681"/>
      <c r="AA221" s="681"/>
      <c r="AB221" s="681"/>
      <c r="AC221" s="681"/>
      <c r="AD221" s="681"/>
      <c r="AE221" s="681"/>
      <c r="AF221" s="681">
        <f t="shared" si="79"/>
        <v>1</v>
      </c>
      <c r="AG221" s="682"/>
      <c r="AH221" s="693"/>
      <c r="AI221" s="693"/>
      <c r="AJ221" s="693"/>
      <c r="AK221" s="693"/>
      <c r="AL221" s="719">
        <f t="shared" si="24"/>
        <v>1</v>
      </c>
      <c r="AM221" s="693"/>
      <c r="AN221" s="693"/>
      <c r="AO221" s="693"/>
      <c r="AP221" s="693"/>
      <c r="AQ221" s="693"/>
      <c r="AR221" s="693"/>
      <c r="AS221" s="694"/>
      <c r="AT221" s="693"/>
    </row>
    <row r="222" ht="15.75" customHeight="1">
      <c r="A222" s="691" t="s">
        <v>3490</v>
      </c>
      <c r="B222" s="691"/>
      <c r="C222" s="691"/>
      <c r="D222" s="691"/>
      <c r="E222" s="681"/>
      <c r="F222" s="681"/>
      <c r="G222" s="681"/>
      <c r="H222" s="691">
        <v>0.0</v>
      </c>
      <c r="I222" s="691">
        <v>0.0</v>
      </c>
      <c r="J222" s="681"/>
      <c r="K222" s="681"/>
      <c r="L222" s="681"/>
      <c r="M222" s="681"/>
      <c r="N222" s="681"/>
      <c r="O222" s="681"/>
      <c r="P222" s="681"/>
      <c r="Q222" s="681"/>
      <c r="R222" s="681"/>
      <c r="S222" s="681"/>
      <c r="T222" s="681"/>
      <c r="U222" s="681"/>
      <c r="V222" s="681"/>
      <c r="W222" s="681"/>
      <c r="X222" s="681"/>
      <c r="Y222" s="681"/>
      <c r="Z222" s="681"/>
      <c r="AA222" s="681"/>
      <c r="AB222" s="681"/>
      <c r="AC222" s="681"/>
      <c r="AD222" s="681"/>
      <c r="AE222" s="681"/>
      <c r="AF222" s="681">
        <f t="shared" si="79"/>
        <v>0</v>
      </c>
      <c r="AG222" s="682"/>
      <c r="AH222" s="693"/>
      <c r="AI222" s="693"/>
      <c r="AJ222" s="693"/>
      <c r="AK222" s="693"/>
      <c r="AL222" s="719">
        <f t="shared" si="24"/>
        <v>0</v>
      </c>
      <c r="AM222" s="693"/>
      <c r="AN222" s="693"/>
      <c r="AO222" s="693"/>
      <c r="AP222" s="693"/>
      <c r="AQ222" s="693"/>
      <c r="AR222" s="693"/>
      <c r="AS222" s="694"/>
      <c r="AT222" s="693"/>
    </row>
    <row r="223" ht="15.75" customHeight="1">
      <c r="A223" s="668" t="s">
        <v>2934</v>
      </c>
      <c r="B223" s="761">
        <f t="shared" ref="B223:AG223" si="81">SUM(B215:B222)</f>
        <v>0</v>
      </c>
      <c r="C223" s="761">
        <f t="shared" si="81"/>
        <v>0</v>
      </c>
      <c r="D223" s="761">
        <f t="shared" si="81"/>
        <v>0</v>
      </c>
      <c r="E223" s="761">
        <f t="shared" si="81"/>
        <v>0</v>
      </c>
      <c r="F223" s="761">
        <f t="shared" si="81"/>
        <v>0</v>
      </c>
      <c r="G223" s="761">
        <f t="shared" si="81"/>
        <v>0</v>
      </c>
      <c r="H223" s="761">
        <f t="shared" si="81"/>
        <v>1</v>
      </c>
      <c r="I223" s="761">
        <f t="shared" si="81"/>
        <v>1</v>
      </c>
      <c r="J223" s="761">
        <f t="shared" si="81"/>
        <v>0</v>
      </c>
      <c r="K223" s="761">
        <f t="shared" si="81"/>
        <v>0</v>
      </c>
      <c r="L223" s="761">
        <f t="shared" si="81"/>
        <v>0</v>
      </c>
      <c r="M223" s="761">
        <f t="shared" si="81"/>
        <v>0</v>
      </c>
      <c r="N223" s="761">
        <f t="shared" si="81"/>
        <v>0</v>
      </c>
      <c r="O223" s="761">
        <f t="shared" si="81"/>
        <v>0</v>
      </c>
      <c r="P223" s="761">
        <f t="shared" si="81"/>
        <v>0</v>
      </c>
      <c r="Q223" s="761">
        <f t="shared" si="81"/>
        <v>0</v>
      </c>
      <c r="R223" s="761">
        <f t="shared" si="81"/>
        <v>0</v>
      </c>
      <c r="S223" s="761">
        <f t="shared" si="81"/>
        <v>0</v>
      </c>
      <c r="T223" s="761">
        <f t="shared" si="81"/>
        <v>0</v>
      </c>
      <c r="U223" s="761">
        <f t="shared" si="81"/>
        <v>0</v>
      </c>
      <c r="V223" s="761">
        <f t="shared" si="81"/>
        <v>0</v>
      </c>
      <c r="W223" s="761">
        <f t="shared" si="81"/>
        <v>0</v>
      </c>
      <c r="X223" s="761">
        <f t="shared" si="81"/>
        <v>0</v>
      </c>
      <c r="Y223" s="761">
        <f t="shared" si="81"/>
        <v>0</v>
      </c>
      <c r="Z223" s="761">
        <f t="shared" si="81"/>
        <v>0</v>
      </c>
      <c r="AA223" s="761">
        <f t="shared" si="81"/>
        <v>0</v>
      </c>
      <c r="AB223" s="761">
        <f t="shared" si="81"/>
        <v>0</v>
      </c>
      <c r="AC223" s="761">
        <f t="shared" si="81"/>
        <v>0</v>
      </c>
      <c r="AD223" s="761">
        <f t="shared" si="81"/>
        <v>0</v>
      </c>
      <c r="AE223" s="761">
        <f t="shared" si="81"/>
        <v>0</v>
      </c>
      <c r="AF223" s="761">
        <f t="shared" si="81"/>
        <v>2</v>
      </c>
      <c r="AG223" s="761">
        <f t="shared" si="81"/>
        <v>37</v>
      </c>
      <c r="AH223" s="786">
        <f>AF223/AG223</f>
        <v>0.05405405405</v>
      </c>
      <c r="AI223" s="760"/>
      <c r="AJ223" s="760"/>
      <c r="AK223" s="760"/>
      <c r="AL223" s="719">
        <f t="shared" si="24"/>
        <v>2</v>
      </c>
      <c r="AM223" s="760"/>
      <c r="AN223" s="760"/>
      <c r="AO223" s="760"/>
      <c r="AP223" s="760"/>
      <c r="AQ223" s="760"/>
      <c r="AR223" s="760"/>
      <c r="AS223" s="761">
        <f>SUM(AS213:AS220)</f>
        <v>40</v>
      </c>
      <c r="AT223" s="760"/>
    </row>
    <row r="224" ht="15.75" customHeight="1">
      <c r="A224" s="760"/>
      <c r="B224" s="760"/>
      <c r="C224" s="760"/>
      <c r="D224" s="760"/>
      <c r="E224" s="760"/>
      <c r="F224" s="760"/>
      <c r="G224" s="760"/>
      <c r="H224" s="760"/>
      <c r="I224" s="760"/>
      <c r="J224" s="760"/>
      <c r="K224" s="760"/>
      <c r="L224" s="760"/>
      <c r="M224" s="760"/>
      <c r="N224" s="760"/>
      <c r="O224" s="760"/>
      <c r="P224" s="760"/>
      <c r="Q224" s="760"/>
      <c r="R224" s="760"/>
      <c r="S224" s="760"/>
      <c r="T224" s="760"/>
      <c r="U224" s="760"/>
      <c r="V224" s="760"/>
      <c r="W224" s="760"/>
      <c r="X224" s="760"/>
      <c r="Y224" s="760"/>
      <c r="Z224" s="760"/>
      <c r="AA224" s="760"/>
      <c r="AB224" s="760"/>
      <c r="AC224" s="760"/>
      <c r="AD224" s="760"/>
      <c r="AE224" s="760"/>
      <c r="AF224" s="760"/>
      <c r="AG224" s="761"/>
      <c r="AH224" s="760"/>
      <c r="AI224" s="760"/>
      <c r="AJ224" s="760"/>
      <c r="AK224" s="760"/>
      <c r="AL224" s="760"/>
      <c r="AM224" s="760"/>
      <c r="AN224" s="760"/>
      <c r="AO224" s="760"/>
      <c r="AP224" s="760"/>
      <c r="AQ224" s="760"/>
      <c r="AR224" s="760"/>
      <c r="AS224" s="761"/>
      <c r="AT224" s="760"/>
    </row>
    <row r="225" ht="15.75" customHeight="1">
      <c r="A225" s="760"/>
      <c r="B225" s="760"/>
      <c r="C225" s="760"/>
      <c r="D225" s="760"/>
      <c r="E225" s="760"/>
      <c r="F225" s="760"/>
      <c r="G225" s="760"/>
      <c r="H225" s="760"/>
      <c r="I225" s="760"/>
      <c r="J225" s="760"/>
      <c r="K225" s="760"/>
      <c r="L225" s="760"/>
      <c r="M225" s="760"/>
      <c r="N225" s="760"/>
      <c r="O225" s="760"/>
      <c r="P225" s="760"/>
      <c r="Q225" s="760"/>
      <c r="R225" s="760"/>
      <c r="S225" s="760"/>
      <c r="T225" s="760"/>
      <c r="U225" s="760"/>
      <c r="V225" s="760"/>
      <c r="W225" s="760"/>
      <c r="X225" s="760"/>
      <c r="Y225" s="760"/>
      <c r="Z225" s="760"/>
      <c r="AA225" s="760"/>
      <c r="AB225" s="760"/>
      <c r="AC225" s="760"/>
      <c r="AD225" s="760"/>
      <c r="AE225" s="760"/>
      <c r="AF225" s="760"/>
      <c r="AG225" s="761"/>
      <c r="AH225" s="760"/>
      <c r="AI225" s="760"/>
      <c r="AJ225" s="760"/>
      <c r="AK225" s="760"/>
      <c r="AL225" s="760"/>
      <c r="AM225" s="760"/>
      <c r="AN225" s="760"/>
      <c r="AO225" s="760"/>
      <c r="AP225" s="760"/>
      <c r="AQ225" s="760"/>
      <c r="AR225" s="760"/>
      <c r="AS225" s="761"/>
      <c r="AT225" s="760"/>
    </row>
    <row r="226" ht="15.75" customHeight="1">
      <c r="A226" s="787" t="s">
        <v>3514</v>
      </c>
      <c r="B226" s="5"/>
      <c r="C226" s="5"/>
      <c r="D226" s="5"/>
      <c r="E226" s="5"/>
      <c r="F226" s="5"/>
      <c r="G226" s="5"/>
      <c r="H226" s="5"/>
      <c r="I226" s="5"/>
      <c r="J226" s="5"/>
      <c r="K226" s="5"/>
      <c r="L226" s="5"/>
      <c r="M226" s="5"/>
      <c r="N226" s="5"/>
      <c r="O226" s="5"/>
      <c r="P226" s="5"/>
      <c r="Q226" s="5"/>
      <c r="R226" s="5"/>
      <c r="S226" s="5"/>
      <c r="T226" s="5"/>
      <c r="U226" s="5"/>
      <c r="V226" s="5"/>
      <c r="W226" s="5"/>
      <c r="X226" s="6"/>
      <c r="Y226" s="760"/>
      <c r="Z226" s="760"/>
      <c r="AA226" s="760"/>
      <c r="AB226" s="760"/>
      <c r="AC226" s="760"/>
      <c r="AD226" s="760"/>
      <c r="AE226" s="760"/>
      <c r="AF226" s="760"/>
      <c r="AG226" s="761"/>
      <c r="AH226" s="760"/>
      <c r="AI226" s="760"/>
      <c r="AJ226" s="760"/>
      <c r="AK226" s="760"/>
      <c r="AL226" s="760"/>
      <c r="AM226" s="760"/>
      <c r="AN226" s="760"/>
      <c r="AO226" s="760"/>
      <c r="AP226" s="760"/>
      <c r="AQ226" s="760"/>
      <c r="AR226" s="760"/>
      <c r="AS226" s="761"/>
      <c r="AT226" s="760"/>
    </row>
    <row r="227" ht="15.75" customHeight="1">
      <c r="A227" s="788" t="s">
        <v>3515</v>
      </c>
      <c r="B227" s="5"/>
      <c r="C227" s="5"/>
      <c r="D227" s="5"/>
      <c r="E227" s="5"/>
      <c r="F227" s="6"/>
      <c r="G227" s="789" t="s">
        <v>3516</v>
      </c>
      <c r="H227" s="5"/>
      <c r="I227" s="5"/>
      <c r="J227" s="5"/>
      <c r="K227" s="5"/>
      <c r="L227" s="5"/>
      <c r="M227" s="5"/>
      <c r="N227" s="5"/>
      <c r="O227" s="5"/>
      <c r="P227" s="6"/>
      <c r="Q227" s="789" t="s">
        <v>3517</v>
      </c>
      <c r="R227" s="5"/>
      <c r="S227" s="5"/>
      <c r="T227" s="5"/>
      <c r="U227" s="5"/>
      <c r="V227" s="5"/>
      <c r="W227" s="5"/>
      <c r="X227" s="6"/>
      <c r="Y227" s="760"/>
      <c r="Z227" s="760"/>
      <c r="AA227" s="760"/>
      <c r="AB227" s="760"/>
      <c r="AC227" s="760"/>
      <c r="AD227" s="760"/>
      <c r="AE227" s="790" t="s">
        <v>3518</v>
      </c>
      <c r="AF227" s="670"/>
      <c r="AG227" s="671"/>
      <c r="AH227" s="791" t="s">
        <v>3519</v>
      </c>
      <c r="AI227" s="670"/>
      <c r="AJ227" s="671"/>
      <c r="AK227" s="792"/>
      <c r="AL227" s="792"/>
      <c r="AM227" s="792"/>
      <c r="AN227" s="792"/>
      <c r="AO227" s="760"/>
      <c r="AP227" s="760"/>
      <c r="AQ227" s="760"/>
      <c r="AR227" s="760"/>
      <c r="AS227" s="761"/>
      <c r="AT227" s="760"/>
    </row>
    <row r="228" ht="55.5" customHeight="1">
      <c r="A228" s="793" t="s">
        <v>2960</v>
      </c>
      <c r="B228" s="794" t="s">
        <v>2926</v>
      </c>
      <c r="C228" s="794" t="s">
        <v>2944</v>
      </c>
      <c r="D228" s="794" t="s">
        <v>3520</v>
      </c>
      <c r="E228" s="794" t="s">
        <v>2941</v>
      </c>
      <c r="F228" s="794" t="s">
        <v>2942</v>
      </c>
      <c r="G228" s="795" t="s">
        <v>2941</v>
      </c>
      <c r="H228" s="796" t="s">
        <v>2916</v>
      </c>
      <c r="I228" s="6"/>
      <c r="J228" s="797" t="s">
        <v>3521</v>
      </c>
      <c r="K228" s="798" t="s">
        <v>3522</v>
      </c>
      <c r="L228" s="794" t="s">
        <v>3523</v>
      </c>
      <c r="M228" s="794" t="s">
        <v>3524</v>
      </c>
      <c r="N228" s="794" t="s">
        <v>3525</v>
      </c>
      <c r="O228" s="794" t="s">
        <v>3526</v>
      </c>
      <c r="P228" s="794" t="s">
        <v>3527</v>
      </c>
      <c r="Q228" s="799" t="s">
        <v>2941</v>
      </c>
      <c r="R228" s="800" t="s">
        <v>3528</v>
      </c>
      <c r="S228" s="800" t="s">
        <v>3529</v>
      </c>
      <c r="T228" s="801" t="s">
        <v>3530</v>
      </c>
      <c r="U228" s="801" t="s">
        <v>3531</v>
      </c>
      <c r="V228" s="801" t="s">
        <v>3532</v>
      </c>
      <c r="W228" s="801" t="s">
        <v>3533</v>
      </c>
      <c r="X228" s="801" t="s">
        <v>2953</v>
      </c>
      <c r="Y228" s="760"/>
      <c r="Z228" s="760"/>
      <c r="AA228" s="760"/>
      <c r="AB228" s="760"/>
      <c r="AC228" s="760"/>
      <c r="AD228" s="802" t="s">
        <v>3534</v>
      </c>
      <c r="AE228" s="688" t="s">
        <v>2944</v>
      </c>
      <c r="AF228" s="688" t="s">
        <v>2945</v>
      </c>
      <c r="AG228" s="689" t="s">
        <v>3484</v>
      </c>
      <c r="AH228" s="792" t="s">
        <v>3535</v>
      </c>
      <c r="AI228" s="690" t="s">
        <v>3467</v>
      </c>
      <c r="AJ228" s="690" t="s">
        <v>3329</v>
      </c>
      <c r="AK228" s="803"/>
      <c r="AL228" s="803"/>
      <c r="AM228" s="803"/>
      <c r="AN228" s="803" t="s">
        <v>2945</v>
      </c>
      <c r="AO228" s="760"/>
      <c r="AP228" s="760"/>
      <c r="AQ228" s="760"/>
      <c r="AR228" s="760"/>
      <c r="AS228" s="761"/>
      <c r="AT228" s="760"/>
    </row>
    <row r="229" ht="15.75" customHeight="1">
      <c r="A229" s="394" t="s">
        <v>2946</v>
      </c>
      <c r="B229" s="394">
        <v>217.0</v>
      </c>
      <c r="C229" s="385"/>
      <c r="D229" s="385"/>
      <c r="E229" s="804">
        <v>24.0</v>
      </c>
      <c r="F229" s="805">
        <f t="shared" ref="F229:F237" si="82">E229/B229</f>
        <v>0.1105990783</v>
      </c>
      <c r="G229" s="806">
        <v>0.0</v>
      </c>
      <c r="H229" s="806">
        <f t="shared" ref="H229:H236" si="83">J229+SUM(R229:X229)</f>
        <v>75</v>
      </c>
      <c r="I229" s="805">
        <f t="shared" ref="I229:I237" si="84">H229/B229</f>
        <v>0.3456221198</v>
      </c>
      <c r="J229" s="394">
        <v>44.0</v>
      </c>
      <c r="K229" s="394">
        <v>7.0</v>
      </c>
      <c r="L229" s="394">
        <v>9.0</v>
      </c>
      <c r="M229" s="394">
        <v>5.0</v>
      </c>
      <c r="N229" s="394">
        <v>5.0</v>
      </c>
      <c r="O229" s="394">
        <v>4.0</v>
      </c>
      <c r="P229" s="394">
        <v>3.0</v>
      </c>
      <c r="Q229" s="807">
        <v>2.0</v>
      </c>
      <c r="R229" s="808">
        <v>7.0</v>
      </c>
      <c r="S229" s="808">
        <v>3.0</v>
      </c>
      <c r="T229" s="808">
        <v>4.0</v>
      </c>
      <c r="U229" s="808">
        <v>2.0</v>
      </c>
      <c r="V229" s="809">
        <v>5.0</v>
      </c>
      <c r="W229" s="809">
        <v>3.0</v>
      </c>
      <c r="X229" s="809">
        <v>7.0</v>
      </c>
      <c r="Y229" s="760"/>
      <c r="Z229" s="760"/>
      <c r="AA229" s="760"/>
      <c r="AB229" s="760"/>
      <c r="AC229" s="760"/>
      <c r="AD229" s="810">
        <f t="shared" ref="AD229:AD236" si="85">SUM(R229:X229)</f>
        <v>31</v>
      </c>
      <c r="AE229" s="736">
        <v>72.0</v>
      </c>
      <c r="AF229" s="735">
        <v>0.34</v>
      </c>
      <c r="AG229" s="735"/>
      <c r="AH229" s="792">
        <f t="shared" ref="AH229:AH237" si="86">AD229-AI229-AJ229</f>
        <v>10</v>
      </c>
      <c r="AI229" s="760">
        <v>1.0</v>
      </c>
      <c r="AJ229" s="760">
        <v>20.0</v>
      </c>
      <c r="AK229" s="811"/>
      <c r="AL229" s="811"/>
      <c r="AM229" s="811"/>
      <c r="AN229" s="811">
        <f t="shared" ref="AN229:AN237" si="87">AH229/AD229</f>
        <v>0.3225806452</v>
      </c>
      <c r="AO229" s="760"/>
      <c r="AP229" s="760"/>
      <c r="AQ229" s="760"/>
      <c r="AR229" s="760"/>
      <c r="AS229" s="761"/>
      <c r="AT229" s="760"/>
    </row>
    <row r="230" ht="15.75" customHeight="1">
      <c r="A230" s="394" t="s">
        <v>2624</v>
      </c>
      <c r="B230" s="394">
        <f>334+140</f>
        <v>474</v>
      </c>
      <c r="C230" s="385"/>
      <c r="D230" s="385"/>
      <c r="E230" s="804">
        <v>38.0</v>
      </c>
      <c r="F230" s="805">
        <f t="shared" si="82"/>
        <v>0.08016877637</v>
      </c>
      <c r="G230" s="806">
        <v>0.0</v>
      </c>
      <c r="H230" s="806">
        <f t="shared" si="83"/>
        <v>162</v>
      </c>
      <c r="I230" s="805">
        <f t="shared" si="84"/>
        <v>0.3417721519</v>
      </c>
      <c r="J230" s="394">
        <v>122.0</v>
      </c>
      <c r="K230" s="394">
        <v>10.0</v>
      </c>
      <c r="L230" s="394">
        <v>42.0</v>
      </c>
      <c r="M230" s="394">
        <v>12.0</v>
      </c>
      <c r="N230" s="394">
        <v>17.0</v>
      </c>
      <c r="O230" s="385"/>
      <c r="P230" s="394">
        <v>14.0</v>
      </c>
      <c r="Q230" s="807">
        <v>1.0</v>
      </c>
      <c r="R230" s="808">
        <v>9.0</v>
      </c>
      <c r="S230" s="808">
        <v>1.0</v>
      </c>
      <c r="T230" s="808">
        <v>4.0</v>
      </c>
      <c r="U230" s="808">
        <v>18.0</v>
      </c>
      <c r="V230" s="809">
        <v>1.0</v>
      </c>
      <c r="W230" s="809">
        <v>1.0</v>
      </c>
      <c r="X230" s="809">
        <v>6.0</v>
      </c>
      <c r="Y230" s="760"/>
      <c r="Z230" s="760"/>
      <c r="AA230" s="760"/>
      <c r="AB230" s="760"/>
      <c r="AC230" s="760"/>
      <c r="AD230" s="810">
        <f t="shared" si="85"/>
        <v>40</v>
      </c>
      <c r="AE230" s="736">
        <f t="shared" ref="AE230:AE231" si="88">B230*AF230</f>
        <v>175.38</v>
      </c>
      <c r="AF230" s="735">
        <v>0.37</v>
      </c>
      <c r="AG230" s="735"/>
      <c r="AH230" s="792">
        <f t="shared" si="86"/>
        <v>9</v>
      </c>
      <c r="AI230" s="760">
        <v>0.0</v>
      </c>
      <c r="AJ230" s="760">
        <v>31.0</v>
      </c>
      <c r="AK230" s="811"/>
      <c r="AL230" s="811"/>
      <c r="AM230" s="811"/>
      <c r="AN230" s="811">
        <f t="shared" si="87"/>
        <v>0.225</v>
      </c>
      <c r="AO230" s="760"/>
      <c r="AP230" s="760"/>
      <c r="AQ230" s="760"/>
      <c r="AR230" s="760"/>
      <c r="AS230" s="761"/>
      <c r="AT230" s="760"/>
    </row>
    <row r="231" ht="15.75" customHeight="1">
      <c r="A231" s="394" t="s">
        <v>2947</v>
      </c>
      <c r="B231" s="394">
        <v>200.0</v>
      </c>
      <c r="C231" s="385"/>
      <c r="D231" s="385"/>
      <c r="E231" s="804">
        <v>23.0</v>
      </c>
      <c r="F231" s="805">
        <f t="shared" si="82"/>
        <v>0.115</v>
      </c>
      <c r="G231" s="806">
        <v>1.0</v>
      </c>
      <c r="H231" s="806">
        <f t="shared" si="83"/>
        <v>39</v>
      </c>
      <c r="I231" s="805">
        <f t="shared" si="84"/>
        <v>0.195</v>
      </c>
      <c r="J231" s="394">
        <v>21.0</v>
      </c>
      <c r="K231" s="394">
        <v>3.0</v>
      </c>
      <c r="L231" s="385"/>
      <c r="M231" s="394">
        <v>3.0</v>
      </c>
      <c r="N231" s="394">
        <v>2.0</v>
      </c>
      <c r="O231" s="394">
        <v>1.0</v>
      </c>
      <c r="P231" s="394">
        <v>1.0</v>
      </c>
      <c r="Q231" s="807">
        <v>3.0</v>
      </c>
      <c r="R231" s="808">
        <v>3.0</v>
      </c>
      <c r="S231" s="808">
        <v>8.0</v>
      </c>
      <c r="T231" s="808">
        <v>1.0</v>
      </c>
      <c r="U231" s="808">
        <v>1.0</v>
      </c>
      <c r="V231" s="809">
        <v>2.0</v>
      </c>
      <c r="W231" s="809">
        <v>2.0</v>
      </c>
      <c r="X231" s="809">
        <v>1.0</v>
      </c>
      <c r="Y231" s="760"/>
      <c r="Z231" s="760"/>
      <c r="AA231" s="760"/>
      <c r="AB231" s="760"/>
      <c r="AC231" s="760"/>
      <c r="AD231" s="810">
        <f t="shared" si="85"/>
        <v>18</v>
      </c>
      <c r="AE231" s="736" t="str">
        <f t="shared" si="88"/>
        <v>#REF!</v>
      </c>
      <c r="AF231" s="735" t="e">
        <v>#REF!</v>
      </c>
      <c r="AG231" s="735"/>
      <c r="AH231" s="792">
        <f t="shared" si="86"/>
        <v>7</v>
      </c>
      <c r="AI231" s="760">
        <v>0.0</v>
      </c>
      <c r="AJ231" s="760">
        <v>11.0</v>
      </c>
      <c r="AK231" s="811"/>
      <c r="AL231" s="811"/>
      <c r="AM231" s="811"/>
      <c r="AN231" s="811">
        <f t="shared" si="87"/>
        <v>0.3888888889</v>
      </c>
      <c r="AO231" s="760"/>
      <c r="AP231" s="760"/>
      <c r="AQ231" s="760"/>
      <c r="AR231" s="760"/>
      <c r="AS231" s="761"/>
      <c r="AT231" s="760"/>
    </row>
    <row r="232" ht="15.75" customHeight="1">
      <c r="A232" s="812" t="s">
        <v>2627</v>
      </c>
      <c r="B232" s="812">
        <v>250.0</v>
      </c>
      <c r="C232" s="385"/>
      <c r="D232" s="385"/>
      <c r="E232" s="813">
        <v>28.0</v>
      </c>
      <c r="F232" s="805">
        <f t="shared" si="82"/>
        <v>0.112</v>
      </c>
      <c r="G232" s="806">
        <v>2.0</v>
      </c>
      <c r="H232" s="806">
        <f t="shared" si="83"/>
        <v>95</v>
      </c>
      <c r="I232" s="805">
        <f t="shared" si="84"/>
        <v>0.38</v>
      </c>
      <c r="J232" s="394">
        <v>65.0</v>
      </c>
      <c r="K232" s="394">
        <v>6.0</v>
      </c>
      <c r="L232" s="394">
        <v>8.0</v>
      </c>
      <c r="M232" s="394">
        <v>3.0</v>
      </c>
      <c r="N232" s="394">
        <v>5.0</v>
      </c>
      <c r="O232" s="394">
        <v>16.0</v>
      </c>
      <c r="P232" s="394">
        <v>13.0</v>
      </c>
      <c r="Q232" s="807">
        <v>2.0</v>
      </c>
      <c r="R232" s="808">
        <v>2.0</v>
      </c>
      <c r="S232" s="808">
        <v>4.0</v>
      </c>
      <c r="T232" s="808">
        <v>7.0</v>
      </c>
      <c r="U232" s="808">
        <v>4.0</v>
      </c>
      <c r="V232" s="809">
        <v>1.0</v>
      </c>
      <c r="W232" s="809">
        <v>2.0</v>
      </c>
      <c r="X232" s="809">
        <v>10.0</v>
      </c>
      <c r="Y232" s="760"/>
      <c r="Z232" s="760"/>
      <c r="AA232" s="760"/>
      <c r="AB232" s="760"/>
      <c r="AC232" s="760"/>
      <c r="AD232" s="810">
        <f t="shared" si="85"/>
        <v>30</v>
      </c>
      <c r="AE232" s="736">
        <v>82.0</v>
      </c>
      <c r="AF232" s="735">
        <v>0.34</v>
      </c>
      <c r="AG232" s="735"/>
      <c r="AH232" s="792">
        <f t="shared" si="86"/>
        <v>12</v>
      </c>
      <c r="AI232" s="760">
        <v>2.0</v>
      </c>
      <c r="AJ232" s="760">
        <v>16.0</v>
      </c>
      <c r="AK232" s="811"/>
      <c r="AL232" s="811"/>
      <c r="AM232" s="811"/>
      <c r="AN232" s="811">
        <f t="shared" si="87"/>
        <v>0.4</v>
      </c>
      <c r="AO232" s="760"/>
      <c r="AP232" s="760"/>
      <c r="AQ232" s="760"/>
      <c r="AR232" s="760"/>
      <c r="AS232" s="761"/>
      <c r="AT232" s="760"/>
    </row>
    <row r="233" ht="15.75" customHeight="1">
      <c r="A233" s="394" t="s">
        <v>2622</v>
      </c>
      <c r="B233" s="394">
        <v>500.0</v>
      </c>
      <c r="C233" s="385"/>
      <c r="D233" s="385"/>
      <c r="E233" s="804">
        <v>76.0</v>
      </c>
      <c r="F233" s="805">
        <f t="shared" si="82"/>
        <v>0.152</v>
      </c>
      <c r="G233" s="806">
        <v>2.0</v>
      </c>
      <c r="H233" s="806">
        <f t="shared" si="83"/>
        <v>155</v>
      </c>
      <c r="I233" s="805">
        <f t="shared" si="84"/>
        <v>0.31</v>
      </c>
      <c r="J233" s="394">
        <v>97.0</v>
      </c>
      <c r="K233" s="394">
        <v>8.0</v>
      </c>
      <c r="L233" s="394">
        <v>8.0</v>
      </c>
      <c r="M233" s="394">
        <v>8.0</v>
      </c>
      <c r="N233" s="394">
        <v>5.0</v>
      </c>
      <c r="O233" s="394">
        <v>4.0</v>
      </c>
      <c r="P233" s="394">
        <v>13.0</v>
      </c>
      <c r="Q233" s="807">
        <v>5.0</v>
      </c>
      <c r="R233" s="808">
        <v>6.0</v>
      </c>
      <c r="S233" s="808">
        <v>6.0</v>
      </c>
      <c r="T233" s="808">
        <v>3.0</v>
      </c>
      <c r="U233" s="808">
        <v>11.0</v>
      </c>
      <c r="V233" s="809">
        <v>9.0</v>
      </c>
      <c r="W233" s="809">
        <v>6.0</v>
      </c>
      <c r="X233" s="809">
        <v>17.0</v>
      </c>
      <c r="Y233" s="760"/>
      <c r="Z233" s="760"/>
      <c r="AA233" s="760"/>
      <c r="AB233" s="760"/>
      <c r="AC233" s="760"/>
      <c r="AD233" s="810">
        <f t="shared" si="85"/>
        <v>58</v>
      </c>
      <c r="AE233" s="736">
        <f t="shared" ref="AE233:AE236" si="89">B233*AF233</f>
        <v>125</v>
      </c>
      <c r="AF233" s="735">
        <v>0.25</v>
      </c>
      <c r="AG233" s="735"/>
      <c r="AH233" s="792">
        <f t="shared" si="86"/>
        <v>13</v>
      </c>
      <c r="AI233" s="760">
        <v>2.0</v>
      </c>
      <c r="AJ233" s="760">
        <v>43.0</v>
      </c>
      <c r="AK233" s="811"/>
      <c r="AL233" s="811"/>
      <c r="AM233" s="811"/>
      <c r="AN233" s="811">
        <f t="shared" si="87"/>
        <v>0.224137931</v>
      </c>
      <c r="AO233" s="760"/>
      <c r="AP233" s="760"/>
      <c r="AQ233" s="760"/>
      <c r="AR233" s="760"/>
      <c r="AS233" s="761"/>
      <c r="AT233" s="760"/>
    </row>
    <row r="234" ht="15.75" customHeight="1">
      <c r="A234" s="394" t="s">
        <v>2948</v>
      </c>
      <c r="B234" s="394">
        <v>230.0</v>
      </c>
      <c r="C234" s="385"/>
      <c r="D234" s="385"/>
      <c r="E234" s="804">
        <v>26.0</v>
      </c>
      <c r="F234" s="805">
        <f t="shared" si="82"/>
        <v>0.1130434783</v>
      </c>
      <c r="G234" s="806">
        <v>1.0</v>
      </c>
      <c r="H234" s="806">
        <f t="shared" si="83"/>
        <v>67</v>
      </c>
      <c r="I234" s="805">
        <f t="shared" si="84"/>
        <v>0.2913043478</v>
      </c>
      <c r="J234" s="394">
        <v>43.0</v>
      </c>
      <c r="K234" s="394">
        <v>10.0</v>
      </c>
      <c r="L234" s="394">
        <v>5.0</v>
      </c>
      <c r="M234" s="394">
        <v>9.0</v>
      </c>
      <c r="N234" s="394">
        <v>4.0</v>
      </c>
      <c r="O234" s="394">
        <v>1.0</v>
      </c>
      <c r="P234" s="394">
        <v>1.0</v>
      </c>
      <c r="Q234" s="807">
        <v>2.0</v>
      </c>
      <c r="R234" s="808">
        <v>6.0</v>
      </c>
      <c r="S234" s="808">
        <v>4.0</v>
      </c>
      <c r="T234" s="808">
        <v>3.0</v>
      </c>
      <c r="U234" s="808">
        <v>2.0</v>
      </c>
      <c r="V234" s="809">
        <v>5.0</v>
      </c>
      <c r="W234" s="809">
        <v>1.0</v>
      </c>
      <c r="X234" s="809">
        <v>3.0</v>
      </c>
      <c r="Y234" s="760"/>
      <c r="Z234" s="760"/>
      <c r="AA234" s="760"/>
      <c r="AB234" s="760"/>
      <c r="AC234" s="760"/>
      <c r="AD234" s="810">
        <f t="shared" si="85"/>
        <v>24</v>
      </c>
      <c r="AE234" s="736">
        <f t="shared" si="89"/>
        <v>92</v>
      </c>
      <c r="AF234" s="735">
        <v>0.4</v>
      </c>
      <c r="AG234" s="735"/>
      <c r="AH234" s="792">
        <f t="shared" si="86"/>
        <v>11</v>
      </c>
      <c r="AI234" s="760">
        <v>0.0</v>
      </c>
      <c r="AJ234" s="760">
        <v>13.0</v>
      </c>
      <c r="AK234" s="811"/>
      <c r="AL234" s="811"/>
      <c r="AM234" s="811"/>
      <c r="AN234" s="811">
        <f t="shared" si="87"/>
        <v>0.4583333333</v>
      </c>
      <c r="AO234" s="760"/>
      <c r="AP234" s="760"/>
      <c r="AQ234" s="760"/>
      <c r="AR234" s="760"/>
      <c r="AS234" s="761"/>
      <c r="AT234" s="760"/>
    </row>
    <row r="235" ht="15.75" customHeight="1">
      <c r="A235" s="394" t="s">
        <v>2949</v>
      </c>
      <c r="B235" s="394">
        <v>27.0</v>
      </c>
      <c r="C235" s="385"/>
      <c r="D235" s="385"/>
      <c r="E235" s="804">
        <v>3.0</v>
      </c>
      <c r="F235" s="805">
        <f t="shared" si="82"/>
        <v>0.1111111111</v>
      </c>
      <c r="G235" s="806">
        <v>1.0</v>
      </c>
      <c r="H235" s="806">
        <f t="shared" si="83"/>
        <v>16</v>
      </c>
      <c r="I235" s="805">
        <f t="shared" si="84"/>
        <v>0.5925925926</v>
      </c>
      <c r="J235" s="394">
        <v>6.0</v>
      </c>
      <c r="K235" s="394">
        <v>1.0</v>
      </c>
      <c r="L235" s="394">
        <v>2.0</v>
      </c>
      <c r="M235" s="385"/>
      <c r="N235" s="385"/>
      <c r="O235" s="385"/>
      <c r="P235" s="394">
        <v>2.0</v>
      </c>
      <c r="Q235" s="807">
        <v>2.0</v>
      </c>
      <c r="R235" s="808">
        <v>3.0</v>
      </c>
      <c r="S235" s="808">
        <v>2.0</v>
      </c>
      <c r="T235" s="808">
        <v>1.0</v>
      </c>
      <c r="U235" s="808">
        <v>1.0</v>
      </c>
      <c r="V235" s="809">
        <v>2.0</v>
      </c>
      <c r="W235" s="809">
        <v>0.0</v>
      </c>
      <c r="X235" s="809">
        <v>1.0</v>
      </c>
      <c r="Y235" s="760"/>
      <c r="Z235" s="760"/>
      <c r="AA235" s="760"/>
      <c r="AB235" s="760"/>
      <c r="AC235" s="760"/>
      <c r="AD235" s="810">
        <f t="shared" si="85"/>
        <v>10</v>
      </c>
      <c r="AE235" s="736">
        <f t="shared" si="89"/>
        <v>15.66</v>
      </c>
      <c r="AF235" s="735">
        <v>0.58</v>
      </c>
      <c r="AG235" s="735"/>
      <c r="AH235" s="792">
        <f t="shared" si="86"/>
        <v>9</v>
      </c>
      <c r="AI235" s="760">
        <v>0.0</v>
      </c>
      <c r="AJ235" s="760">
        <v>1.0</v>
      </c>
      <c r="AK235" s="811"/>
      <c r="AL235" s="811"/>
      <c r="AM235" s="811"/>
      <c r="AN235" s="811">
        <f t="shared" si="87"/>
        <v>0.9</v>
      </c>
      <c r="AO235" s="760"/>
      <c r="AP235" s="760"/>
      <c r="AQ235" s="760"/>
      <c r="AR235" s="760"/>
      <c r="AS235" s="761"/>
      <c r="AT235" s="760"/>
    </row>
    <row r="236" ht="15.75" customHeight="1">
      <c r="A236" s="394" t="s">
        <v>2950</v>
      </c>
      <c r="B236" s="394">
        <v>105.0</v>
      </c>
      <c r="C236" s="385"/>
      <c r="D236" s="385"/>
      <c r="E236" s="804">
        <v>12.0</v>
      </c>
      <c r="F236" s="805">
        <f t="shared" si="82"/>
        <v>0.1142857143</v>
      </c>
      <c r="G236" s="806">
        <v>0.0</v>
      </c>
      <c r="H236" s="806">
        <f t="shared" si="83"/>
        <v>41</v>
      </c>
      <c r="I236" s="805">
        <f t="shared" si="84"/>
        <v>0.3904761905</v>
      </c>
      <c r="J236" s="394">
        <v>20.0</v>
      </c>
      <c r="K236" s="394">
        <v>1.0</v>
      </c>
      <c r="L236" s="394">
        <v>3.0</v>
      </c>
      <c r="M236" s="394">
        <v>3.0</v>
      </c>
      <c r="N236" s="394">
        <v>2.0</v>
      </c>
      <c r="O236" s="385"/>
      <c r="P236" s="394">
        <v>2.0</v>
      </c>
      <c r="Q236" s="807">
        <v>6.0</v>
      </c>
      <c r="R236" s="808">
        <v>1.0</v>
      </c>
      <c r="S236" s="808">
        <v>6.0</v>
      </c>
      <c r="T236" s="808">
        <v>7.0</v>
      </c>
      <c r="U236" s="808">
        <v>6.0</v>
      </c>
      <c r="V236" s="809">
        <v>0.0</v>
      </c>
      <c r="W236" s="809">
        <v>1.0</v>
      </c>
      <c r="X236" s="809">
        <v>0.0</v>
      </c>
      <c r="Y236" s="760"/>
      <c r="Z236" s="760"/>
      <c r="AA236" s="760"/>
      <c r="AB236" s="760"/>
      <c r="AC236" s="760"/>
      <c r="AD236" s="810">
        <f t="shared" si="85"/>
        <v>21</v>
      </c>
      <c r="AE236" s="736">
        <f t="shared" si="89"/>
        <v>56.7</v>
      </c>
      <c r="AF236" s="735">
        <v>0.54</v>
      </c>
      <c r="AG236" s="755"/>
      <c r="AH236" s="792">
        <f t="shared" si="86"/>
        <v>5</v>
      </c>
      <c r="AI236" s="760"/>
      <c r="AJ236" s="760">
        <f>1+3+11+1</f>
        <v>16</v>
      </c>
      <c r="AK236" s="811"/>
      <c r="AL236" s="811"/>
      <c r="AM236" s="811"/>
      <c r="AN236" s="811">
        <f t="shared" si="87"/>
        <v>0.2380952381</v>
      </c>
      <c r="AO236" s="760"/>
      <c r="AP236" s="760"/>
      <c r="AQ236" s="760"/>
      <c r="AR236" s="760"/>
      <c r="AS236" s="761"/>
      <c r="AT236" s="760"/>
    </row>
    <row r="237" ht="15.75" customHeight="1">
      <c r="A237" s="814" t="s">
        <v>892</v>
      </c>
      <c r="B237" s="806">
        <f>SUM(B229:B236)</f>
        <v>2003</v>
      </c>
      <c r="C237" s="385"/>
      <c r="D237" s="385"/>
      <c r="E237" s="806">
        <f>SUM(E229:E236)</f>
        <v>230</v>
      </c>
      <c r="F237" s="805">
        <f t="shared" si="82"/>
        <v>0.1148277584</v>
      </c>
      <c r="G237" s="814">
        <f t="shared" ref="G237:H237" si="90">SUM(G229:G236)</f>
        <v>7</v>
      </c>
      <c r="H237" s="806">
        <f t="shared" si="90"/>
        <v>650</v>
      </c>
      <c r="I237" s="805">
        <f t="shared" si="84"/>
        <v>0.3245132302</v>
      </c>
      <c r="J237" s="814">
        <f t="shared" ref="J237:X237" si="91">SUM(J229:J236)</f>
        <v>418</v>
      </c>
      <c r="K237" s="814">
        <f t="shared" si="91"/>
        <v>46</v>
      </c>
      <c r="L237" s="814">
        <f t="shared" si="91"/>
        <v>77</v>
      </c>
      <c r="M237" s="814">
        <f t="shared" si="91"/>
        <v>43</v>
      </c>
      <c r="N237" s="439">
        <f t="shared" si="91"/>
        <v>40</v>
      </c>
      <c r="O237" s="814">
        <f t="shared" si="91"/>
        <v>26</v>
      </c>
      <c r="P237" s="814">
        <f t="shared" si="91"/>
        <v>49</v>
      </c>
      <c r="Q237" s="815">
        <f t="shared" si="91"/>
        <v>23</v>
      </c>
      <c r="R237" s="815">
        <f t="shared" si="91"/>
        <v>37</v>
      </c>
      <c r="S237" s="816">
        <f t="shared" si="91"/>
        <v>34</v>
      </c>
      <c r="T237" s="815">
        <f t="shared" si="91"/>
        <v>30</v>
      </c>
      <c r="U237" s="815">
        <f t="shared" si="91"/>
        <v>45</v>
      </c>
      <c r="V237" s="817">
        <f t="shared" si="91"/>
        <v>25</v>
      </c>
      <c r="W237" s="817">
        <f t="shared" si="91"/>
        <v>16</v>
      </c>
      <c r="X237" s="809">
        <f t="shared" si="91"/>
        <v>45</v>
      </c>
      <c r="Y237" s="760"/>
      <c r="Z237" s="760"/>
      <c r="AA237" s="760"/>
      <c r="AB237" s="760"/>
      <c r="AC237" s="760"/>
      <c r="AD237" s="818">
        <f>SUM(AD229:AD236)</f>
        <v>232</v>
      </c>
      <c r="AE237" s="763">
        <v>619.2</v>
      </c>
      <c r="AF237" s="819">
        <v>0.4</v>
      </c>
      <c r="AG237" s="820"/>
      <c r="AH237" s="820">
        <f t="shared" si="86"/>
        <v>76</v>
      </c>
      <c r="AI237" s="761">
        <f t="shared" ref="AI237:AJ237" si="92">SUM(AI229:AI236)</f>
        <v>5</v>
      </c>
      <c r="AJ237" s="761">
        <f t="shared" si="92"/>
        <v>151</v>
      </c>
      <c r="AK237" s="811"/>
      <c r="AL237" s="811"/>
      <c r="AM237" s="811"/>
      <c r="AN237" s="811">
        <f t="shared" si="87"/>
        <v>0.3275862069</v>
      </c>
      <c r="AO237" s="760"/>
      <c r="AP237" s="760"/>
      <c r="AQ237" s="760"/>
      <c r="AR237" s="760"/>
      <c r="AS237" s="761"/>
      <c r="AT237" s="760"/>
    </row>
    <row r="238" ht="15.75" customHeight="1">
      <c r="A238" s="760"/>
      <c r="B238" s="760"/>
      <c r="C238" s="760"/>
      <c r="D238" s="760"/>
      <c r="E238" s="760"/>
      <c r="F238" s="760"/>
      <c r="G238" s="760"/>
      <c r="H238" s="760"/>
      <c r="I238" s="760"/>
      <c r="J238" s="760"/>
      <c r="K238" s="760"/>
      <c r="L238" s="760"/>
      <c r="M238" s="760"/>
      <c r="N238" s="760"/>
      <c r="O238" s="760"/>
      <c r="P238" s="760"/>
      <c r="Q238" s="760"/>
      <c r="R238" s="760"/>
      <c r="S238" s="760"/>
      <c r="T238" s="760"/>
      <c r="U238" s="760"/>
      <c r="V238" s="760"/>
      <c r="W238" s="760"/>
      <c r="X238" s="760"/>
      <c r="Y238" s="760"/>
      <c r="Z238" s="760"/>
      <c r="AA238" s="760"/>
      <c r="AB238" s="760"/>
      <c r="AC238" s="760"/>
      <c r="AD238" s="760"/>
      <c r="AE238" s="760"/>
      <c r="AF238" s="760"/>
      <c r="AG238" s="761"/>
      <c r="AH238" s="760"/>
      <c r="AI238" s="760"/>
      <c r="AJ238" s="760"/>
      <c r="AK238" s="760"/>
      <c r="AL238" s="760"/>
      <c r="AM238" s="760"/>
      <c r="AN238" s="760"/>
      <c r="AO238" s="760"/>
      <c r="AP238" s="760"/>
      <c r="AQ238" s="760"/>
      <c r="AR238" s="760"/>
      <c r="AS238" s="761"/>
      <c r="AT238" s="760"/>
    </row>
    <row r="239" ht="15.75" customHeight="1">
      <c r="A239" s="760"/>
      <c r="B239" s="760"/>
      <c r="C239" s="760"/>
      <c r="D239" s="760"/>
      <c r="E239" s="760"/>
      <c r="F239" s="760"/>
      <c r="G239" s="760"/>
      <c r="H239" s="760"/>
      <c r="I239" s="760"/>
      <c r="J239" s="760"/>
      <c r="K239" s="760"/>
      <c r="L239" s="760"/>
      <c r="M239" s="760"/>
      <c r="N239" s="760"/>
      <c r="O239" s="760"/>
      <c r="P239" s="760"/>
      <c r="Q239" s="760"/>
      <c r="R239" s="760"/>
      <c r="S239" s="760"/>
      <c r="T239" s="760"/>
      <c r="U239" s="760"/>
      <c r="V239" s="760"/>
      <c r="W239" s="760"/>
      <c r="X239" s="760"/>
      <c r="Y239" s="760"/>
      <c r="Z239" s="760"/>
      <c r="AA239" s="760"/>
      <c r="AB239" s="760"/>
      <c r="AC239" s="760"/>
      <c r="AD239" s="760"/>
      <c r="AE239" s="760"/>
      <c r="AF239" s="760"/>
      <c r="AG239" s="761"/>
      <c r="AH239" s="760"/>
      <c r="AI239" s="760"/>
      <c r="AJ239" s="760"/>
      <c r="AK239" s="760"/>
      <c r="AL239" s="760"/>
      <c r="AM239" s="760"/>
      <c r="AN239" s="760"/>
      <c r="AO239" s="760"/>
      <c r="AP239" s="760"/>
      <c r="AQ239" s="760"/>
      <c r="AR239" s="760"/>
      <c r="AS239" s="761"/>
      <c r="AT239" s="760"/>
    </row>
    <row r="240" ht="15.75" customHeight="1">
      <c r="A240" s="760"/>
      <c r="B240" s="760"/>
      <c r="C240" s="760"/>
      <c r="D240" s="760"/>
      <c r="E240" s="760"/>
      <c r="F240" s="760"/>
      <c r="G240" s="760"/>
      <c r="H240" s="760"/>
      <c r="I240" s="760"/>
      <c r="J240" s="760"/>
      <c r="K240" s="760"/>
      <c r="L240" s="760"/>
      <c r="M240" s="760"/>
      <c r="N240" s="760"/>
      <c r="O240" s="760"/>
      <c r="P240" s="760"/>
      <c r="Q240" s="760"/>
      <c r="R240" s="760"/>
      <c r="S240" s="760"/>
      <c r="T240" s="760"/>
      <c r="U240" s="760"/>
      <c r="V240" s="760"/>
      <c r="W240" s="760"/>
      <c r="X240" s="760"/>
      <c r="Y240" s="760"/>
      <c r="Z240" s="760"/>
      <c r="AA240" s="760"/>
      <c r="AB240" s="760"/>
      <c r="AC240" s="760"/>
      <c r="AD240" s="760"/>
      <c r="AE240" s="760"/>
      <c r="AF240" s="760"/>
      <c r="AG240" s="761"/>
      <c r="AH240" s="760"/>
      <c r="AI240" s="760"/>
      <c r="AJ240" s="760"/>
      <c r="AK240" s="760"/>
      <c r="AL240" s="760"/>
      <c r="AM240" s="760"/>
      <c r="AN240" s="760"/>
      <c r="AO240" s="760"/>
      <c r="AP240" s="760"/>
      <c r="AQ240" s="760"/>
      <c r="AR240" s="760"/>
      <c r="AS240" s="761"/>
      <c r="AT240" s="760"/>
    </row>
    <row r="241" ht="15.75" customHeight="1">
      <c r="A241" s="760"/>
      <c r="B241" s="760"/>
      <c r="C241" s="760"/>
      <c r="D241" s="760"/>
      <c r="E241" s="760"/>
      <c r="F241" s="760"/>
      <c r="G241" s="760"/>
      <c r="H241" s="760"/>
      <c r="I241" s="760"/>
      <c r="J241" s="760"/>
      <c r="K241" s="760"/>
      <c r="L241" s="760"/>
      <c r="M241" s="760"/>
      <c r="N241" s="760"/>
      <c r="O241" s="760"/>
      <c r="P241" s="760"/>
      <c r="Q241" s="760"/>
      <c r="R241" s="760"/>
      <c r="S241" s="760"/>
      <c r="T241" s="760"/>
      <c r="U241" s="760"/>
      <c r="V241" s="760"/>
      <c r="W241" s="760"/>
      <c r="X241" s="760"/>
      <c r="Y241" s="760"/>
      <c r="Z241" s="760"/>
      <c r="AA241" s="760"/>
      <c r="AB241" s="760"/>
      <c r="AC241" s="760"/>
      <c r="AD241" s="760"/>
      <c r="AE241" s="760"/>
      <c r="AF241" s="760"/>
      <c r="AG241" s="761"/>
      <c r="AH241" s="760"/>
      <c r="AI241" s="760"/>
      <c r="AJ241" s="760"/>
      <c r="AK241" s="760"/>
      <c r="AL241" s="760"/>
      <c r="AM241" s="760"/>
      <c r="AN241" s="760"/>
      <c r="AO241" s="760"/>
      <c r="AP241" s="760"/>
      <c r="AQ241" s="760"/>
      <c r="AR241" s="760"/>
      <c r="AS241" s="761"/>
      <c r="AT241" s="760"/>
    </row>
    <row r="242" ht="15.75" customHeight="1">
      <c r="A242" s="760"/>
      <c r="B242" s="760"/>
      <c r="C242" s="760"/>
      <c r="D242" s="760"/>
      <c r="E242" s="760"/>
      <c r="F242" s="760"/>
      <c r="G242" s="760"/>
      <c r="H242" s="760"/>
      <c r="I242" s="760"/>
      <c r="J242" s="760"/>
      <c r="K242" s="760"/>
      <c r="L242" s="760"/>
      <c r="M242" s="760"/>
      <c r="N242" s="760"/>
      <c r="O242" s="760"/>
      <c r="P242" s="760"/>
      <c r="Q242" s="760"/>
      <c r="R242" s="760"/>
      <c r="S242" s="760"/>
      <c r="T242" s="760"/>
      <c r="U242" s="760"/>
      <c r="V242" s="760"/>
      <c r="W242" s="760"/>
      <c r="X242" s="760"/>
      <c r="Y242" s="760"/>
      <c r="Z242" s="760"/>
      <c r="AA242" s="760"/>
      <c r="AB242" s="760"/>
      <c r="AC242" s="760"/>
      <c r="AD242" s="760"/>
      <c r="AE242" s="760"/>
      <c r="AF242" s="760"/>
      <c r="AG242" s="761"/>
      <c r="AH242" s="760"/>
      <c r="AI242" s="760"/>
      <c r="AJ242" s="760"/>
      <c r="AK242" s="760"/>
      <c r="AL242" s="760"/>
      <c r="AM242" s="760"/>
      <c r="AN242" s="760"/>
      <c r="AO242" s="760"/>
      <c r="AP242" s="760"/>
      <c r="AQ242" s="760"/>
      <c r="AR242" s="760"/>
      <c r="AS242" s="761"/>
      <c r="AT242" s="760"/>
    </row>
    <row r="243" ht="15.75" customHeight="1">
      <c r="A243" s="787" t="s">
        <v>3536</v>
      </c>
      <c r="B243" s="5"/>
      <c r="C243" s="5"/>
      <c r="D243" s="5"/>
      <c r="E243" s="5"/>
      <c r="F243" s="5"/>
      <c r="G243" s="5"/>
      <c r="H243" s="5"/>
      <c r="I243" s="5"/>
      <c r="J243" s="5"/>
      <c r="K243" s="5"/>
      <c r="L243" s="5"/>
      <c r="M243" s="5"/>
      <c r="N243" s="5"/>
      <c r="O243" s="470"/>
      <c r="P243" s="760"/>
      <c r="Q243" s="760"/>
      <c r="R243" s="760"/>
      <c r="S243" s="760"/>
      <c r="T243" s="760"/>
      <c r="U243" s="760"/>
      <c r="V243" s="760"/>
      <c r="W243" s="760"/>
      <c r="X243" s="760"/>
      <c r="Y243" s="760"/>
      <c r="Z243" s="760"/>
      <c r="AA243" s="760"/>
      <c r="AB243" s="760"/>
      <c r="AC243" s="760"/>
      <c r="AD243" s="760"/>
      <c r="AE243" s="821" t="s">
        <v>3537</v>
      </c>
      <c r="AF243" s="670"/>
      <c r="AG243" s="671"/>
      <c r="AH243" s="822" t="s">
        <v>3519</v>
      </c>
      <c r="AI243" s="670"/>
      <c r="AJ243" s="671"/>
      <c r="AK243" s="810"/>
      <c r="AL243" s="810"/>
      <c r="AM243" s="810"/>
      <c r="AN243" s="810"/>
      <c r="AO243" s="760"/>
      <c r="AP243" s="760"/>
      <c r="AQ243" s="760"/>
      <c r="AR243" s="760"/>
      <c r="AS243" s="761"/>
      <c r="AT243" s="760"/>
    </row>
    <row r="244" ht="48.0" customHeight="1">
      <c r="A244" s="823" t="s">
        <v>2687</v>
      </c>
      <c r="B244" s="824" t="s">
        <v>2926</v>
      </c>
      <c r="C244" s="824" t="s">
        <v>2737</v>
      </c>
      <c r="D244" s="824" t="s">
        <v>3538</v>
      </c>
      <c r="E244" s="824" t="s">
        <v>3539</v>
      </c>
      <c r="F244" s="824" t="s">
        <v>3540</v>
      </c>
      <c r="G244" s="825" t="s">
        <v>3541</v>
      </c>
      <c r="H244" s="825" t="s">
        <v>3542</v>
      </c>
      <c r="I244" s="825" t="s">
        <v>3543</v>
      </c>
      <c r="J244" s="825" t="s">
        <v>3544</v>
      </c>
      <c r="K244" s="825" t="s">
        <v>3545</v>
      </c>
      <c r="L244" s="826" t="s">
        <v>3546</v>
      </c>
      <c r="M244" s="826" t="s">
        <v>2955</v>
      </c>
      <c r="N244" s="826" t="s">
        <v>2956</v>
      </c>
      <c r="O244" s="826" t="s">
        <v>2957</v>
      </c>
      <c r="P244" s="826" t="s">
        <v>2958</v>
      </c>
      <c r="Q244" s="826" t="s">
        <v>2959</v>
      </c>
      <c r="R244" s="826" t="s">
        <v>2963</v>
      </c>
      <c r="S244" s="826" t="s">
        <v>2964</v>
      </c>
      <c r="T244" s="760"/>
      <c r="U244" s="760"/>
      <c r="V244" s="760"/>
      <c r="W244" s="760"/>
      <c r="X244" s="760"/>
      <c r="Y244" s="760"/>
      <c r="Z244" s="760"/>
      <c r="AA244" s="760"/>
      <c r="AB244" s="760"/>
      <c r="AC244" s="802" t="s">
        <v>3547</v>
      </c>
      <c r="AD244" s="802" t="s">
        <v>3534</v>
      </c>
      <c r="AE244" s="827" t="s">
        <v>2944</v>
      </c>
      <c r="AF244" s="688" t="s">
        <v>2945</v>
      </c>
      <c r="AG244" s="689" t="s">
        <v>3484</v>
      </c>
      <c r="AH244" s="810" t="s">
        <v>2944</v>
      </c>
      <c r="AI244" s="680" t="s">
        <v>3467</v>
      </c>
      <c r="AJ244" s="680" t="s">
        <v>3329</v>
      </c>
      <c r="AK244" s="803"/>
      <c r="AL244" s="803"/>
      <c r="AM244" s="803"/>
      <c r="AN244" s="803" t="s">
        <v>2945</v>
      </c>
      <c r="AO244" s="760"/>
      <c r="AP244" s="760"/>
      <c r="AQ244" s="760"/>
      <c r="AR244" s="760"/>
      <c r="AS244" s="761"/>
      <c r="AT244" s="760"/>
    </row>
    <row r="245" ht="15.75" customHeight="1">
      <c r="A245" s="828" t="s">
        <v>2946</v>
      </c>
      <c r="B245" s="782">
        <v>22.0</v>
      </c>
      <c r="C245" s="829">
        <v>3.0</v>
      </c>
      <c r="D245" s="830">
        <f t="shared" ref="D245:D253" si="93">C245/B245</f>
        <v>0.1363636364</v>
      </c>
      <c r="E245" s="782">
        <v>2.0</v>
      </c>
      <c r="F245" s="782">
        <v>0.0</v>
      </c>
      <c r="G245" s="384">
        <v>1.0</v>
      </c>
      <c r="H245" s="782">
        <v>2.0</v>
      </c>
      <c r="I245" s="782">
        <v>1.0</v>
      </c>
      <c r="J245" s="782">
        <v>0.0</v>
      </c>
      <c r="K245" s="782">
        <v>0.0</v>
      </c>
      <c r="L245" s="385"/>
      <c r="M245" s="385"/>
      <c r="N245" s="385"/>
      <c r="O245" s="385"/>
      <c r="P245" s="385"/>
      <c r="Q245" s="385"/>
      <c r="R245" s="385"/>
      <c r="S245" s="385"/>
      <c r="T245" s="760"/>
      <c r="U245" s="760"/>
      <c r="V245" s="760"/>
      <c r="W245" s="760"/>
      <c r="X245" s="760"/>
      <c r="Y245" s="760"/>
      <c r="Z245" s="760"/>
      <c r="AA245" s="760"/>
      <c r="AB245" s="760"/>
      <c r="AC245" s="792">
        <v>0.0</v>
      </c>
      <c r="AD245" s="831">
        <f t="shared" ref="AD245:AD253" si="94">SUM(E245:S245)</f>
        <v>6</v>
      </c>
      <c r="AE245" s="832">
        <v>7.0</v>
      </c>
      <c r="AF245" s="833">
        <v>0.17</v>
      </c>
      <c r="AG245" s="820"/>
      <c r="AH245" s="792">
        <f t="shared" ref="AH245:AH253" si="95">AD245-AI245-AJ245</f>
        <v>1</v>
      </c>
      <c r="AI245" s="834"/>
      <c r="AJ245" s="834">
        <v>5.0</v>
      </c>
      <c r="AK245" s="835"/>
      <c r="AL245" s="835"/>
      <c r="AM245" s="835"/>
      <c r="AN245" s="835">
        <f t="shared" ref="AN245:AN253" si="96">AH245/AD245</f>
        <v>0.1666666667</v>
      </c>
      <c r="AO245" s="760"/>
      <c r="AP245" s="760"/>
      <c r="AQ245" s="760"/>
      <c r="AR245" s="760"/>
      <c r="AS245" s="761"/>
      <c r="AT245" s="760"/>
    </row>
    <row r="246" ht="15.75" customHeight="1">
      <c r="A246" s="828" t="s">
        <v>2624</v>
      </c>
      <c r="B246" s="782">
        <v>139.0</v>
      </c>
      <c r="C246" s="829">
        <v>18.0</v>
      </c>
      <c r="D246" s="830">
        <f t="shared" si="93"/>
        <v>0.1294964029</v>
      </c>
      <c r="E246" s="782">
        <v>4.0</v>
      </c>
      <c r="F246" s="782">
        <v>1.0</v>
      </c>
      <c r="G246" s="384">
        <v>1.0</v>
      </c>
      <c r="H246" s="782">
        <v>2.0</v>
      </c>
      <c r="I246" s="782">
        <v>1.0</v>
      </c>
      <c r="J246" s="782">
        <v>0.0</v>
      </c>
      <c r="K246" s="782">
        <v>1.0</v>
      </c>
      <c r="L246" s="385"/>
      <c r="M246" s="385"/>
      <c r="N246" s="385"/>
      <c r="O246" s="385"/>
      <c r="P246" s="385"/>
      <c r="Q246" s="385"/>
      <c r="R246" s="385"/>
      <c r="S246" s="385"/>
      <c r="T246" s="760"/>
      <c r="U246" s="760"/>
      <c r="V246" s="760"/>
      <c r="W246" s="760"/>
      <c r="X246" s="760"/>
      <c r="Y246" s="760"/>
      <c r="Z246" s="760"/>
      <c r="AA246" s="760"/>
      <c r="AB246" s="760"/>
      <c r="AC246" s="792">
        <v>0.0</v>
      </c>
      <c r="AD246" s="831">
        <f t="shared" si="94"/>
        <v>10</v>
      </c>
      <c r="AE246" s="832">
        <v>43.0</v>
      </c>
      <c r="AF246" s="833">
        <v>0.28</v>
      </c>
      <c r="AG246" s="820"/>
      <c r="AH246" s="792">
        <f t="shared" si="95"/>
        <v>2</v>
      </c>
      <c r="AI246" s="834"/>
      <c r="AJ246" s="834">
        <v>8.0</v>
      </c>
      <c r="AK246" s="835"/>
      <c r="AL246" s="835"/>
      <c r="AM246" s="835"/>
      <c r="AN246" s="835">
        <f t="shared" si="96"/>
        <v>0.2</v>
      </c>
      <c r="AO246" s="760"/>
      <c r="AP246" s="760"/>
      <c r="AQ246" s="760"/>
      <c r="AR246" s="760"/>
      <c r="AS246" s="761"/>
      <c r="AT246" s="760"/>
    </row>
    <row r="247" ht="15.75" customHeight="1">
      <c r="A247" s="828" t="s">
        <v>2947</v>
      </c>
      <c r="B247" s="782">
        <v>114.0</v>
      </c>
      <c r="C247" s="829">
        <v>0.0</v>
      </c>
      <c r="D247" s="830">
        <f t="shared" si="93"/>
        <v>0</v>
      </c>
      <c r="E247" s="782">
        <v>3.0</v>
      </c>
      <c r="F247" s="782">
        <v>1.0</v>
      </c>
      <c r="G247" s="384">
        <v>1.0</v>
      </c>
      <c r="H247" s="782">
        <v>3.0</v>
      </c>
      <c r="I247" s="782">
        <v>4.0</v>
      </c>
      <c r="J247" s="782">
        <v>2.0</v>
      </c>
      <c r="K247" s="782">
        <v>3.0</v>
      </c>
      <c r="L247" s="385"/>
      <c r="M247" s="385"/>
      <c r="N247" s="385"/>
      <c r="O247" s="385"/>
      <c r="P247" s="385"/>
      <c r="Q247" s="385"/>
      <c r="R247" s="385"/>
      <c r="S247" s="385"/>
      <c r="T247" s="760"/>
      <c r="U247" s="760"/>
      <c r="V247" s="760"/>
      <c r="W247" s="760"/>
      <c r="X247" s="760"/>
      <c r="Y247" s="760"/>
      <c r="Z247" s="760"/>
      <c r="AA247" s="760"/>
      <c r="AB247" s="760"/>
      <c r="AC247" s="792">
        <v>0.0</v>
      </c>
      <c r="AD247" s="831">
        <f t="shared" si="94"/>
        <v>17</v>
      </c>
      <c r="AE247" s="832">
        <v>52.0</v>
      </c>
      <c r="AF247" s="833">
        <v>0.36</v>
      </c>
      <c r="AG247" s="820"/>
      <c r="AH247" s="792">
        <f t="shared" si="95"/>
        <v>9</v>
      </c>
      <c r="AI247" s="834"/>
      <c r="AJ247" s="834">
        <v>8.0</v>
      </c>
      <c r="AK247" s="835"/>
      <c r="AL247" s="835"/>
      <c r="AM247" s="835"/>
      <c r="AN247" s="835">
        <f t="shared" si="96"/>
        <v>0.5294117647</v>
      </c>
      <c r="AO247" s="760"/>
      <c r="AP247" s="760"/>
      <c r="AQ247" s="760"/>
      <c r="AR247" s="760"/>
      <c r="AS247" s="761"/>
      <c r="AT247" s="760"/>
    </row>
    <row r="248" ht="15.75" customHeight="1">
      <c r="A248" s="836" t="s">
        <v>2627</v>
      </c>
      <c r="B248" s="837">
        <v>84.0</v>
      </c>
      <c r="C248" s="838">
        <v>5.0</v>
      </c>
      <c r="D248" s="830">
        <f t="shared" si="93"/>
        <v>0.05952380952</v>
      </c>
      <c r="E248" s="782">
        <v>2.0</v>
      </c>
      <c r="F248" s="782">
        <v>2.0</v>
      </c>
      <c r="G248" s="384">
        <v>0.0</v>
      </c>
      <c r="H248" s="782">
        <v>0.0</v>
      </c>
      <c r="I248" s="782">
        <v>0.0</v>
      </c>
      <c r="J248" s="782">
        <v>0.0</v>
      </c>
      <c r="K248" s="782">
        <v>0.0</v>
      </c>
      <c r="L248" s="385"/>
      <c r="M248" s="385"/>
      <c r="N248" s="385"/>
      <c r="O248" s="385"/>
      <c r="P248" s="385"/>
      <c r="Q248" s="385"/>
      <c r="R248" s="385"/>
      <c r="S248" s="385"/>
      <c r="T248" s="760"/>
      <c r="U248" s="760"/>
      <c r="V248" s="760"/>
      <c r="W248" s="760"/>
      <c r="X248" s="760"/>
      <c r="Y248" s="760"/>
      <c r="Z248" s="760"/>
      <c r="AA248" s="760"/>
      <c r="AB248" s="760"/>
      <c r="AC248" s="792">
        <v>0.0</v>
      </c>
      <c r="AD248" s="831">
        <f t="shared" si="94"/>
        <v>4</v>
      </c>
      <c r="AE248" s="832">
        <v>35.0</v>
      </c>
      <c r="AF248" s="833">
        <v>0.38</v>
      </c>
      <c r="AG248" s="820"/>
      <c r="AH248" s="792">
        <f t="shared" si="95"/>
        <v>2</v>
      </c>
      <c r="AI248" s="834"/>
      <c r="AJ248" s="834">
        <v>2.0</v>
      </c>
      <c r="AK248" s="835"/>
      <c r="AL248" s="835"/>
      <c r="AM248" s="835"/>
      <c r="AN248" s="835">
        <f t="shared" si="96"/>
        <v>0.5</v>
      </c>
      <c r="AO248" s="760"/>
      <c r="AP248" s="760"/>
      <c r="AQ248" s="760"/>
      <c r="AR248" s="760"/>
      <c r="AS248" s="761"/>
      <c r="AT248" s="760"/>
    </row>
    <row r="249" ht="15.75" customHeight="1">
      <c r="A249" s="828" t="s">
        <v>2622</v>
      </c>
      <c r="B249" s="782">
        <v>128.0</v>
      </c>
      <c r="C249" s="829">
        <v>8.0</v>
      </c>
      <c r="D249" s="830">
        <f t="shared" si="93"/>
        <v>0.0625</v>
      </c>
      <c r="E249" s="782">
        <v>3.0</v>
      </c>
      <c r="F249" s="782">
        <v>0.0</v>
      </c>
      <c r="G249" s="384">
        <v>1.0</v>
      </c>
      <c r="H249" s="782">
        <v>1.0</v>
      </c>
      <c r="I249" s="782">
        <v>2.0</v>
      </c>
      <c r="J249" s="782">
        <v>1.0</v>
      </c>
      <c r="K249" s="782">
        <v>0.0</v>
      </c>
      <c r="L249" s="385"/>
      <c r="M249" s="385"/>
      <c r="N249" s="385"/>
      <c r="O249" s="385"/>
      <c r="P249" s="385"/>
      <c r="Q249" s="385"/>
      <c r="R249" s="385"/>
      <c r="S249" s="385"/>
      <c r="T249" s="760"/>
      <c r="U249" s="760"/>
      <c r="V249" s="760"/>
      <c r="W249" s="760"/>
      <c r="X249" s="760"/>
      <c r="Y249" s="760"/>
      <c r="Z249" s="760"/>
      <c r="AA249" s="760"/>
      <c r="AB249" s="760"/>
      <c r="AC249" s="792">
        <v>0.0</v>
      </c>
      <c r="AD249" s="831">
        <f t="shared" si="94"/>
        <v>8</v>
      </c>
      <c r="AE249" s="832">
        <v>45.0</v>
      </c>
      <c r="AF249" s="833">
        <v>0.31</v>
      </c>
      <c r="AG249" s="820"/>
      <c r="AH249" s="792">
        <f t="shared" si="95"/>
        <v>3</v>
      </c>
      <c r="AI249" s="834"/>
      <c r="AJ249" s="834">
        <v>5.0</v>
      </c>
      <c r="AK249" s="835"/>
      <c r="AL249" s="835"/>
      <c r="AM249" s="835"/>
      <c r="AN249" s="835">
        <f t="shared" si="96"/>
        <v>0.375</v>
      </c>
      <c r="AO249" s="760"/>
      <c r="AP249" s="760"/>
      <c r="AQ249" s="760"/>
      <c r="AR249" s="760"/>
      <c r="AS249" s="761"/>
      <c r="AT249" s="760"/>
    </row>
    <row r="250" ht="15.75" customHeight="1">
      <c r="A250" s="828" t="s">
        <v>2948</v>
      </c>
      <c r="B250" s="782">
        <v>167.0</v>
      </c>
      <c r="C250" s="829">
        <v>9.0</v>
      </c>
      <c r="D250" s="830">
        <f t="shared" si="93"/>
        <v>0.05389221557</v>
      </c>
      <c r="E250" s="782">
        <v>5.0</v>
      </c>
      <c r="F250" s="782">
        <v>5.0</v>
      </c>
      <c r="G250" s="384">
        <v>5.0</v>
      </c>
      <c r="H250" s="782">
        <v>4.0</v>
      </c>
      <c r="I250" s="782">
        <v>8.0</v>
      </c>
      <c r="J250" s="782">
        <v>1.0</v>
      </c>
      <c r="K250" s="782">
        <v>2.0</v>
      </c>
      <c r="L250" s="385"/>
      <c r="M250" s="385"/>
      <c r="N250" s="385"/>
      <c r="O250" s="385"/>
      <c r="P250" s="385"/>
      <c r="Q250" s="385"/>
      <c r="R250" s="385"/>
      <c r="S250" s="385"/>
      <c r="T250" s="760"/>
      <c r="U250" s="760"/>
      <c r="V250" s="760"/>
      <c r="W250" s="760"/>
      <c r="X250" s="760"/>
      <c r="Y250" s="760"/>
      <c r="Z250" s="760"/>
      <c r="AA250" s="760"/>
      <c r="AC250" s="792">
        <v>0.0</v>
      </c>
      <c r="AD250" s="831">
        <f t="shared" si="94"/>
        <v>30</v>
      </c>
      <c r="AE250" s="832">
        <v>54.0</v>
      </c>
      <c r="AF250" s="833">
        <v>0.28</v>
      </c>
      <c r="AG250" s="820"/>
      <c r="AH250" s="792">
        <f t="shared" si="95"/>
        <v>6</v>
      </c>
      <c r="AI250" s="834"/>
      <c r="AJ250" s="834">
        <v>24.0</v>
      </c>
      <c r="AK250" s="835"/>
      <c r="AL250" s="835"/>
      <c r="AM250" s="835"/>
      <c r="AN250" s="835">
        <f t="shared" si="96"/>
        <v>0.2</v>
      </c>
      <c r="AO250" s="760"/>
      <c r="AP250" s="760"/>
      <c r="AQ250" s="760"/>
      <c r="AR250" s="760"/>
      <c r="AS250" s="761"/>
      <c r="AT250" s="760"/>
    </row>
    <row r="251" ht="15.75" customHeight="1">
      <c r="A251" s="828" t="s">
        <v>3548</v>
      </c>
      <c r="B251" s="782">
        <f>B253-699</f>
        <v>28</v>
      </c>
      <c r="C251" s="829">
        <v>5.0</v>
      </c>
      <c r="D251" s="830">
        <f t="shared" si="93"/>
        <v>0.1785714286</v>
      </c>
      <c r="E251" s="782">
        <v>1.0</v>
      </c>
      <c r="F251" s="782">
        <v>1.0</v>
      </c>
      <c r="G251" s="384">
        <v>1.0</v>
      </c>
      <c r="H251" s="782">
        <v>1.0</v>
      </c>
      <c r="I251" s="782">
        <v>1.0</v>
      </c>
      <c r="J251" s="782">
        <v>0.0</v>
      </c>
      <c r="K251" s="782">
        <v>1.0</v>
      </c>
      <c r="L251" s="385"/>
      <c r="M251" s="385"/>
      <c r="N251" s="385"/>
      <c r="O251" s="385"/>
      <c r="P251" s="385"/>
      <c r="Q251" s="385"/>
      <c r="R251" s="385"/>
      <c r="S251" s="385"/>
      <c r="T251" s="760"/>
      <c r="U251" s="760"/>
      <c r="V251" s="760"/>
      <c r="W251" s="760"/>
      <c r="X251" s="760"/>
      <c r="Y251" s="760"/>
      <c r="Z251" s="760"/>
      <c r="AA251" s="760"/>
      <c r="AB251" s="760"/>
      <c r="AC251" s="792">
        <v>0.0</v>
      </c>
      <c r="AD251" s="831">
        <f t="shared" si="94"/>
        <v>6</v>
      </c>
      <c r="AE251" s="832">
        <v>25.0</v>
      </c>
      <c r="AF251" s="833">
        <v>0.8</v>
      </c>
      <c r="AG251" s="820"/>
      <c r="AH251" s="792">
        <f t="shared" si="95"/>
        <v>5</v>
      </c>
      <c r="AI251" s="834"/>
      <c r="AJ251" s="834">
        <v>1.0</v>
      </c>
      <c r="AK251" s="835"/>
      <c r="AL251" s="835"/>
      <c r="AM251" s="835"/>
      <c r="AN251" s="835">
        <f t="shared" si="96"/>
        <v>0.8333333333</v>
      </c>
      <c r="AO251" s="760"/>
      <c r="AP251" s="760"/>
      <c r="AQ251" s="760"/>
      <c r="AR251" s="760"/>
      <c r="AS251" s="761"/>
      <c r="AT251" s="760"/>
    </row>
    <row r="252" ht="15.75" customHeight="1">
      <c r="A252" s="828" t="s">
        <v>2950</v>
      </c>
      <c r="B252" s="782">
        <v>45.0</v>
      </c>
      <c r="C252" s="829">
        <v>12.0</v>
      </c>
      <c r="D252" s="830">
        <f t="shared" si="93"/>
        <v>0.2666666667</v>
      </c>
      <c r="E252" s="782">
        <v>2.0</v>
      </c>
      <c r="F252" s="839">
        <v>1.0</v>
      </c>
      <c r="G252" s="384">
        <v>2.0</v>
      </c>
      <c r="H252" s="782">
        <v>2.0</v>
      </c>
      <c r="I252" s="782">
        <v>0.0</v>
      </c>
      <c r="J252" s="782">
        <v>0.0</v>
      </c>
      <c r="K252" s="782">
        <v>1.0</v>
      </c>
      <c r="L252" s="385"/>
      <c r="M252" s="385"/>
      <c r="N252" s="385"/>
      <c r="O252" s="385"/>
      <c r="P252" s="385"/>
      <c r="Q252" s="385"/>
      <c r="R252" s="385"/>
      <c r="S252" s="385"/>
      <c r="T252" s="760"/>
      <c r="U252" s="760"/>
      <c r="V252" s="760"/>
      <c r="W252" s="760"/>
      <c r="X252" s="760"/>
      <c r="Y252" s="760"/>
      <c r="Z252" s="760"/>
      <c r="AA252" s="760"/>
      <c r="AB252" s="760"/>
      <c r="AC252" s="792">
        <v>1.0</v>
      </c>
      <c r="AD252" s="831">
        <f t="shared" si="94"/>
        <v>8</v>
      </c>
      <c r="AE252" s="832">
        <v>30.0</v>
      </c>
      <c r="AF252" s="833">
        <v>0.6</v>
      </c>
      <c r="AG252" s="820"/>
      <c r="AH252" s="792">
        <f t="shared" si="95"/>
        <v>5</v>
      </c>
      <c r="AI252" s="834"/>
      <c r="AJ252" s="834">
        <v>3.0</v>
      </c>
      <c r="AK252" s="835"/>
      <c r="AL252" s="835"/>
      <c r="AM252" s="835"/>
      <c r="AN252" s="835">
        <f t="shared" si="96"/>
        <v>0.625</v>
      </c>
      <c r="AO252" s="760"/>
      <c r="AP252" s="760"/>
      <c r="AQ252" s="760"/>
      <c r="AR252" s="760"/>
      <c r="AS252" s="761"/>
      <c r="AT252" s="760"/>
    </row>
    <row r="253" ht="15.75" customHeight="1">
      <c r="A253" s="840" t="s">
        <v>892</v>
      </c>
      <c r="B253" s="841">
        <v>727.0</v>
      </c>
      <c r="C253" s="841">
        <f>SUM(C245:C252)</f>
        <v>60</v>
      </c>
      <c r="D253" s="842">
        <f t="shared" si="93"/>
        <v>0.08253094911</v>
      </c>
      <c r="E253" s="843">
        <f t="shared" ref="E253:K253" si="97">SUM(E245:E252)</f>
        <v>22</v>
      </c>
      <c r="F253" s="843">
        <f t="shared" si="97"/>
        <v>11</v>
      </c>
      <c r="G253" s="815">
        <f t="shared" si="97"/>
        <v>12</v>
      </c>
      <c r="H253" s="843">
        <f t="shared" si="97"/>
        <v>15</v>
      </c>
      <c r="I253" s="843">
        <f t="shared" si="97"/>
        <v>17</v>
      </c>
      <c r="J253" s="843">
        <f t="shared" si="97"/>
        <v>4</v>
      </c>
      <c r="K253" s="843">
        <f t="shared" si="97"/>
        <v>8</v>
      </c>
      <c r="L253" s="385"/>
      <c r="M253" s="385"/>
      <c r="N253" s="385"/>
      <c r="O253" s="385"/>
      <c r="P253" s="385"/>
      <c r="Q253" s="385"/>
      <c r="R253" s="385"/>
      <c r="S253" s="385"/>
      <c r="T253" s="760"/>
      <c r="U253" s="760"/>
      <c r="V253" s="760"/>
      <c r="W253" s="760"/>
      <c r="X253" s="760"/>
      <c r="Y253" s="760"/>
      <c r="Z253" s="760"/>
      <c r="AA253" s="760"/>
      <c r="AB253" s="760"/>
      <c r="AC253" s="820">
        <f>SUM(AC245:AC252)</f>
        <v>1</v>
      </c>
      <c r="AD253" s="844">
        <f t="shared" si="94"/>
        <v>89</v>
      </c>
      <c r="AE253" s="845">
        <v>291.0</v>
      </c>
      <c r="AF253" s="846">
        <v>0.4</v>
      </c>
      <c r="AG253" s="820"/>
      <c r="AH253" s="820">
        <f t="shared" si="95"/>
        <v>33</v>
      </c>
      <c r="AI253" s="834"/>
      <c r="AJ253" s="847">
        <f>SUM(AJ245:AJ252)</f>
        <v>56</v>
      </c>
      <c r="AK253" s="848"/>
      <c r="AL253" s="848"/>
      <c r="AM253" s="848"/>
      <c r="AN253" s="848">
        <f t="shared" si="96"/>
        <v>0.3707865169</v>
      </c>
      <c r="AO253" s="760"/>
      <c r="AP253" s="760"/>
      <c r="AQ253" s="760"/>
      <c r="AR253" s="760"/>
      <c r="AS253" s="761"/>
      <c r="AT253" s="760"/>
    </row>
    <row r="254" ht="15.75" customHeight="1">
      <c r="A254" s="760"/>
      <c r="B254" s="760"/>
      <c r="C254" s="760"/>
      <c r="D254" s="760"/>
      <c r="E254" s="760"/>
      <c r="F254" s="760"/>
      <c r="G254" s="760"/>
      <c r="H254" s="760"/>
      <c r="I254" s="760"/>
      <c r="J254" s="760"/>
      <c r="K254" s="760"/>
      <c r="L254" s="760"/>
      <c r="M254" s="760"/>
      <c r="N254" s="760"/>
      <c r="O254" s="760"/>
      <c r="P254" s="760"/>
      <c r="Q254" s="760"/>
      <c r="R254" s="760"/>
      <c r="S254" s="760"/>
      <c r="T254" s="760"/>
      <c r="U254" s="760"/>
      <c r="V254" s="760"/>
      <c r="W254" s="760"/>
      <c r="X254" s="760"/>
      <c r="Y254" s="760"/>
      <c r="Z254" s="760"/>
      <c r="AA254" s="760"/>
      <c r="AB254" s="760"/>
      <c r="AC254" s="760"/>
      <c r="AD254" s="760"/>
      <c r="AE254" s="760"/>
      <c r="AF254" s="760"/>
      <c r="AG254" s="761"/>
      <c r="AH254" s="760"/>
      <c r="AI254" s="760"/>
      <c r="AJ254" s="760"/>
      <c r="AK254" s="760"/>
      <c r="AL254" s="760"/>
      <c r="AM254" s="760"/>
      <c r="AN254" s="760"/>
      <c r="AO254" s="760"/>
      <c r="AP254" s="760"/>
      <c r="AQ254" s="760"/>
      <c r="AR254" s="760"/>
      <c r="AS254" s="761"/>
      <c r="AT254" s="760"/>
    </row>
    <row r="255" ht="15.75" customHeight="1">
      <c r="A255" s="760"/>
      <c r="B255" s="760"/>
      <c r="C255" s="760"/>
      <c r="D255" s="760"/>
      <c r="E255" s="760"/>
      <c r="F255" s="760"/>
      <c r="G255" s="760"/>
      <c r="H255" s="760"/>
      <c r="I255" s="760"/>
      <c r="J255" s="760"/>
      <c r="K255" s="760"/>
      <c r="L255" s="760"/>
      <c r="M255" s="760"/>
      <c r="N255" s="760"/>
      <c r="O255" s="760"/>
      <c r="P255" s="760"/>
      <c r="Q255" s="760"/>
      <c r="R255" s="760"/>
      <c r="S255" s="760"/>
      <c r="T255" s="760"/>
      <c r="U255" s="760"/>
      <c r="V255" s="760"/>
      <c r="W255" s="760"/>
      <c r="X255" s="760"/>
      <c r="Y255" s="760"/>
      <c r="Z255" s="760"/>
      <c r="AA255" s="760"/>
      <c r="AB255" s="760"/>
      <c r="AC255" s="760"/>
      <c r="AD255" s="760"/>
      <c r="AE255" s="760"/>
      <c r="AF255" s="760"/>
      <c r="AG255" s="761"/>
      <c r="AH255" s="760"/>
      <c r="AI255" s="760"/>
      <c r="AJ255" s="760"/>
      <c r="AK255" s="760"/>
      <c r="AL255" s="760"/>
      <c r="AM255" s="760"/>
      <c r="AN255" s="760"/>
      <c r="AO255" s="760"/>
      <c r="AP255" s="760"/>
      <c r="AQ255" s="760"/>
      <c r="AR255" s="760"/>
      <c r="AS255" s="761"/>
      <c r="AT255" s="760"/>
    </row>
    <row r="256" ht="15.75" customHeight="1">
      <c r="A256" s="760"/>
      <c r="B256" s="760"/>
      <c r="C256" s="760"/>
      <c r="D256" s="760"/>
      <c r="E256" s="760"/>
      <c r="F256" s="760"/>
      <c r="G256" s="760"/>
      <c r="H256" s="760"/>
      <c r="I256" s="760"/>
      <c r="J256" s="760"/>
      <c r="K256" s="760"/>
      <c r="L256" s="760"/>
      <c r="M256" s="760"/>
      <c r="N256" s="760"/>
      <c r="O256" s="760"/>
      <c r="P256" s="760"/>
      <c r="Q256" s="760"/>
      <c r="R256" s="760"/>
      <c r="S256" s="760"/>
      <c r="T256" s="760"/>
      <c r="U256" s="760"/>
      <c r="V256" s="760"/>
      <c r="W256" s="760"/>
      <c r="X256" s="760"/>
      <c r="Y256" s="760"/>
      <c r="Z256" s="760"/>
      <c r="AA256" s="760"/>
      <c r="AB256" s="760"/>
      <c r="AC256" s="760"/>
      <c r="AD256" s="760"/>
      <c r="AE256" s="760"/>
      <c r="AF256" s="760"/>
      <c r="AG256" s="761"/>
      <c r="AH256" s="760"/>
      <c r="AI256" s="760"/>
      <c r="AJ256" s="760"/>
      <c r="AK256" s="760"/>
      <c r="AL256" s="760"/>
      <c r="AM256" s="760"/>
      <c r="AN256" s="760"/>
      <c r="AO256" s="760"/>
      <c r="AP256" s="760"/>
      <c r="AQ256" s="760"/>
      <c r="AR256" s="760"/>
      <c r="AS256" s="761"/>
      <c r="AT256" s="760"/>
    </row>
    <row r="257" ht="15.75" customHeight="1">
      <c r="A257" s="760"/>
      <c r="B257" s="760"/>
      <c r="C257" s="760"/>
      <c r="D257" s="760"/>
      <c r="E257" s="760"/>
      <c r="F257" s="760"/>
      <c r="G257" s="760"/>
      <c r="H257" s="760"/>
      <c r="I257" s="760"/>
      <c r="J257" s="760"/>
      <c r="K257" s="760"/>
      <c r="L257" s="760"/>
      <c r="M257" s="760"/>
      <c r="N257" s="760"/>
      <c r="O257" s="760"/>
      <c r="P257" s="760"/>
      <c r="Q257" s="760"/>
      <c r="R257" s="760"/>
      <c r="S257" s="760"/>
      <c r="T257" s="760"/>
      <c r="U257" s="760"/>
      <c r="V257" s="760"/>
      <c r="W257" s="760"/>
      <c r="X257" s="760"/>
      <c r="Y257" s="760"/>
      <c r="Z257" s="760"/>
      <c r="AA257" s="760"/>
      <c r="AB257" s="760"/>
      <c r="AC257" s="760"/>
      <c r="AD257" s="760"/>
      <c r="AE257" s="760"/>
      <c r="AF257" s="760"/>
      <c r="AG257" s="761"/>
      <c r="AH257" s="760"/>
      <c r="AI257" s="760"/>
      <c r="AJ257" s="760"/>
      <c r="AK257" s="760"/>
      <c r="AL257" s="760"/>
      <c r="AM257" s="760"/>
      <c r="AN257" s="760"/>
      <c r="AO257" s="760"/>
      <c r="AP257" s="760"/>
      <c r="AQ257" s="760"/>
      <c r="AR257" s="760"/>
      <c r="AS257" s="761"/>
      <c r="AT257" s="760"/>
    </row>
    <row r="258" ht="15.75" customHeight="1">
      <c r="A258" s="760"/>
      <c r="B258" s="760"/>
      <c r="C258" s="760"/>
      <c r="D258" s="760"/>
      <c r="E258" s="760"/>
      <c r="F258" s="760"/>
      <c r="G258" s="760"/>
      <c r="H258" s="760"/>
      <c r="I258" s="760"/>
      <c r="J258" s="760"/>
      <c r="K258" s="760"/>
      <c r="L258" s="760"/>
      <c r="M258" s="760"/>
      <c r="N258" s="760"/>
      <c r="O258" s="760"/>
      <c r="P258" s="760"/>
      <c r="Q258" s="760"/>
      <c r="R258" s="760"/>
      <c r="S258" s="760"/>
      <c r="T258" s="760"/>
      <c r="U258" s="760"/>
      <c r="V258" s="760"/>
      <c r="W258" s="760"/>
      <c r="X258" s="760"/>
      <c r="Y258" s="760"/>
      <c r="Z258" s="760"/>
      <c r="AA258" s="760"/>
      <c r="AB258" s="760"/>
      <c r="AC258" s="760"/>
      <c r="AD258" s="760"/>
      <c r="AE258" s="760"/>
      <c r="AF258" s="760"/>
      <c r="AG258" s="761"/>
      <c r="AH258" s="760"/>
      <c r="AI258" s="760"/>
      <c r="AJ258" s="760"/>
      <c r="AK258" s="760"/>
      <c r="AL258" s="760"/>
      <c r="AM258" s="760"/>
      <c r="AN258" s="760"/>
      <c r="AO258" s="760"/>
      <c r="AP258" s="760"/>
      <c r="AQ258" s="760"/>
      <c r="AR258" s="760"/>
      <c r="AS258" s="761"/>
      <c r="AT258" s="760"/>
    </row>
    <row r="259" ht="15.75" customHeight="1">
      <c r="A259" s="760"/>
      <c r="B259" s="760"/>
      <c r="C259" s="760"/>
      <c r="D259" s="760"/>
      <c r="E259" s="760"/>
      <c r="F259" s="760"/>
      <c r="G259" s="760"/>
      <c r="H259" s="760"/>
      <c r="I259" s="760"/>
      <c r="J259" s="760"/>
      <c r="K259" s="760"/>
      <c r="L259" s="760"/>
      <c r="M259" s="760"/>
      <c r="N259" s="760"/>
      <c r="O259" s="760"/>
      <c r="P259" s="760"/>
      <c r="Q259" s="760"/>
      <c r="R259" s="760"/>
      <c r="S259" s="760"/>
      <c r="T259" s="760"/>
      <c r="U259" s="760"/>
      <c r="V259" s="760"/>
      <c r="W259" s="760"/>
      <c r="X259" s="760"/>
      <c r="Y259" s="760"/>
      <c r="Z259" s="760"/>
      <c r="AA259" s="760"/>
      <c r="AB259" s="760"/>
      <c r="AC259" s="760"/>
      <c r="AD259" s="760"/>
      <c r="AE259" s="760"/>
      <c r="AF259" s="760"/>
      <c r="AG259" s="761"/>
      <c r="AH259" s="760"/>
      <c r="AI259" s="760"/>
      <c r="AJ259" s="760"/>
      <c r="AK259" s="760"/>
      <c r="AL259" s="760"/>
      <c r="AM259" s="760"/>
      <c r="AN259" s="760"/>
      <c r="AO259" s="760"/>
      <c r="AP259" s="760"/>
      <c r="AQ259" s="760"/>
      <c r="AR259" s="760"/>
      <c r="AS259" s="761"/>
      <c r="AT259" s="760"/>
    </row>
    <row r="260" ht="15.75" customHeight="1">
      <c r="A260" s="760"/>
      <c r="B260" s="760"/>
      <c r="C260" s="760"/>
      <c r="D260" s="760"/>
      <c r="E260" s="760"/>
      <c r="F260" s="760"/>
      <c r="G260" s="760"/>
      <c r="H260" s="760"/>
      <c r="I260" s="760"/>
      <c r="J260" s="760"/>
      <c r="K260" s="760"/>
      <c r="L260" s="760"/>
      <c r="M260" s="760"/>
      <c r="N260" s="760"/>
      <c r="O260" s="760"/>
      <c r="P260" s="760"/>
      <c r="Q260" s="760"/>
      <c r="R260" s="760"/>
      <c r="S260" s="760"/>
      <c r="T260" s="760"/>
      <c r="U260" s="760"/>
      <c r="V260" s="760"/>
      <c r="W260" s="760"/>
      <c r="X260" s="760"/>
      <c r="Y260" s="760"/>
      <c r="Z260" s="760"/>
      <c r="AA260" s="760"/>
      <c r="AB260" s="760"/>
      <c r="AC260" s="760"/>
      <c r="AD260" s="760"/>
      <c r="AE260" s="760"/>
      <c r="AF260" s="760"/>
      <c r="AG260" s="761"/>
      <c r="AH260" s="760"/>
      <c r="AI260" s="760"/>
      <c r="AJ260" s="760"/>
      <c r="AK260" s="760"/>
      <c r="AL260" s="760"/>
      <c r="AM260" s="760"/>
      <c r="AN260" s="760"/>
      <c r="AO260" s="760"/>
      <c r="AP260" s="760"/>
      <c r="AQ260" s="760"/>
      <c r="AR260" s="760"/>
      <c r="AS260" s="761"/>
      <c r="AT260" s="760"/>
    </row>
    <row r="261" ht="15.75" customHeight="1">
      <c r="A261" s="760"/>
      <c r="B261" s="760"/>
      <c r="C261" s="760"/>
      <c r="D261" s="760"/>
      <c r="E261" s="760"/>
      <c r="F261" s="760"/>
      <c r="G261" s="760"/>
      <c r="H261" s="760"/>
      <c r="I261" s="760"/>
      <c r="J261" s="760"/>
      <c r="K261" s="760"/>
      <c r="L261" s="760"/>
      <c r="M261" s="760"/>
      <c r="N261" s="760"/>
      <c r="O261" s="760"/>
      <c r="P261" s="760"/>
      <c r="Q261" s="760"/>
      <c r="R261" s="760"/>
      <c r="S261" s="760"/>
      <c r="T261" s="760"/>
      <c r="U261" s="760"/>
      <c r="V261" s="760"/>
      <c r="W261" s="760"/>
      <c r="X261" s="760"/>
      <c r="Y261" s="760"/>
      <c r="Z261" s="760"/>
      <c r="AA261" s="760"/>
      <c r="AB261" s="760"/>
      <c r="AC261" s="760"/>
      <c r="AD261" s="760"/>
      <c r="AE261" s="760"/>
      <c r="AF261" s="760"/>
      <c r="AG261" s="761"/>
      <c r="AH261" s="760"/>
      <c r="AI261" s="760"/>
      <c r="AJ261" s="760"/>
      <c r="AK261" s="760"/>
      <c r="AL261" s="760"/>
      <c r="AM261" s="760"/>
      <c r="AN261" s="760"/>
      <c r="AO261" s="760"/>
      <c r="AP261" s="760"/>
      <c r="AQ261" s="760"/>
      <c r="AR261" s="760"/>
      <c r="AS261" s="761"/>
      <c r="AT261" s="760"/>
    </row>
    <row r="262" ht="15.75" customHeight="1">
      <c r="A262" s="760"/>
      <c r="B262" s="760"/>
      <c r="C262" s="760"/>
      <c r="D262" s="760"/>
      <c r="E262" s="760"/>
      <c r="F262" s="760"/>
      <c r="G262" s="760"/>
      <c r="H262" s="760"/>
      <c r="I262" s="760"/>
      <c r="J262" s="760"/>
      <c r="K262" s="760"/>
      <c r="L262" s="760"/>
      <c r="M262" s="760"/>
      <c r="N262" s="760"/>
      <c r="O262" s="760"/>
      <c r="P262" s="760"/>
      <c r="Q262" s="760"/>
      <c r="R262" s="760"/>
      <c r="S262" s="760"/>
      <c r="T262" s="760"/>
      <c r="U262" s="760"/>
      <c r="V262" s="760"/>
      <c r="W262" s="760"/>
      <c r="X262" s="760"/>
      <c r="Y262" s="760"/>
      <c r="Z262" s="760"/>
      <c r="AA262" s="760"/>
      <c r="AB262" s="760"/>
      <c r="AC262" s="760"/>
      <c r="AD262" s="760"/>
      <c r="AE262" s="760"/>
      <c r="AF262" s="760"/>
      <c r="AG262" s="761"/>
      <c r="AH262" s="760"/>
      <c r="AI262" s="760"/>
      <c r="AJ262" s="760"/>
      <c r="AK262" s="760"/>
      <c r="AL262" s="760"/>
      <c r="AM262" s="760"/>
      <c r="AN262" s="760"/>
      <c r="AO262" s="760"/>
      <c r="AP262" s="760"/>
      <c r="AQ262" s="760"/>
      <c r="AR262" s="760"/>
      <c r="AS262" s="761"/>
      <c r="AT262" s="760"/>
    </row>
    <row r="263" ht="15.75" customHeight="1">
      <c r="A263" s="760"/>
      <c r="B263" s="760"/>
      <c r="C263" s="760"/>
      <c r="D263" s="760"/>
      <c r="E263" s="760"/>
      <c r="F263" s="760"/>
      <c r="G263" s="760"/>
      <c r="H263" s="760"/>
      <c r="I263" s="760"/>
      <c r="J263" s="760"/>
      <c r="K263" s="760"/>
      <c r="L263" s="760"/>
      <c r="M263" s="760"/>
      <c r="N263" s="760"/>
      <c r="O263" s="760"/>
      <c r="P263" s="760"/>
      <c r="Q263" s="760"/>
      <c r="R263" s="760"/>
      <c r="S263" s="760"/>
      <c r="T263" s="760"/>
      <c r="U263" s="760"/>
      <c r="V263" s="760"/>
      <c r="W263" s="760"/>
      <c r="X263" s="760"/>
      <c r="Y263" s="760"/>
      <c r="Z263" s="760"/>
      <c r="AA263" s="760"/>
      <c r="AB263" s="760"/>
      <c r="AC263" s="760"/>
      <c r="AD263" s="760"/>
      <c r="AE263" s="760"/>
      <c r="AF263" s="760"/>
      <c r="AG263" s="761"/>
      <c r="AH263" s="760"/>
      <c r="AI263" s="760"/>
      <c r="AJ263" s="760"/>
      <c r="AK263" s="760"/>
      <c r="AL263" s="760"/>
      <c r="AM263" s="760"/>
      <c r="AN263" s="760"/>
      <c r="AO263" s="760"/>
      <c r="AP263" s="760"/>
      <c r="AQ263" s="760"/>
      <c r="AR263" s="760"/>
      <c r="AS263" s="761"/>
      <c r="AT263" s="760"/>
    </row>
    <row r="264" ht="15.75" customHeight="1">
      <c r="A264" s="760"/>
      <c r="B264" s="760"/>
      <c r="C264" s="760"/>
      <c r="D264" s="760"/>
      <c r="E264" s="760"/>
      <c r="F264" s="760"/>
      <c r="G264" s="760"/>
      <c r="H264" s="760"/>
      <c r="I264" s="760"/>
      <c r="J264" s="760"/>
      <c r="K264" s="760"/>
      <c r="L264" s="760"/>
      <c r="M264" s="760"/>
      <c r="N264" s="760"/>
      <c r="O264" s="760"/>
      <c r="P264" s="760"/>
      <c r="Q264" s="760"/>
      <c r="R264" s="760"/>
      <c r="S264" s="760"/>
      <c r="T264" s="760"/>
      <c r="U264" s="760"/>
      <c r="V264" s="760"/>
      <c r="W264" s="760"/>
      <c r="X264" s="760"/>
      <c r="Y264" s="760"/>
      <c r="Z264" s="760"/>
      <c r="AA264" s="760"/>
      <c r="AB264" s="760"/>
      <c r="AC264" s="760"/>
      <c r="AD264" s="760"/>
      <c r="AE264" s="760"/>
      <c r="AF264" s="760"/>
      <c r="AG264" s="761"/>
      <c r="AH264" s="760"/>
      <c r="AI264" s="760"/>
      <c r="AJ264" s="760"/>
      <c r="AK264" s="760"/>
      <c r="AL264" s="760"/>
      <c r="AM264" s="760"/>
      <c r="AN264" s="760"/>
      <c r="AO264" s="760"/>
      <c r="AP264" s="760"/>
      <c r="AQ264" s="760"/>
      <c r="AR264" s="760"/>
      <c r="AS264" s="761"/>
      <c r="AT264" s="760"/>
    </row>
    <row r="265" ht="15.75" customHeight="1">
      <c r="A265" s="760"/>
      <c r="B265" s="760"/>
      <c r="C265" s="760"/>
      <c r="D265" s="760"/>
      <c r="E265" s="760"/>
      <c r="F265" s="760"/>
      <c r="G265" s="760"/>
      <c r="H265" s="760"/>
      <c r="I265" s="760"/>
      <c r="J265" s="760"/>
      <c r="K265" s="760"/>
      <c r="L265" s="760"/>
      <c r="M265" s="760"/>
      <c r="N265" s="760"/>
      <c r="O265" s="760"/>
      <c r="P265" s="760"/>
      <c r="Q265" s="760"/>
      <c r="R265" s="760"/>
      <c r="S265" s="760"/>
      <c r="T265" s="760"/>
      <c r="U265" s="760"/>
      <c r="V265" s="760"/>
      <c r="W265" s="760"/>
      <c r="X265" s="760"/>
      <c r="Y265" s="760"/>
      <c r="Z265" s="760"/>
      <c r="AA265" s="760"/>
      <c r="AB265" s="760"/>
      <c r="AC265" s="760"/>
      <c r="AD265" s="760"/>
      <c r="AE265" s="760"/>
      <c r="AF265" s="760"/>
      <c r="AG265" s="761"/>
      <c r="AH265" s="760"/>
      <c r="AI265" s="760"/>
      <c r="AJ265" s="760"/>
      <c r="AK265" s="760"/>
      <c r="AL265" s="760"/>
      <c r="AM265" s="760"/>
      <c r="AN265" s="760"/>
      <c r="AO265" s="760"/>
      <c r="AP265" s="760"/>
      <c r="AQ265" s="760"/>
      <c r="AR265" s="760"/>
      <c r="AS265" s="761"/>
      <c r="AT265" s="760"/>
    </row>
    <row r="266" ht="15.75" customHeight="1">
      <c r="A266" s="760"/>
      <c r="B266" s="760"/>
      <c r="C266" s="760"/>
      <c r="D266" s="760"/>
      <c r="E266" s="760"/>
      <c r="F266" s="760"/>
      <c r="G266" s="760"/>
      <c r="H266" s="760"/>
      <c r="I266" s="760"/>
      <c r="J266" s="760"/>
      <c r="K266" s="760"/>
      <c r="L266" s="760"/>
      <c r="M266" s="760"/>
      <c r="N266" s="760"/>
      <c r="O266" s="760"/>
      <c r="P266" s="760"/>
      <c r="Q266" s="760"/>
      <c r="R266" s="760"/>
      <c r="S266" s="760"/>
      <c r="T266" s="760"/>
      <c r="U266" s="760"/>
      <c r="V266" s="760"/>
      <c r="W266" s="760"/>
      <c r="X266" s="760"/>
      <c r="Y266" s="760"/>
      <c r="Z266" s="760"/>
      <c r="AA266" s="760"/>
      <c r="AB266" s="760"/>
      <c r="AC266" s="760"/>
      <c r="AD266" s="760"/>
      <c r="AE266" s="760"/>
      <c r="AF266" s="760"/>
      <c r="AG266" s="761"/>
      <c r="AH266" s="760"/>
      <c r="AI266" s="760"/>
      <c r="AJ266" s="760"/>
      <c r="AK266" s="760"/>
      <c r="AL266" s="760"/>
      <c r="AM266" s="760"/>
      <c r="AN266" s="760"/>
      <c r="AO266" s="760"/>
      <c r="AP266" s="760"/>
      <c r="AQ266" s="760"/>
      <c r="AR266" s="760"/>
      <c r="AS266" s="761"/>
      <c r="AT266" s="760"/>
    </row>
    <row r="267" ht="15.75" customHeight="1">
      <c r="A267" s="760"/>
      <c r="B267" s="760"/>
      <c r="C267" s="760"/>
      <c r="D267" s="760"/>
      <c r="E267" s="760"/>
      <c r="F267" s="760"/>
      <c r="G267" s="760"/>
      <c r="H267" s="760"/>
      <c r="I267" s="760"/>
      <c r="J267" s="760"/>
      <c r="K267" s="760"/>
      <c r="L267" s="760"/>
      <c r="M267" s="760"/>
      <c r="N267" s="760"/>
      <c r="O267" s="760"/>
      <c r="P267" s="760"/>
      <c r="Q267" s="760"/>
      <c r="R267" s="760"/>
      <c r="S267" s="760"/>
      <c r="T267" s="760"/>
      <c r="U267" s="760"/>
      <c r="V267" s="760"/>
      <c r="W267" s="760"/>
      <c r="X267" s="760"/>
      <c r="Y267" s="760"/>
      <c r="Z267" s="760"/>
      <c r="AA267" s="760"/>
      <c r="AB267" s="760"/>
      <c r="AC267" s="760"/>
      <c r="AD267" s="760"/>
      <c r="AE267" s="760"/>
      <c r="AF267" s="760"/>
      <c r="AG267" s="761"/>
      <c r="AH267" s="760"/>
      <c r="AI267" s="760"/>
      <c r="AJ267" s="760"/>
      <c r="AK267" s="760"/>
      <c r="AL267" s="760"/>
      <c r="AM267" s="760"/>
      <c r="AN267" s="760"/>
      <c r="AO267" s="760"/>
      <c r="AP267" s="760"/>
      <c r="AQ267" s="760"/>
      <c r="AR267" s="760"/>
      <c r="AS267" s="761"/>
      <c r="AT267" s="760"/>
    </row>
    <row r="268" ht="15.75" customHeight="1">
      <c r="A268" s="760"/>
      <c r="B268" s="760"/>
      <c r="C268" s="760"/>
      <c r="D268" s="760"/>
      <c r="E268" s="760"/>
      <c r="F268" s="760"/>
      <c r="G268" s="760"/>
      <c r="H268" s="760"/>
      <c r="I268" s="760"/>
      <c r="J268" s="760"/>
      <c r="K268" s="760"/>
      <c r="L268" s="760"/>
      <c r="M268" s="760"/>
      <c r="N268" s="760"/>
      <c r="O268" s="760"/>
      <c r="P268" s="760"/>
      <c r="Q268" s="760"/>
      <c r="R268" s="760"/>
      <c r="S268" s="760"/>
      <c r="T268" s="760"/>
      <c r="U268" s="760"/>
      <c r="V268" s="760"/>
      <c r="W268" s="760"/>
      <c r="X268" s="760"/>
      <c r="Y268" s="760"/>
      <c r="Z268" s="760"/>
      <c r="AA268" s="760"/>
      <c r="AB268" s="760"/>
      <c r="AC268" s="760"/>
      <c r="AD268" s="760"/>
      <c r="AE268" s="760"/>
      <c r="AF268" s="760"/>
      <c r="AG268" s="761"/>
      <c r="AH268" s="760"/>
      <c r="AI268" s="760"/>
      <c r="AJ268" s="760"/>
      <c r="AK268" s="760"/>
      <c r="AL268" s="760"/>
      <c r="AM268" s="760"/>
      <c r="AN268" s="760"/>
      <c r="AO268" s="760"/>
      <c r="AP268" s="760"/>
      <c r="AQ268" s="760"/>
      <c r="AR268" s="760"/>
      <c r="AS268" s="761"/>
      <c r="AT268" s="760"/>
    </row>
    <row r="269" ht="15.75" customHeight="1">
      <c r="A269" s="760"/>
      <c r="B269" s="760"/>
      <c r="C269" s="760"/>
      <c r="D269" s="760"/>
      <c r="E269" s="760"/>
      <c r="F269" s="760"/>
      <c r="G269" s="760"/>
      <c r="H269" s="760"/>
      <c r="I269" s="760"/>
      <c r="J269" s="760"/>
      <c r="K269" s="760"/>
      <c r="L269" s="760"/>
      <c r="M269" s="760"/>
      <c r="N269" s="760"/>
      <c r="O269" s="760"/>
      <c r="P269" s="760"/>
      <c r="Q269" s="760"/>
      <c r="R269" s="760"/>
      <c r="S269" s="760"/>
      <c r="T269" s="760"/>
      <c r="U269" s="760"/>
      <c r="V269" s="760"/>
      <c r="W269" s="760"/>
      <c r="X269" s="760"/>
      <c r="Y269" s="760"/>
      <c r="Z269" s="760"/>
      <c r="AA269" s="760"/>
      <c r="AB269" s="760"/>
      <c r="AC269" s="760"/>
      <c r="AD269" s="760"/>
      <c r="AE269" s="760"/>
      <c r="AF269" s="760"/>
      <c r="AG269" s="761"/>
      <c r="AH269" s="760"/>
      <c r="AI269" s="760"/>
      <c r="AJ269" s="760"/>
      <c r="AK269" s="760"/>
      <c r="AL269" s="760"/>
      <c r="AM269" s="760"/>
      <c r="AN269" s="760"/>
      <c r="AO269" s="760"/>
      <c r="AP269" s="760"/>
      <c r="AQ269" s="760"/>
      <c r="AR269" s="760"/>
      <c r="AS269" s="761"/>
      <c r="AT269" s="760"/>
    </row>
    <row r="270" ht="15.75" customHeight="1">
      <c r="A270" s="760"/>
      <c r="B270" s="760"/>
      <c r="C270" s="760"/>
      <c r="D270" s="760"/>
      <c r="E270" s="760"/>
      <c r="F270" s="760"/>
      <c r="G270" s="760"/>
      <c r="H270" s="760"/>
      <c r="I270" s="760"/>
      <c r="J270" s="760"/>
      <c r="K270" s="760"/>
      <c r="L270" s="760"/>
      <c r="M270" s="760"/>
      <c r="N270" s="760"/>
      <c r="O270" s="760"/>
      <c r="P270" s="760"/>
      <c r="Q270" s="760"/>
      <c r="R270" s="760"/>
      <c r="S270" s="760"/>
      <c r="T270" s="760"/>
      <c r="U270" s="760"/>
      <c r="V270" s="760"/>
      <c r="W270" s="760"/>
      <c r="X270" s="760"/>
      <c r="Y270" s="760"/>
      <c r="Z270" s="760"/>
      <c r="AA270" s="760"/>
      <c r="AB270" s="760"/>
      <c r="AC270" s="760"/>
      <c r="AD270" s="760"/>
      <c r="AE270" s="760"/>
      <c r="AF270" s="760"/>
      <c r="AG270" s="761"/>
      <c r="AH270" s="760"/>
      <c r="AI270" s="760"/>
      <c r="AJ270" s="760"/>
      <c r="AK270" s="760"/>
      <c r="AL270" s="760"/>
      <c r="AM270" s="760"/>
      <c r="AN270" s="760"/>
      <c r="AO270" s="760"/>
      <c r="AP270" s="760"/>
      <c r="AQ270" s="760"/>
      <c r="AR270" s="760"/>
      <c r="AS270" s="761"/>
      <c r="AT270" s="760"/>
    </row>
    <row r="271" ht="15.75" customHeight="1">
      <c r="A271" s="760"/>
      <c r="B271" s="760"/>
      <c r="C271" s="760"/>
      <c r="D271" s="760"/>
      <c r="E271" s="760"/>
      <c r="F271" s="760"/>
      <c r="G271" s="760"/>
      <c r="H271" s="760"/>
      <c r="I271" s="760"/>
      <c r="J271" s="760"/>
      <c r="K271" s="760"/>
      <c r="L271" s="760"/>
      <c r="M271" s="760"/>
      <c r="N271" s="760"/>
      <c r="O271" s="760"/>
      <c r="P271" s="760"/>
      <c r="Q271" s="760"/>
      <c r="R271" s="760"/>
      <c r="S271" s="760"/>
      <c r="T271" s="760"/>
      <c r="U271" s="760"/>
      <c r="V271" s="760"/>
      <c r="W271" s="760"/>
      <c r="X271" s="760"/>
      <c r="Y271" s="760"/>
      <c r="Z271" s="760"/>
      <c r="AA271" s="760"/>
      <c r="AB271" s="760"/>
      <c r="AC271" s="760"/>
      <c r="AD271" s="760"/>
      <c r="AE271" s="760"/>
      <c r="AF271" s="760"/>
      <c r="AG271" s="761"/>
      <c r="AH271" s="760"/>
      <c r="AI271" s="760"/>
      <c r="AJ271" s="760"/>
      <c r="AK271" s="760"/>
      <c r="AL271" s="760"/>
      <c r="AM271" s="760"/>
      <c r="AN271" s="760"/>
      <c r="AO271" s="760"/>
      <c r="AP271" s="760"/>
      <c r="AQ271" s="760"/>
      <c r="AR271" s="760"/>
      <c r="AS271" s="761"/>
      <c r="AT271" s="760"/>
    </row>
    <row r="272" ht="15.75" customHeight="1">
      <c r="A272" s="760"/>
      <c r="B272" s="760"/>
      <c r="C272" s="760"/>
      <c r="D272" s="760"/>
      <c r="E272" s="760"/>
      <c r="F272" s="760"/>
      <c r="G272" s="760"/>
      <c r="H272" s="760"/>
      <c r="I272" s="760"/>
      <c r="J272" s="760"/>
      <c r="K272" s="760"/>
      <c r="L272" s="760"/>
      <c r="M272" s="760"/>
      <c r="N272" s="760"/>
      <c r="O272" s="760"/>
      <c r="P272" s="760"/>
      <c r="Q272" s="760"/>
      <c r="R272" s="760"/>
      <c r="S272" s="760"/>
      <c r="T272" s="760"/>
      <c r="U272" s="760"/>
      <c r="V272" s="760"/>
      <c r="W272" s="760"/>
      <c r="X272" s="760"/>
      <c r="Y272" s="760"/>
      <c r="Z272" s="760"/>
      <c r="AA272" s="760"/>
      <c r="AB272" s="760"/>
      <c r="AC272" s="760"/>
      <c r="AD272" s="760"/>
      <c r="AE272" s="760"/>
      <c r="AF272" s="760"/>
      <c r="AG272" s="761"/>
      <c r="AH272" s="760"/>
      <c r="AI272" s="760"/>
      <c r="AJ272" s="760"/>
      <c r="AK272" s="760"/>
      <c r="AL272" s="760"/>
      <c r="AM272" s="760"/>
      <c r="AN272" s="760"/>
      <c r="AO272" s="760"/>
      <c r="AP272" s="760"/>
      <c r="AQ272" s="760"/>
      <c r="AR272" s="760"/>
      <c r="AS272" s="761"/>
      <c r="AT272" s="760"/>
    </row>
    <row r="273" ht="15.75" customHeight="1">
      <c r="A273" s="760"/>
      <c r="B273" s="760"/>
      <c r="C273" s="760"/>
      <c r="D273" s="760"/>
      <c r="E273" s="760"/>
      <c r="F273" s="760"/>
      <c r="G273" s="760"/>
      <c r="H273" s="760"/>
      <c r="I273" s="760"/>
      <c r="J273" s="760"/>
      <c r="K273" s="760"/>
      <c r="L273" s="760"/>
      <c r="M273" s="760"/>
      <c r="N273" s="760"/>
      <c r="O273" s="760"/>
      <c r="P273" s="760"/>
      <c r="Q273" s="760"/>
      <c r="R273" s="760"/>
      <c r="S273" s="760"/>
      <c r="T273" s="760"/>
      <c r="U273" s="760"/>
      <c r="V273" s="760"/>
      <c r="W273" s="760"/>
      <c r="X273" s="760"/>
      <c r="Y273" s="760"/>
      <c r="Z273" s="760"/>
      <c r="AA273" s="760"/>
      <c r="AB273" s="760"/>
      <c r="AC273" s="760"/>
      <c r="AD273" s="760"/>
      <c r="AE273" s="760"/>
      <c r="AF273" s="760"/>
      <c r="AG273" s="761"/>
      <c r="AH273" s="760"/>
      <c r="AI273" s="760"/>
      <c r="AJ273" s="760"/>
      <c r="AK273" s="760"/>
      <c r="AL273" s="760"/>
      <c r="AM273" s="760"/>
      <c r="AN273" s="760"/>
      <c r="AO273" s="760"/>
      <c r="AP273" s="760"/>
      <c r="AQ273" s="760"/>
      <c r="AR273" s="760"/>
      <c r="AS273" s="761"/>
      <c r="AT273" s="760"/>
    </row>
    <row r="274" ht="15.75" customHeight="1">
      <c r="A274" s="760"/>
      <c r="B274" s="760"/>
      <c r="C274" s="760"/>
      <c r="D274" s="760"/>
      <c r="E274" s="760"/>
      <c r="F274" s="760"/>
      <c r="G274" s="760"/>
      <c r="H274" s="760"/>
      <c r="I274" s="760"/>
      <c r="J274" s="760"/>
      <c r="K274" s="760"/>
      <c r="L274" s="760"/>
      <c r="M274" s="760"/>
      <c r="N274" s="760"/>
      <c r="O274" s="760"/>
      <c r="P274" s="760"/>
      <c r="Q274" s="760"/>
      <c r="R274" s="760"/>
      <c r="S274" s="760"/>
      <c r="T274" s="760"/>
      <c r="U274" s="760"/>
      <c r="V274" s="760"/>
      <c r="W274" s="760"/>
      <c r="X274" s="760"/>
      <c r="Y274" s="760"/>
      <c r="Z274" s="760"/>
      <c r="AA274" s="760"/>
      <c r="AB274" s="760"/>
      <c r="AC274" s="760"/>
      <c r="AD274" s="760"/>
      <c r="AE274" s="760"/>
      <c r="AF274" s="760"/>
      <c r="AG274" s="761"/>
      <c r="AH274" s="760"/>
      <c r="AI274" s="760"/>
      <c r="AJ274" s="760"/>
      <c r="AK274" s="760"/>
      <c r="AL274" s="760"/>
      <c r="AM274" s="760"/>
      <c r="AN274" s="760"/>
      <c r="AO274" s="760"/>
      <c r="AP274" s="760"/>
      <c r="AQ274" s="760"/>
      <c r="AR274" s="760"/>
      <c r="AS274" s="761"/>
      <c r="AT274" s="760"/>
    </row>
    <row r="275" ht="15.75" customHeight="1">
      <c r="A275" s="760"/>
      <c r="B275" s="760"/>
      <c r="C275" s="760"/>
      <c r="D275" s="760"/>
      <c r="E275" s="760"/>
      <c r="F275" s="760"/>
      <c r="G275" s="760"/>
      <c r="H275" s="760"/>
      <c r="I275" s="760"/>
      <c r="J275" s="760"/>
      <c r="K275" s="760"/>
      <c r="L275" s="760"/>
      <c r="M275" s="760"/>
      <c r="N275" s="760"/>
      <c r="O275" s="760"/>
      <c r="P275" s="760"/>
      <c r="Q275" s="760"/>
      <c r="R275" s="760"/>
      <c r="S275" s="760"/>
      <c r="T275" s="760"/>
      <c r="U275" s="760"/>
      <c r="V275" s="760"/>
      <c r="W275" s="760"/>
      <c r="X275" s="760"/>
      <c r="Y275" s="760"/>
      <c r="Z275" s="760"/>
      <c r="AA275" s="760"/>
      <c r="AB275" s="760"/>
      <c r="AC275" s="760"/>
      <c r="AD275" s="760"/>
      <c r="AE275" s="760"/>
      <c r="AF275" s="760"/>
      <c r="AG275" s="761"/>
      <c r="AH275" s="760"/>
      <c r="AI275" s="760"/>
      <c r="AJ275" s="760"/>
      <c r="AK275" s="760"/>
      <c r="AL275" s="760"/>
      <c r="AM275" s="760"/>
      <c r="AN275" s="760"/>
      <c r="AO275" s="760"/>
      <c r="AP275" s="760"/>
      <c r="AQ275" s="760"/>
      <c r="AR275" s="760"/>
      <c r="AS275" s="761"/>
      <c r="AT275" s="760"/>
    </row>
    <row r="276" ht="15.75" customHeight="1">
      <c r="A276" s="760"/>
      <c r="B276" s="760"/>
      <c r="C276" s="760"/>
      <c r="D276" s="760"/>
      <c r="E276" s="760"/>
      <c r="F276" s="760"/>
      <c r="G276" s="760"/>
      <c r="H276" s="760"/>
      <c r="I276" s="760"/>
      <c r="J276" s="760"/>
      <c r="K276" s="760"/>
      <c r="L276" s="760"/>
      <c r="M276" s="760"/>
      <c r="N276" s="760"/>
      <c r="O276" s="760"/>
      <c r="P276" s="760"/>
      <c r="Q276" s="760"/>
      <c r="R276" s="760"/>
      <c r="S276" s="760"/>
      <c r="T276" s="760"/>
      <c r="U276" s="760"/>
      <c r="V276" s="760"/>
      <c r="W276" s="760"/>
      <c r="X276" s="760"/>
      <c r="Y276" s="760"/>
      <c r="Z276" s="760"/>
      <c r="AA276" s="760"/>
      <c r="AB276" s="760"/>
      <c r="AC276" s="760"/>
      <c r="AD276" s="760"/>
      <c r="AE276" s="760"/>
      <c r="AF276" s="760"/>
      <c r="AG276" s="761"/>
      <c r="AH276" s="760"/>
      <c r="AI276" s="760"/>
      <c r="AJ276" s="760"/>
      <c r="AK276" s="760"/>
      <c r="AL276" s="760"/>
      <c r="AM276" s="760"/>
      <c r="AN276" s="760"/>
      <c r="AO276" s="760"/>
      <c r="AP276" s="760"/>
      <c r="AQ276" s="760"/>
      <c r="AR276" s="760"/>
      <c r="AS276" s="761"/>
      <c r="AT276" s="760"/>
    </row>
    <row r="277" ht="15.75" customHeight="1">
      <c r="A277" s="760"/>
      <c r="B277" s="760"/>
      <c r="C277" s="760"/>
      <c r="D277" s="760"/>
      <c r="E277" s="760"/>
      <c r="F277" s="760"/>
      <c r="G277" s="760"/>
      <c r="H277" s="760"/>
      <c r="I277" s="760"/>
      <c r="J277" s="760"/>
      <c r="K277" s="760"/>
      <c r="L277" s="760"/>
      <c r="M277" s="760"/>
      <c r="N277" s="760"/>
      <c r="O277" s="760"/>
      <c r="P277" s="760"/>
      <c r="Q277" s="760"/>
      <c r="R277" s="760"/>
      <c r="S277" s="760"/>
      <c r="T277" s="760"/>
      <c r="U277" s="760"/>
      <c r="V277" s="760"/>
      <c r="W277" s="760"/>
      <c r="X277" s="760"/>
      <c r="Y277" s="760"/>
      <c r="Z277" s="760"/>
      <c r="AA277" s="760"/>
      <c r="AB277" s="760"/>
      <c r="AC277" s="760"/>
      <c r="AD277" s="760"/>
      <c r="AE277" s="760"/>
      <c r="AF277" s="760"/>
      <c r="AG277" s="761"/>
      <c r="AH277" s="760"/>
      <c r="AI277" s="760"/>
      <c r="AJ277" s="760"/>
      <c r="AK277" s="760"/>
      <c r="AL277" s="760"/>
      <c r="AM277" s="760"/>
      <c r="AN277" s="760"/>
      <c r="AO277" s="760"/>
      <c r="AP277" s="760"/>
      <c r="AQ277" s="760"/>
      <c r="AR277" s="760"/>
      <c r="AS277" s="761"/>
      <c r="AT277" s="760"/>
    </row>
    <row r="278" ht="15.75" customHeight="1">
      <c r="A278" s="760"/>
      <c r="B278" s="760"/>
      <c r="C278" s="760"/>
      <c r="D278" s="760"/>
      <c r="E278" s="760"/>
      <c r="F278" s="760"/>
      <c r="G278" s="760"/>
      <c r="H278" s="760"/>
      <c r="I278" s="760"/>
      <c r="J278" s="760"/>
      <c r="K278" s="760"/>
      <c r="L278" s="760"/>
      <c r="M278" s="760"/>
      <c r="N278" s="760"/>
      <c r="O278" s="760"/>
      <c r="P278" s="760"/>
      <c r="Q278" s="760"/>
      <c r="R278" s="760"/>
      <c r="S278" s="760"/>
      <c r="T278" s="760"/>
      <c r="U278" s="760"/>
      <c r="V278" s="760"/>
      <c r="W278" s="760"/>
      <c r="X278" s="760"/>
      <c r="Y278" s="760"/>
      <c r="Z278" s="760"/>
      <c r="AA278" s="760"/>
      <c r="AB278" s="760"/>
      <c r="AC278" s="760"/>
      <c r="AD278" s="760"/>
      <c r="AE278" s="760"/>
      <c r="AF278" s="760"/>
      <c r="AG278" s="761"/>
      <c r="AH278" s="760"/>
      <c r="AI278" s="760"/>
      <c r="AJ278" s="760"/>
      <c r="AK278" s="760"/>
      <c r="AL278" s="760"/>
      <c r="AM278" s="760"/>
      <c r="AN278" s="760"/>
      <c r="AO278" s="760"/>
      <c r="AP278" s="760"/>
      <c r="AQ278" s="760"/>
      <c r="AR278" s="760"/>
      <c r="AS278" s="761"/>
      <c r="AT278" s="760"/>
    </row>
    <row r="279" ht="15.75" customHeight="1">
      <c r="A279" s="760"/>
      <c r="B279" s="760"/>
      <c r="C279" s="760"/>
      <c r="D279" s="760"/>
      <c r="E279" s="760"/>
      <c r="F279" s="760"/>
      <c r="G279" s="760"/>
      <c r="H279" s="760"/>
      <c r="I279" s="760"/>
      <c r="J279" s="760"/>
      <c r="K279" s="760"/>
      <c r="L279" s="760"/>
      <c r="M279" s="760"/>
      <c r="N279" s="760"/>
      <c r="O279" s="760"/>
      <c r="P279" s="760"/>
      <c r="Q279" s="760"/>
      <c r="R279" s="760"/>
      <c r="S279" s="760"/>
      <c r="T279" s="760"/>
      <c r="U279" s="760"/>
      <c r="V279" s="760"/>
      <c r="W279" s="760"/>
      <c r="X279" s="760"/>
      <c r="Y279" s="760"/>
      <c r="Z279" s="760"/>
      <c r="AA279" s="760"/>
      <c r="AB279" s="760"/>
      <c r="AC279" s="760"/>
      <c r="AD279" s="760"/>
      <c r="AE279" s="760"/>
      <c r="AF279" s="760"/>
      <c r="AG279" s="761"/>
      <c r="AH279" s="760"/>
      <c r="AI279" s="760"/>
      <c r="AJ279" s="760"/>
      <c r="AK279" s="760"/>
      <c r="AL279" s="760"/>
      <c r="AM279" s="760"/>
      <c r="AN279" s="760"/>
      <c r="AO279" s="760"/>
      <c r="AP279" s="760"/>
      <c r="AQ279" s="760"/>
      <c r="AR279" s="760"/>
      <c r="AS279" s="761"/>
      <c r="AT279" s="760"/>
    </row>
    <row r="280" ht="15.75" customHeight="1">
      <c r="A280" s="760"/>
      <c r="B280" s="760"/>
      <c r="C280" s="760"/>
      <c r="D280" s="760"/>
      <c r="E280" s="760"/>
      <c r="F280" s="760"/>
      <c r="G280" s="760"/>
      <c r="H280" s="760"/>
      <c r="I280" s="760"/>
      <c r="J280" s="760"/>
      <c r="K280" s="760"/>
      <c r="L280" s="760"/>
      <c r="M280" s="760"/>
      <c r="N280" s="760"/>
      <c r="O280" s="760"/>
      <c r="P280" s="760"/>
      <c r="Q280" s="760"/>
      <c r="R280" s="760"/>
      <c r="S280" s="760"/>
      <c r="T280" s="760"/>
      <c r="U280" s="760"/>
      <c r="V280" s="760"/>
      <c r="W280" s="760"/>
      <c r="X280" s="760"/>
      <c r="Y280" s="760"/>
      <c r="Z280" s="760"/>
      <c r="AA280" s="760"/>
      <c r="AB280" s="760"/>
      <c r="AC280" s="760"/>
      <c r="AD280" s="760"/>
      <c r="AE280" s="760"/>
      <c r="AF280" s="760"/>
      <c r="AG280" s="761"/>
      <c r="AH280" s="760"/>
      <c r="AI280" s="760"/>
      <c r="AJ280" s="760"/>
      <c r="AK280" s="760"/>
      <c r="AL280" s="760"/>
      <c r="AM280" s="760"/>
      <c r="AN280" s="760"/>
      <c r="AO280" s="760"/>
      <c r="AP280" s="760"/>
      <c r="AQ280" s="760"/>
      <c r="AR280" s="760"/>
      <c r="AS280" s="761"/>
      <c r="AT280" s="760"/>
    </row>
    <row r="281" ht="15.75" customHeight="1">
      <c r="A281" s="760"/>
      <c r="B281" s="760"/>
      <c r="C281" s="760"/>
      <c r="D281" s="760"/>
      <c r="E281" s="760"/>
      <c r="F281" s="760"/>
      <c r="G281" s="760"/>
      <c r="H281" s="760"/>
      <c r="I281" s="760"/>
      <c r="J281" s="760"/>
      <c r="K281" s="760"/>
      <c r="L281" s="760"/>
      <c r="M281" s="760"/>
      <c r="N281" s="760"/>
      <c r="O281" s="760"/>
      <c r="P281" s="760"/>
      <c r="Q281" s="760"/>
      <c r="R281" s="760"/>
      <c r="S281" s="760"/>
      <c r="T281" s="760"/>
      <c r="U281" s="760"/>
      <c r="V281" s="760"/>
      <c r="W281" s="760"/>
      <c r="X281" s="760"/>
      <c r="Y281" s="760"/>
      <c r="Z281" s="760"/>
      <c r="AA281" s="760"/>
      <c r="AB281" s="760"/>
      <c r="AC281" s="760"/>
      <c r="AD281" s="760"/>
      <c r="AE281" s="760"/>
      <c r="AF281" s="760"/>
      <c r="AG281" s="761"/>
      <c r="AH281" s="760"/>
      <c r="AI281" s="760"/>
      <c r="AJ281" s="760"/>
      <c r="AK281" s="760"/>
      <c r="AL281" s="760"/>
      <c r="AM281" s="760"/>
      <c r="AN281" s="760"/>
      <c r="AO281" s="760"/>
      <c r="AP281" s="760"/>
      <c r="AQ281" s="760"/>
      <c r="AR281" s="760"/>
      <c r="AS281" s="761"/>
      <c r="AT281" s="760"/>
    </row>
    <row r="282" ht="15.75" customHeight="1">
      <c r="A282" s="760"/>
      <c r="B282" s="760"/>
      <c r="C282" s="760"/>
      <c r="D282" s="760"/>
      <c r="E282" s="760"/>
      <c r="F282" s="760"/>
      <c r="G282" s="760"/>
      <c r="H282" s="760"/>
      <c r="I282" s="760"/>
      <c r="J282" s="760"/>
      <c r="K282" s="760"/>
      <c r="L282" s="760"/>
      <c r="M282" s="760"/>
      <c r="N282" s="760"/>
      <c r="O282" s="760"/>
      <c r="P282" s="760"/>
      <c r="Q282" s="760"/>
      <c r="R282" s="760"/>
      <c r="S282" s="760"/>
      <c r="T282" s="760"/>
      <c r="U282" s="760"/>
      <c r="V282" s="760"/>
      <c r="W282" s="760"/>
      <c r="X282" s="760"/>
      <c r="Y282" s="760"/>
      <c r="Z282" s="760"/>
      <c r="AA282" s="760"/>
      <c r="AB282" s="760"/>
      <c r="AC282" s="760"/>
      <c r="AD282" s="760"/>
      <c r="AE282" s="760"/>
      <c r="AF282" s="760"/>
      <c r="AG282" s="761"/>
      <c r="AH282" s="760"/>
      <c r="AI282" s="760"/>
      <c r="AJ282" s="760"/>
      <c r="AK282" s="760"/>
      <c r="AL282" s="760"/>
      <c r="AM282" s="760"/>
      <c r="AN282" s="760"/>
      <c r="AO282" s="760"/>
      <c r="AP282" s="760"/>
      <c r="AQ282" s="760"/>
      <c r="AR282" s="760"/>
      <c r="AS282" s="761"/>
      <c r="AT282" s="760"/>
    </row>
    <row r="283" ht="15.75" customHeight="1">
      <c r="A283" s="760"/>
      <c r="B283" s="760"/>
      <c r="C283" s="760"/>
      <c r="D283" s="760"/>
      <c r="E283" s="760"/>
      <c r="F283" s="760"/>
      <c r="G283" s="760"/>
      <c r="H283" s="760"/>
      <c r="I283" s="760"/>
      <c r="J283" s="760"/>
      <c r="K283" s="760"/>
      <c r="L283" s="760"/>
      <c r="M283" s="760"/>
      <c r="N283" s="760"/>
      <c r="O283" s="760"/>
      <c r="P283" s="760"/>
      <c r="Q283" s="760"/>
      <c r="R283" s="760"/>
      <c r="S283" s="760"/>
      <c r="T283" s="760"/>
      <c r="U283" s="760"/>
      <c r="V283" s="760"/>
      <c r="W283" s="760"/>
      <c r="X283" s="760"/>
      <c r="Y283" s="760"/>
      <c r="Z283" s="760"/>
      <c r="AA283" s="760"/>
      <c r="AB283" s="760"/>
      <c r="AC283" s="760"/>
      <c r="AD283" s="760"/>
      <c r="AE283" s="760"/>
      <c r="AF283" s="760"/>
      <c r="AG283" s="761"/>
      <c r="AH283" s="760"/>
      <c r="AI283" s="760"/>
      <c r="AJ283" s="760"/>
      <c r="AK283" s="760"/>
      <c r="AL283" s="760"/>
      <c r="AM283" s="760"/>
      <c r="AN283" s="760"/>
      <c r="AO283" s="760"/>
      <c r="AP283" s="760"/>
      <c r="AQ283" s="760"/>
      <c r="AR283" s="760"/>
      <c r="AS283" s="761"/>
      <c r="AT283" s="760"/>
    </row>
    <row r="284" ht="15.75" customHeight="1">
      <c r="A284" s="760"/>
      <c r="B284" s="760"/>
      <c r="C284" s="760"/>
      <c r="D284" s="760"/>
      <c r="E284" s="760"/>
      <c r="F284" s="760"/>
      <c r="G284" s="760"/>
      <c r="H284" s="760"/>
      <c r="I284" s="760"/>
      <c r="J284" s="760"/>
      <c r="K284" s="760"/>
      <c r="L284" s="760"/>
      <c r="M284" s="760"/>
      <c r="N284" s="760"/>
      <c r="O284" s="760"/>
      <c r="P284" s="760"/>
      <c r="Q284" s="760"/>
      <c r="R284" s="760"/>
      <c r="S284" s="760"/>
      <c r="T284" s="760"/>
      <c r="U284" s="760"/>
      <c r="V284" s="760"/>
      <c r="W284" s="760"/>
      <c r="X284" s="760"/>
      <c r="Y284" s="760"/>
      <c r="Z284" s="760"/>
      <c r="AA284" s="760"/>
      <c r="AB284" s="760"/>
      <c r="AC284" s="760"/>
      <c r="AD284" s="760"/>
      <c r="AE284" s="760"/>
      <c r="AF284" s="760"/>
      <c r="AG284" s="761"/>
      <c r="AH284" s="760"/>
      <c r="AI284" s="760"/>
      <c r="AJ284" s="760"/>
      <c r="AK284" s="760"/>
      <c r="AL284" s="760"/>
      <c r="AM284" s="760"/>
      <c r="AN284" s="760"/>
      <c r="AO284" s="760"/>
      <c r="AP284" s="760"/>
      <c r="AQ284" s="760"/>
      <c r="AR284" s="760"/>
      <c r="AS284" s="761"/>
      <c r="AT284" s="760"/>
    </row>
    <row r="285" ht="15.75" customHeight="1">
      <c r="A285" s="760"/>
      <c r="B285" s="760"/>
      <c r="C285" s="760"/>
      <c r="D285" s="760"/>
      <c r="E285" s="760"/>
      <c r="F285" s="760"/>
      <c r="G285" s="760"/>
      <c r="H285" s="760"/>
      <c r="I285" s="760"/>
      <c r="J285" s="760"/>
      <c r="K285" s="760"/>
      <c r="L285" s="760"/>
      <c r="M285" s="760"/>
      <c r="N285" s="760"/>
      <c r="O285" s="760"/>
      <c r="P285" s="760"/>
      <c r="Q285" s="760"/>
      <c r="R285" s="760"/>
      <c r="S285" s="760"/>
      <c r="T285" s="760"/>
      <c r="U285" s="760"/>
      <c r="V285" s="760"/>
      <c r="W285" s="760"/>
      <c r="X285" s="760"/>
      <c r="Y285" s="760"/>
      <c r="Z285" s="760"/>
      <c r="AA285" s="760"/>
      <c r="AB285" s="760"/>
      <c r="AC285" s="760"/>
      <c r="AD285" s="760"/>
      <c r="AE285" s="760"/>
      <c r="AF285" s="760"/>
      <c r="AG285" s="761"/>
      <c r="AH285" s="760"/>
      <c r="AI285" s="760"/>
      <c r="AJ285" s="760"/>
      <c r="AK285" s="760"/>
      <c r="AL285" s="760"/>
      <c r="AM285" s="760"/>
      <c r="AN285" s="760"/>
      <c r="AO285" s="760"/>
      <c r="AP285" s="760"/>
      <c r="AQ285" s="760"/>
      <c r="AR285" s="760"/>
      <c r="AS285" s="761"/>
      <c r="AT285" s="760"/>
    </row>
    <row r="286" ht="15.75" customHeight="1">
      <c r="A286" s="760"/>
      <c r="B286" s="760"/>
      <c r="C286" s="760"/>
      <c r="D286" s="760"/>
      <c r="E286" s="760"/>
      <c r="F286" s="760"/>
      <c r="G286" s="760"/>
      <c r="H286" s="760"/>
      <c r="I286" s="760"/>
      <c r="J286" s="760"/>
      <c r="K286" s="760"/>
      <c r="L286" s="760"/>
      <c r="M286" s="760"/>
      <c r="N286" s="760"/>
      <c r="O286" s="760"/>
      <c r="P286" s="760"/>
      <c r="Q286" s="760"/>
      <c r="R286" s="760"/>
      <c r="S286" s="760"/>
      <c r="T286" s="760"/>
      <c r="U286" s="760"/>
      <c r="V286" s="760"/>
      <c r="W286" s="760"/>
      <c r="X286" s="760"/>
      <c r="Y286" s="760"/>
      <c r="Z286" s="760"/>
      <c r="AA286" s="760"/>
      <c r="AB286" s="760"/>
      <c r="AC286" s="760"/>
      <c r="AD286" s="760"/>
      <c r="AE286" s="760"/>
      <c r="AF286" s="760"/>
      <c r="AG286" s="761"/>
      <c r="AH286" s="760"/>
      <c r="AI286" s="760"/>
      <c r="AJ286" s="760"/>
      <c r="AK286" s="760"/>
      <c r="AL286" s="760"/>
      <c r="AM286" s="760"/>
      <c r="AN286" s="760"/>
      <c r="AO286" s="760"/>
      <c r="AP286" s="760"/>
      <c r="AQ286" s="760"/>
      <c r="AR286" s="760"/>
      <c r="AS286" s="761"/>
      <c r="AT286" s="760"/>
    </row>
    <row r="287" ht="15.75" customHeight="1">
      <c r="A287" s="760"/>
      <c r="B287" s="760"/>
      <c r="C287" s="760"/>
      <c r="D287" s="760"/>
      <c r="E287" s="760"/>
      <c r="F287" s="760"/>
      <c r="G287" s="760"/>
      <c r="H287" s="760"/>
      <c r="I287" s="760"/>
      <c r="J287" s="760"/>
      <c r="K287" s="760"/>
      <c r="L287" s="760"/>
      <c r="M287" s="760"/>
      <c r="N287" s="760"/>
      <c r="O287" s="760"/>
      <c r="P287" s="760"/>
      <c r="Q287" s="760"/>
      <c r="R287" s="760"/>
      <c r="S287" s="760"/>
      <c r="T287" s="760"/>
      <c r="U287" s="760"/>
      <c r="V287" s="760"/>
      <c r="W287" s="760"/>
      <c r="X287" s="760"/>
      <c r="Y287" s="760"/>
      <c r="Z287" s="760"/>
      <c r="AA287" s="760"/>
      <c r="AB287" s="760"/>
      <c r="AC287" s="760"/>
      <c r="AD287" s="760"/>
      <c r="AE287" s="760"/>
      <c r="AF287" s="760"/>
      <c r="AG287" s="761"/>
      <c r="AH287" s="760"/>
      <c r="AI287" s="760"/>
      <c r="AJ287" s="760"/>
      <c r="AK287" s="760"/>
      <c r="AL287" s="760"/>
      <c r="AM287" s="760"/>
      <c r="AN287" s="760"/>
      <c r="AO287" s="760"/>
      <c r="AP287" s="760"/>
      <c r="AQ287" s="760"/>
      <c r="AR287" s="760"/>
      <c r="AS287" s="761"/>
      <c r="AT287" s="760"/>
    </row>
    <row r="288" ht="15.75" customHeight="1">
      <c r="A288" s="760"/>
      <c r="B288" s="760"/>
      <c r="C288" s="760"/>
      <c r="D288" s="760"/>
      <c r="E288" s="760"/>
      <c r="F288" s="760"/>
      <c r="G288" s="760"/>
      <c r="H288" s="760"/>
      <c r="I288" s="760"/>
      <c r="J288" s="760"/>
      <c r="K288" s="760"/>
      <c r="L288" s="760"/>
      <c r="M288" s="760"/>
      <c r="N288" s="760"/>
      <c r="O288" s="760"/>
      <c r="P288" s="760"/>
      <c r="Q288" s="760"/>
      <c r="R288" s="760"/>
      <c r="S288" s="760"/>
      <c r="T288" s="760"/>
      <c r="U288" s="760"/>
      <c r="V288" s="760"/>
      <c r="W288" s="760"/>
      <c r="X288" s="760"/>
      <c r="Y288" s="760"/>
      <c r="Z288" s="760"/>
      <c r="AA288" s="760"/>
      <c r="AB288" s="760"/>
      <c r="AC288" s="760"/>
      <c r="AD288" s="760"/>
      <c r="AE288" s="760"/>
      <c r="AF288" s="760"/>
      <c r="AG288" s="761"/>
      <c r="AH288" s="760"/>
      <c r="AI288" s="760"/>
      <c r="AJ288" s="760"/>
      <c r="AK288" s="760"/>
      <c r="AL288" s="760"/>
      <c r="AM288" s="760"/>
      <c r="AN288" s="760"/>
      <c r="AO288" s="760"/>
      <c r="AP288" s="760"/>
      <c r="AQ288" s="760"/>
      <c r="AR288" s="760"/>
      <c r="AS288" s="761"/>
      <c r="AT288" s="760"/>
    </row>
    <row r="289" ht="15.75" customHeight="1">
      <c r="A289" s="760"/>
      <c r="B289" s="760"/>
      <c r="C289" s="760"/>
      <c r="D289" s="760"/>
      <c r="E289" s="760"/>
      <c r="F289" s="760"/>
      <c r="G289" s="760"/>
      <c r="H289" s="760"/>
      <c r="I289" s="760"/>
      <c r="J289" s="760"/>
      <c r="K289" s="760"/>
      <c r="L289" s="760"/>
      <c r="M289" s="760"/>
      <c r="N289" s="760"/>
      <c r="O289" s="760"/>
      <c r="P289" s="760"/>
      <c r="Q289" s="760"/>
      <c r="R289" s="760"/>
      <c r="S289" s="760"/>
      <c r="T289" s="760"/>
      <c r="U289" s="760"/>
      <c r="V289" s="760"/>
      <c r="W289" s="760"/>
      <c r="X289" s="760"/>
      <c r="Y289" s="760"/>
      <c r="Z289" s="760"/>
      <c r="AA289" s="760"/>
      <c r="AB289" s="760"/>
      <c r="AC289" s="760"/>
      <c r="AD289" s="760"/>
      <c r="AE289" s="760"/>
      <c r="AF289" s="760"/>
      <c r="AG289" s="761"/>
      <c r="AH289" s="760"/>
      <c r="AI289" s="760"/>
      <c r="AJ289" s="760"/>
      <c r="AK289" s="760"/>
      <c r="AL289" s="760"/>
      <c r="AM289" s="760"/>
      <c r="AN289" s="760"/>
      <c r="AO289" s="760"/>
      <c r="AP289" s="760"/>
      <c r="AQ289" s="760"/>
      <c r="AR289" s="760"/>
      <c r="AS289" s="761"/>
      <c r="AT289" s="760"/>
    </row>
    <row r="290" ht="15.75" customHeight="1">
      <c r="A290" s="760"/>
      <c r="B290" s="760"/>
      <c r="C290" s="760"/>
      <c r="D290" s="760"/>
      <c r="E290" s="760"/>
      <c r="F290" s="760"/>
      <c r="G290" s="760"/>
      <c r="H290" s="760"/>
      <c r="I290" s="760"/>
      <c r="J290" s="760"/>
      <c r="K290" s="760"/>
      <c r="L290" s="760"/>
      <c r="M290" s="760"/>
      <c r="N290" s="760"/>
      <c r="O290" s="760"/>
      <c r="P290" s="760"/>
      <c r="Q290" s="760"/>
      <c r="R290" s="760"/>
      <c r="S290" s="760"/>
      <c r="T290" s="760"/>
      <c r="U290" s="760"/>
      <c r="V290" s="760"/>
      <c r="W290" s="760"/>
      <c r="X290" s="760"/>
      <c r="Y290" s="760"/>
      <c r="Z290" s="760"/>
      <c r="AA290" s="760"/>
      <c r="AB290" s="760"/>
      <c r="AC290" s="760"/>
      <c r="AD290" s="760"/>
      <c r="AE290" s="760"/>
      <c r="AF290" s="760"/>
      <c r="AG290" s="761"/>
      <c r="AH290" s="760"/>
      <c r="AI290" s="760"/>
      <c r="AJ290" s="760"/>
      <c r="AK290" s="760"/>
      <c r="AL290" s="760"/>
      <c r="AM290" s="760"/>
      <c r="AN290" s="760"/>
      <c r="AO290" s="760"/>
      <c r="AP290" s="760"/>
      <c r="AQ290" s="760"/>
      <c r="AR290" s="760"/>
      <c r="AS290" s="761"/>
      <c r="AT290" s="760"/>
    </row>
    <row r="291" ht="15.75" customHeight="1">
      <c r="A291" s="760"/>
      <c r="B291" s="760"/>
      <c r="C291" s="760"/>
      <c r="D291" s="760"/>
      <c r="E291" s="760"/>
      <c r="F291" s="760"/>
      <c r="G291" s="760"/>
      <c r="H291" s="760"/>
      <c r="I291" s="760"/>
      <c r="J291" s="760"/>
      <c r="K291" s="760"/>
      <c r="L291" s="760"/>
      <c r="M291" s="760"/>
      <c r="N291" s="760"/>
      <c r="O291" s="760"/>
      <c r="P291" s="760"/>
      <c r="Q291" s="760"/>
      <c r="R291" s="760"/>
      <c r="S291" s="760"/>
      <c r="T291" s="760"/>
      <c r="U291" s="760"/>
      <c r="V291" s="760"/>
      <c r="W291" s="760"/>
      <c r="X291" s="760"/>
      <c r="Y291" s="760"/>
      <c r="Z291" s="760"/>
      <c r="AA291" s="760"/>
      <c r="AB291" s="760"/>
      <c r="AC291" s="760"/>
      <c r="AD291" s="760"/>
      <c r="AE291" s="760"/>
      <c r="AF291" s="760"/>
      <c r="AG291" s="761"/>
      <c r="AH291" s="760"/>
      <c r="AI291" s="760"/>
      <c r="AJ291" s="760"/>
      <c r="AK291" s="760"/>
      <c r="AL291" s="760"/>
      <c r="AM291" s="760"/>
      <c r="AN291" s="760"/>
      <c r="AO291" s="760"/>
      <c r="AP291" s="760"/>
      <c r="AQ291" s="760"/>
      <c r="AR291" s="760"/>
      <c r="AS291" s="761"/>
      <c r="AT291" s="760"/>
    </row>
    <row r="292" ht="15.75" customHeight="1">
      <c r="A292" s="760"/>
      <c r="B292" s="760"/>
      <c r="C292" s="760"/>
      <c r="D292" s="760"/>
      <c r="E292" s="760"/>
      <c r="F292" s="760"/>
      <c r="G292" s="760"/>
      <c r="H292" s="760"/>
      <c r="I292" s="760"/>
      <c r="J292" s="760"/>
      <c r="K292" s="760"/>
      <c r="L292" s="760"/>
      <c r="M292" s="760"/>
      <c r="N292" s="760"/>
      <c r="O292" s="760"/>
      <c r="P292" s="760"/>
      <c r="Q292" s="760"/>
      <c r="R292" s="760"/>
      <c r="S292" s="760"/>
      <c r="T292" s="760"/>
      <c r="U292" s="760"/>
      <c r="V292" s="760"/>
      <c r="W292" s="760"/>
      <c r="X292" s="760"/>
      <c r="Y292" s="760"/>
      <c r="Z292" s="760"/>
      <c r="AA292" s="760"/>
      <c r="AB292" s="760"/>
      <c r="AC292" s="760"/>
      <c r="AD292" s="760"/>
      <c r="AE292" s="760"/>
      <c r="AF292" s="760"/>
      <c r="AG292" s="761"/>
      <c r="AH292" s="760"/>
      <c r="AI292" s="760"/>
      <c r="AJ292" s="760"/>
      <c r="AK292" s="760"/>
      <c r="AL292" s="760"/>
      <c r="AM292" s="760"/>
      <c r="AN292" s="760"/>
      <c r="AO292" s="760"/>
      <c r="AP292" s="760"/>
      <c r="AQ292" s="760"/>
      <c r="AR292" s="760"/>
      <c r="AS292" s="761"/>
      <c r="AT292" s="760"/>
    </row>
    <row r="293" ht="15.75" customHeight="1">
      <c r="A293" s="760"/>
      <c r="B293" s="760"/>
      <c r="C293" s="760"/>
      <c r="D293" s="760"/>
      <c r="E293" s="760"/>
      <c r="F293" s="760"/>
      <c r="G293" s="760"/>
      <c r="H293" s="760"/>
      <c r="I293" s="760"/>
      <c r="J293" s="760"/>
      <c r="K293" s="760"/>
      <c r="L293" s="760"/>
      <c r="M293" s="760"/>
      <c r="N293" s="760"/>
      <c r="O293" s="760"/>
      <c r="P293" s="760"/>
      <c r="Q293" s="760"/>
      <c r="R293" s="760"/>
      <c r="S293" s="760"/>
      <c r="T293" s="760"/>
      <c r="U293" s="760"/>
      <c r="V293" s="760"/>
      <c r="W293" s="760"/>
      <c r="X293" s="760"/>
      <c r="Y293" s="760"/>
      <c r="Z293" s="760"/>
      <c r="AA293" s="760"/>
      <c r="AB293" s="760"/>
      <c r="AC293" s="760"/>
      <c r="AD293" s="760"/>
      <c r="AE293" s="760"/>
      <c r="AF293" s="760"/>
      <c r="AG293" s="761"/>
      <c r="AH293" s="760"/>
      <c r="AI293" s="760"/>
      <c r="AJ293" s="760"/>
      <c r="AK293" s="760"/>
      <c r="AL293" s="760"/>
      <c r="AM293" s="760"/>
      <c r="AN293" s="760"/>
      <c r="AO293" s="760"/>
      <c r="AP293" s="760"/>
      <c r="AQ293" s="760"/>
      <c r="AR293" s="760"/>
      <c r="AS293" s="761"/>
      <c r="AT293" s="760"/>
    </row>
    <row r="294" ht="15.75" customHeight="1">
      <c r="A294" s="760"/>
      <c r="B294" s="760"/>
      <c r="C294" s="760"/>
      <c r="D294" s="760"/>
      <c r="E294" s="760"/>
      <c r="F294" s="760"/>
      <c r="G294" s="760"/>
      <c r="H294" s="760"/>
      <c r="I294" s="760"/>
      <c r="J294" s="760"/>
      <c r="K294" s="760"/>
      <c r="L294" s="760"/>
      <c r="M294" s="760"/>
      <c r="N294" s="760"/>
      <c r="O294" s="760"/>
      <c r="P294" s="760"/>
      <c r="Q294" s="760"/>
      <c r="R294" s="760"/>
      <c r="S294" s="760"/>
      <c r="T294" s="760"/>
      <c r="U294" s="760"/>
      <c r="V294" s="760"/>
      <c r="W294" s="760"/>
      <c r="X294" s="760"/>
      <c r="Y294" s="760"/>
      <c r="Z294" s="760"/>
      <c r="AA294" s="760"/>
      <c r="AB294" s="760"/>
      <c r="AC294" s="760"/>
      <c r="AD294" s="760"/>
      <c r="AE294" s="760"/>
      <c r="AF294" s="760"/>
      <c r="AG294" s="761"/>
      <c r="AH294" s="760"/>
      <c r="AI294" s="760"/>
      <c r="AJ294" s="760"/>
      <c r="AK294" s="760"/>
      <c r="AL294" s="760"/>
      <c r="AM294" s="760"/>
      <c r="AN294" s="760"/>
      <c r="AO294" s="760"/>
      <c r="AP294" s="760"/>
      <c r="AQ294" s="760"/>
      <c r="AR294" s="760"/>
      <c r="AS294" s="761"/>
      <c r="AT294" s="760"/>
    </row>
    <row r="295" ht="15.75" customHeight="1">
      <c r="A295" s="760"/>
      <c r="B295" s="760"/>
      <c r="C295" s="760"/>
      <c r="D295" s="760"/>
      <c r="E295" s="760"/>
      <c r="F295" s="760"/>
      <c r="G295" s="760"/>
      <c r="H295" s="760"/>
      <c r="I295" s="760"/>
      <c r="J295" s="760"/>
      <c r="K295" s="760"/>
      <c r="L295" s="760"/>
      <c r="M295" s="760"/>
      <c r="N295" s="760"/>
      <c r="O295" s="760"/>
      <c r="P295" s="760"/>
      <c r="Q295" s="760"/>
      <c r="R295" s="760"/>
      <c r="S295" s="760"/>
      <c r="T295" s="760"/>
      <c r="U295" s="760"/>
      <c r="V295" s="760"/>
      <c r="W295" s="760"/>
      <c r="X295" s="760"/>
      <c r="Y295" s="760"/>
      <c r="Z295" s="760"/>
      <c r="AA295" s="760"/>
      <c r="AB295" s="760"/>
      <c r="AC295" s="760"/>
      <c r="AD295" s="760"/>
      <c r="AE295" s="760"/>
      <c r="AF295" s="760"/>
      <c r="AG295" s="761"/>
      <c r="AH295" s="760"/>
      <c r="AI295" s="760"/>
      <c r="AJ295" s="760"/>
      <c r="AK295" s="760"/>
      <c r="AL295" s="760"/>
      <c r="AM295" s="760"/>
      <c r="AN295" s="760"/>
      <c r="AO295" s="760"/>
      <c r="AP295" s="760"/>
      <c r="AQ295" s="760"/>
      <c r="AR295" s="760"/>
      <c r="AS295" s="761"/>
      <c r="AT295" s="760"/>
    </row>
    <row r="296" ht="15.75" customHeight="1">
      <c r="A296" s="760"/>
      <c r="B296" s="760"/>
      <c r="C296" s="760"/>
      <c r="D296" s="760"/>
      <c r="E296" s="760"/>
      <c r="F296" s="760"/>
      <c r="G296" s="760"/>
      <c r="H296" s="760"/>
      <c r="I296" s="760"/>
      <c r="J296" s="760"/>
      <c r="K296" s="760"/>
      <c r="L296" s="760"/>
      <c r="M296" s="760"/>
      <c r="N296" s="760"/>
      <c r="O296" s="760"/>
      <c r="P296" s="760"/>
      <c r="Q296" s="760"/>
      <c r="R296" s="760"/>
      <c r="S296" s="760"/>
      <c r="T296" s="760"/>
      <c r="U296" s="760"/>
      <c r="V296" s="760"/>
      <c r="W296" s="760"/>
      <c r="X296" s="760"/>
      <c r="Y296" s="760"/>
      <c r="Z296" s="760"/>
      <c r="AA296" s="760"/>
      <c r="AB296" s="760"/>
      <c r="AC296" s="760"/>
      <c r="AD296" s="760"/>
      <c r="AE296" s="760"/>
      <c r="AF296" s="760"/>
      <c r="AG296" s="761"/>
      <c r="AH296" s="760"/>
      <c r="AI296" s="760"/>
      <c r="AJ296" s="760"/>
      <c r="AK296" s="760"/>
      <c r="AL296" s="760"/>
      <c r="AM296" s="760"/>
      <c r="AN296" s="760"/>
      <c r="AO296" s="760"/>
      <c r="AP296" s="760"/>
      <c r="AQ296" s="760"/>
      <c r="AR296" s="760"/>
      <c r="AS296" s="761"/>
      <c r="AT296" s="760"/>
    </row>
    <row r="297" ht="15.75" customHeight="1">
      <c r="A297" s="760"/>
      <c r="B297" s="760"/>
      <c r="C297" s="760"/>
      <c r="D297" s="760"/>
      <c r="E297" s="760"/>
      <c r="F297" s="760"/>
      <c r="G297" s="760"/>
      <c r="H297" s="760"/>
      <c r="I297" s="760"/>
      <c r="J297" s="760"/>
      <c r="K297" s="760"/>
      <c r="L297" s="760"/>
      <c r="M297" s="760"/>
      <c r="N297" s="760"/>
      <c r="O297" s="760"/>
      <c r="P297" s="760"/>
      <c r="Q297" s="760"/>
      <c r="R297" s="760"/>
      <c r="S297" s="760"/>
      <c r="T297" s="760"/>
      <c r="U297" s="760"/>
      <c r="V297" s="760"/>
      <c r="W297" s="760"/>
      <c r="X297" s="760"/>
      <c r="Y297" s="760"/>
      <c r="Z297" s="760"/>
      <c r="AA297" s="760"/>
      <c r="AB297" s="760"/>
      <c r="AC297" s="760"/>
      <c r="AD297" s="760"/>
      <c r="AE297" s="760"/>
      <c r="AF297" s="760"/>
      <c r="AG297" s="761"/>
      <c r="AH297" s="760"/>
      <c r="AI297" s="760"/>
      <c r="AJ297" s="760"/>
      <c r="AK297" s="760"/>
      <c r="AL297" s="760"/>
      <c r="AM297" s="760"/>
      <c r="AN297" s="760"/>
      <c r="AO297" s="760"/>
      <c r="AP297" s="760"/>
      <c r="AQ297" s="760"/>
      <c r="AR297" s="760"/>
      <c r="AS297" s="761"/>
      <c r="AT297" s="760"/>
    </row>
    <row r="298" ht="15.75" customHeight="1">
      <c r="A298" s="760"/>
      <c r="B298" s="760"/>
      <c r="C298" s="760"/>
      <c r="D298" s="760"/>
      <c r="E298" s="760"/>
      <c r="F298" s="760"/>
      <c r="G298" s="760"/>
      <c r="H298" s="760"/>
      <c r="I298" s="760"/>
      <c r="J298" s="760"/>
      <c r="K298" s="760"/>
      <c r="L298" s="760"/>
      <c r="M298" s="760"/>
      <c r="N298" s="760"/>
      <c r="O298" s="760"/>
      <c r="P298" s="760"/>
      <c r="Q298" s="760"/>
      <c r="R298" s="760"/>
      <c r="S298" s="760"/>
      <c r="T298" s="760"/>
      <c r="U298" s="760"/>
      <c r="V298" s="760"/>
      <c r="W298" s="760"/>
      <c r="X298" s="760"/>
      <c r="Y298" s="760"/>
      <c r="Z298" s="760"/>
      <c r="AA298" s="760"/>
      <c r="AB298" s="760"/>
      <c r="AC298" s="760"/>
      <c r="AD298" s="760"/>
      <c r="AE298" s="760"/>
      <c r="AF298" s="760"/>
      <c r="AG298" s="761"/>
      <c r="AH298" s="760"/>
      <c r="AI298" s="760"/>
      <c r="AJ298" s="760"/>
      <c r="AK298" s="760"/>
      <c r="AL298" s="760"/>
      <c r="AM298" s="760"/>
      <c r="AN298" s="760"/>
      <c r="AO298" s="760"/>
      <c r="AP298" s="760"/>
      <c r="AQ298" s="760"/>
      <c r="AR298" s="760"/>
      <c r="AS298" s="761"/>
      <c r="AT298" s="760"/>
    </row>
    <row r="299" ht="15.75" customHeight="1">
      <c r="A299" s="760"/>
      <c r="B299" s="760"/>
      <c r="C299" s="760"/>
      <c r="D299" s="760"/>
      <c r="E299" s="760"/>
      <c r="F299" s="760"/>
      <c r="G299" s="760"/>
      <c r="H299" s="760"/>
      <c r="I299" s="760"/>
      <c r="J299" s="760"/>
      <c r="K299" s="760"/>
      <c r="L299" s="760"/>
      <c r="M299" s="760"/>
      <c r="N299" s="760"/>
      <c r="O299" s="760"/>
      <c r="P299" s="760"/>
      <c r="Q299" s="760"/>
      <c r="R299" s="760"/>
      <c r="S299" s="760"/>
      <c r="T299" s="760"/>
      <c r="U299" s="760"/>
      <c r="V299" s="760"/>
      <c r="W299" s="760"/>
      <c r="X299" s="760"/>
      <c r="Y299" s="760"/>
      <c r="Z299" s="760"/>
      <c r="AA299" s="760"/>
      <c r="AB299" s="760"/>
      <c r="AC299" s="760"/>
      <c r="AD299" s="760"/>
      <c r="AE299" s="760"/>
      <c r="AF299" s="760"/>
      <c r="AG299" s="761"/>
      <c r="AH299" s="760"/>
      <c r="AI299" s="760"/>
      <c r="AJ299" s="760"/>
      <c r="AK299" s="760"/>
      <c r="AL299" s="760"/>
      <c r="AM299" s="760"/>
      <c r="AN299" s="760"/>
      <c r="AO299" s="760"/>
      <c r="AP299" s="760"/>
      <c r="AQ299" s="760"/>
      <c r="AR299" s="760"/>
      <c r="AS299" s="761"/>
      <c r="AT299" s="760"/>
    </row>
    <row r="300" ht="15.75" customHeight="1">
      <c r="A300" s="760"/>
      <c r="B300" s="760"/>
      <c r="C300" s="760"/>
      <c r="D300" s="760"/>
      <c r="E300" s="760"/>
      <c r="F300" s="760"/>
      <c r="G300" s="760"/>
      <c r="H300" s="760"/>
      <c r="I300" s="760"/>
      <c r="J300" s="760"/>
      <c r="K300" s="760"/>
      <c r="L300" s="760"/>
      <c r="M300" s="760"/>
      <c r="N300" s="760"/>
      <c r="O300" s="760"/>
      <c r="P300" s="760"/>
      <c r="Q300" s="760"/>
      <c r="R300" s="760"/>
      <c r="S300" s="760"/>
      <c r="T300" s="760"/>
      <c r="U300" s="760"/>
      <c r="V300" s="760"/>
      <c r="W300" s="760"/>
      <c r="X300" s="760"/>
      <c r="Y300" s="760"/>
      <c r="Z300" s="760"/>
      <c r="AA300" s="760"/>
      <c r="AB300" s="760"/>
      <c r="AC300" s="760"/>
      <c r="AD300" s="760"/>
      <c r="AE300" s="760"/>
      <c r="AF300" s="760"/>
      <c r="AG300" s="761"/>
      <c r="AH300" s="760"/>
      <c r="AI300" s="760"/>
      <c r="AJ300" s="760"/>
      <c r="AK300" s="760"/>
      <c r="AL300" s="760"/>
      <c r="AM300" s="760"/>
      <c r="AN300" s="760"/>
      <c r="AO300" s="760"/>
      <c r="AP300" s="760"/>
      <c r="AQ300" s="760"/>
      <c r="AR300" s="760"/>
      <c r="AS300" s="761"/>
      <c r="AT300" s="760"/>
    </row>
    <row r="301" ht="15.75" customHeight="1">
      <c r="A301" s="760"/>
      <c r="B301" s="760"/>
      <c r="C301" s="760"/>
      <c r="D301" s="760"/>
      <c r="E301" s="760"/>
      <c r="F301" s="760"/>
      <c r="G301" s="760"/>
      <c r="H301" s="760"/>
      <c r="I301" s="760"/>
      <c r="J301" s="760"/>
      <c r="K301" s="760"/>
      <c r="L301" s="760"/>
      <c r="M301" s="760"/>
      <c r="N301" s="760"/>
      <c r="O301" s="760"/>
      <c r="P301" s="760"/>
      <c r="Q301" s="760"/>
      <c r="R301" s="760"/>
      <c r="S301" s="760"/>
      <c r="T301" s="760"/>
      <c r="U301" s="760"/>
      <c r="V301" s="760"/>
      <c r="W301" s="760"/>
      <c r="X301" s="760"/>
      <c r="Y301" s="760"/>
      <c r="Z301" s="760"/>
      <c r="AA301" s="760"/>
      <c r="AB301" s="760"/>
      <c r="AC301" s="760"/>
      <c r="AD301" s="760"/>
      <c r="AE301" s="760"/>
      <c r="AF301" s="760"/>
      <c r="AG301" s="761"/>
      <c r="AH301" s="760"/>
      <c r="AI301" s="760"/>
      <c r="AJ301" s="760"/>
      <c r="AK301" s="760"/>
      <c r="AL301" s="760"/>
      <c r="AM301" s="760"/>
      <c r="AN301" s="760"/>
      <c r="AO301" s="760"/>
      <c r="AP301" s="760"/>
      <c r="AQ301" s="760"/>
      <c r="AR301" s="760"/>
      <c r="AS301" s="761"/>
      <c r="AT301" s="760"/>
    </row>
    <row r="302" ht="15.75" customHeight="1">
      <c r="A302" s="760"/>
      <c r="B302" s="760"/>
      <c r="C302" s="760"/>
      <c r="D302" s="760"/>
      <c r="E302" s="760"/>
      <c r="F302" s="760"/>
      <c r="G302" s="760"/>
      <c r="H302" s="760"/>
      <c r="I302" s="760"/>
      <c r="J302" s="760"/>
      <c r="K302" s="760"/>
      <c r="L302" s="760"/>
      <c r="M302" s="760"/>
      <c r="N302" s="760"/>
      <c r="O302" s="760"/>
      <c r="P302" s="760"/>
      <c r="Q302" s="760"/>
      <c r="R302" s="760"/>
      <c r="S302" s="760"/>
      <c r="T302" s="760"/>
      <c r="U302" s="760"/>
      <c r="V302" s="760"/>
      <c r="W302" s="760"/>
      <c r="X302" s="760"/>
      <c r="Y302" s="760"/>
      <c r="Z302" s="760"/>
      <c r="AA302" s="760"/>
      <c r="AB302" s="760"/>
      <c r="AC302" s="760"/>
      <c r="AD302" s="760"/>
      <c r="AE302" s="760"/>
      <c r="AF302" s="760"/>
      <c r="AG302" s="761"/>
      <c r="AH302" s="760"/>
      <c r="AI302" s="760"/>
      <c r="AJ302" s="760"/>
      <c r="AK302" s="760"/>
      <c r="AL302" s="760"/>
      <c r="AM302" s="760"/>
      <c r="AN302" s="760"/>
      <c r="AO302" s="760"/>
      <c r="AP302" s="760"/>
      <c r="AQ302" s="760"/>
      <c r="AR302" s="760"/>
      <c r="AS302" s="761"/>
      <c r="AT302" s="760"/>
    </row>
    <row r="303" ht="15.75" customHeight="1">
      <c r="A303" s="760"/>
      <c r="B303" s="760"/>
      <c r="C303" s="760"/>
      <c r="D303" s="760"/>
      <c r="E303" s="760"/>
      <c r="F303" s="760"/>
      <c r="G303" s="760"/>
      <c r="H303" s="760"/>
      <c r="I303" s="760"/>
      <c r="J303" s="760"/>
      <c r="K303" s="760"/>
      <c r="L303" s="760"/>
      <c r="M303" s="760"/>
      <c r="N303" s="760"/>
      <c r="O303" s="760"/>
      <c r="P303" s="760"/>
      <c r="Q303" s="760"/>
      <c r="R303" s="760"/>
      <c r="S303" s="760"/>
      <c r="T303" s="760"/>
      <c r="U303" s="760"/>
      <c r="V303" s="760"/>
      <c r="W303" s="760"/>
      <c r="X303" s="760"/>
      <c r="Y303" s="760"/>
      <c r="Z303" s="760"/>
      <c r="AA303" s="760"/>
      <c r="AB303" s="760"/>
      <c r="AC303" s="760"/>
      <c r="AD303" s="760"/>
      <c r="AE303" s="760"/>
      <c r="AF303" s="760"/>
      <c r="AG303" s="761"/>
      <c r="AH303" s="760"/>
      <c r="AI303" s="760"/>
      <c r="AJ303" s="760"/>
      <c r="AK303" s="760"/>
      <c r="AL303" s="760"/>
      <c r="AM303" s="760"/>
      <c r="AN303" s="760"/>
      <c r="AO303" s="760"/>
      <c r="AP303" s="760"/>
      <c r="AQ303" s="760"/>
      <c r="AR303" s="760"/>
      <c r="AS303" s="761"/>
      <c r="AT303" s="760"/>
    </row>
    <row r="304" ht="15.75" customHeight="1">
      <c r="A304" s="760"/>
      <c r="B304" s="760"/>
      <c r="C304" s="760"/>
      <c r="D304" s="760"/>
      <c r="E304" s="760"/>
      <c r="F304" s="760"/>
      <c r="G304" s="760"/>
      <c r="H304" s="760"/>
      <c r="I304" s="760"/>
      <c r="J304" s="760"/>
      <c r="K304" s="760"/>
      <c r="L304" s="760"/>
      <c r="M304" s="760"/>
      <c r="N304" s="760"/>
      <c r="O304" s="760"/>
      <c r="P304" s="760"/>
      <c r="Q304" s="760"/>
      <c r="R304" s="760"/>
      <c r="S304" s="760"/>
      <c r="T304" s="760"/>
      <c r="U304" s="760"/>
      <c r="V304" s="760"/>
      <c r="W304" s="760"/>
      <c r="X304" s="760"/>
      <c r="Y304" s="760"/>
      <c r="Z304" s="760"/>
      <c r="AA304" s="760"/>
      <c r="AB304" s="760"/>
      <c r="AC304" s="760"/>
      <c r="AD304" s="760"/>
      <c r="AE304" s="760"/>
      <c r="AF304" s="760"/>
      <c r="AG304" s="761"/>
      <c r="AH304" s="760"/>
      <c r="AI304" s="760"/>
      <c r="AJ304" s="760"/>
      <c r="AK304" s="760"/>
      <c r="AL304" s="760"/>
      <c r="AM304" s="760"/>
      <c r="AN304" s="760"/>
      <c r="AO304" s="760"/>
      <c r="AP304" s="760"/>
      <c r="AQ304" s="760"/>
      <c r="AR304" s="760"/>
      <c r="AS304" s="761"/>
      <c r="AT304" s="760"/>
    </row>
    <row r="305" ht="15.75" customHeight="1">
      <c r="A305" s="760"/>
      <c r="B305" s="760"/>
      <c r="C305" s="760"/>
      <c r="D305" s="760"/>
      <c r="E305" s="760"/>
      <c r="F305" s="760"/>
      <c r="G305" s="760"/>
      <c r="H305" s="760"/>
      <c r="I305" s="760"/>
      <c r="J305" s="760"/>
      <c r="K305" s="760"/>
      <c r="L305" s="760"/>
      <c r="M305" s="760"/>
      <c r="N305" s="760"/>
      <c r="O305" s="760"/>
      <c r="P305" s="760"/>
      <c r="Q305" s="760"/>
      <c r="R305" s="760"/>
      <c r="S305" s="760"/>
      <c r="T305" s="760"/>
      <c r="U305" s="760"/>
      <c r="V305" s="760"/>
      <c r="W305" s="760"/>
      <c r="X305" s="760"/>
      <c r="Y305" s="760"/>
      <c r="Z305" s="760"/>
      <c r="AA305" s="760"/>
      <c r="AB305" s="760"/>
      <c r="AC305" s="760"/>
      <c r="AD305" s="760"/>
      <c r="AE305" s="760"/>
      <c r="AF305" s="760"/>
      <c r="AG305" s="761"/>
      <c r="AH305" s="760"/>
      <c r="AI305" s="760"/>
      <c r="AJ305" s="760"/>
      <c r="AK305" s="760"/>
      <c r="AL305" s="760"/>
      <c r="AM305" s="760"/>
      <c r="AN305" s="760"/>
      <c r="AO305" s="760"/>
      <c r="AP305" s="760"/>
      <c r="AQ305" s="760"/>
      <c r="AR305" s="760"/>
      <c r="AS305" s="761"/>
      <c r="AT305" s="760"/>
    </row>
    <row r="306" ht="15.75" customHeight="1">
      <c r="A306" s="760"/>
      <c r="B306" s="760"/>
      <c r="C306" s="760"/>
      <c r="D306" s="760"/>
      <c r="E306" s="760"/>
      <c r="F306" s="760"/>
      <c r="G306" s="760"/>
      <c r="H306" s="760"/>
      <c r="I306" s="760"/>
      <c r="J306" s="760"/>
      <c r="K306" s="760"/>
      <c r="L306" s="760"/>
      <c r="M306" s="760"/>
      <c r="N306" s="760"/>
      <c r="O306" s="760"/>
      <c r="P306" s="760"/>
      <c r="Q306" s="760"/>
      <c r="R306" s="760"/>
      <c r="S306" s="760"/>
      <c r="T306" s="760"/>
      <c r="U306" s="760"/>
      <c r="V306" s="760"/>
      <c r="W306" s="760"/>
      <c r="X306" s="760"/>
      <c r="Y306" s="760"/>
      <c r="Z306" s="760"/>
      <c r="AA306" s="760"/>
      <c r="AB306" s="760"/>
      <c r="AC306" s="760"/>
      <c r="AD306" s="760"/>
      <c r="AE306" s="760"/>
      <c r="AF306" s="760"/>
      <c r="AG306" s="761"/>
      <c r="AH306" s="760"/>
      <c r="AI306" s="760"/>
      <c r="AJ306" s="760"/>
      <c r="AK306" s="760"/>
      <c r="AL306" s="760"/>
      <c r="AM306" s="760"/>
      <c r="AN306" s="760"/>
      <c r="AO306" s="760"/>
      <c r="AP306" s="760"/>
      <c r="AQ306" s="760"/>
      <c r="AR306" s="760"/>
      <c r="AS306" s="761"/>
      <c r="AT306" s="760"/>
    </row>
    <row r="307" ht="15.75" customHeight="1">
      <c r="A307" s="760"/>
      <c r="B307" s="760"/>
      <c r="C307" s="760"/>
      <c r="D307" s="760"/>
      <c r="E307" s="760"/>
      <c r="F307" s="760"/>
      <c r="G307" s="760"/>
      <c r="H307" s="760"/>
      <c r="I307" s="760"/>
      <c r="J307" s="760"/>
      <c r="K307" s="760"/>
      <c r="L307" s="760"/>
      <c r="M307" s="760"/>
      <c r="N307" s="760"/>
      <c r="O307" s="760"/>
      <c r="P307" s="760"/>
      <c r="Q307" s="760"/>
      <c r="R307" s="760"/>
      <c r="S307" s="760"/>
      <c r="T307" s="760"/>
      <c r="U307" s="760"/>
      <c r="V307" s="760"/>
      <c r="W307" s="760"/>
      <c r="X307" s="760"/>
      <c r="Y307" s="760"/>
      <c r="Z307" s="760"/>
      <c r="AA307" s="760"/>
      <c r="AB307" s="760"/>
      <c r="AC307" s="760"/>
      <c r="AD307" s="760"/>
      <c r="AE307" s="760"/>
      <c r="AF307" s="760"/>
      <c r="AG307" s="761"/>
      <c r="AH307" s="760"/>
      <c r="AI307" s="760"/>
      <c r="AJ307" s="760"/>
      <c r="AK307" s="760"/>
      <c r="AL307" s="760"/>
      <c r="AM307" s="760"/>
      <c r="AN307" s="760"/>
      <c r="AO307" s="760"/>
      <c r="AP307" s="760"/>
      <c r="AQ307" s="760"/>
      <c r="AR307" s="760"/>
      <c r="AS307" s="761"/>
      <c r="AT307" s="760"/>
    </row>
    <row r="308" ht="15.75" customHeight="1">
      <c r="A308" s="760"/>
      <c r="B308" s="760"/>
      <c r="C308" s="760"/>
      <c r="D308" s="760"/>
      <c r="E308" s="760"/>
      <c r="F308" s="760"/>
      <c r="G308" s="760"/>
      <c r="H308" s="760"/>
      <c r="I308" s="760"/>
      <c r="J308" s="760"/>
      <c r="K308" s="760"/>
      <c r="L308" s="760"/>
      <c r="M308" s="760"/>
      <c r="N308" s="760"/>
      <c r="O308" s="760"/>
      <c r="P308" s="760"/>
      <c r="Q308" s="760"/>
      <c r="R308" s="760"/>
      <c r="S308" s="760"/>
      <c r="T308" s="760"/>
      <c r="U308" s="760"/>
      <c r="V308" s="760"/>
      <c r="W308" s="760"/>
      <c r="X308" s="760"/>
      <c r="Y308" s="760"/>
      <c r="Z308" s="760"/>
      <c r="AA308" s="760"/>
      <c r="AB308" s="760"/>
      <c r="AC308" s="760"/>
      <c r="AD308" s="760"/>
      <c r="AE308" s="760"/>
      <c r="AF308" s="760"/>
      <c r="AG308" s="761"/>
      <c r="AH308" s="760"/>
      <c r="AI308" s="760"/>
      <c r="AJ308" s="760"/>
      <c r="AK308" s="760"/>
      <c r="AL308" s="760"/>
      <c r="AM308" s="760"/>
      <c r="AN308" s="760"/>
      <c r="AO308" s="760"/>
      <c r="AP308" s="760"/>
      <c r="AQ308" s="760"/>
      <c r="AR308" s="760"/>
      <c r="AS308" s="761"/>
      <c r="AT308" s="760"/>
    </row>
    <row r="309" ht="15.75" customHeight="1">
      <c r="A309" s="760"/>
      <c r="B309" s="760"/>
      <c r="C309" s="760"/>
      <c r="D309" s="760"/>
      <c r="E309" s="760"/>
      <c r="F309" s="760"/>
      <c r="G309" s="760"/>
      <c r="H309" s="760"/>
      <c r="I309" s="760"/>
      <c r="J309" s="760"/>
      <c r="K309" s="760"/>
      <c r="L309" s="760"/>
      <c r="M309" s="760"/>
      <c r="N309" s="760"/>
      <c r="O309" s="760"/>
      <c r="P309" s="760"/>
      <c r="Q309" s="760"/>
      <c r="R309" s="760"/>
      <c r="S309" s="760"/>
      <c r="T309" s="760"/>
      <c r="U309" s="760"/>
      <c r="V309" s="760"/>
      <c r="W309" s="760"/>
      <c r="X309" s="760"/>
      <c r="Y309" s="760"/>
      <c r="Z309" s="760"/>
      <c r="AA309" s="760"/>
      <c r="AB309" s="760"/>
      <c r="AC309" s="760"/>
      <c r="AD309" s="760"/>
      <c r="AE309" s="760"/>
      <c r="AF309" s="760"/>
      <c r="AG309" s="761"/>
      <c r="AH309" s="760"/>
      <c r="AI309" s="760"/>
      <c r="AJ309" s="760"/>
      <c r="AK309" s="760"/>
      <c r="AL309" s="760"/>
      <c r="AM309" s="760"/>
      <c r="AN309" s="760"/>
      <c r="AO309" s="760"/>
      <c r="AP309" s="760"/>
      <c r="AQ309" s="760"/>
      <c r="AR309" s="760"/>
      <c r="AS309" s="761"/>
      <c r="AT309" s="760"/>
    </row>
    <row r="310" ht="15.75" customHeight="1">
      <c r="A310" s="760"/>
      <c r="B310" s="760"/>
      <c r="C310" s="760"/>
      <c r="D310" s="760"/>
      <c r="E310" s="760"/>
      <c r="F310" s="760"/>
      <c r="G310" s="760"/>
      <c r="H310" s="760"/>
      <c r="I310" s="760"/>
      <c r="J310" s="760"/>
      <c r="K310" s="760"/>
      <c r="L310" s="760"/>
      <c r="M310" s="760"/>
      <c r="N310" s="760"/>
      <c r="O310" s="760"/>
      <c r="P310" s="760"/>
      <c r="Q310" s="760"/>
      <c r="R310" s="760"/>
      <c r="S310" s="760"/>
      <c r="T310" s="760"/>
      <c r="U310" s="760"/>
      <c r="V310" s="760"/>
      <c r="W310" s="760"/>
      <c r="X310" s="760"/>
      <c r="Y310" s="760"/>
      <c r="Z310" s="760"/>
      <c r="AA310" s="760"/>
      <c r="AB310" s="760"/>
      <c r="AC310" s="760"/>
      <c r="AD310" s="760"/>
      <c r="AE310" s="760"/>
      <c r="AF310" s="760"/>
      <c r="AG310" s="761"/>
      <c r="AH310" s="760"/>
      <c r="AI310" s="760"/>
      <c r="AJ310" s="760"/>
      <c r="AK310" s="760"/>
      <c r="AL310" s="760"/>
      <c r="AM310" s="760"/>
      <c r="AN310" s="760"/>
      <c r="AO310" s="760"/>
      <c r="AP310" s="760"/>
      <c r="AQ310" s="760"/>
      <c r="AR310" s="760"/>
      <c r="AS310" s="761"/>
      <c r="AT310" s="760"/>
    </row>
    <row r="311" ht="15.75" customHeight="1">
      <c r="A311" s="760"/>
      <c r="B311" s="760"/>
      <c r="C311" s="760"/>
      <c r="D311" s="760"/>
      <c r="E311" s="760"/>
      <c r="F311" s="760"/>
      <c r="G311" s="760"/>
      <c r="H311" s="760"/>
      <c r="I311" s="760"/>
      <c r="J311" s="760"/>
      <c r="K311" s="760"/>
      <c r="L311" s="760"/>
      <c r="M311" s="760"/>
      <c r="N311" s="760"/>
      <c r="O311" s="760"/>
      <c r="P311" s="760"/>
      <c r="Q311" s="760"/>
      <c r="R311" s="760"/>
      <c r="S311" s="760"/>
      <c r="T311" s="760"/>
      <c r="U311" s="760"/>
      <c r="V311" s="760"/>
      <c r="W311" s="760"/>
      <c r="X311" s="760"/>
      <c r="Y311" s="760"/>
      <c r="Z311" s="760"/>
      <c r="AA311" s="760"/>
      <c r="AB311" s="760"/>
      <c r="AC311" s="760"/>
      <c r="AD311" s="760"/>
      <c r="AE311" s="760"/>
      <c r="AF311" s="760"/>
      <c r="AG311" s="761"/>
      <c r="AH311" s="760"/>
      <c r="AI311" s="760"/>
      <c r="AJ311" s="760"/>
      <c r="AK311" s="760"/>
      <c r="AL311" s="760"/>
      <c r="AM311" s="760"/>
      <c r="AN311" s="760"/>
      <c r="AO311" s="760"/>
      <c r="AP311" s="760"/>
      <c r="AQ311" s="760"/>
      <c r="AR311" s="760"/>
      <c r="AS311" s="761"/>
      <c r="AT311" s="760"/>
    </row>
    <row r="312" ht="15.75" customHeight="1">
      <c r="A312" s="760"/>
      <c r="B312" s="760"/>
      <c r="C312" s="760"/>
      <c r="D312" s="760"/>
      <c r="E312" s="760"/>
      <c r="F312" s="760"/>
      <c r="G312" s="760"/>
      <c r="H312" s="760"/>
      <c r="I312" s="760"/>
      <c r="J312" s="760"/>
      <c r="K312" s="760"/>
      <c r="L312" s="760"/>
      <c r="M312" s="760"/>
      <c r="N312" s="760"/>
      <c r="O312" s="760"/>
      <c r="P312" s="760"/>
      <c r="Q312" s="760"/>
      <c r="R312" s="760"/>
      <c r="S312" s="760"/>
      <c r="T312" s="760"/>
      <c r="U312" s="760"/>
      <c r="V312" s="760"/>
      <c r="W312" s="760"/>
      <c r="X312" s="760"/>
      <c r="Y312" s="760"/>
      <c r="Z312" s="760"/>
      <c r="AA312" s="760"/>
      <c r="AB312" s="760"/>
      <c r="AC312" s="760"/>
      <c r="AD312" s="760"/>
      <c r="AE312" s="760"/>
      <c r="AF312" s="760"/>
      <c r="AG312" s="761"/>
      <c r="AH312" s="760"/>
      <c r="AI312" s="760"/>
      <c r="AJ312" s="760"/>
      <c r="AK312" s="760"/>
      <c r="AL312" s="760"/>
      <c r="AM312" s="760"/>
      <c r="AN312" s="760"/>
      <c r="AO312" s="760"/>
      <c r="AP312" s="760"/>
      <c r="AQ312" s="760"/>
      <c r="AR312" s="760"/>
      <c r="AS312" s="761"/>
      <c r="AT312" s="760"/>
    </row>
    <row r="313" ht="15.75" customHeight="1">
      <c r="A313" s="760"/>
      <c r="B313" s="760"/>
      <c r="C313" s="760"/>
      <c r="D313" s="760"/>
      <c r="E313" s="760"/>
      <c r="F313" s="760"/>
      <c r="G313" s="760"/>
      <c r="H313" s="760"/>
      <c r="I313" s="760"/>
      <c r="J313" s="760"/>
      <c r="K313" s="760"/>
      <c r="L313" s="760"/>
      <c r="M313" s="760"/>
      <c r="N313" s="760"/>
      <c r="O313" s="760"/>
      <c r="P313" s="760"/>
      <c r="Q313" s="760"/>
      <c r="R313" s="760"/>
      <c r="S313" s="760"/>
      <c r="T313" s="760"/>
      <c r="U313" s="760"/>
      <c r="V313" s="760"/>
      <c r="W313" s="760"/>
      <c r="X313" s="760"/>
      <c r="Y313" s="760"/>
      <c r="Z313" s="760"/>
      <c r="AA313" s="760"/>
      <c r="AB313" s="760"/>
      <c r="AC313" s="760"/>
      <c r="AD313" s="760"/>
      <c r="AE313" s="760"/>
      <c r="AF313" s="760"/>
      <c r="AG313" s="761"/>
      <c r="AH313" s="760"/>
      <c r="AI313" s="760"/>
      <c r="AJ313" s="760"/>
      <c r="AK313" s="760"/>
      <c r="AL313" s="760"/>
      <c r="AM313" s="760"/>
      <c r="AN313" s="760"/>
      <c r="AO313" s="760"/>
      <c r="AP313" s="760"/>
      <c r="AQ313" s="760"/>
      <c r="AR313" s="760"/>
      <c r="AS313" s="761"/>
      <c r="AT313" s="760"/>
    </row>
    <row r="314" ht="15.75" customHeight="1">
      <c r="A314" s="760"/>
      <c r="B314" s="760"/>
      <c r="C314" s="760"/>
      <c r="D314" s="760"/>
      <c r="E314" s="760"/>
      <c r="F314" s="760"/>
      <c r="G314" s="760"/>
      <c r="H314" s="760"/>
      <c r="I314" s="760"/>
      <c r="J314" s="760"/>
      <c r="K314" s="760"/>
      <c r="L314" s="760"/>
      <c r="M314" s="760"/>
      <c r="N314" s="760"/>
      <c r="O314" s="760"/>
      <c r="P314" s="760"/>
      <c r="Q314" s="760"/>
      <c r="R314" s="760"/>
      <c r="S314" s="760"/>
      <c r="T314" s="760"/>
      <c r="U314" s="760"/>
      <c r="V314" s="760"/>
      <c r="W314" s="760"/>
      <c r="X314" s="760"/>
      <c r="Y314" s="760"/>
      <c r="Z314" s="760"/>
      <c r="AA314" s="760"/>
      <c r="AB314" s="760"/>
      <c r="AC314" s="760"/>
      <c r="AD314" s="760"/>
      <c r="AE314" s="760"/>
      <c r="AF314" s="760"/>
      <c r="AG314" s="761"/>
      <c r="AH314" s="760"/>
      <c r="AI314" s="760"/>
      <c r="AJ314" s="760"/>
      <c r="AK314" s="760"/>
      <c r="AL314" s="760"/>
      <c r="AM314" s="760"/>
      <c r="AN314" s="760"/>
      <c r="AO314" s="760"/>
      <c r="AP314" s="760"/>
      <c r="AQ314" s="760"/>
      <c r="AR314" s="760"/>
      <c r="AS314" s="761"/>
      <c r="AT314" s="760"/>
    </row>
    <row r="315" ht="15.75" customHeight="1">
      <c r="A315" s="760"/>
      <c r="B315" s="760"/>
      <c r="C315" s="760"/>
      <c r="D315" s="760"/>
      <c r="E315" s="760"/>
      <c r="F315" s="760"/>
      <c r="G315" s="760"/>
      <c r="H315" s="760"/>
      <c r="I315" s="760"/>
      <c r="J315" s="760"/>
      <c r="K315" s="760"/>
      <c r="L315" s="760"/>
      <c r="M315" s="760"/>
      <c r="N315" s="760"/>
      <c r="O315" s="760"/>
      <c r="P315" s="760"/>
      <c r="Q315" s="760"/>
      <c r="R315" s="760"/>
      <c r="S315" s="760"/>
      <c r="T315" s="760"/>
      <c r="U315" s="760"/>
      <c r="V315" s="760"/>
      <c r="W315" s="760"/>
      <c r="X315" s="760"/>
      <c r="Y315" s="760"/>
      <c r="Z315" s="760"/>
      <c r="AA315" s="760"/>
      <c r="AB315" s="760"/>
      <c r="AC315" s="760"/>
      <c r="AD315" s="760"/>
      <c r="AE315" s="760"/>
      <c r="AF315" s="760"/>
      <c r="AG315" s="761"/>
      <c r="AH315" s="760"/>
      <c r="AI315" s="760"/>
      <c r="AJ315" s="760"/>
      <c r="AK315" s="760"/>
      <c r="AL315" s="760"/>
      <c r="AM315" s="760"/>
      <c r="AN315" s="760"/>
      <c r="AO315" s="760"/>
      <c r="AP315" s="760"/>
      <c r="AQ315" s="760"/>
      <c r="AR315" s="760"/>
      <c r="AS315" s="761"/>
      <c r="AT315" s="760"/>
    </row>
    <row r="316" ht="15.75" customHeight="1">
      <c r="A316" s="760"/>
      <c r="B316" s="760"/>
      <c r="C316" s="760"/>
      <c r="D316" s="760"/>
      <c r="E316" s="760"/>
      <c r="F316" s="760"/>
      <c r="G316" s="760"/>
      <c r="H316" s="760"/>
      <c r="I316" s="760"/>
      <c r="J316" s="760"/>
      <c r="K316" s="760"/>
      <c r="L316" s="760"/>
      <c r="M316" s="760"/>
      <c r="N316" s="760"/>
      <c r="O316" s="760"/>
      <c r="P316" s="760"/>
      <c r="Q316" s="760"/>
      <c r="R316" s="760"/>
      <c r="S316" s="760"/>
      <c r="T316" s="760"/>
      <c r="U316" s="760"/>
      <c r="V316" s="760"/>
      <c r="W316" s="760"/>
      <c r="X316" s="760"/>
      <c r="Y316" s="760"/>
      <c r="Z316" s="760"/>
      <c r="AA316" s="760"/>
      <c r="AB316" s="760"/>
      <c r="AC316" s="760"/>
      <c r="AD316" s="760"/>
      <c r="AE316" s="760"/>
      <c r="AF316" s="760"/>
      <c r="AG316" s="761"/>
      <c r="AH316" s="760"/>
      <c r="AI316" s="760"/>
      <c r="AJ316" s="760"/>
      <c r="AK316" s="760"/>
      <c r="AL316" s="760"/>
      <c r="AM316" s="760"/>
      <c r="AN316" s="760"/>
      <c r="AO316" s="760"/>
      <c r="AP316" s="760"/>
      <c r="AQ316" s="760"/>
      <c r="AR316" s="760"/>
      <c r="AS316" s="761"/>
      <c r="AT316" s="760"/>
    </row>
    <row r="317" ht="15.75" customHeight="1">
      <c r="A317" s="760"/>
      <c r="B317" s="760"/>
      <c r="C317" s="760"/>
      <c r="D317" s="760"/>
      <c r="E317" s="760"/>
      <c r="F317" s="760"/>
      <c r="G317" s="760"/>
      <c r="H317" s="760"/>
      <c r="I317" s="760"/>
      <c r="J317" s="760"/>
      <c r="K317" s="760"/>
      <c r="L317" s="760"/>
      <c r="M317" s="760"/>
      <c r="N317" s="760"/>
      <c r="O317" s="760"/>
      <c r="P317" s="760"/>
      <c r="Q317" s="760"/>
      <c r="R317" s="760"/>
      <c r="S317" s="760"/>
      <c r="T317" s="760"/>
      <c r="U317" s="760"/>
      <c r="V317" s="760"/>
      <c r="W317" s="760"/>
      <c r="X317" s="760"/>
      <c r="Y317" s="760"/>
      <c r="Z317" s="760"/>
      <c r="AA317" s="760"/>
      <c r="AB317" s="760"/>
      <c r="AC317" s="760"/>
      <c r="AD317" s="760"/>
      <c r="AE317" s="760"/>
      <c r="AF317" s="760"/>
      <c r="AG317" s="761"/>
      <c r="AH317" s="760"/>
      <c r="AI317" s="760"/>
      <c r="AJ317" s="760"/>
      <c r="AK317" s="760"/>
      <c r="AL317" s="760"/>
      <c r="AM317" s="760"/>
      <c r="AN317" s="760"/>
      <c r="AO317" s="760"/>
      <c r="AP317" s="760"/>
      <c r="AQ317" s="760"/>
      <c r="AR317" s="760"/>
      <c r="AS317" s="761"/>
      <c r="AT317" s="760"/>
    </row>
    <row r="318" ht="15.75" customHeight="1">
      <c r="A318" s="760"/>
      <c r="B318" s="760"/>
      <c r="C318" s="760"/>
      <c r="D318" s="760"/>
      <c r="E318" s="760"/>
      <c r="F318" s="760"/>
      <c r="G318" s="760"/>
      <c r="H318" s="760"/>
      <c r="I318" s="760"/>
      <c r="J318" s="760"/>
      <c r="K318" s="760"/>
      <c r="L318" s="760"/>
      <c r="M318" s="760"/>
      <c r="N318" s="760"/>
      <c r="O318" s="760"/>
      <c r="P318" s="760"/>
      <c r="Q318" s="760"/>
      <c r="R318" s="760"/>
      <c r="S318" s="760"/>
      <c r="T318" s="760"/>
      <c r="U318" s="760"/>
      <c r="V318" s="760"/>
      <c r="W318" s="760"/>
      <c r="X318" s="760"/>
      <c r="Y318" s="760"/>
      <c r="Z318" s="760"/>
      <c r="AA318" s="760"/>
      <c r="AB318" s="760"/>
      <c r="AC318" s="760"/>
      <c r="AD318" s="760"/>
      <c r="AE318" s="760"/>
      <c r="AF318" s="760"/>
      <c r="AG318" s="761"/>
      <c r="AH318" s="760"/>
      <c r="AI318" s="760"/>
      <c r="AJ318" s="760"/>
      <c r="AK318" s="760"/>
      <c r="AL318" s="760"/>
      <c r="AM318" s="760"/>
      <c r="AN318" s="760"/>
      <c r="AO318" s="760"/>
      <c r="AP318" s="760"/>
      <c r="AQ318" s="760"/>
      <c r="AR318" s="760"/>
      <c r="AS318" s="761"/>
      <c r="AT318" s="760"/>
    </row>
    <row r="319" ht="15.75" customHeight="1">
      <c r="A319" s="760"/>
      <c r="B319" s="760"/>
      <c r="C319" s="760"/>
      <c r="D319" s="760"/>
      <c r="E319" s="760"/>
      <c r="F319" s="760"/>
      <c r="G319" s="760"/>
      <c r="H319" s="760"/>
      <c r="I319" s="760"/>
      <c r="J319" s="760"/>
      <c r="K319" s="760"/>
      <c r="L319" s="760"/>
      <c r="M319" s="760"/>
      <c r="N319" s="760"/>
      <c r="O319" s="760"/>
      <c r="P319" s="760"/>
      <c r="Q319" s="760"/>
      <c r="R319" s="760"/>
      <c r="S319" s="760"/>
      <c r="T319" s="760"/>
      <c r="U319" s="760"/>
      <c r="V319" s="760"/>
      <c r="W319" s="760"/>
      <c r="X319" s="760"/>
      <c r="Y319" s="760"/>
      <c r="Z319" s="760"/>
      <c r="AA319" s="760"/>
      <c r="AB319" s="760"/>
      <c r="AC319" s="760"/>
      <c r="AD319" s="760"/>
      <c r="AE319" s="760"/>
      <c r="AF319" s="760"/>
      <c r="AG319" s="761"/>
      <c r="AH319" s="760"/>
      <c r="AI319" s="760"/>
      <c r="AJ319" s="760"/>
      <c r="AK319" s="760"/>
      <c r="AL319" s="760"/>
      <c r="AM319" s="760"/>
      <c r="AN319" s="760"/>
      <c r="AO319" s="760"/>
      <c r="AP319" s="760"/>
      <c r="AQ319" s="760"/>
      <c r="AR319" s="760"/>
      <c r="AS319" s="761"/>
      <c r="AT319" s="760"/>
    </row>
    <row r="320" ht="15.75" customHeight="1">
      <c r="A320" s="760"/>
      <c r="B320" s="760"/>
      <c r="C320" s="760"/>
      <c r="D320" s="760"/>
      <c r="E320" s="760"/>
      <c r="F320" s="760"/>
      <c r="G320" s="760"/>
      <c r="H320" s="760"/>
      <c r="I320" s="760"/>
      <c r="J320" s="760"/>
      <c r="K320" s="760"/>
      <c r="L320" s="760"/>
      <c r="M320" s="760"/>
      <c r="N320" s="760"/>
      <c r="O320" s="760"/>
      <c r="P320" s="760"/>
      <c r="Q320" s="760"/>
      <c r="R320" s="760"/>
      <c r="S320" s="760"/>
      <c r="T320" s="760"/>
      <c r="U320" s="760"/>
      <c r="V320" s="760"/>
      <c r="W320" s="760"/>
      <c r="X320" s="760"/>
      <c r="Y320" s="760"/>
      <c r="Z320" s="760"/>
      <c r="AA320" s="760"/>
      <c r="AB320" s="760"/>
      <c r="AC320" s="760"/>
      <c r="AD320" s="760"/>
      <c r="AE320" s="760"/>
      <c r="AF320" s="760"/>
      <c r="AG320" s="761"/>
      <c r="AH320" s="760"/>
      <c r="AI320" s="760"/>
      <c r="AJ320" s="760"/>
      <c r="AK320" s="760"/>
      <c r="AL320" s="760"/>
      <c r="AM320" s="760"/>
      <c r="AN320" s="760"/>
      <c r="AO320" s="760"/>
      <c r="AP320" s="760"/>
      <c r="AQ320" s="760"/>
      <c r="AR320" s="760"/>
      <c r="AS320" s="761"/>
      <c r="AT320" s="760"/>
    </row>
    <row r="321" ht="15.75" customHeight="1">
      <c r="A321" s="760"/>
      <c r="B321" s="760"/>
      <c r="C321" s="760"/>
      <c r="D321" s="760"/>
      <c r="E321" s="760"/>
      <c r="F321" s="760"/>
      <c r="G321" s="760"/>
      <c r="H321" s="760"/>
      <c r="I321" s="760"/>
      <c r="J321" s="760"/>
      <c r="K321" s="760"/>
      <c r="L321" s="760"/>
      <c r="M321" s="760"/>
      <c r="N321" s="760"/>
      <c r="O321" s="760"/>
      <c r="P321" s="760"/>
      <c r="Q321" s="760"/>
      <c r="R321" s="760"/>
      <c r="S321" s="760"/>
      <c r="T321" s="760"/>
      <c r="U321" s="760"/>
      <c r="V321" s="760"/>
      <c r="W321" s="760"/>
      <c r="X321" s="760"/>
      <c r="Y321" s="760"/>
      <c r="Z321" s="760"/>
      <c r="AA321" s="760"/>
      <c r="AB321" s="760"/>
      <c r="AC321" s="760"/>
      <c r="AD321" s="760"/>
      <c r="AE321" s="760"/>
      <c r="AF321" s="760"/>
      <c r="AG321" s="761"/>
      <c r="AH321" s="760"/>
      <c r="AI321" s="760"/>
      <c r="AJ321" s="760"/>
      <c r="AK321" s="760"/>
      <c r="AL321" s="760"/>
      <c r="AM321" s="760"/>
      <c r="AN321" s="760"/>
      <c r="AO321" s="760"/>
      <c r="AP321" s="760"/>
      <c r="AQ321" s="760"/>
      <c r="AR321" s="760"/>
      <c r="AS321" s="761"/>
      <c r="AT321" s="760"/>
    </row>
    <row r="322" ht="15.75" customHeight="1">
      <c r="A322" s="760"/>
      <c r="B322" s="760"/>
      <c r="C322" s="760"/>
      <c r="D322" s="760"/>
      <c r="E322" s="760"/>
      <c r="F322" s="760"/>
      <c r="G322" s="760"/>
      <c r="H322" s="760"/>
      <c r="I322" s="760"/>
      <c r="J322" s="760"/>
      <c r="K322" s="760"/>
      <c r="L322" s="760"/>
      <c r="M322" s="760"/>
      <c r="N322" s="760"/>
      <c r="O322" s="760"/>
      <c r="P322" s="760"/>
      <c r="Q322" s="760"/>
      <c r="R322" s="760"/>
      <c r="S322" s="760"/>
      <c r="T322" s="760"/>
      <c r="U322" s="760"/>
      <c r="V322" s="760"/>
      <c r="W322" s="760"/>
      <c r="X322" s="760"/>
      <c r="Y322" s="760"/>
      <c r="Z322" s="760"/>
      <c r="AA322" s="760"/>
      <c r="AB322" s="760"/>
      <c r="AC322" s="760"/>
      <c r="AD322" s="760"/>
      <c r="AE322" s="760"/>
      <c r="AF322" s="760"/>
      <c r="AG322" s="761"/>
      <c r="AH322" s="760"/>
      <c r="AI322" s="760"/>
      <c r="AJ322" s="760"/>
      <c r="AK322" s="760"/>
      <c r="AL322" s="760"/>
      <c r="AM322" s="760"/>
      <c r="AN322" s="760"/>
      <c r="AO322" s="760"/>
      <c r="AP322" s="760"/>
      <c r="AQ322" s="760"/>
      <c r="AR322" s="760"/>
      <c r="AS322" s="761"/>
      <c r="AT322" s="760"/>
    </row>
    <row r="323" ht="15.75" customHeight="1">
      <c r="A323" s="760"/>
      <c r="B323" s="760"/>
      <c r="C323" s="760"/>
      <c r="D323" s="760"/>
      <c r="E323" s="760"/>
      <c r="F323" s="760"/>
      <c r="G323" s="760"/>
      <c r="H323" s="760"/>
      <c r="I323" s="760"/>
      <c r="J323" s="760"/>
      <c r="K323" s="760"/>
      <c r="L323" s="760"/>
      <c r="M323" s="760"/>
      <c r="N323" s="760"/>
      <c r="O323" s="760"/>
      <c r="P323" s="760"/>
      <c r="Q323" s="760"/>
      <c r="R323" s="760"/>
      <c r="S323" s="760"/>
      <c r="T323" s="760"/>
      <c r="U323" s="760"/>
      <c r="V323" s="760"/>
      <c r="W323" s="760"/>
      <c r="X323" s="760"/>
      <c r="Y323" s="760"/>
      <c r="Z323" s="760"/>
      <c r="AA323" s="760"/>
      <c r="AB323" s="760"/>
      <c r="AC323" s="760"/>
      <c r="AD323" s="760"/>
      <c r="AE323" s="760"/>
      <c r="AF323" s="760"/>
      <c r="AG323" s="761"/>
      <c r="AH323" s="760"/>
      <c r="AI323" s="760"/>
      <c r="AJ323" s="760"/>
      <c r="AK323" s="760"/>
      <c r="AL323" s="760"/>
      <c r="AM323" s="760"/>
      <c r="AN323" s="760"/>
      <c r="AO323" s="760"/>
      <c r="AP323" s="760"/>
      <c r="AQ323" s="760"/>
      <c r="AR323" s="760"/>
      <c r="AS323" s="761"/>
      <c r="AT323" s="760"/>
    </row>
    <row r="324" ht="15.75" customHeight="1">
      <c r="A324" s="760"/>
      <c r="B324" s="760"/>
      <c r="C324" s="760"/>
      <c r="D324" s="760"/>
      <c r="E324" s="760"/>
      <c r="F324" s="760"/>
      <c r="G324" s="760"/>
      <c r="H324" s="760"/>
      <c r="I324" s="760"/>
      <c r="J324" s="760"/>
      <c r="K324" s="760"/>
      <c r="L324" s="760"/>
      <c r="M324" s="760"/>
      <c r="N324" s="760"/>
      <c r="O324" s="760"/>
      <c r="P324" s="760"/>
      <c r="Q324" s="760"/>
      <c r="R324" s="760"/>
      <c r="S324" s="760"/>
      <c r="T324" s="760"/>
      <c r="U324" s="760"/>
      <c r="V324" s="760"/>
      <c r="W324" s="760"/>
      <c r="X324" s="760"/>
      <c r="Y324" s="760"/>
      <c r="Z324" s="760"/>
      <c r="AA324" s="760"/>
      <c r="AB324" s="760"/>
      <c r="AC324" s="760"/>
      <c r="AD324" s="760"/>
      <c r="AE324" s="760"/>
      <c r="AF324" s="760"/>
      <c r="AG324" s="761"/>
      <c r="AH324" s="760"/>
      <c r="AI324" s="760"/>
      <c r="AJ324" s="760"/>
      <c r="AK324" s="760"/>
      <c r="AL324" s="760"/>
      <c r="AM324" s="760"/>
      <c r="AN324" s="760"/>
      <c r="AO324" s="760"/>
      <c r="AP324" s="760"/>
      <c r="AQ324" s="760"/>
      <c r="AR324" s="760"/>
      <c r="AS324" s="761"/>
      <c r="AT324" s="760"/>
    </row>
    <row r="325" ht="15.75" customHeight="1">
      <c r="A325" s="760"/>
      <c r="B325" s="760"/>
      <c r="C325" s="760"/>
      <c r="D325" s="760"/>
      <c r="E325" s="760"/>
      <c r="F325" s="760"/>
      <c r="G325" s="760"/>
      <c r="H325" s="760"/>
      <c r="I325" s="760"/>
      <c r="J325" s="760"/>
      <c r="K325" s="760"/>
      <c r="L325" s="760"/>
      <c r="M325" s="760"/>
      <c r="N325" s="760"/>
      <c r="O325" s="760"/>
      <c r="P325" s="760"/>
      <c r="Q325" s="760"/>
      <c r="R325" s="760"/>
      <c r="S325" s="760"/>
      <c r="T325" s="760"/>
      <c r="U325" s="760"/>
      <c r="V325" s="760"/>
      <c r="W325" s="760"/>
      <c r="X325" s="760"/>
      <c r="Y325" s="760"/>
      <c r="Z325" s="760"/>
      <c r="AA325" s="760"/>
      <c r="AB325" s="760"/>
      <c r="AC325" s="760"/>
      <c r="AD325" s="760"/>
      <c r="AE325" s="760"/>
      <c r="AF325" s="760"/>
      <c r="AG325" s="761"/>
      <c r="AH325" s="760"/>
      <c r="AI325" s="760"/>
      <c r="AJ325" s="760"/>
      <c r="AK325" s="760"/>
      <c r="AL325" s="760"/>
      <c r="AM325" s="760"/>
      <c r="AN325" s="760"/>
      <c r="AO325" s="760"/>
      <c r="AP325" s="760"/>
      <c r="AQ325" s="760"/>
      <c r="AR325" s="760"/>
      <c r="AS325" s="761"/>
      <c r="AT325" s="760"/>
    </row>
    <row r="326" ht="15.75" customHeight="1">
      <c r="A326" s="760"/>
      <c r="B326" s="760"/>
      <c r="C326" s="760"/>
      <c r="D326" s="760"/>
      <c r="E326" s="760"/>
      <c r="F326" s="760"/>
      <c r="G326" s="760"/>
      <c r="H326" s="760"/>
      <c r="I326" s="760"/>
      <c r="J326" s="760"/>
      <c r="K326" s="760"/>
      <c r="L326" s="760"/>
      <c r="M326" s="760"/>
      <c r="N326" s="760"/>
      <c r="O326" s="760"/>
      <c r="P326" s="760"/>
      <c r="Q326" s="760"/>
      <c r="R326" s="760"/>
      <c r="S326" s="760"/>
      <c r="T326" s="760"/>
      <c r="U326" s="760"/>
      <c r="V326" s="760"/>
      <c r="W326" s="760"/>
      <c r="X326" s="760"/>
      <c r="Y326" s="760"/>
      <c r="Z326" s="760"/>
      <c r="AA326" s="760"/>
      <c r="AB326" s="760"/>
      <c r="AC326" s="760"/>
      <c r="AD326" s="760"/>
      <c r="AE326" s="760"/>
      <c r="AF326" s="760"/>
      <c r="AG326" s="761"/>
      <c r="AH326" s="760"/>
      <c r="AI326" s="760"/>
      <c r="AJ326" s="760"/>
      <c r="AK326" s="760"/>
      <c r="AL326" s="760"/>
      <c r="AM326" s="760"/>
      <c r="AN326" s="760"/>
      <c r="AO326" s="760"/>
      <c r="AP326" s="760"/>
      <c r="AQ326" s="760"/>
      <c r="AR326" s="760"/>
      <c r="AS326" s="761"/>
      <c r="AT326" s="760"/>
    </row>
    <row r="327" ht="15.75" customHeight="1">
      <c r="A327" s="760"/>
      <c r="B327" s="760"/>
      <c r="C327" s="760"/>
      <c r="D327" s="760"/>
      <c r="E327" s="760"/>
      <c r="F327" s="760"/>
      <c r="G327" s="760"/>
      <c r="H327" s="760"/>
      <c r="I327" s="760"/>
      <c r="J327" s="760"/>
      <c r="K327" s="760"/>
      <c r="L327" s="760"/>
      <c r="M327" s="760"/>
      <c r="N327" s="760"/>
      <c r="O327" s="760"/>
      <c r="P327" s="760"/>
      <c r="Q327" s="760"/>
      <c r="R327" s="760"/>
      <c r="S327" s="760"/>
      <c r="T327" s="760"/>
      <c r="U327" s="760"/>
      <c r="V327" s="760"/>
      <c r="W327" s="760"/>
      <c r="X327" s="760"/>
      <c r="Y327" s="760"/>
      <c r="Z327" s="760"/>
      <c r="AA327" s="760"/>
      <c r="AB327" s="760"/>
      <c r="AC327" s="760"/>
      <c r="AD327" s="760"/>
      <c r="AE327" s="760"/>
      <c r="AF327" s="760"/>
      <c r="AG327" s="761"/>
      <c r="AH327" s="760"/>
      <c r="AI327" s="760"/>
      <c r="AJ327" s="760"/>
      <c r="AK327" s="760"/>
      <c r="AL327" s="760"/>
      <c r="AM327" s="760"/>
      <c r="AN327" s="760"/>
      <c r="AO327" s="760"/>
      <c r="AP327" s="760"/>
      <c r="AQ327" s="760"/>
      <c r="AR327" s="760"/>
      <c r="AS327" s="761"/>
      <c r="AT327" s="760"/>
    </row>
    <row r="328" ht="15.75" customHeight="1">
      <c r="A328" s="760"/>
      <c r="B328" s="760"/>
      <c r="C328" s="760"/>
      <c r="D328" s="760"/>
      <c r="E328" s="760"/>
      <c r="F328" s="760"/>
      <c r="G328" s="760"/>
      <c r="H328" s="760"/>
      <c r="I328" s="760"/>
      <c r="J328" s="760"/>
      <c r="K328" s="760"/>
      <c r="L328" s="760"/>
      <c r="M328" s="760"/>
      <c r="N328" s="760"/>
      <c r="O328" s="760"/>
      <c r="P328" s="760"/>
      <c r="Q328" s="760"/>
      <c r="R328" s="760"/>
      <c r="S328" s="760"/>
      <c r="T328" s="760"/>
      <c r="U328" s="760"/>
      <c r="V328" s="760"/>
      <c r="W328" s="760"/>
      <c r="X328" s="760"/>
      <c r="Y328" s="760"/>
      <c r="Z328" s="760"/>
      <c r="AA328" s="760"/>
      <c r="AB328" s="760"/>
      <c r="AC328" s="760"/>
      <c r="AD328" s="760"/>
      <c r="AE328" s="760"/>
      <c r="AF328" s="760"/>
      <c r="AG328" s="761"/>
      <c r="AH328" s="760"/>
      <c r="AI328" s="760"/>
      <c r="AJ328" s="760"/>
      <c r="AK328" s="760"/>
      <c r="AL328" s="760"/>
      <c r="AM328" s="760"/>
      <c r="AN328" s="760"/>
      <c r="AO328" s="760"/>
      <c r="AP328" s="760"/>
      <c r="AQ328" s="760"/>
      <c r="AR328" s="760"/>
      <c r="AS328" s="761"/>
      <c r="AT328" s="760"/>
    </row>
    <row r="329" ht="15.75" customHeight="1">
      <c r="A329" s="760"/>
      <c r="B329" s="760"/>
      <c r="C329" s="760"/>
      <c r="D329" s="760"/>
      <c r="E329" s="760"/>
      <c r="F329" s="760"/>
      <c r="G329" s="760"/>
      <c r="H329" s="760"/>
      <c r="I329" s="760"/>
      <c r="J329" s="760"/>
      <c r="K329" s="760"/>
      <c r="L329" s="760"/>
      <c r="M329" s="760"/>
      <c r="N329" s="760"/>
      <c r="O329" s="760"/>
      <c r="P329" s="760"/>
      <c r="Q329" s="760"/>
      <c r="R329" s="760"/>
      <c r="S329" s="760"/>
      <c r="T329" s="760"/>
      <c r="U329" s="760"/>
      <c r="V329" s="760"/>
      <c r="W329" s="760"/>
      <c r="X329" s="760"/>
      <c r="Y329" s="760"/>
      <c r="Z329" s="760"/>
      <c r="AA329" s="760"/>
      <c r="AB329" s="760"/>
      <c r="AC329" s="760"/>
      <c r="AD329" s="760"/>
      <c r="AE329" s="760"/>
      <c r="AF329" s="760"/>
      <c r="AG329" s="761"/>
      <c r="AH329" s="760"/>
      <c r="AI329" s="760"/>
      <c r="AJ329" s="760"/>
      <c r="AK329" s="760"/>
      <c r="AL329" s="760"/>
      <c r="AM329" s="760"/>
      <c r="AN329" s="760"/>
      <c r="AO329" s="760"/>
      <c r="AP329" s="760"/>
      <c r="AQ329" s="760"/>
      <c r="AR329" s="760"/>
      <c r="AS329" s="761"/>
      <c r="AT329" s="760"/>
    </row>
    <row r="330" ht="15.75" customHeight="1">
      <c r="A330" s="760"/>
      <c r="B330" s="760"/>
      <c r="C330" s="760"/>
      <c r="D330" s="760"/>
      <c r="E330" s="760"/>
      <c r="F330" s="760"/>
      <c r="G330" s="760"/>
      <c r="H330" s="760"/>
      <c r="I330" s="760"/>
      <c r="J330" s="760"/>
      <c r="K330" s="760"/>
      <c r="L330" s="760"/>
      <c r="M330" s="760"/>
      <c r="N330" s="760"/>
      <c r="O330" s="760"/>
      <c r="P330" s="760"/>
      <c r="Q330" s="760"/>
      <c r="R330" s="760"/>
      <c r="S330" s="760"/>
      <c r="T330" s="760"/>
      <c r="U330" s="760"/>
      <c r="V330" s="760"/>
      <c r="W330" s="760"/>
      <c r="X330" s="760"/>
      <c r="Y330" s="760"/>
      <c r="Z330" s="760"/>
      <c r="AA330" s="760"/>
      <c r="AB330" s="760"/>
      <c r="AC330" s="760"/>
      <c r="AD330" s="760"/>
      <c r="AE330" s="760"/>
      <c r="AF330" s="760"/>
      <c r="AG330" s="761"/>
      <c r="AH330" s="760"/>
      <c r="AI330" s="760"/>
      <c r="AJ330" s="760"/>
      <c r="AK330" s="760"/>
      <c r="AL330" s="760"/>
      <c r="AM330" s="760"/>
      <c r="AN330" s="760"/>
      <c r="AO330" s="760"/>
      <c r="AP330" s="760"/>
      <c r="AQ330" s="760"/>
      <c r="AR330" s="760"/>
      <c r="AS330" s="761"/>
      <c r="AT330" s="760"/>
    </row>
    <row r="331" ht="15.75" customHeight="1">
      <c r="A331" s="760"/>
      <c r="B331" s="760"/>
      <c r="C331" s="760"/>
      <c r="D331" s="760"/>
      <c r="E331" s="760"/>
      <c r="F331" s="760"/>
      <c r="G331" s="760"/>
      <c r="H331" s="760"/>
      <c r="I331" s="760"/>
      <c r="J331" s="760"/>
      <c r="K331" s="760"/>
      <c r="L331" s="760"/>
      <c r="M331" s="760"/>
      <c r="N331" s="760"/>
      <c r="O331" s="760"/>
      <c r="P331" s="760"/>
      <c r="Q331" s="760"/>
      <c r="R331" s="760"/>
      <c r="S331" s="760"/>
      <c r="T331" s="760"/>
      <c r="U331" s="760"/>
      <c r="V331" s="760"/>
      <c r="W331" s="760"/>
      <c r="X331" s="760"/>
      <c r="Y331" s="760"/>
      <c r="Z331" s="760"/>
      <c r="AA331" s="760"/>
      <c r="AB331" s="760"/>
      <c r="AC331" s="760"/>
      <c r="AD331" s="760"/>
      <c r="AE331" s="760"/>
      <c r="AF331" s="760"/>
      <c r="AG331" s="761"/>
      <c r="AH331" s="760"/>
      <c r="AI331" s="760"/>
      <c r="AJ331" s="760"/>
      <c r="AK331" s="760"/>
      <c r="AL331" s="760"/>
      <c r="AM331" s="760"/>
      <c r="AN331" s="760"/>
      <c r="AO331" s="760"/>
      <c r="AP331" s="760"/>
      <c r="AQ331" s="760"/>
      <c r="AR331" s="760"/>
      <c r="AS331" s="761"/>
      <c r="AT331" s="760"/>
    </row>
    <row r="332" ht="15.75" customHeight="1">
      <c r="A332" s="760"/>
      <c r="B332" s="760"/>
      <c r="C332" s="760"/>
      <c r="D332" s="760"/>
      <c r="E332" s="760"/>
      <c r="F332" s="760"/>
      <c r="G332" s="760"/>
      <c r="H332" s="760"/>
      <c r="I332" s="760"/>
      <c r="J332" s="760"/>
      <c r="K332" s="760"/>
      <c r="L332" s="760"/>
      <c r="M332" s="760"/>
      <c r="N332" s="760"/>
      <c r="O332" s="760"/>
      <c r="P332" s="760"/>
      <c r="Q332" s="760"/>
      <c r="R332" s="760"/>
      <c r="S332" s="760"/>
      <c r="T332" s="760"/>
      <c r="U332" s="760"/>
      <c r="V332" s="760"/>
      <c r="W332" s="760"/>
      <c r="X332" s="760"/>
      <c r="Y332" s="760"/>
      <c r="Z332" s="760"/>
      <c r="AA332" s="760"/>
      <c r="AB332" s="760"/>
      <c r="AC332" s="760"/>
      <c r="AD332" s="760"/>
      <c r="AE332" s="760"/>
      <c r="AF332" s="760"/>
      <c r="AG332" s="761"/>
      <c r="AH332" s="760"/>
      <c r="AI332" s="760"/>
      <c r="AJ332" s="760"/>
      <c r="AK332" s="760"/>
      <c r="AL332" s="760"/>
      <c r="AM332" s="760"/>
      <c r="AN332" s="760"/>
      <c r="AO332" s="760"/>
      <c r="AP332" s="760"/>
      <c r="AQ332" s="760"/>
      <c r="AR332" s="760"/>
      <c r="AS332" s="761"/>
      <c r="AT332" s="760"/>
    </row>
    <row r="333" ht="15.75" customHeight="1">
      <c r="A333" s="760"/>
      <c r="B333" s="760"/>
      <c r="C333" s="760"/>
      <c r="D333" s="760"/>
      <c r="E333" s="760"/>
      <c r="F333" s="760"/>
      <c r="G333" s="760"/>
      <c r="H333" s="760"/>
      <c r="I333" s="760"/>
      <c r="J333" s="760"/>
      <c r="K333" s="760"/>
      <c r="L333" s="760"/>
      <c r="M333" s="760"/>
      <c r="N333" s="760"/>
      <c r="O333" s="760"/>
      <c r="P333" s="760"/>
      <c r="Q333" s="760"/>
      <c r="R333" s="760"/>
      <c r="S333" s="760"/>
      <c r="T333" s="760"/>
      <c r="U333" s="760"/>
      <c r="V333" s="760"/>
      <c r="W333" s="760"/>
      <c r="X333" s="760"/>
      <c r="Y333" s="760"/>
      <c r="Z333" s="760"/>
      <c r="AA333" s="760"/>
      <c r="AB333" s="760"/>
      <c r="AC333" s="760"/>
      <c r="AD333" s="760"/>
      <c r="AE333" s="760"/>
      <c r="AF333" s="760"/>
      <c r="AG333" s="761"/>
      <c r="AH333" s="760"/>
      <c r="AI333" s="760"/>
      <c r="AJ333" s="760"/>
      <c r="AK333" s="760"/>
      <c r="AL333" s="760"/>
      <c r="AM333" s="760"/>
      <c r="AN333" s="760"/>
      <c r="AO333" s="760"/>
      <c r="AP333" s="760"/>
      <c r="AQ333" s="760"/>
      <c r="AR333" s="760"/>
      <c r="AS333" s="761"/>
      <c r="AT333" s="760"/>
    </row>
    <row r="334" ht="15.75" customHeight="1">
      <c r="A334" s="760"/>
      <c r="B334" s="760"/>
      <c r="C334" s="760"/>
      <c r="D334" s="760"/>
      <c r="E334" s="760"/>
      <c r="F334" s="760"/>
      <c r="G334" s="760"/>
      <c r="H334" s="760"/>
      <c r="I334" s="760"/>
      <c r="J334" s="760"/>
      <c r="K334" s="760"/>
      <c r="L334" s="760"/>
      <c r="M334" s="760"/>
      <c r="N334" s="760"/>
      <c r="O334" s="760"/>
      <c r="P334" s="760"/>
      <c r="Q334" s="760"/>
      <c r="R334" s="760"/>
      <c r="S334" s="760"/>
      <c r="T334" s="760"/>
      <c r="U334" s="760"/>
      <c r="V334" s="760"/>
      <c r="W334" s="760"/>
      <c r="X334" s="760"/>
      <c r="Y334" s="760"/>
      <c r="Z334" s="760"/>
      <c r="AA334" s="760"/>
      <c r="AB334" s="760"/>
      <c r="AC334" s="760"/>
      <c r="AD334" s="760"/>
      <c r="AE334" s="760"/>
      <c r="AF334" s="760"/>
      <c r="AG334" s="761"/>
      <c r="AH334" s="760"/>
      <c r="AI334" s="760"/>
      <c r="AJ334" s="760"/>
      <c r="AK334" s="760"/>
      <c r="AL334" s="760"/>
      <c r="AM334" s="760"/>
      <c r="AN334" s="760"/>
      <c r="AO334" s="760"/>
      <c r="AP334" s="760"/>
      <c r="AQ334" s="760"/>
      <c r="AR334" s="760"/>
      <c r="AS334" s="761"/>
      <c r="AT334" s="760"/>
    </row>
    <row r="335" ht="15.75" customHeight="1">
      <c r="A335" s="760"/>
      <c r="B335" s="760"/>
      <c r="C335" s="760"/>
      <c r="D335" s="760"/>
      <c r="E335" s="760"/>
      <c r="F335" s="760"/>
      <c r="G335" s="760"/>
      <c r="H335" s="760"/>
      <c r="I335" s="760"/>
      <c r="J335" s="760"/>
      <c r="K335" s="760"/>
      <c r="L335" s="760"/>
      <c r="M335" s="760"/>
      <c r="N335" s="760"/>
      <c r="O335" s="760"/>
      <c r="P335" s="760"/>
      <c r="Q335" s="760"/>
      <c r="R335" s="760"/>
      <c r="S335" s="760"/>
      <c r="T335" s="760"/>
      <c r="U335" s="760"/>
      <c r="V335" s="760"/>
      <c r="W335" s="760"/>
      <c r="X335" s="760"/>
      <c r="Y335" s="760"/>
      <c r="Z335" s="760"/>
      <c r="AA335" s="760"/>
      <c r="AB335" s="760"/>
      <c r="AC335" s="760"/>
      <c r="AD335" s="760"/>
      <c r="AE335" s="760"/>
      <c r="AF335" s="760"/>
      <c r="AG335" s="761"/>
      <c r="AH335" s="760"/>
      <c r="AI335" s="760"/>
      <c r="AJ335" s="760"/>
      <c r="AK335" s="760"/>
      <c r="AL335" s="760"/>
      <c r="AM335" s="760"/>
      <c r="AN335" s="760"/>
      <c r="AO335" s="760"/>
      <c r="AP335" s="760"/>
      <c r="AQ335" s="760"/>
      <c r="AR335" s="760"/>
      <c r="AS335" s="761"/>
      <c r="AT335" s="760"/>
    </row>
    <row r="336" ht="15.75" customHeight="1">
      <c r="A336" s="760"/>
      <c r="B336" s="760"/>
      <c r="C336" s="760"/>
      <c r="D336" s="760"/>
      <c r="E336" s="760"/>
      <c r="F336" s="760"/>
      <c r="G336" s="760"/>
      <c r="H336" s="760"/>
      <c r="I336" s="760"/>
      <c r="J336" s="760"/>
      <c r="K336" s="760"/>
      <c r="L336" s="760"/>
      <c r="M336" s="760"/>
      <c r="N336" s="760"/>
      <c r="O336" s="760"/>
      <c r="P336" s="760"/>
      <c r="Q336" s="760"/>
      <c r="R336" s="760"/>
      <c r="S336" s="760"/>
      <c r="T336" s="760"/>
      <c r="U336" s="760"/>
      <c r="V336" s="760"/>
      <c r="W336" s="760"/>
      <c r="X336" s="760"/>
      <c r="Y336" s="760"/>
      <c r="Z336" s="760"/>
      <c r="AA336" s="760"/>
      <c r="AB336" s="760"/>
      <c r="AC336" s="760"/>
      <c r="AD336" s="760"/>
      <c r="AE336" s="760"/>
      <c r="AF336" s="760"/>
      <c r="AG336" s="761"/>
      <c r="AH336" s="760"/>
      <c r="AI336" s="760"/>
      <c r="AJ336" s="760"/>
      <c r="AK336" s="760"/>
      <c r="AL336" s="760"/>
      <c r="AM336" s="760"/>
      <c r="AN336" s="760"/>
      <c r="AO336" s="760"/>
      <c r="AP336" s="760"/>
      <c r="AQ336" s="760"/>
      <c r="AR336" s="760"/>
      <c r="AS336" s="761"/>
      <c r="AT336" s="760"/>
    </row>
    <row r="337" ht="15.75" customHeight="1">
      <c r="A337" s="760"/>
      <c r="B337" s="760"/>
      <c r="C337" s="760"/>
      <c r="D337" s="760"/>
      <c r="E337" s="760"/>
      <c r="F337" s="760"/>
      <c r="G337" s="760"/>
      <c r="H337" s="760"/>
      <c r="I337" s="760"/>
      <c r="J337" s="760"/>
      <c r="K337" s="760"/>
      <c r="L337" s="760"/>
      <c r="M337" s="760"/>
      <c r="N337" s="760"/>
      <c r="O337" s="760"/>
      <c r="P337" s="760"/>
      <c r="Q337" s="760"/>
      <c r="R337" s="760"/>
      <c r="S337" s="760"/>
      <c r="T337" s="760"/>
      <c r="U337" s="760"/>
      <c r="V337" s="760"/>
      <c r="W337" s="760"/>
      <c r="X337" s="760"/>
      <c r="Y337" s="760"/>
      <c r="Z337" s="760"/>
      <c r="AA337" s="760"/>
      <c r="AB337" s="760"/>
      <c r="AC337" s="760"/>
      <c r="AD337" s="760"/>
      <c r="AE337" s="760"/>
      <c r="AF337" s="760"/>
      <c r="AG337" s="761"/>
      <c r="AH337" s="760"/>
      <c r="AI337" s="760"/>
      <c r="AJ337" s="760"/>
      <c r="AK337" s="760"/>
      <c r="AL337" s="760"/>
      <c r="AM337" s="760"/>
      <c r="AN337" s="760"/>
      <c r="AO337" s="760"/>
      <c r="AP337" s="760"/>
      <c r="AQ337" s="760"/>
      <c r="AR337" s="760"/>
      <c r="AS337" s="761"/>
      <c r="AT337" s="760"/>
    </row>
    <row r="338" ht="15.75" customHeight="1">
      <c r="A338" s="760"/>
      <c r="B338" s="760"/>
      <c r="C338" s="760"/>
      <c r="D338" s="760"/>
      <c r="E338" s="760"/>
      <c r="F338" s="760"/>
      <c r="G338" s="760"/>
      <c r="H338" s="760"/>
      <c r="I338" s="760"/>
      <c r="J338" s="760"/>
      <c r="K338" s="760"/>
      <c r="L338" s="760"/>
      <c r="M338" s="760"/>
      <c r="N338" s="760"/>
      <c r="O338" s="760"/>
      <c r="P338" s="760"/>
      <c r="Q338" s="760"/>
      <c r="R338" s="760"/>
      <c r="S338" s="760"/>
      <c r="T338" s="760"/>
      <c r="U338" s="760"/>
      <c r="V338" s="760"/>
      <c r="W338" s="760"/>
      <c r="X338" s="760"/>
      <c r="Y338" s="760"/>
      <c r="Z338" s="760"/>
      <c r="AA338" s="760"/>
      <c r="AB338" s="760"/>
      <c r="AC338" s="760"/>
      <c r="AD338" s="760"/>
      <c r="AE338" s="760"/>
      <c r="AF338" s="760"/>
      <c r="AG338" s="761"/>
      <c r="AH338" s="760"/>
      <c r="AI338" s="760"/>
      <c r="AJ338" s="760"/>
      <c r="AK338" s="760"/>
      <c r="AL338" s="760"/>
      <c r="AM338" s="760"/>
      <c r="AN338" s="760"/>
      <c r="AO338" s="760"/>
      <c r="AP338" s="760"/>
      <c r="AQ338" s="760"/>
      <c r="AR338" s="760"/>
      <c r="AS338" s="761"/>
      <c r="AT338" s="760"/>
    </row>
    <row r="339" ht="15.75" customHeight="1">
      <c r="A339" s="760"/>
      <c r="B339" s="760"/>
      <c r="C339" s="760"/>
      <c r="D339" s="760"/>
      <c r="E339" s="760"/>
      <c r="F339" s="760"/>
      <c r="G339" s="760"/>
      <c r="H339" s="760"/>
      <c r="I339" s="760"/>
      <c r="J339" s="760"/>
      <c r="K339" s="760"/>
      <c r="L339" s="760"/>
      <c r="M339" s="760"/>
      <c r="N339" s="760"/>
      <c r="O339" s="760"/>
      <c r="P339" s="760"/>
      <c r="Q339" s="760"/>
      <c r="R339" s="760"/>
      <c r="S339" s="760"/>
      <c r="T339" s="760"/>
      <c r="U339" s="760"/>
      <c r="V339" s="760"/>
      <c r="W339" s="760"/>
      <c r="X339" s="760"/>
      <c r="Y339" s="760"/>
      <c r="Z339" s="760"/>
      <c r="AA339" s="760"/>
      <c r="AB339" s="760"/>
      <c r="AC339" s="760"/>
      <c r="AD339" s="760"/>
      <c r="AE339" s="760"/>
      <c r="AF339" s="760"/>
      <c r="AG339" s="761"/>
      <c r="AH339" s="760"/>
      <c r="AI339" s="760"/>
      <c r="AJ339" s="760"/>
      <c r="AK339" s="760"/>
      <c r="AL339" s="760"/>
      <c r="AM339" s="760"/>
      <c r="AN339" s="760"/>
      <c r="AO339" s="760"/>
      <c r="AP339" s="760"/>
      <c r="AQ339" s="760"/>
      <c r="AR339" s="760"/>
      <c r="AS339" s="761"/>
      <c r="AT339" s="760"/>
    </row>
    <row r="340" ht="15.75" customHeight="1">
      <c r="A340" s="760"/>
      <c r="B340" s="760"/>
      <c r="C340" s="760"/>
      <c r="D340" s="760"/>
      <c r="E340" s="760"/>
      <c r="F340" s="760"/>
      <c r="G340" s="760"/>
      <c r="H340" s="760"/>
      <c r="I340" s="760"/>
      <c r="J340" s="760"/>
      <c r="K340" s="760"/>
      <c r="L340" s="760"/>
      <c r="M340" s="760"/>
      <c r="N340" s="760"/>
      <c r="O340" s="760"/>
      <c r="P340" s="760"/>
      <c r="Q340" s="760"/>
      <c r="R340" s="760"/>
      <c r="S340" s="760"/>
      <c r="T340" s="760"/>
      <c r="U340" s="760"/>
      <c r="V340" s="760"/>
      <c r="W340" s="760"/>
      <c r="X340" s="760"/>
      <c r="Y340" s="760"/>
      <c r="Z340" s="760"/>
      <c r="AA340" s="760"/>
      <c r="AB340" s="760"/>
      <c r="AC340" s="760"/>
      <c r="AD340" s="760"/>
      <c r="AE340" s="760"/>
      <c r="AF340" s="760"/>
      <c r="AG340" s="761"/>
      <c r="AH340" s="760"/>
      <c r="AI340" s="760"/>
      <c r="AJ340" s="760"/>
      <c r="AK340" s="760"/>
      <c r="AL340" s="760"/>
      <c r="AM340" s="760"/>
      <c r="AN340" s="760"/>
      <c r="AO340" s="760"/>
      <c r="AP340" s="760"/>
      <c r="AQ340" s="760"/>
      <c r="AR340" s="760"/>
      <c r="AS340" s="761"/>
      <c r="AT340" s="760"/>
    </row>
    <row r="341" ht="15.75" customHeight="1">
      <c r="A341" s="760"/>
      <c r="B341" s="760"/>
      <c r="C341" s="760"/>
      <c r="D341" s="760"/>
      <c r="E341" s="760"/>
      <c r="F341" s="760"/>
      <c r="G341" s="760"/>
      <c r="H341" s="760"/>
      <c r="I341" s="760"/>
      <c r="J341" s="760"/>
      <c r="K341" s="760"/>
      <c r="L341" s="760"/>
      <c r="M341" s="760"/>
      <c r="N341" s="760"/>
      <c r="O341" s="760"/>
      <c r="P341" s="760"/>
      <c r="Q341" s="760"/>
      <c r="R341" s="760"/>
      <c r="S341" s="760"/>
      <c r="T341" s="760"/>
      <c r="U341" s="760"/>
      <c r="V341" s="760"/>
      <c r="W341" s="760"/>
      <c r="X341" s="760"/>
      <c r="Y341" s="760"/>
      <c r="Z341" s="760"/>
      <c r="AA341" s="760"/>
      <c r="AB341" s="760"/>
      <c r="AC341" s="760"/>
      <c r="AD341" s="760"/>
      <c r="AE341" s="760"/>
      <c r="AF341" s="760"/>
      <c r="AG341" s="761"/>
      <c r="AH341" s="760"/>
      <c r="AI341" s="760"/>
      <c r="AJ341" s="760"/>
      <c r="AK341" s="760"/>
      <c r="AL341" s="760"/>
      <c r="AM341" s="760"/>
      <c r="AN341" s="760"/>
      <c r="AO341" s="760"/>
      <c r="AP341" s="760"/>
      <c r="AQ341" s="760"/>
      <c r="AR341" s="760"/>
      <c r="AS341" s="761"/>
      <c r="AT341" s="760"/>
    </row>
    <row r="342" ht="15.75" customHeight="1">
      <c r="A342" s="760"/>
      <c r="B342" s="760"/>
      <c r="C342" s="760"/>
      <c r="D342" s="760"/>
      <c r="E342" s="760"/>
      <c r="F342" s="760"/>
      <c r="G342" s="760"/>
      <c r="H342" s="760"/>
      <c r="I342" s="760"/>
      <c r="J342" s="760"/>
      <c r="K342" s="760"/>
      <c r="L342" s="760"/>
      <c r="M342" s="760"/>
      <c r="N342" s="760"/>
      <c r="O342" s="760"/>
      <c r="P342" s="760"/>
      <c r="Q342" s="760"/>
      <c r="R342" s="760"/>
      <c r="S342" s="760"/>
      <c r="T342" s="760"/>
      <c r="U342" s="760"/>
      <c r="V342" s="760"/>
      <c r="W342" s="760"/>
      <c r="X342" s="760"/>
      <c r="Y342" s="760"/>
      <c r="Z342" s="760"/>
      <c r="AA342" s="760"/>
      <c r="AB342" s="760"/>
      <c r="AC342" s="760"/>
      <c r="AD342" s="760"/>
      <c r="AE342" s="760"/>
      <c r="AF342" s="760"/>
      <c r="AG342" s="761"/>
      <c r="AH342" s="760"/>
      <c r="AI342" s="760"/>
      <c r="AJ342" s="760"/>
      <c r="AK342" s="760"/>
      <c r="AL342" s="760"/>
      <c r="AM342" s="760"/>
      <c r="AN342" s="760"/>
      <c r="AO342" s="760"/>
      <c r="AP342" s="760"/>
      <c r="AQ342" s="760"/>
      <c r="AR342" s="760"/>
      <c r="AS342" s="761"/>
      <c r="AT342" s="760"/>
    </row>
    <row r="343" ht="15.75" customHeight="1">
      <c r="A343" s="760"/>
      <c r="B343" s="760"/>
      <c r="C343" s="760"/>
      <c r="D343" s="760"/>
      <c r="E343" s="760"/>
      <c r="F343" s="760"/>
      <c r="G343" s="760"/>
      <c r="H343" s="760"/>
      <c r="I343" s="760"/>
      <c r="J343" s="760"/>
      <c r="K343" s="760"/>
      <c r="L343" s="760"/>
      <c r="M343" s="760"/>
      <c r="N343" s="760"/>
      <c r="O343" s="760"/>
      <c r="P343" s="760"/>
      <c r="Q343" s="760"/>
      <c r="R343" s="760"/>
      <c r="S343" s="760"/>
      <c r="T343" s="760"/>
      <c r="U343" s="760"/>
      <c r="V343" s="760"/>
      <c r="W343" s="760"/>
      <c r="X343" s="760"/>
      <c r="Y343" s="760"/>
      <c r="Z343" s="760"/>
      <c r="AA343" s="760"/>
      <c r="AB343" s="760"/>
      <c r="AC343" s="760"/>
      <c r="AD343" s="760"/>
      <c r="AE343" s="760"/>
      <c r="AF343" s="760"/>
      <c r="AG343" s="761"/>
      <c r="AH343" s="760"/>
      <c r="AI343" s="760"/>
      <c r="AJ343" s="760"/>
      <c r="AK343" s="760"/>
      <c r="AL343" s="760"/>
      <c r="AM343" s="760"/>
      <c r="AN343" s="760"/>
      <c r="AO343" s="760"/>
      <c r="AP343" s="760"/>
      <c r="AQ343" s="760"/>
      <c r="AR343" s="760"/>
      <c r="AS343" s="761"/>
      <c r="AT343" s="760"/>
    </row>
    <row r="344" ht="15.75" customHeight="1">
      <c r="A344" s="760"/>
      <c r="B344" s="760"/>
      <c r="C344" s="760"/>
      <c r="D344" s="760"/>
      <c r="E344" s="760"/>
      <c r="F344" s="760"/>
      <c r="G344" s="760"/>
      <c r="H344" s="760"/>
      <c r="I344" s="760"/>
      <c r="J344" s="760"/>
      <c r="K344" s="760"/>
      <c r="L344" s="760"/>
      <c r="M344" s="760"/>
      <c r="N344" s="760"/>
      <c r="O344" s="760"/>
      <c r="P344" s="760"/>
      <c r="Q344" s="760"/>
      <c r="R344" s="760"/>
      <c r="S344" s="760"/>
      <c r="T344" s="760"/>
      <c r="U344" s="760"/>
      <c r="V344" s="760"/>
      <c r="W344" s="760"/>
      <c r="X344" s="760"/>
      <c r="Y344" s="760"/>
      <c r="Z344" s="760"/>
      <c r="AA344" s="760"/>
      <c r="AB344" s="760"/>
      <c r="AC344" s="760"/>
      <c r="AD344" s="760"/>
      <c r="AE344" s="760"/>
      <c r="AF344" s="760"/>
      <c r="AG344" s="761"/>
      <c r="AH344" s="760"/>
      <c r="AI344" s="760"/>
      <c r="AJ344" s="760"/>
      <c r="AK344" s="760"/>
      <c r="AL344" s="760"/>
      <c r="AM344" s="760"/>
      <c r="AN344" s="760"/>
      <c r="AO344" s="760"/>
      <c r="AP344" s="760"/>
      <c r="AQ344" s="760"/>
      <c r="AR344" s="760"/>
      <c r="AS344" s="761"/>
      <c r="AT344" s="760"/>
    </row>
    <row r="345" ht="15.75" customHeight="1">
      <c r="A345" s="760"/>
      <c r="B345" s="760"/>
      <c r="C345" s="760"/>
      <c r="D345" s="760"/>
      <c r="E345" s="760"/>
      <c r="F345" s="760"/>
      <c r="G345" s="760"/>
      <c r="H345" s="760"/>
      <c r="I345" s="760"/>
      <c r="J345" s="760"/>
      <c r="K345" s="760"/>
      <c r="L345" s="760"/>
      <c r="M345" s="760"/>
      <c r="N345" s="760"/>
      <c r="O345" s="760"/>
      <c r="P345" s="760"/>
      <c r="Q345" s="760"/>
      <c r="R345" s="760"/>
      <c r="S345" s="760"/>
      <c r="T345" s="760"/>
      <c r="U345" s="760"/>
      <c r="V345" s="760"/>
      <c r="W345" s="760"/>
      <c r="X345" s="760"/>
      <c r="Y345" s="760"/>
      <c r="Z345" s="760"/>
      <c r="AA345" s="760"/>
      <c r="AB345" s="760"/>
      <c r="AC345" s="760"/>
      <c r="AD345" s="760"/>
      <c r="AE345" s="760"/>
      <c r="AF345" s="760"/>
      <c r="AG345" s="761"/>
      <c r="AH345" s="760"/>
      <c r="AI345" s="760"/>
      <c r="AJ345" s="760"/>
      <c r="AK345" s="760"/>
      <c r="AL345" s="760"/>
      <c r="AM345" s="760"/>
      <c r="AN345" s="760"/>
      <c r="AO345" s="760"/>
      <c r="AP345" s="760"/>
      <c r="AQ345" s="760"/>
      <c r="AR345" s="760"/>
      <c r="AS345" s="761"/>
      <c r="AT345" s="760"/>
    </row>
    <row r="346" ht="15.75" customHeight="1">
      <c r="A346" s="760"/>
      <c r="B346" s="760"/>
      <c r="C346" s="760"/>
      <c r="D346" s="760"/>
      <c r="E346" s="760"/>
      <c r="F346" s="760"/>
      <c r="G346" s="760"/>
      <c r="H346" s="760"/>
      <c r="I346" s="760"/>
      <c r="J346" s="760"/>
      <c r="K346" s="760"/>
      <c r="L346" s="760"/>
      <c r="M346" s="760"/>
      <c r="N346" s="760"/>
      <c r="O346" s="760"/>
      <c r="P346" s="760"/>
      <c r="Q346" s="760"/>
      <c r="R346" s="760"/>
      <c r="S346" s="760"/>
      <c r="T346" s="760"/>
      <c r="U346" s="760"/>
      <c r="V346" s="760"/>
      <c r="W346" s="760"/>
      <c r="X346" s="760"/>
      <c r="Y346" s="760"/>
      <c r="Z346" s="760"/>
      <c r="AA346" s="760"/>
      <c r="AB346" s="760"/>
      <c r="AC346" s="760"/>
      <c r="AD346" s="760"/>
      <c r="AE346" s="760"/>
      <c r="AF346" s="760"/>
      <c r="AG346" s="761"/>
      <c r="AH346" s="760"/>
      <c r="AI346" s="760"/>
      <c r="AJ346" s="760"/>
      <c r="AK346" s="760"/>
      <c r="AL346" s="760"/>
      <c r="AM346" s="760"/>
      <c r="AN346" s="760"/>
      <c r="AO346" s="760"/>
      <c r="AP346" s="760"/>
      <c r="AQ346" s="760"/>
      <c r="AR346" s="760"/>
      <c r="AS346" s="761"/>
      <c r="AT346" s="760"/>
    </row>
    <row r="347" ht="15.75" customHeight="1">
      <c r="A347" s="760"/>
      <c r="B347" s="760"/>
      <c r="C347" s="760"/>
      <c r="D347" s="760"/>
      <c r="E347" s="760"/>
      <c r="F347" s="760"/>
      <c r="G347" s="760"/>
      <c r="H347" s="760"/>
      <c r="I347" s="760"/>
      <c r="J347" s="760"/>
      <c r="K347" s="760"/>
      <c r="L347" s="760"/>
      <c r="M347" s="760"/>
      <c r="N347" s="760"/>
      <c r="O347" s="760"/>
      <c r="P347" s="760"/>
      <c r="Q347" s="760"/>
      <c r="R347" s="760"/>
      <c r="S347" s="760"/>
      <c r="T347" s="760"/>
      <c r="U347" s="760"/>
      <c r="V347" s="760"/>
      <c r="W347" s="760"/>
      <c r="X347" s="760"/>
      <c r="Y347" s="760"/>
      <c r="Z347" s="760"/>
      <c r="AA347" s="760"/>
      <c r="AB347" s="760"/>
      <c r="AC347" s="760"/>
      <c r="AD347" s="760"/>
      <c r="AE347" s="760"/>
      <c r="AF347" s="760"/>
      <c r="AG347" s="761"/>
      <c r="AH347" s="760"/>
      <c r="AI347" s="760"/>
      <c r="AJ347" s="760"/>
      <c r="AK347" s="760"/>
      <c r="AL347" s="760"/>
      <c r="AM347" s="760"/>
      <c r="AN347" s="760"/>
      <c r="AO347" s="760"/>
      <c r="AP347" s="760"/>
      <c r="AQ347" s="760"/>
      <c r="AR347" s="760"/>
      <c r="AS347" s="761"/>
      <c r="AT347" s="760"/>
    </row>
    <row r="348" ht="15.75" customHeight="1">
      <c r="A348" s="760"/>
      <c r="B348" s="760"/>
      <c r="C348" s="760"/>
      <c r="D348" s="760"/>
      <c r="E348" s="760"/>
      <c r="F348" s="760"/>
      <c r="G348" s="760"/>
      <c r="H348" s="760"/>
      <c r="I348" s="760"/>
      <c r="J348" s="760"/>
      <c r="K348" s="760"/>
      <c r="L348" s="760"/>
      <c r="M348" s="760"/>
      <c r="N348" s="760"/>
      <c r="O348" s="760"/>
      <c r="P348" s="760"/>
      <c r="Q348" s="760"/>
      <c r="R348" s="760"/>
      <c r="S348" s="760"/>
      <c r="T348" s="760"/>
      <c r="U348" s="760"/>
      <c r="V348" s="760"/>
      <c r="W348" s="760"/>
      <c r="X348" s="760"/>
      <c r="Y348" s="760"/>
      <c r="Z348" s="760"/>
      <c r="AA348" s="760"/>
      <c r="AB348" s="760"/>
      <c r="AC348" s="760"/>
      <c r="AD348" s="760"/>
      <c r="AE348" s="760"/>
      <c r="AF348" s="760"/>
      <c r="AG348" s="761"/>
      <c r="AH348" s="760"/>
      <c r="AI348" s="760"/>
      <c r="AJ348" s="760"/>
      <c r="AK348" s="760"/>
      <c r="AL348" s="760"/>
      <c r="AM348" s="760"/>
      <c r="AN348" s="760"/>
      <c r="AO348" s="760"/>
      <c r="AP348" s="760"/>
      <c r="AQ348" s="760"/>
      <c r="AR348" s="760"/>
      <c r="AS348" s="761"/>
      <c r="AT348" s="760"/>
    </row>
    <row r="349" ht="15.75" customHeight="1">
      <c r="A349" s="760"/>
      <c r="B349" s="760"/>
      <c r="C349" s="760"/>
      <c r="D349" s="760"/>
      <c r="E349" s="760"/>
      <c r="F349" s="760"/>
      <c r="G349" s="760"/>
      <c r="H349" s="760"/>
      <c r="I349" s="760"/>
      <c r="J349" s="760"/>
      <c r="K349" s="760"/>
      <c r="L349" s="760"/>
      <c r="M349" s="760"/>
      <c r="N349" s="760"/>
      <c r="O349" s="760"/>
      <c r="P349" s="760"/>
      <c r="Q349" s="760"/>
      <c r="R349" s="760"/>
      <c r="S349" s="760"/>
      <c r="T349" s="760"/>
      <c r="U349" s="760"/>
      <c r="V349" s="760"/>
      <c r="W349" s="760"/>
      <c r="X349" s="760"/>
      <c r="Y349" s="760"/>
      <c r="Z349" s="760"/>
      <c r="AA349" s="760"/>
      <c r="AB349" s="760"/>
      <c r="AC349" s="760"/>
      <c r="AD349" s="760"/>
      <c r="AE349" s="760"/>
      <c r="AF349" s="760"/>
      <c r="AG349" s="761"/>
      <c r="AH349" s="760"/>
      <c r="AI349" s="760"/>
      <c r="AJ349" s="760"/>
      <c r="AK349" s="760"/>
      <c r="AL349" s="760"/>
      <c r="AM349" s="760"/>
      <c r="AN349" s="760"/>
      <c r="AO349" s="760"/>
      <c r="AP349" s="760"/>
      <c r="AQ349" s="760"/>
      <c r="AR349" s="760"/>
      <c r="AS349" s="761"/>
      <c r="AT349" s="760"/>
    </row>
    <row r="350" ht="15.75" customHeight="1">
      <c r="A350" s="760"/>
      <c r="B350" s="760"/>
      <c r="C350" s="760"/>
      <c r="D350" s="760"/>
      <c r="E350" s="760"/>
      <c r="F350" s="760"/>
      <c r="G350" s="760"/>
      <c r="H350" s="760"/>
      <c r="I350" s="760"/>
      <c r="J350" s="760"/>
      <c r="K350" s="760"/>
      <c r="L350" s="760"/>
      <c r="M350" s="760"/>
      <c r="N350" s="760"/>
      <c r="O350" s="760"/>
      <c r="P350" s="760"/>
      <c r="Q350" s="760"/>
      <c r="R350" s="760"/>
      <c r="S350" s="760"/>
      <c r="T350" s="760"/>
      <c r="U350" s="760"/>
      <c r="V350" s="760"/>
      <c r="W350" s="760"/>
      <c r="X350" s="760"/>
      <c r="Y350" s="760"/>
      <c r="Z350" s="760"/>
      <c r="AA350" s="760"/>
      <c r="AB350" s="760"/>
      <c r="AC350" s="760"/>
      <c r="AD350" s="760"/>
      <c r="AE350" s="760"/>
      <c r="AF350" s="760"/>
      <c r="AG350" s="761"/>
      <c r="AH350" s="760"/>
      <c r="AI350" s="760"/>
      <c r="AJ350" s="760"/>
      <c r="AK350" s="760"/>
      <c r="AL350" s="760"/>
      <c r="AM350" s="760"/>
      <c r="AN350" s="760"/>
      <c r="AO350" s="760"/>
      <c r="AP350" s="760"/>
      <c r="AQ350" s="760"/>
      <c r="AR350" s="760"/>
      <c r="AS350" s="761"/>
      <c r="AT350" s="760"/>
    </row>
    <row r="351" ht="15.75" customHeight="1">
      <c r="A351" s="760"/>
      <c r="B351" s="760"/>
      <c r="C351" s="760"/>
      <c r="D351" s="760"/>
      <c r="E351" s="760"/>
      <c r="F351" s="760"/>
      <c r="G351" s="760"/>
      <c r="H351" s="760"/>
      <c r="I351" s="760"/>
      <c r="J351" s="760"/>
      <c r="K351" s="760"/>
      <c r="L351" s="760"/>
      <c r="M351" s="760"/>
      <c r="N351" s="760"/>
      <c r="O351" s="760"/>
      <c r="P351" s="760"/>
      <c r="Q351" s="760"/>
      <c r="R351" s="760"/>
      <c r="S351" s="760"/>
      <c r="T351" s="760"/>
      <c r="U351" s="760"/>
      <c r="V351" s="760"/>
      <c r="W351" s="760"/>
      <c r="X351" s="760"/>
      <c r="Y351" s="760"/>
      <c r="Z351" s="760"/>
      <c r="AA351" s="760"/>
      <c r="AB351" s="760"/>
      <c r="AC351" s="760"/>
      <c r="AD351" s="760"/>
      <c r="AE351" s="760"/>
      <c r="AF351" s="760"/>
      <c r="AG351" s="761"/>
      <c r="AH351" s="760"/>
      <c r="AI351" s="760"/>
      <c r="AJ351" s="760"/>
      <c r="AK351" s="760"/>
      <c r="AL351" s="760"/>
      <c r="AM351" s="760"/>
      <c r="AN351" s="760"/>
      <c r="AO351" s="760"/>
      <c r="AP351" s="760"/>
      <c r="AQ351" s="760"/>
      <c r="AR351" s="760"/>
      <c r="AS351" s="761"/>
      <c r="AT351" s="760"/>
    </row>
    <row r="352" ht="15.75" customHeight="1">
      <c r="A352" s="760"/>
      <c r="B352" s="760"/>
      <c r="C352" s="760"/>
      <c r="D352" s="760"/>
      <c r="E352" s="760"/>
      <c r="F352" s="760"/>
      <c r="G352" s="760"/>
      <c r="H352" s="760"/>
      <c r="I352" s="760"/>
      <c r="J352" s="760"/>
      <c r="K352" s="760"/>
      <c r="L352" s="760"/>
      <c r="M352" s="760"/>
      <c r="N352" s="760"/>
      <c r="O352" s="760"/>
      <c r="P352" s="760"/>
      <c r="Q352" s="760"/>
      <c r="R352" s="760"/>
      <c r="S352" s="760"/>
      <c r="T352" s="760"/>
      <c r="U352" s="760"/>
      <c r="V352" s="760"/>
      <c r="W352" s="760"/>
      <c r="X352" s="760"/>
      <c r="Y352" s="760"/>
      <c r="Z352" s="760"/>
      <c r="AA352" s="760"/>
      <c r="AB352" s="760"/>
      <c r="AC352" s="760"/>
      <c r="AD352" s="760"/>
      <c r="AE352" s="760"/>
      <c r="AF352" s="760"/>
      <c r="AG352" s="761"/>
      <c r="AH352" s="760"/>
      <c r="AI352" s="760"/>
      <c r="AJ352" s="760"/>
      <c r="AK352" s="760"/>
      <c r="AL352" s="760"/>
      <c r="AM352" s="760"/>
      <c r="AN352" s="760"/>
      <c r="AO352" s="760"/>
      <c r="AP352" s="760"/>
      <c r="AQ352" s="760"/>
      <c r="AR352" s="760"/>
      <c r="AS352" s="761"/>
      <c r="AT352" s="760"/>
    </row>
    <row r="353" ht="15.75" customHeight="1">
      <c r="A353" s="760"/>
      <c r="B353" s="760"/>
      <c r="C353" s="760"/>
      <c r="D353" s="760"/>
      <c r="E353" s="760"/>
      <c r="F353" s="760"/>
      <c r="G353" s="760"/>
      <c r="H353" s="760"/>
      <c r="I353" s="760"/>
      <c r="J353" s="760"/>
      <c r="K353" s="760"/>
      <c r="L353" s="760"/>
      <c r="M353" s="760"/>
      <c r="N353" s="760"/>
      <c r="O353" s="760"/>
      <c r="P353" s="760"/>
      <c r="Q353" s="760"/>
      <c r="R353" s="760"/>
      <c r="S353" s="760"/>
      <c r="T353" s="760"/>
      <c r="U353" s="760"/>
      <c r="V353" s="760"/>
      <c r="W353" s="760"/>
      <c r="X353" s="760"/>
      <c r="Y353" s="760"/>
      <c r="Z353" s="760"/>
      <c r="AA353" s="760"/>
      <c r="AB353" s="760"/>
      <c r="AC353" s="760"/>
      <c r="AD353" s="760"/>
      <c r="AE353" s="760"/>
      <c r="AF353" s="760"/>
      <c r="AG353" s="761"/>
      <c r="AH353" s="760"/>
      <c r="AI353" s="760"/>
      <c r="AJ353" s="760"/>
      <c r="AK353" s="760"/>
      <c r="AL353" s="760"/>
      <c r="AM353" s="760"/>
      <c r="AN353" s="760"/>
      <c r="AO353" s="760"/>
      <c r="AP353" s="760"/>
      <c r="AQ353" s="760"/>
      <c r="AR353" s="760"/>
      <c r="AS353" s="761"/>
      <c r="AT353" s="760"/>
    </row>
    <row r="354" ht="15.75" customHeight="1">
      <c r="A354" s="760"/>
      <c r="B354" s="760"/>
      <c r="C354" s="760"/>
      <c r="D354" s="760"/>
      <c r="E354" s="760"/>
      <c r="F354" s="760"/>
      <c r="G354" s="760"/>
      <c r="H354" s="760"/>
      <c r="I354" s="760"/>
      <c r="J354" s="760"/>
      <c r="K354" s="760"/>
      <c r="L354" s="760"/>
      <c r="M354" s="760"/>
      <c r="N354" s="760"/>
      <c r="O354" s="760"/>
      <c r="P354" s="760"/>
      <c r="Q354" s="760"/>
      <c r="R354" s="760"/>
      <c r="S354" s="760"/>
      <c r="T354" s="760"/>
      <c r="U354" s="760"/>
      <c r="V354" s="760"/>
      <c r="W354" s="760"/>
      <c r="X354" s="760"/>
      <c r="Y354" s="760"/>
      <c r="Z354" s="760"/>
      <c r="AA354" s="760"/>
      <c r="AB354" s="760"/>
      <c r="AC354" s="760"/>
      <c r="AD354" s="760"/>
      <c r="AE354" s="760"/>
      <c r="AF354" s="760"/>
      <c r="AG354" s="761"/>
      <c r="AH354" s="760"/>
      <c r="AI354" s="760"/>
      <c r="AJ354" s="760"/>
      <c r="AK354" s="760"/>
      <c r="AL354" s="760"/>
      <c r="AM354" s="760"/>
      <c r="AN354" s="760"/>
      <c r="AO354" s="760"/>
      <c r="AP354" s="760"/>
      <c r="AQ354" s="760"/>
      <c r="AR354" s="760"/>
      <c r="AS354" s="761"/>
      <c r="AT354" s="760"/>
    </row>
    <row r="355" ht="15.75" customHeight="1">
      <c r="A355" s="760"/>
      <c r="B355" s="760"/>
      <c r="C355" s="760"/>
      <c r="D355" s="760"/>
      <c r="E355" s="760"/>
      <c r="F355" s="760"/>
      <c r="G355" s="760"/>
      <c r="H355" s="760"/>
      <c r="I355" s="760"/>
      <c r="J355" s="760"/>
      <c r="K355" s="760"/>
      <c r="L355" s="760"/>
      <c r="M355" s="760"/>
      <c r="N355" s="760"/>
      <c r="O355" s="760"/>
      <c r="P355" s="760"/>
      <c r="Q355" s="760"/>
      <c r="R355" s="760"/>
      <c r="S355" s="760"/>
      <c r="T355" s="760"/>
      <c r="U355" s="760"/>
      <c r="V355" s="760"/>
      <c r="W355" s="760"/>
      <c r="X355" s="760"/>
      <c r="Y355" s="760"/>
      <c r="Z355" s="760"/>
      <c r="AA355" s="760"/>
      <c r="AB355" s="760"/>
      <c r="AC355" s="760"/>
      <c r="AD355" s="760"/>
      <c r="AE355" s="760"/>
      <c r="AF355" s="760"/>
      <c r="AG355" s="761"/>
      <c r="AH355" s="760"/>
      <c r="AI355" s="760"/>
      <c r="AJ355" s="760"/>
      <c r="AK355" s="760"/>
      <c r="AL355" s="760"/>
      <c r="AM355" s="760"/>
      <c r="AN355" s="760"/>
      <c r="AO355" s="760"/>
      <c r="AP355" s="760"/>
      <c r="AQ355" s="760"/>
      <c r="AR355" s="760"/>
      <c r="AS355" s="761"/>
      <c r="AT355" s="760"/>
    </row>
    <row r="356" ht="15.75" customHeight="1">
      <c r="A356" s="760"/>
      <c r="B356" s="760"/>
      <c r="C356" s="760"/>
      <c r="D356" s="760"/>
      <c r="E356" s="760"/>
      <c r="F356" s="760"/>
      <c r="G356" s="760"/>
      <c r="H356" s="760"/>
      <c r="I356" s="760"/>
      <c r="J356" s="760"/>
      <c r="K356" s="760"/>
      <c r="L356" s="760"/>
      <c r="M356" s="760"/>
      <c r="N356" s="760"/>
      <c r="O356" s="760"/>
      <c r="P356" s="760"/>
      <c r="Q356" s="760"/>
      <c r="R356" s="760"/>
      <c r="S356" s="760"/>
      <c r="T356" s="760"/>
      <c r="U356" s="760"/>
      <c r="V356" s="760"/>
      <c r="W356" s="760"/>
      <c r="X356" s="760"/>
      <c r="Y356" s="760"/>
      <c r="Z356" s="760"/>
      <c r="AA356" s="760"/>
      <c r="AB356" s="760"/>
      <c r="AC356" s="760"/>
      <c r="AD356" s="760"/>
      <c r="AE356" s="760"/>
      <c r="AF356" s="760"/>
      <c r="AG356" s="761"/>
      <c r="AH356" s="760"/>
      <c r="AI356" s="760"/>
      <c r="AJ356" s="760"/>
      <c r="AK356" s="760"/>
      <c r="AL356" s="760"/>
      <c r="AM356" s="760"/>
      <c r="AN356" s="760"/>
      <c r="AO356" s="760"/>
      <c r="AP356" s="760"/>
      <c r="AQ356" s="760"/>
      <c r="AR356" s="760"/>
      <c r="AS356" s="761"/>
      <c r="AT356" s="760"/>
    </row>
    <row r="357" ht="15.75" customHeight="1">
      <c r="A357" s="760"/>
      <c r="B357" s="760"/>
      <c r="C357" s="760"/>
      <c r="D357" s="760"/>
      <c r="E357" s="760"/>
      <c r="F357" s="760"/>
      <c r="G357" s="760"/>
      <c r="H357" s="760"/>
      <c r="I357" s="760"/>
      <c r="J357" s="760"/>
      <c r="K357" s="760"/>
      <c r="L357" s="760"/>
      <c r="M357" s="760"/>
      <c r="N357" s="760"/>
      <c r="O357" s="760"/>
      <c r="P357" s="760"/>
      <c r="Q357" s="760"/>
      <c r="R357" s="760"/>
      <c r="S357" s="760"/>
      <c r="T357" s="760"/>
      <c r="U357" s="760"/>
      <c r="V357" s="760"/>
      <c r="W357" s="760"/>
      <c r="X357" s="760"/>
      <c r="Y357" s="760"/>
      <c r="Z357" s="760"/>
      <c r="AA357" s="760"/>
      <c r="AB357" s="760"/>
      <c r="AC357" s="760"/>
      <c r="AD357" s="760"/>
      <c r="AE357" s="760"/>
      <c r="AF357" s="760"/>
      <c r="AG357" s="761"/>
      <c r="AH357" s="760"/>
      <c r="AI357" s="760"/>
      <c r="AJ357" s="760"/>
      <c r="AK357" s="760"/>
      <c r="AL357" s="760"/>
      <c r="AM357" s="760"/>
      <c r="AN357" s="760"/>
      <c r="AO357" s="760"/>
      <c r="AP357" s="760"/>
      <c r="AQ357" s="760"/>
      <c r="AR357" s="760"/>
      <c r="AS357" s="761"/>
      <c r="AT357" s="760"/>
    </row>
    <row r="358" ht="15.75" customHeight="1">
      <c r="A358" s="760"/>
      <c r="B358" s="760"/>
      <c r="C358" s="760"/>
      <c r="D358" s="760"/>
      <c r="E358" s="760"/>
      <c r="F358" s="760"/>
      <c r="G358" s="760"/>
      <c r="H358" s="760"/>
      <c r="I358" s="760"/>
      <c r="J358" s="760"/>
      <c r="K358" s="760"/>
      <c r="L358" s="760"/>
      <c r="M358" s="760"/>
      <c r="N358" s="760"/>
      <c r="O358" s="760"/>
      <c r="P358" s="760"/>
      <c r="Q358" s="760"/>
      <c r="R358" s="760"/>
      <c r="S358" s="760"/>
      <c r="T358" s="760"/>
      <c r="U358" s="760"/>
      <c r="V358" s="760"/>
      <c r="W358" s="760"/>
      <c r="X358" s="760"/>
      <c r="Y358" s="760"/>
      <c r="Z358" s="760"/>
      <c r="AA358" s="760"/>
      <c r="AB358" s="760"/>
      <c r="AC358" s="760"/>
      <c r="AD358" s="760"/>
      <c r="AE358" s="760"/>
      <c r="AF358" s="760"/>
      <c r="AG358" s="761"/>
      <c r="AH358" s="760"/>
      <c r="AI358" s="760"/>
      <c r="AJ358" s="760"/>
      <c r="AK358" s="760"/>
      <c r="AL358" s="760"/>
      <c r="AM358" s="760"/>
      <c r="AN358" s="760"/>
      <c r="AO358" s="760"/>
      <c r="AP358" s="760"/>
      <c r="AQ358" s="760"/>
      <c r="AR358" s="760"/>
      <c r="AS358" s="761"/>
      <c r="AT358" s="760"/>
    </row>
    <row r="359" ht="15.75" customHeight="1">
      <c r="A359" s="760"/>
      <c r="B359" s="760"/>
      <c r="C359" s="760"/>
      <c r="D359" s="760"/>
      <c r="E359" s="760"/>
      <c r="F359" s="760"/>
      <c r="G359" s="760"/>
      <c r="H359" s="760"/>
      <c r="I359" s="760"/>
      <c r="J359" s="760"/>
      <c r="K359" s="760"/>
      <c r="L359" s="760"/>
      <c r="M359" s="760"/>
      <c r="N359" s="760"/>
      <c r="O359" s="760"/>
      <c r="P359" s="760"/>
      <c r="Q359" s="760"/>
      <c r="R359" s="760"/>
      <c r="S359" s="760"/>
      <c r="T359" s="760"/>
      <c r="U359" s="760"/>
      <c r="V359" s="760"/>
      <c r="W359" s="760"/>
      <c r="X359" s="760"/>
      <c r="Y359" s="760"/>
      <c r="Z359" s="760"/>
      <c r="AA359" s="760"/>
      <c r="AB359" s="760"/>
      <c r="AC359" s="760"/>
      <c r="AD359" s="760"/>
      <c r="AE359" s="760"/>
      <c r="AF359" s="760"/>
      <c r="AG359" s="761"/>
      <c r="AH359" s="760"/>
      <c r="AI359" s="760"/>
      <c r="AJ359" s="760"/>
      <c r="AK359" s="760"/>
      <c r="AL359" s="760"/>
      <c r="AM359" s="760"/>
      <c r="AN359" s="760"/>
      <c r="AO359" s="760"/>
      <c r="AP359" s="760"/>
      <c r="AQ359" s="760"/>
      <c r="AR359" s="760"/>
      <c r="AS359" s="761"/>
      <c r="AT359" s="760"/>
    </row>
    <row r="360" ht="15.75" customHeight="1">
      <c r="A360" s="760"/>
      <c r="B360" s="760"/>
      <c r="C360" s="760"/>
      <c r="D360" s="760"/>
      <c r="E360" s="760"/>
      <c r="F360" s="760"/>
      <c r="G360" s="760"/>
      <c r="H360" s="760"/>
      <c r="I360" s="760"/>
      <c r="J360" s="760"/>
      <c r="K360" s="760"/>
      <c r="L360" s="760"/>
      <c r="M360" s="760"/>
      <c r="N360" s="760"/>
      <c r="O360" s="760"/>
      <c r="P360" s="760"/>
      <c r="Q360" s="760"/>
      <c r="R360" s="760"/>
      <c r="S360" s="760"/>
      <c r="T360" s="760"/>
      <c r="U360" s="760"/>
      <c r="V360" s="760"/>
      <c r="W360" s="760"/>
      <c r="X360" s="760"/>
      <c r="Y360" s="760"/>
      <c r="Z360" s="760"/>
      <c r="AA360" s="760"/>
      <c r="AB360" s="760"/>
      <c r="AC360" s="760"/>
      <c r="AD360" s="760"/>
      <c r="AE360" s="760"/>
      <c r="AF360" s="760"/>
      <c r="AG360" s="761"/>
      <c r="AH360" s="760"/>
      <c r="AI360" s="760"/>
      <c r="AJ360" s="760"/>
      <c r="AK360" s="760"/>
      <c r="AL360" s="760"/>
      <c r="AM360" s="760"/>
      <c r="AN360" s="760"/>
      <c r="AO360" s="760"/>
      <c r="AP360" s="760"/>
      <c r="AQ360" s="760"/>
      <c r="AR360" s="760"/>
      <c r="AS360" s="761"/>
      <c r="AT360" s="760"/>
    </row>
    <row r="361" ht="15.75" customHeight="1">
      <c r="A361" s="760"/>
      <c r="B361" s="760"/>
      <c r="C361" s="760"/>
      <c r="D361" s="760"/>
      <c r="E361" s="760"/>
      <c r="F361" s="760"/>
      <c r="G361" s="760"/>
      <c r="H361" s="760"/>
      <c r="I361" s="760"/>
      <c r="J361" s="760"/>
      <c r="K361" s="760"/>
      <c r="L361" s="760"/>
      <c r="M361" s="760"/>
      <c r="N361" s="760"/>
      <c r="O361" s="760"/>
      <c r="P361" s="760"/>
      <c r="Q361" s="760"/>
      <c r="R361" s="760"/>
      <c r="S361" s="760"/>
      <c r="T361" s="760"/>
      <c r="U361" s="760"/>
      <c r="V361" s="760"/>
      <c r="W361" s="760"/>
      <c r="X361" s="760"/>
      <c r="Y361" s="760"/>
      <c r="Z361" s="760"/>
      <c r="AA361" s="760"/>
      <c r="AB361" s="760"/>
      <c r="AC361" s="760"/>
      <c r="AD361" s="760"/>
      <c r="AE361" s="760"/>
      <c r="AF361" s="760"/>
      <c r="AG361" s="761"/>
      <c r="AH361" s="760"/>
      <c r="AI361" s="760"/>
      <c r="AJ361" s="760"/>
      <c r="AK361" s="760"/>
      <c r="AL361" s="760"/>
      <c r="AM361" s="760"/>
      <c r="AN361" s="760"/>
      <c r="AO361" s="760"/>
      <c r="AP361" s="760"/>
      <c r="AQ361" s="760"/>
      <c r="AR361" s="760"/>
      <c r="AS361" s="761"/>
      <c r="AT361" s="760"/>
    </row>
    <row r="362" ht="15.75" customHeight="1">
      <c r="A362" s="760"/>
      <c r="B362" s="760"/>
      <c r="C362" s="760"/>
      <c r="D362" s="760"/>
      <c r="E362" s="760"/>
      <c r="F362" s="760"/>
      <c r="G362" s="760"/>
      <c r="H362" s="760"/>
      <c r="I362" s="760"/>
      <c r="J362" s="760"/>
      <c r="K362" s="760"/>
      <c r="L362" s="760"/>
      <c r="M362" s="760"/>
      <c r="N362" s="760"/>
      <c r="O362" s="760"/>
      <c r="P362" s="760"/>
      <c r="Q362" s="760"/>
      <c r="R362" s="760"/>
      <c r="S362" s="760"/>
      <c r="T362" s="760"/>
      <c r="U362" s="760"/>
      <c r="V362" s="760"/>
      <c r="W362" s="760"/>
      <c r="X362" s="760"/>
      <c r="Y362" s="760"/>
      <c r="Z362" s="760"/>
      <c r="AA362" s="760"/>
      <c r="AB362" s="760"/>
      <c r="AC362" s="760"/>
      <c r="AD362" s="760"/>
      <c r="AE362" s="760"/>
      <c r="AF362" s="760"/>
      <c r="AG362" s="761"/>
      <c r="AH362" s="760"/>
      <c r="AI362" s="760"/>
      <c r="AJ362" s="760"/>
      <c r="AK362" s="760"/>
      <c r="AL362" s="760"/>
      <c r="AM362" s="760"/>
      <c r="AN362" s="760"/>
      <c r="AO362" s="760"/>
      <c r="AP362" s="760"/>
      <c r="AQ362" s="760"/>
      <c r="AR362" s="760"/>
      <c r="AS362" s="761"/>
      <c r="AT362" s="760"/>
    </row>
    <row r="363" ht="15.75" customHeight="1">
      <c r="A363" s="760"/>
      <c r="B363" s="760"/>
      <c r="C363" s="760"/>
      <c r="D363" s="760"/>
      <c r="E363" s="760"/>
      <c r="F363" s="760"/>
      <c r="G363" s="760"/>
      <c r="H363" s="760"/>
      <c r="I363" s="760"/>
      <c r="J363" s="760"/>
      <c r="K363" s="760"/>
      <c r="L363" s="760"/>
      <c r="M363" s="760"/>
      <c r="N363" s="760"/>
      <c r="O363" s="760"/>
      <c r="P363" s="760"/>
      <c r="Q363" s="760"/>
      <c r="R363" s="760"/>
      <c r="S363" s="760"/>
      <c r="T363" s="760"/>
      <c r="U363" s="760"/>
      <c r="V363" s="760"/>
      <c r="W363" s="760"/>
      <c r="X363" s="760"/>
      <c r="Y363" s="760"/>
      <c r="Z363" s="760"/>
      <c r="AA363" s="760"/>
      <c r="AB363" s="760"/>
      <c r="AC363" s="760"/>
      <c r="AD363" s="760"/>
      <c r="AE363" s="760"/>
      <c r="AF363" s="760"/>
      <c r="AG363" s="761"/>
      <c r="AH363" s="760"/>
      <c r="AI363" s="760"/>
      <c r="AJ363" s="760"/>
      <c r="AK363" s="760"/>
      <c r="AL363" s="760"/>
      <c r="AM363" s="760"/>
      <c r="AN363" s="760"/>
      <c r="AO363" s="760"/>
      <c r="AP363" s="760"/>
      <c r="AQ363" s="760"/>
      <c r="AR363" s="760"/>
      <c r="AS363" s="761"/>
      <c r="AT363" s="760"/>
    </row>
    <row r="364" ht="15.75" customHeight="1">
      <c r="A364" s="760"/>
      <c r="B364" s="760"/>
      <c r="C364" s="760"/>
      <c r="D364" s="760"/>
      <c r="E364" s="760"/>
      <c r="F364" s="760"/>
      <c r="G364" s="760"/>
      <c r="H364" s="760"/>
      <c r="I364" s="760"/>
      <c r="J364" s="760"/>
      <c r="K364" s="760"/>
      <c r="L364" s="760"/>
      <c r="M364" s="760"/>
      <c r="N364" s="760"/>
      <c r="O364" s="760"/>
      <c r="P364" s="760"/>
      <c r="Q364" s="760"/>
      <c r="R364" s="760"/>
      <c r="S364" s="760"/>
      <c r="T364" s="760"/>
      <c r="U364" s="760"/>
      <c r="V364" s="760"/>
      <c r="W364" s="760"/>
      <c r="X364" s="760"/>
      <c r="Y364" s="760"/>
      <c r="Z364" s="760"/>
      <c r="AA364" s="760"/>
      <c r="AB364" s="760"/>
      <c r="AC364" s="760"/>
      <c r="AD364" s="760"/>
      <c r="AE364" s="760"/>
      <c r="AF364" s="760"/>
      <c r="AG364" s="761"/>
      <c r="AH364" s="760"/>
      <c r="AI364" s="760"/>
      <c r="AJ364" s="760"/>
      <c r="AK364" s="760"/>
      <c r="AL364" s="760"/>
      <c r="AM364" s="760"/>
      <c r="AN364" s="760"/>
      <c r="AO364" s="760"/>
      <c r="AP364" s="760"/>
      <c r="AQ364" s="760"/>
      <c r="AR364" s="760"/>
      <c r="AS364" s="761"/>
      <c r="AT364" s="760"/>
    </row>
    <row r="365" ht="15.75" customHeight="1">
      <c r="A365" s="760"/>
      <c r="B365" s="760"/>
      <c r="C365" s="760"/>
      <c r="D365" s="760"/>
      <c r="E365" s="760"/>
      <c r="F365" s="760"/>
      <c r="G365" s="760"/>
      <c r="H365" s="760"/>
      <c r="I365" s="760"/>
      <c r="J365" s="760"/>
      <c r="K365" s="760"/>
      <c r="L365" s="760"/>
      <c r="M365" s="760"/>
      <c r="N365" s="760"/>
      <c r="O365" s="760"/>
      <c r="P365" s="760"/>
      <c r="Q365" s="760"/>
      <c r="R365" s="760"/>
      <c r="S365" s="760"/>
      <c r="T365" s="760"/>
      <c r="U365" s="760"/>
      <c r="V365" s="760"/>
      <c r="W365" s="760"/>
      <c r="X365" s="760"/>
      <c r="Y365" s="760"/>
      <c r="Z365" s="760"/>
      <c r="AA365" s="760"/>
      <c r="AB365" s="760"/>
      <c r="AC365" s="760"/>
      <c r="AD365" s="760"/>
      <c r="AE365" s="760"/>
      <c r="AF365" s="760"/>
      <c r="AG365" s="761"/>
      <c r="AH365" s="760"/>
      <c r="AI365" s="760"/>
      <c r="AJ365" s="760"/>
      <c r="AK365" s="760"/>
      <c r="AL365" s="760"/>
      <c r="AM365" s="760"/>
      <c r="AN365" s="760"/>
      <c r="AO365" s="760"/>
      <c r="AP365" s="760"/>
      <c r="AQ365" s="760"/>
      <c r="AR365" s="760"/>
      <c r="AS365" s="761"/>
      <c r="AT365" s="760"/>
    </row>
    <row r="366" ht="15.75" customHeight="1">
      <c r="A366" s="760"/>
      <c r="B366" s="760"/>
      <c r="C366" s="760"/>
      <c r="D366" s="760"/>
      <c r="E366" s="760"/>
      <c r="F366" s="760"/>
      <c r="G366" s="760"/>
      <c r="H366" s="760"/>
      <c r="I366" s="760"/>
      <c r="J366" s="760"/>
      <c r="K366" s="760"/>
      <c r="L366" s="760"/>
      <c r="M366" s="760"/>
      <c r="N366" s="760"/>
      <c r="O366" s="760"/>
      <c r="P366" s="760"/>
      <c r="Q366" s="760"/>
      <c r="R366" s="760"/>
      <c r="S366" s="760"/>
      <c r="T366" s="760"/>
      <c r="U366" s="760"/>
      <c r="V366" s="760"/>
      <c r="W366" s="760"/>
      <c r="X366" s="760"/>
      <c r="Y366" s="760"/>
      <c r="Z366" s="760"/>
      <c r="AA366" s="760"/>
      <c r="AB366" s="760"/>
      <c r="AC366" s="760"/>
      <c r="AD366" s="760"/>
      <c r="AE366" s="760"/>
      <c r="AF366" s="760"/>
      <c r="AG366" s="761"/>
      <c r="AH366" s="760"/>
      <c r="AI366" s="760"/>
      <c r="AJ366" s="760"/>
      <c r="AK366" s="760"/>
      <c r="AL366" s="760"/>
      <c r="AM366" s="760"/>
      <c r="AN366" s="760"/>
      <c r="AO366" s="760"/>
      <c r="AP366" s="760"/>
      <c r="AQ366" s="760"/>
      <c r="AR366" s="760"/>
      <c r="AS366" s="761"/>
      <c r="AT366" s="760"/>
    </row>
    <row r="367" ht="15.75" customHeight="1">
      <c r="A367" s="760"/>
      <c r="B367" s="760"/>
      <c r="C367" s="760"/>
      <c r="D367" s="760"/>
      <c r="E367" s="760"/>
      <c r="F367" s="760"/>
      <c r="G367" s="760"/>
      <c r="H367" s="760"/>
      <c r="I367" s="760"/>
      <c r="J367" s="760"/>
      <c r="K367" s="760"/>
      <c r="L367" s="760"/>
      <c r="M367" s="760"/>
      <c r="N367" s="760"/>
      <c r="O367" s="760"/>
      <c r="P367" s="760"/>
      <c r="Q367" s="760"/>
      <c r="R367" s="760"/>
      <c r="S367" s="760"/>
      <c r="T367" s="760"/>
      <c r="U367" s="760"/>
      <c r="V367" s="760"/>
      <c r="W367" s="760"/>
      <c r="X367" s="760"/>
      <c r="Y367" s="760"/>
      <c r="Z367" s="760"/>
      <c r="AA367" s="760"/>
      <c r="AB367" s="760"/>
      <c r="AC367" s="760"/>
      <c r="AD367" s="760"/>
      <c r="AE367" s="760"/>
      <c r="AF367" s="760"/>
      <c r="AG367" s="761"/>
      <c r="AH367" s="760"/>
      <c r="AI367" s="760"/>
      <c r="AJ367" s="760"/>
      <c r="AK367" s="760"/>
      <c r="AL367" s="760"/>
      <c r="AM367" s="760"/>
      <c r="AN367" s="760"/>
      <c r="AO367" s="760"/>
      <c r="AP367" s="760"/>
      <c r="AQ367" s="760"/>
      <c r="AR367" s="760"/>
      <c r="AS367" s="761"/>
      <c r="AT367" s="760"/>
    </row>
    <row r="368" ht="15.75" customHeight="1">
      <c r="A368" s="760"/>
      <c r="B368" s="760"/>
      <c r="C368" s="760"/>
      <c r="D368" s="760"/>
      <c r="E368" s="760"/>
      <c r="F368" s="760"/>
      <c r="G368" s="760"/>
      <c r="H368" s="760"/>
      <c r="I368" s="760"/>
      <c r="J368" s="760"/>
      <c r="K368" s="760"/>
      <c r="L368" s="760"/>
      <c r="M368" s="760"/>
      <c r="N368" s="760"/>
      <c r="O368" s="760"/>
      <c r="P368" s="760"/>
      <c r="Q368" s="760"/>
      <c r="R368" s="760"/>
      <c r="S368" s="760"/>
      <c r="T368" s="760"/>
      <c r="U368" s="760"/>
      <c r="V368" s="760"/>
      <c r="W368" s="760"/>
      <c r="X368" s="760"/>
      <c r="Y368" s="760"/>
      <c r="Z368" s="760"/>
      <c r="AA368" s="760"/>
      <c r="AB368" s="760"/>
      <c r="AC368" s="760"/>
      <c r="AD368" s="760"/>
      <c r="AE368" s="760"/>
      <c r="AF368" s="760"/>
      <c r="AG368" s="761"/>
      <c r="AH368" s="760"/>
      <c r="AI368" s="760"/>
      <c r="AJ368" s="760"/>
      <c r="AK368" s="760"/>
      <c r="AL368" s="760"/>
      <c r="AM368" s="760"/>
      <c r="AN368" s="760"/>
      <c r="AO368" s="760"/>
      <c r="AP368" s="760"/>
      <c r="AQ368" s="760"/>
      <c r="AR368" s="760"/>
      <c r="AS368" s="761"/>
      <c r="AT368" s="760"/>
    </row>
    <row r="369" ht="15.75" customHeight="1">
      <c r="A369" s="760"/>
      <c r="B369" s="760"/>
      <c r="C369" s="760"/>
      <c r="D369" s="760"/>
      <c r="E369" s="760"/>
      <c r="F369" s="760"/>
      <c r="G369" s="760"/>
      <c r="H369" s="760"/>
      <c r="I369" s="760"/>
      <c r="J369" s="760"/>
      <c r="K369" s="760"/>
      <c r="L369" s="760"/>
      <c r="M369" s="760"/>
      <c r="N369" s="760"/>
      <c r="O369" s="760"/>
      <c r="P369" s="760"/>
      <c r="Q369" s="760"/>
      <c r="R369" s="760"/>
      <c r="S369" s="760"/>
      <c r="T369" s="760"/>
      <c r="U369" s="760"/>
      <c r="V369" s="760"/>
      <c r="W369" s="760"/>
      <c r="X369" s="760"/>
      <c r="Y369" s="760"/>
      <c r="Z369" s="760"/>
      <c r="AA369" s="760"/>
      <c r="AB369" s="760"/>
      <c r="AC369" s="760"/>
      <c r="AD369" s="760"/>
      <c r="AE369" s="760"/>
      <c r="AF369" s="760"/>
      <c r="AG369" s="761"/>
      <c r="AH369" s="760"/>
      <c r="AI369" s="760"/>
      <c r="AJ369" s="760"/>
      <c r="AK369" s="760"/>
      <c r="AL369" s="760"/>
      <c r="AM369" s="760"/>
      <c r="AN369" s="760"/>
      <c r="AO369" s="760"/>
      <c r="AP369" s="760"/>
      <c r="AQ369" s="760"/>
      <c r="AR369" s="760"/>
      <c r="AS369" s="761"/>
      <c r="AT369" s="760"/>
    </row>
    <row r="370" ht="15.75" customHeight="1">
      <c r="A370" s="760"/>
      <c r="B370" s="760"/>
      <c r="C370" s="760"/>
      <c r="D370" s="760"/>
      <c r="E370" s="760"/>
      <c r="F370" s="760"/>
      <c r="G370" s="760"/>
      <c r="H370" s="760"/>
      <c r="I370" s="760"/>
      <c r="J370" s="760"/>
      <c r="K370" s="760"/>
      <c r="L370" s="760"/>
      <c r="M370" s="760"/>
      <c r="N370" s="760"/>
      <c r="O370" s="760"/>
      <c r="P370" s="760"/>
      <c r="Q370" s="760"/>
      <c r="R370" s="760"/>
      <c r="S370" s="760"/>
      <c r="T370" s="760"/>
      <c r="U370" s="760"/>
      <c r="V370" s="760"/>
      <c r="W370" s="760"/>
      <c r="X370" s="760"/>
      <c r="Y370" s="760"/>
      <c r="Z370" s="760"/>
      <c r="AA370" s="760"/>
      <c r="AB370" s="760"/>
      <c r="AC370" s="760"/>
      <c r="AD370" s="760"/>
      <c r="AE370" s="760"/>
      <c r="AF370" s="760"/>
      <c r="AG370" s="761"/>
      <c r="AH370" s="760"/>
      <c r="AI370" s="760"/>
      <c r="AJ370" s="760"/>
      <c r="AK370" s="760"/>
      <c r="AL370" s="760"/>
      <c r="AM370" s="760"/>
      <c r="AN370" s="760"/>
      <c r="AO370" s="760"/>
      <c r="AP370" s="760"/>
      <c r="AQ370" s="760"/>
      <c r="AR370" s="760"/>
      <c r="AS370" s="761"/>
      <c r="AT370" s="760"/>
    </row>
    <row r="371" ht="15.75" customHeight="1">
      <c r="A371" s="760"/>
      <c r="B371" s="760"/>
      <c r="C371" s="760"/>
      <c r="D371" s="760"/>
      <c r="E371" s="760"/>
      <c r="F371" s="760"/>
      <c r="G371" s="760"/>
      <c r="H371" s="760"/>
      <c r="I371" s="760"/>
      <c r="J371" s="760"/>
      <c r="K371" s="760"/>
      <c r="L371" s="760"/>
      <c r="M371" s="760"/>
      <c r="N371" s="760"/>
      <c r="O371" s="760"/>
      <c r="P371" s="760"/>
      <c r="Q371" s="760"/>
      <c r="R371" s="760"/>
      <c r="S371" s="760"/>
      <c r="T371" s="760"/>
      <c r="U371" s="760"/>
      <c r="V371" s="760"/>
      <c r="W371" s="760"/>
      <c r="X371" s="760"/>
      <c r="Y371" s="760"/>
      <c r="Z371" s="760"/>
      <c r="AA371" s="760"/>
      <c r="AB371" s="760"/>
      <c r="AC371" s="760"/>
      <c r="AD371" s="760"/>
      <c r="AE371" s="760"/>
      <c r="AF371" s="760"/>
      <c r="AG371" s="761"/>
      <c r="AH371" s="760"/>
      <c r="AI371" s="760"/>
      <c r="AJ371" s="760"/>
      <c r="AK371" s="760"/>
      <c r="AL371" s="760"/>
      <c r="AM371" s="760"/>
      <c r="AN371" s="760"/>
      <c r="AO371" s="760"/>
      <c r="AP371" s="760"/>
      <c r="AQ371" s="760"/>
      <c r="AR371" s="760"/>
      <c r="AS371" s="761"/>
      <c r="AT371" s="760"/>
    </row>
    <row r="372" ht="15.75" customHeight="1">
      <c r="A372" s="760"/>
      <c r="B372" s="760"/>
      <c r="C372" s="760"/>
      <c r="D372" s="760"/>
      <c r="E372" s="760"/>
      <c r="F372" s="760"/>
      <c r="G372" s="760"/>
      <c r="H372" s="760"/>
      <c r="I372" s="760"/>
      <c r="J372" s="760"/>
      <c r="K372" s="760"/>
      <c r="L372" s="760"/>
      <c r="M372" s="760"/>
      <c r="N372" s="760"/>
      <c r="O372" s="760"/>
      <c r="P372" s="760"/>
      <c r="Q372" s="760"/>
      <c r="R372" s="760"/>
      <c r="S372" s="760"/>
      <c r="T372" s="760"/>
      <c r="U372" s="760"/>
      <c r="V372" s="760"/>
      <c r="W372" s="760"/>
      <c r="X372" s="760"/>
      <c r="Y372" s="760"/>
      <c r="Z372" s="760"/>
      <c r="AA372" s="760"/>
      <c r="AB372" s="760"/>
      <c r="AC372" s="760"/>
      <c r="AD372" s="760"/>
      <c r="AE372" s="760"/>
      <c r="AF372" s="760"/>
      <c r="AG372" s="761"/>
      <c r="AH372" s="760"/>
      <c r="AI372" s="760"/>
      <c r="AJ372" s="760"/>
      <c r="AK372" s="760"/>
      <c r="AL372" s="760"/>
      <c r="AM372" s="760"/>
      <c r="AN372" s="760"/>
      <c r="AO372" s="760"/>
      <c r="AP372" s="760"/>
      <c r="AQ372" s="760"/>
      <c r="AR372" s="760"/>
      <c r="AS372" s="761"/>
      <c r="AT372" s="760"/>
    </row>
    <row r="373" ht="15.75" customHeight="1">
      <c r="A373" s="760"/>
      <c r="B373" s="760"/>
      <c r="C373" s="760"/>
      <c r="D373" s="760"/>
      <c r="E373" s="760"/>
      <c r="F373" s="760"/>
      <c r="G373" s="760"/>
      <c r="H373" s="760"/>
      <c r="I373" s="760"/>
      <c r="J373" s="760"/>
      <c r="K373" s="760"/>
      <c r="L373" s="760"/>
      <c r="M373" s="760"/>
      <c r="N373" s="760"/>
      <c r="O373" s="760"/>
      <c r="P373" s="760"/>
      <c r="Q373" s="760"/>
      <c r="R373" s="760"/>
      <c r="S373" s="760"/>
      <c r="T373" s="760"/>
      <c r="U373" s="760"/>
      <c r="V373" s="760"/>
      <c r="W373" s="760"/>
      <c r="X373" s="760"/>
      <c r="Y373" s="760"/>
      <c r="Z373" s="760"/>
      <c r="AA373" s="760"/>
      <c r="AB373" s="760"/>
      <c r="AC373" s="760"/>
      <c r="AD373" s="760"/>
      <c r="AE373" s="760"/>
      <c r="AF373" s="760"/>
      <c r="AG373" s="761"/>
      <c r="AH373" s="760"/>
      <c r="AI373" s="760"/>
      <c r="AJ373" s="760"/>
      <c r="AK373" s="760"/>
      <c r="AL373" s="760"/>
      <c r="AM373" s="760"/>
      <c r="AN373" s="760"/>
      <c r="AO373" s="760"/>
      <c r="AP373" s="760"/>
      <c r="AQ373" s="760"/>
      <c r="AR373" s="760"/>
      <c r="AS373" s="761"/>
      <c r="AT373" s="760"/>
    </row>
    <row r="374" ht="15.75" customHeight="1">
      <c r="A374" s="760"/>
      <c r="B374" s="760"/>
      <c r="C374" s="760"/>
      <c r="D374" s="760"/>
      <c r="E374" s="760"/>
      <c r="F374" s="760"/>
      <c r="G374" s="760"/>
      <c r="H374" s="760"/>
      <c r="I374" s="760"/>
      <c r="J374" s="760"/>
      <c r="K374" s="760"/>
      <c r="L374" s="760"/>
      <c r="M374" s="760"/>
      <c r="N374" s="760"/>
      <c r="O374" s="760"/>
      <c r="P374" s="760"/>
      <c r="Q374" s="760"/>
      <c r="R374" s="760"/>
      <c r="S374" s="760"/>
      <c r="T374" s="760"/>
      <c r="U374" s="760"/>
      <c r="V374" s="760"/>
      <c r="W374" s="760"/>
      <c r="X374" s="760"/>
      <c r="Y374" s="760"/>
      <c r="Z374" s="760"/>
      <c r="AA374" s="760"/>
      <c r="AB374" s="760"/>
      <c r="AC374" s="760"/>
      <c r="AD374" s="760"/>
      <c r="AE374" s="760"/>
      <c r="AF374" s="760"/>
      <c r="AG374" s="761"/>
      <c r="AH374" s="760"/>
      <c r="AI374" s="760"/>
      <c r="AJ374" s="760"/>
      <c r="AK374" s="760"/>
      <c r="AL374" s="760"/>
      <c r="AM374" s="760"/>
      <c r="AN374" s="760"/>
      <c r="AO374" s="760"/>
      <c r="AP374" s="760"/>
      <c r="AQ374" s="760"/>
      <c r="AR374" s="760"/>
      <c r="AS374" s="761"/>
      <c r="AT374" s="760"/>
    </row>
    <row r="375" ht="15.75" customHeight="1">
      <c r="A375" s="760"/>
      <c r="B375" s="760"/>
      <c r="C375" s="760"/>
      <c r="D375" s="760"/>
      <c r="E375" s="760"/>
      <c r="F375" s="760"/>
      <c r="G375" s="760"/>
      <c r="H375" s="760"/>
      <c r="I375" s="760"/>
      <c r="J375" s="760"/>
      <c r="K375" s="760"/>
      <c r="L375" s="760"/>
      <c r="M375" s="760"/>
      <c r="N375" s="760"/>
      <c r="O375" s="760"/>
      <c r="P375" s="760"/>
      <c r="Q375" s="760"/>
      <c r="R375" s="760"/>
      <c r="S375" s="760"/>
      <c r="T375" s="760"/>
      <c r="U375" s="760"/>
      <c r="V375" s="760"/>
      <c r="W375" s="760"/>
      <c r="X375" s="760"/>
      <c r="Y375" s="760"/>
      <c r="Z375" s="760"/>
      <c r="AA375" s="760"/>
      <c r="AB375" s="760"/>
      <c r="AC375" s="760"/>
      <c r="AD375" s="760"/>
      <c r="AE375" s="760"/>
      <c r="AF375" s="760"/>
      <c r="AG375" s="761"/>
      <c r="AH375" s="760"/>
      <c r="AI375" s="760"/>
      <c r="AJ375" s="760"/>
      <c r="AK375" s="760"/>
      <c r="AL375" s="760"/>
      <c r="AM375" s="760"/>
      <c r="AN375" s="760"/>
      <c r="AO375" s="760"/>
      <c r="AP375" s="760"/>
      <c r="AQ375" s="760"/>
      <c r="AR375" s="760"/>
      <c r="AS375" s="761"/>
      <c r="AT375" s="760"/>
    </row>
    <row r="376" ht="15.75" customHeight="1">
      <c r="A376" s="760"/>
      <c r="B376" s="760"/>
      <c r="C376" s="760"/>
      <c r="D376" s="760"/>
      <c r="E376" s="760"/>
      <c r="F376" s="760"/>
      <c r="G376" s="760"/>
      <c r="H376" s="760"/>
      <c r="I376" s="760"/>
      <c r="J376" s="760"/>
      <c r="K376" s="760"/>
      <c r="L376" s="760"/>
      <c r="M376" s="760"/>
      <c r="N376" s="760"/>
      <c r="O376" s="760"/>
      <c r="P376" s="760"/>
      <c r="Q376" s="760"/>
      <c r="R376" s="760"/>
      <c r="S376" s="760"/>
      <c r="T376" s="760"/>
      <c r="U376" s="760"/>
      <c r="V376" s="760"/>
      <c r="W376" s="760"/>
      <c r="X376" s="760"/>
      <c r="Y376" s="760"/>
      <c r="Z376" s="760"/>
      <c r="AA376" s="760"/>
      <c r="AB376" s="760"/>
      <c r="AC376" s="760"/>
      <c r="AD376" s="760"/>
      <c r="AE376" s="760"/>
      <c r="AF376" s="760"/>
      <c r="AG376" s="761"/>
      <c r="AH376" s="760"/>
      <c r="AI376" s="760"/>
      <c r="AJ376" s="760"/>
      <c r="AK376" s="760"/>
      <c r="AL376" s="760"/>
      <c r="AM376" s="760"/>
      <c r="AN376" s="760"/>
      <c r="AO376" s="760"/>
      <c r="AP376" s="760"/>
      <c r="AQ376" s="760"/>
      <c r="AR376" s="760"/>
      <c r="AS376" s="761"/>
      <c r="AT376" s="760"/>
    </row>
    <row r="377" ht="15.75" customHeight="1">
      <c r="A377" s="760"/>
      <c r="B377" s="760"/>
      <c r="C377" s="760"/>
      <c r="D377" s="760"/>
      <c r="E377" s="760"/>
      <c r="F377" s="760"/>
      <c r="G377" s="760"/>
      <c r="H377" s="760"/>
      <c r="I377" s="760"/>
      <c r="J377" s="760"/>
      <c r="K377" s="760"/>
      <c r="L377" s="760"/>
      <c r="M377" s="760"/>
      <c r="N377" s="760"/>
      <c r="O377" s="760"/>
      <c r="P377" s="760"/>
      <c r="Q377" s="760"/>
      <c r="R377" s="760"/>
      <c r="S377" s="760"/>
      <c r="T377" s="760"/>
      <c r="U377" s="760"/>
      <c r="V377" s="760"/>
      <c r="W377" s="760"/>
      <c r="X377" s="760"/>
      <c r="Y377" s="760"/>
      <c r="Z377" s="760"/>
      <c r="AA377" s="760"/>
      <c r="AB377" s="760"/>
      <c r="AC377" s="760"/>
      <c r="AD377" s="760"/>
      <c r="AE377" s="760"/>
      <c r="AF377" s="760"/>
      <c r="AG377" s="761"/>
      <c r="AH377" s="760"/>
      <c r="AI377" s="760"/>
      <c r="AJ377" s="760"/>
      <c r="AK377" s="760"/>
      <c r="AL377" s="760"/>
      <c r="AM377" s="760"/>
      <c r="AN377" s="760"/>
      <c r="AO377" s="760"/>
      <c r="AP377" s="760"/>
      <c r="AQ377" s="760"/>
      <c r="AR377" s="760"/>
      <c r="AS377" s="761"/>
      <c r="AT377" s="760"/>
    </row>
    <row r="378" ht="15.75" customHeight="1">
      <c r="A378" s="760"/>
      <c r="B378" s="760"/>
      <c r="C378" s="760"/>
      <c r="D378" s="760"/>
      <c r="E378" s="760"/>
      <c r="F378" s="760"/>
      <c r="G378" s="760"/>
      <c r="H378" s="760"/>
      <c r="I378" s="760"/>
      <c r="J378" s="760"/>
      <c r="K378" s="760"/>
      <c r="L378" s="760"/>
      <c r="M378" s="760"/>
      <c r="N378" s="760"/>
      <c r="O378" s="760"/>
      <c r="P378" s="760"/>
      <c r="Q378" s="760"/>
      <c r="R378" s="760"/>
      <c r="S378" s="760"/>
      <c r="T378" s="760"/>
      <c r="U378" s="760"/>
      <c r="V378" s="760"/>
      <c r="W378" s="760"/>
      <c r="X378" s="760"/>
      <c r="Y378" s="760"/>
      <c r="Z378" s="760"/>
      <c r="AA378" s="760"/>
      <c r="AB378" s="760"/>
      <c r="AC378" s="760"/>
      <c r="AD378" s="760"/>
      <c r="AE378" s="760"/>
      <c r="AF378" s="760"/>
      <c r="AG378" s="761"/>
      <c r="AH378" s="760"/>
      <c r="AI378" s="760"/>
      <c r="AJ378" s="760"/>
      <c r="AK378" s="760"/>
      <c r="AL378" s="760"/>
      <c r="AM378" s="760"/>
      <c r="AN378" s="760"/>
      <c r="AO378" s="760"/>
      <c r="AP378" s="760"/>
      <c r="AQ378" s="760"/>
      <c r="AR378" s="760"/>
      <c r="AS378" s="761"/>
      <c r="AT378" s="760"/>
    </row>
    <row r="379" ht="15.75" customHeight="1">
      <c r="A379" s="760"/>
      <c r="B379" s="760"/>
      <c r="C379" s="760"/>
      <c r="D379" s="760"/>
      <c r="E379" s="760"/>
      <c r="F379" s="760"/>
      <c r="G379" s="760"/>
      <c r="H379" s="760"/>
      <c r="I379" s="760"/>
      <c r="J379" s="760"/>
      <c r="K379" s="760"/>
      <c r="L379" s="760"/>
      <c r="M379" s="760"/>
      <c r="N379" s="760"/>
      <c r="O379" s="760"/>
      <c r="P379" s="760"/>
      <c r="Q379" s="760"/>
      <c r="R379" s="760"/>
      <c r="S379" s="760"/>
      <c r="T379" s="760"/>
      <c r="U379" s="760"/>
      <c r="V379" s="760"/>
      <c r="W379" s="760"/>
      <c r="X379" s="760"/>
      <c r="Y379" s="760"/>
      <c r="Z379" s="760"/>
      <c r="AA379" s="760"/>
      <c r="AB379" s="760"/>
      <c r="AC379" s="760"/>
      <c r="AD379" s="760"/>
      <c r="AE379" s="760"/>
      <c r="AF379" s="760"/>
      <c r="AG379" s="761"/>
      <c r="AH379" s="760"/>
      <c r="AI379" s="760"/>
      <c r="AJ379" s="760"/>
      <c r="AK379" s="760"/>
      <c r="AL379" s="760"/>
      <c r="AM379" s="760"/>
      <c r="AN379" s="760"/>
      <c r="AO379" s="760"/>
      <c r="AP379" s="760"/>
      <c r="AQ379" s="760"/>
      <c r="AR379" s="760"/>
      <c r="AS379" s="761"/>
      <c r="AT379" s="760"/>
    </row>
    <row r="380" ht="15.75" customHeight="1">
      <c r="A380" s="760"/>
      <c r="B380" s="760"/>
      <c r="C380" s="760"/>
      <c r="D380" s="760"/>
      <c r="E380" s="760"/>
      <c r="F380" s="760"/>
      <c r="G380" s="760"/>
      <c r="H380" s="760"/>
      <c r="I380" s="760"/>
      <c r="J380" s="760"/>
      <c r="K380" s="760"/>
      <c r="L380" s="760"/>
      <c r="M380" s="760"/>
      <c r="N380" s="760"/>
      <c r="O380" s="760"/>
      <c r="P380" s="760"/>
      <c r="Q380" s="760"/>
      <c r="R380" s="760"/>
      <c r="S380" s="760"/>
      <c r="T380" s="760"/>
      <c r="U380" s="760"/>
      <c r="V380" s="760"/>
      <c r="W380" s="760"/>
      <c r="X380" s="760"/>
      <c r="Y380" s="760"/>
      <c r="Z380" s="760"/>
      <c r="AA380" s="760"/>
      <c r="AB380" s="760"/>
      <c r="AC380" s="760"/>
      <c r="AD380" s="760"/>
      <c r="AE380" s="760"/>
      <c r="AF380" s="760"/>
      <c r="AG380" s="761"/>
      <c r="AH380" s="760"/>
      <c r="AI380" s="760"/>
      <c r="AJ380" s="760"/>
      <c r="AK380" s="760"/>
      <c r="AL380" s="760"/>
      <c r="AM380" s="760"/>
      <c r="AN380" s="760"/>
      <c r="AO380" s="760"/>
      <c r="AP380" s="760"/>
      <c r="AQ380" s="760"/>
      <c r="AR380" s="760"/>
      <c r="AS380" s="761"/>
      <c r="AT380" s="760"/>
    </row>
    <row r="381" ht="15.75" customHeight="1">
      <c r="A381" s="760"/>
      <c r="B381" s="760"/>
      <c r="C381" s="760"/>
      <c r="D381" s="760"/>
      <c r="E381" s="760"/>
      <c r="F381" s="760"/>
      <c r="G381" s="760"/>
      <c r="H381" s="760"/>
      <c r="I381" s="760"/>
      <c r="J381" s="760"/>
      <c r="K381" s="760"/>
      <c r="L381" s="760"/>
      <c r="M381" s="760"/>
      <c r="N381" s="760"/>
      <c r="O381" s="760"/>
      <c r="P381" s="760"/>
      <c r="Q381" s="760"/>
      <c r="R381" s="760"/>
      <c r="S381" s="760"/>
      <c r="T381" s="760"/>
      <c r="U381" s="760"/>
      <c r="V381" s="760"/>
      <c r="W381" s="760"/>
      <c r="X381" s="760"/>
      <c r="Y381" s="760"/>
      <c r="Z381" s="760"/>
      <c r="AA381" s="760"/>
      <c r="AB381" s="760"/>
      <c r="AC381" s="760"/>
      <c r="AD381" s="760"/>
      <c r="AE381" s="760"/>
      <c r="AF381" s="760"/>
      <c r="AG381" s="761"/>
      <c r="AH381" s="760"/>
      <c r="AI381" s="760"/>
      <c r="AJ381" s="760"/>
      <c r="AK381" s="760"/>
      <c r="AL381" s="760"/>
      <c r="AM381" s="760"/>
      <c r="AN381" s="760"/>
      <c r="AO381" s="760"/>
      <c r="AP381" s="760"/>
      <c r="AQ381" s="760"/>
      <c r="AR381" s="760"/>
      <c r="AS381" s="761"/>
      <c r="AT381" s="760"/>
    </row>
    <row r="382" ht="15.75" customHeight="1">
      <c r="A382" s="760"/>
      <c r="B382" s="760"/>
      <c r="C382" s="760"/>
      <c r="D382" s="760"/>
      <c r="E382" s="760"/>
      <c r="F382" s="760"/>
      <c r="G382" s="760"/>
      <c r="H382" s="760"/>
      <c r="I382" s="760"/>
      <c r="J382" s="760"/>
      <c r="K382" s="760"/>
      <c r="L382" s="760"/>
      <c r="M382" s="760"/>
      <c r="N382" s="760"/>
      <c r="O382" s="760"/>
      <c r="P382" s="760"/>
      <c r="Q382" s="760"/>
      <c r="R382" s="760"/>
      <c r="S382" s="760"/>
      <c r="T382" s="760"/>
      <c r="U382" s="760"/>
      <c r="V382" s="760"/>
      <c r="W382" s="760"/>
      <c r="X382" s="760"/>
      <c r="Y382" s="760"/>
      <c r="Z382" s="760"/>
      <c r="AA382" s="760"/>
      <c r="AB382" s="760"/>
      <c r="AC382" s="760"/>
      <c r="AD382" s="760"/>
      <c r="AE382" s="760"/>
      <c r="AF382" s="760"/>
      <c r="AG382" s="761"/>
      <c r="AH382" s="760"/>
      <c r="AI382" s="760"/>
      <c r="AJ382" s="760"/>
      <c r="AK382" s="760"/>
      <c r="AL382" s="760"/>
      <c r="AM382" s="760"/>
      <c r="AN382" s="760"/>
      <c r="AO382" s="760"/>
      <c r="AP382" s="760"/>
      <c r="AQ382" s="760"/>
      <c r="AR382" s="760"/>
      <c r="AS382" s="761"/>
      <c r="AT382" s="760"/>
    </row>
    <row r="383" ht="15.75" customHeight="1">
      <c r="A383" s="760"/>
      <c r="B383" s="760"/>
      <c r="C383" s="760"/>
      <c r="D383" s="760"/>
      <c r="E383" s="760"/>
      <c r="F383" s="760"/>
      <c r="G383" s="760"/>
      <c r="H383" s="760"/>
      <c r="I383" s="760"/>
      <c r="J383" s="760"/>
      <c r="K383" s="760"/>
      <c r="L383" s="760"/>
      <c r="M383" s="760"/>
      <c r="N383" s="760"/>
      <c r="O383" s="760"/>
      <c r="P383" s="760"/>
      <c r="Q383" s="760"/>
      <c r="R383" s="760"/>
      <c r="S383" s="760"/>
      <c r="T383" s="760"/>
      <c r="U383" s="760"/>
      <c r="V383" s="760"/>
      <c r="W383" s="760"/>
      <c r="X383" s="760"/>
      <c r="Y383" s="760"/>
      <c r="Z383" s="760"/>
      <c r="AA383" s="760"/>
      <c r="AB383" s="760"/>
      <c r="AC383" s="760"/>
      <c r="AD383" s="760"/>
      <c r="AE383" s="760"/>
      <c r="AF383" s="760"/>
      <c r="AG383" s="761"/>
      <c r="AH383" s="760"/>
      <c r="AI383" s="760"/>
      <c r="AJ383" s="760"/>
      <c r="AK383" s="760"/>
      <c r="AL383" s="760"/>
      <c r="AM383" s="760"/>
      <c r="AN383" s="760"/>
      <c r="AO383" s="760"/>
      <c r="AP383" s="760"/>
      <c r="AQ383" s="760"/>
      <c r="AR383" s="760"/>
      <c r="AS383" s="761"/>
      <c r="AT383" s="760"/>
    </row>
    <row r="384" ht="15.75" customHeight="1">
      <c r="A384" s="760"/>
      <c r="B384" s="760"/>
      <c r="C384" s="760"/>
      <c r="D384" s="760"/>
      <c r="E384" s="760"/>
      <c r="F384" s="760"/>
      <c r="G384" s="760"/>
      <c r="H384" s="760"/>
      <c r="I384" s="760"/>
      <c r="J384" s="760"/>
      <c r="K384" s="760"/>
      <c r="L384" s="760"/>
      <c r="M384" s="760"/>
      <c r="N384" s="760"/>
      <c r="O384" s="760"/>
      <c r="P384" s="760"/>
      <c r="Q384" s="760"/>
      <c r="R384" s="760"/>
      <c r="S384" s="760"/>
      <c r="T384" s="760"/>
      <c r="U384" s="760"/>
      <c r="V384" s="760"/>
      <c r="W384" s="760"/>
      <c r="X384" s="760"/>
      <c r="Y384" s="760"/>
      <c r="Z384" s="760"/>
      <c r="AA384" s="760"/>
      <c r="AB384" s="760"/>
      <c r="AC384" s="760"/>
      <c r="AD384" s="760"/>
      <c r="AE384" s="760"/>
      <c r="AF384" s="760"/>
      <c r="AG384" s="761"/>
      <c r="AH384" s="760"/>
      <c r="AI384" s="760"/>
      <c r="AJ384" s="760"/>
      <c r="AK384" s="760"/>
      <c r="AL384" s="760"/>
      <c r="AM384" s="760"/>
      <c r="AN384" s="760"/>
      <c r="AO384" s="760"/>
      <c r="AP384" s="760"/>
      <c r="AQ384" s="760"/>
      <c r="AR384" s="760"/>
      <c r="AS384" s="761"/>
      <c r="AT384" s="760"/>
    </row>
    <row r="385" ht="15.75" customHeight="1">
      <c r="A385" s="760"/>
      <c r="B385" s="760"/>
      <c r="C385" s="760"/>
      <c r="D385" s="760"/>
      <c r="E385" s="760"/>
      <c r="F385" s="760"/>
      <c r="G385" s="760"/>
      <c r="H385" s="760"/>
      <c r="I385" s="760"/>
      <c r="J385" s="760"/>
      <c r="K385" s="760"/>
      <c r="L385" s="760"/>
      <c r="M385" s="760"/>
      <c r="N385" s="760"/>
      <c r="O385" s="760"/>
      <c r="P385" s="760"/>
      <c r="Q385" s="760"/>
      <c r="R385" s="760"/>
      <c r="S385" s="760"/>
      <c r="T385" s="760"/>
      <c r="U385" s="760"/>
      <c r="V385" s="760"/>
      <c r="W385" s="760"/>
      <c r="X385" s="760"/>
      <c r="Y385" s="760"/>
      <c r="Z385" s="760"/>
      <c r="AA385" s="760"/>
      <c r="AB385" s="760"/>
      <c r="AC385" s="760"/>
      <c r="AD385" s="760"/>
      <c r="AE385" s="760"/>
      <c r="AF385" s="760"/>
      <c r="AG385" s="761"/>
      <c r="AH385" s="760"/>
      <c r="AI385" s="760"/>
      <c r="AJ385" s="760"/>
      <c r="AK385" s="760"/>
      <c r="AL385" s="760"/>
      <c r="AM385" s="760"/>
      <c r="AN385" s="760"/>
      <c r="AO385" s="760"/>
      <c r="AP385" s="760"/>
      <c r="AQ385" s="760"/>
      <c r="AR385" s="760"/>
      <c r="AS385" s="761"/>
      <c r="AT385" s="760"/>
    </row>
    <row r="386" ht="15.75" customHeight="1">
      <c r="A386" s="760"/>
      <c r="B386" s="760"/>
      <c r="C386" s="760"/>
      <c r="D386" s="760"/>
      <c r="E386" s="760"/>
      <c r="F386" s="760"/>
      <c r="G386" s="760"/>
      <c r="H386" s="760"/>
      <c r="I386" s="760"/>
      <c r="J386" s="760"/>
      <c r="K386" s="760"/>
      <c r="L386" s="760"/>
      <c r="M386" s="760"/>
      <c r="N386" s="760"/>
      <c r="O386" s="760"/>
      <c r="P386" s="760"/>
      <c r="Q386" s="760"/>
      <c r="R386" s="760"/>
      <c r="S386" s="760"/>
      <c r="T386" s="760"/>
      <c r="U386" s="760"/>
      <c r="V386" s="760"/>
      <c r="W386" s="760"/>
      <c r="X386" s="760"/>
      <c r="Y386" s="760"/>
      <c r="Z386" s="760"/>
      <c r="AA386" s="760"/>
      <c r="AB386" s="760"/>
      <c r="AC386" s="760"/>
      <c r="AD386" s="760"/>
      <c r="AE386" s="760"/>
      <c r="AF386" s="760"/>
      <c r="AG386" s="761"/>
      <c r="AH386" s="760"/>
      <c r="AI386" s="760"/>
      <c r="AJ386" s="760"/>
      <c r="AK386" s="760"/>
      <c r="AL386" s="760"/>
      <c r="AM386" s="760"/>
      <c r="AN386" s="760"/>
      <c r="AO386" s="760"/>
      <c r="AP386" s="760"/>
      <c r="AQ386" s="760"/>
      <c r="AR386" s="760"/>
      <c r="AS386" s="761"/>
      <c r="AT386" s="760"/>
    </row>
    <row r="387" ht="15.75" customHeight="1">
      <c r="A387" s="760"/>
      <c r="B387" s="760"/>
      <c r="C387" s="760"/>
      <c r="D387" s="760"/>
      <c r="E387" s="760"/>
      <c r="F387" s="760"/>
      <c r="G387" s="760"/>
      <c r="H387" s="760"/>
      <c r="I387" s="760"/>
      <c r="J387" s="760"/>
      <c r="K387" s="760"/>
      <c r="L387" s="760"/>
      <c r="M387" s="760"/>
      <c r="N387" s="760"/>
      <c r="O387" s="760"/>
      <c r="P387" s="760"/>
      <c r="Q387" s="760"/>
      <c r="R387" s="760"/>
      <c r="S387" s="760"/>
      <c r="T387" s="760"/>
      <c r="U387" s="760"/>
      <c r="V387" s="760"/>
      <c r="W387" s="760"/>
      <c r="X387" s="760"/>
      <c r="Y387" s="760"/>
      <c r="Z387" s="760"/>
      <c r="AA387" s="760"/>
      <c r="AB387" s="760"/>
      <c r="AC387" s="760"/>
      <c r="AD387" s="760"/>
      <c r="AE387" s="760"/>
      <c r="AF387" s="760"/>
      <c r="AG387" s="761"/>
      <c r="AH387" s="760"/>
      <c r="AI387" s="760"/>
      <c r="AJ387" s="760"/>
      <c r="AK387" s="760"/>
      <c r="AL387" s="760"/>
      <c r="AM387" s="760"/>
      <c r="AN387" s="760"/>
      <c r="AO387" s="760"/>
      <c r="AP387" s="760"/>
      <c r="AQ387" s="760"/>
      <c r="AR387" s="760"/>
      <c r="AS387" s="761"/>
      <c r="AT387" s="760"/>
    </row>
    <row r="388" ht="15.75" customHeight="1">
      <c r="A388" s="760"/>
      <c r="B388" s="760"/>
      <c r="C388" s="760"/>
      <c r="D388" s="760"/>
      <c r="E388" s="760"/>
      <c r="F388" s="760"/>
      <c r="G388" s="760"/>
      <c r="H388" s="760"/>
      <c r="I388" s="760"/>
      <c r="J388" s="760"/>
      <c r="K388" s="760"/>
      <c r="L388" s="760"/>
      <c r="M388" s="760"/>
      <c r="N388" s="760"/>
      <c r="O388" s="760"/>
      <c r="P388" s="760"/>
      <c r="Q388" s="760"/>
      <c r="R388" s="760"/>
      <c r="S388" s="760"/>
      <c r="T388" s="760"/>
      <c r="U388" s="760"/>
      <c r="V388" s="760"/>
      <c r="W388" s="760"/>
      <c r="X388" s="760"/>
      <c r="Y388" s="760"/>
      <c r="Z388" s="760"/>
      <c r="AA388" s="760"/>
      <c r="AB388" s="760"/>
      <c r="AC388" s="760"/>
      <c r="AD388" s="760"/>
      <c r="AE388" s="760"/>
      <c r="AF388" s="760"/>
      <c r="AG388" s="761"/>
      <c r="AH388" s="760"/>
      <c r="AI388" s="760"/>
      <c r="AJ388" s="760"/>
      <c r="AK388" s="760"/>
      <c r="AL388" s="760"/>
      <c r="AM388" s="760"/>
      <c r="AN388" s="760"/>
      <c r="AO388" s="760"/>
      <c r="AP388" s="760"/>
      <c r="AQ388" s="760"/>
      <c r="AR388" s="760"/>
      <c r="AS388" s="761"/>
      <c r="AT388" s="760"/>
    </row>
    <row r="389" ht="15.75" customHeight="1">
      <c r="A389" s="760"/>
      <c r="B389" s="760"/>
      <c r="C389" s="760"/>
      <c r="D389" s="760"/>
      <c r="E389" s="760"/>
      <c r="F389" s="760"/>
      <c r="G389" s="760"/>
      <c r="H389" s="760"/>
      <c r="I389" s="760"/>
      <c r="J389" s="760"/>
      <c r="K389" s="760"/>
      <c r="L389" s="760"/>
      <c r="M389" s="760"/>
      <c r="N389" s="760"/>
      <c r="O389" s="760"/>
      <c r="P389" s="760"/>
      <c r="Q389" s="760"/>
      <c r="R389" s="760"/>
      <c r="S389" s="760"/>
      <c r="T389" s="760"/>
      <c r="U389" s="760"/>
      <c r="V389" s="760"/>
      <c r="W389" s="760"/>
      <c r="X389" s="760"/>
      <c r="Y389" s="760"/>
      <c r="Z389" s="760"/>
      <c r="AA389" s="760"/>
      <c r="AB389" s="760"/>
      <c r="AC389" s="760"/>
      <c r="AD389" s="760"/>
      <c r="AE389" s="760"/>
      <c r="AF389" s="760"/>
      <c r="AG389" s="761"/>
      <c r="AH389" s="760"/>
      <c r="AI389" s="760"/>
      <c r="AJ389" s="760"/>
      <c r="AK389" s="760"/>
      <c r="AL389" s="760"/>
      <c r="AM389" s="760"/>
      <c r="AN389" s="760"/>
      <c r="AO389" s="760"/>
      <c r="AP389" s="760"/>
      <c r="AQ389" s="760"/>
      <c r="AR389" s="760"/>
      <c r="AS389" s="761"/>
      <c r="AT389" s="760"/>
    </row>
    <row r="390" ht="15.75" customHeight="1">
      <c r="A390" s="760"/>
      <c r="B390" s="760"/>
      <c r="C390" s="760"/>
      <c r="D390" s="760"/>
      <c r="E390" s="760"/>
      <c r="F390" s="760"/>
      <c r="G390" s="760"/>
      <c r="H390" s="760"/>
      <c r="I390" s="760"/>
      <c r="J390" s="760"/>
      <c r="K390" s="760"/>
      <c r="L390" s="760"/>
      <c r="M390" s="760"/>
      <c r="N390" s="760"/>
      <c r="O390" s="760"/>
      <c r="P390" s="760"/>
      <c r="Q390" s="760"/>
      <c r="R390" s="760"/>
      <c r="S390" s="760"/>
      <c r="T390" s="760"/>
      <c r="U390" s="760"/>
      <c r="V390" s="760"/>
      <c r="W390" s="760"/>
      <c r="X390" s="760"/>
      <c r="Y390" s="760"/>
      <c r="Z390" s="760"/>
      <c r="AA390" s="760"/>
      <c r="AB390" s="760"/>
      <c r="AC390" s="760"/>
      <c r="AD390" s="760"/>
      <c r="AE390" s="760"/>
      <c r="AF390" s="760"/>
      <c r="AG390" s="761"/>
      <c r="AH390" s="760"/>
      <c r="AI390" s="760"/>
      <c r="AJ390" s="760"/>
      <c r="AK390" s="760"/>
      <c r="AL390" s="760"/>
      <c r="AM390" s="760"/>
      <c r="AN390" s="760"/>
      <c r="AO390" s="760"/>
      <c r="AP390" s="760"/>
      <c r="AQ390" s="760"/>
      <c r="AR390" s="760"/>
      <c r="AS390" s="761"/>
      <c r="AT390" s="760"/>
    </row>
    <row r="391" ht="15.75" customHeight="1">
      <c r="A391" s="760"/>
      <c r="B391" s="760"/>
      <c r="C391" s="760"/>
      <c r="D391" s="760"/>
      <c r="E391" s="760"/>
      <c r="F391" s="760"/>
      <c r="G391" s="760"/>
      <c r="H391" s="760"/>
      <c r="I391" s="760"/>
      <c r="J391" s="760"/>
      <c r="K391" s="760"/>
      <c r="L391" s="760"/>
      <c r="M391" s="760"/>
      <c r="N391" s="760"/>
      <c r="O391" s="760"/>
      <c r="P391" s="760"/>
      <c r="Q391" s="760"/>
      <c r="R391" s="760"/>
      <c r="S391" s="760"/>
      <c r="T391" s="760"/>
      <c r="U391" s="760"/>
      <c r="V391" s="760"/>
      <c r="W391" s="760"/>
      <c r="X391" s="760"/>
      <c r="Y391" s="760"/>
      <c r="Z391" s="760"/>
      <c r="AA391" s="760"/>
      <c r="AB391" s="760"/>
      <c r="AC391" s="760"/>
      <c r="AD391" s="760"/>
      <c r="AE391" s="760"/>
      <c r="AF391" s="760"/>
      <c r="AG391" s="761"/>
      <c r="AH391" s="760"/>
      <c r="AI391" s="760"/>
      <c r="AJ391" s="760"/>
      <c r="AK391" s="760"/>
      <c r="AL391" s="760"/>
      <c r="AM391" s="760"/>
      <c r="AN391" s="760"/>
      <c r="AO391" s="760"/>
      <c r="AP391" s="760"/>
      <c r="AQ391" s="760"/>
      <c r="AR391" s="760"/>
      <c r="AS391" s="761"/>
      <c r="AT391" s="760"/>
    </row>
    <row r="392" ht="15.75" customHeight="1">
      <c r="A392" s="760"/>
      <c r="B392" s="760"/>
      <c r="C392" s="760"/>
      <c r="D392" s="760"/>
      <c r="E392" s="760"/>
      <c r="F392" s="760"/>
      <c r="G392" s="760"/>
      <c r="H392" s="760"/>
      <c r="I392" s="760"/>
      <c r="J392" s="760"/>
      <c r="K392" s="760"/>
      <c r="L392" s="760"/>
      <c r="M392" s="760"/>
      <c r="N392" s="760"/>
      <c r="O392" s="760"/>
      <c r="P392" s="760"/>
      <c r="Q392" s="760"/>
      <c r="R392" s="760"/>
      <c r="S392" s="760"/>
      <c r="T392" s="760"/>
      <c r="U392" s="760"/>
      <c r="V392" s="760"/>
      <c r="W392" s="760"/>
      <c r="X392" s="760"/>
      <c r="Y392" s="760"/>
      <c r="Z392" s="760"/>
      <c r="AA392" s="760"/>
      <c r="AB392" s="760"/>
      <c r="AC392" s="760"/>
      <c r="AD392" s="760"/>
      <c r="AE392" s="760"/>
      <c r="AF392" s="760"/>
      <c r="AG392" s="761"/>
      <c r="AH392" s="760"/>
      <c r="AI392" s="760"/>
      <c r="AJ392" s="760"/>
      <c r="AK392" s="760"/>
      <c r="AL392" s="760"/>
      <c r="AM392" s="760"/>
      <c r="AN392" s="760"/>
      <c r="AO392" s="760"/>
      <c r="AP392" s="760"/>
      <c r="AQ392" s="760"/>
      <c r="AR392" s="760"/>
      <c r="AS392" s="761"/>
      <c r="AT392" s="760"/>
    </row>
    <row r="393" ht="15.75" customHeight="1">
      <c r="A393" s="760"/>
      <c r="B393" s="760"/>
      <c r="C393" s="760"/>
      <c r="D393" s="760"/>
      <c r="E393" s="760"/>
      <c r="F393" s="760"/>
      <c r="G393" s="760"/>
      <c r="H393" s="760"/>
      <c r="I393" s="760"/>
      <c r="J393" s="760"/>
      <c r="K393" s="760"/>
      <c r="L393" s="760"/>
      <c r="M393" s="760"/>
      <c r="N393" s="760"/>
      <c r="O393" s="760"/>
      <c r="P393" s="760"/>
      <c r="Q393" s="760"/>
      <c r="R393" s="760"/>
      <c r="S393" s="760"/>
      <c r="T393" s="760"/>
      <c r="U393" s="760"/>
      <c r="V393" s="760"/>
      <c r="W393" s="760"/>
      <c r="X393" s="760"/>
      <c r="Y393" s="760"/>
      <c r="Z393" s="760"/>
      <c r="AA393" s="760"/>
      <c r="AB393" s="760"/>
      <c r="AC393" s="760"/>
      <c r="AD393" s="760"/>
      <c r="AE393" s="760"/>
      <c r="AF393" s="760"/>
      <c r="AG393" s="761"/>
      <c r="AH393" s="760"/>
      <c r="AI393" s="760"/>
      <c r="AJ393" s="760"/>
      <c r="AK393" s="760"/>
      <c r="AL393" s="760"/>
      <c r="AM393" s="760"/>
      <c r="AN393" s="760"/>
      <c r="AO393" s="760"/>
      <c r="AP393" s="760"/>
      <c r="AQ393" s="760"/>
      <c r="AR393" s="760"/>
      <c r="AS393" s="761"/>
      <c r="AT393" s="760"/>
    </row>
    <row r="394" ht="15.75" customHeight="1">
      <c r="A394" s="760"/>
      <c r="B394" s="760"/>
      <c r="C394" s="760"/>
      <c r="D394" s="760"/>
      <c r="E394" s="760"/>
      <c r="F394" s="760"/>
      <c r="G394" s="760"/>
      <c r="H394" s="760"/>
      <c r="I394" s="760"/>
      <c r="J394" s="760"/>
      <c r="K394" s="760"/>
      <c r="L394" s="760"/>
      <c r="M394" s="760"/>
      <c r="N394" s="760"/>
      <c r="O394" s="760"/>
      <c r="P394" s="760"/>
      <c r="Q394" s="760"/>
      <c r="R394" s="760"/>
      <c r="S394" s="760"/>
      <c r="T394" s="760"/>
      <c r="U394" s="760"/>
      <c r="V394" s="760"/>
      <c r="W394" s="760"/>
      <c r="X394" s="760"/>
      <c r="Y394" s="760"/>
      <c r="Z394" s="760"/>
      <c r="AA394" s="760"/>
      <c r="AB394" s="760"/>
      <c r="AC394" s="760"/>
      <c r="AD394" s="760"/>
      <c r="AE394" s="760"/>
      <c r="AF394" s="760"/>
      <c r="AG394" s="761"/>
      <c r="AH394" s="760"/>
      <c r="AI394" s="760"/>
      <c r="AJ394" s="760"/>
      <c r="AK394" s="760"/>
      <c r="AL394" s="760"/>
      <c r="AM394" s="760"/>
      <c r="AN394" s="760"/>
      <c r="AO394" s="760"/>
      <c r="AP394" s="760"/>
      <c r="AQ394" s="760"/>
      <c r="AR394" s="760"/>
      <c r="AS394" s="761"/>
      <c r="AT394" s="760"/>
    </row>
    <row r="395" ht="15.75" customHeight="1">
      <c r="A395" s="760"/>
      <c r="B395" s="760"/>
      <c r="C395" s="760"/>
      <c r="D395" s="760"/>
      <c r="E395" s="760"/>
      <c r="F395" s="760"/>
      <c r="G395" s="760"/>
      <c r="H395" s="760"/>
      <c r="I395" s="760"/>
      <c r="J395" s="760"/>
      <c r="K395" s="760"/>
      <c r="L395" s="760"/>
      <c r="M395" s="760"/>
      <c r="N395" s="760"/>
      <c r="O395" s="760"/>
      <c r="P395" s="760"/>
      <c r="Q395" s="760"/>
      <c r="R395" s="760"/>
      <c r="S395" s="760"/>
      <c r="T395" s="760"/>
      <c r="U395" s="760"/>
      <c r="V395" s="760"/>
      <c r="W395" s="760"/>
      <c r="X395" s="760"/>
      <c r="Y395" s="760"/>
      <c r="Z395" s="760"/>
      <c r="AA395" s="760"/>
      <c r="AB395" s="760"/>
      <c r="AC395" s="760"/>
      <c r="AD395" s="760"/>
      <c r="AE395" s="760"/>
      <c r="AF395" s="760"/>
      <c r="AG395" s="761"/>
      <c r="AH395" s="760"/>
      <c r="AI395" s="760"/>
      <c r="AJ395" s="760"/>
      <c r="AK395" s="760"/>
      <c r="AL395" s="760"/>
      <c r="AM395" s="760"/>
      <c r="AN395" s="760"/>
      <c r="AO395" s="760"/>
      <c r="AP395" s="760"/>
      <c r="AQ395" s="760"/>
      <c r="AR395" s="760"/>
      <c r="AS395" s="761"/>
      <c r="AT395" s="760"/>
    </row>
    <row r="396" ht="15.75" customHeight="1">
      <c r="A396" s="760"/>
      <c r="B396" s="760"/>
      <c r="C396" s="760"/>
      <c r="D396" s="760"/>
      <c r="E396" s="760"/>
      <c r="F396" s="760"/>
      <c r="G396" s="760"/>
      <c r="H396" s="760"/>
      <c r="I396" s="760"/>
      <c r="J396" s="760"/>
      <c r="K396" s="760"/>
      <c r="L396" s="760"/>
      <c r="M396" s="760"/>
      <c r="N396" s="760"/>
      <c r="O396" s="760"/>
      <c r="P396" s="760"/>
      <c r="Q396" s="760"/>
      <c r="R396" s="760"/>
      <c r="S396" s="760"/>
      <c r="T396" s="760"/>
      <c r="U396" s="760"/>
      <c r="V396" s="760"/>
      <c r="W396" s="760"/>
      <c r="X396" s="760"/>
      <c r="Y396" s="760"/>
      <c r="Z396" s="760"/>
      <c r="AA396" s="760"/>
      <c r="AB396" s="760"/>
      <c r="AC396" s="760"/>
      <c r="AD396" s="760"/>
      <c r="AE396" s="760"/>
      <c r="AF396" s="760"/>
      <c r="AG396" s="761"/>
      <c r="AH396" s="760"/>
      <c r="AI396" s="760"/>
      <c r="AJ396" s="760"/>
      <c r="AK396" s="760"/>
      <c r="AL396" s="760"/>
      <c r="AM396" s="760"/>
      <c r="AN396" s="760"/>
      <c r="AO396" s="760"/>
      <c r="AP396" s="760"/>
      <c r="AQ396" s="760"/>
      <c r="AR396" s="760"/>
      <c r="AS396" s="761"/>
      <c r="AT396" s="760"/>
    </row>
    <row r="397" ht="15.75" customHeight="1">
      <c r="A397" s="760"/>
      <c r="B397" s="760"/>
      <c r="C397" s="760"/>
      <c r="D397" s="760"/>
      <c r="E397" s="760"/>
      <c r="F397" s="760"/>
      <c r="G397" s="760"/>
      <c r="H397" s="760"/>
      <c r="I397" s="760"/>
      <c r="J397" s="760"/>
      <c r="K397" s="760"/>
      <c r="L397" s="760"/>
      <c r="M397" s="760"/>
      <c r="N397" s="760"/>
      <c r="O397" s="760"/>
      <c r="P397" s="760"/>
      <c r="Q397" s="760"/>
      <c r="R397" s="760"/>
      <c r="S397" s="760"/>
      <c r="T397" s="760"/>
      <c r="U397" s="760"/>
      <c r="V397" s="760"/>
      <c r="W397" s="760"/>
      <c r="X397" s="760"/>
      <c r="Y397" s="760"/>
      <c r="Z397" s="760"/>
      <c r="AA397" s="760"/>
      <c r="AB397" s="760"/>
      <c r="AC397" s="760"/>
      <c r="AD397" s="760"/>
      <c r="AE397" s="760"/>
      <c r="AF397" s="760"/>
      <c r="AG397" s="761"/>
      <c r="AH397" s="760"/>
      <c r="AI397" s="760"/>
      <c r="AJ397" s="760"/>
      <c r="AK397" s="760"/>
      <c r="AL397" s="760"/>
      <c r="AM397" s="760"/>
      <c r="AN397" s="760"/>
      <c r="AO397" s="760"/>
      <c r="AP397" s="760"/>
      <c r="AQ397" s="760"/>
      <c r="AR397" s="760"/>
      <c r="AS397" s="761"/>
      <c r="AT397" s="760"/>
    </row>
    <row r="398" ht="15.75" customHeight="1">
      <c r="A398" s="760"/>
      <c r="B398" s="760"/>
      <c r="C398" s="760"/>
      <c r="D398" s="760"/>
      <c r="E398" s="760"/>
      <c r="F398" s="760"/>
      <c r="G398" s="760"/>
      <c r="H398" s="760"/>
      <c r="I398" s="760"/>
      <c r="J398" s="760"/>
      <c r="K398" s="760"/>
      <c r="L398" s="760"/>
      <c r="M398" s="760"/>
      <c r="N398" s="760"/>
      <c r="O398" s="760"/>
      <c r="P398" s="760"/>
      <c r="Q398" s="760"/>
      <c r="R398" s="760"/>
      <c r="S398" s="760"/>
      <c r="T398" s="760"/>
      <c r="U398" s="760"/>
      <c r="V398" s="760"/>
      <c r="W398" s="760"/>
      <c r="X398" s="760"/>
      <c r="Y398" s="760"/>
      <c r="Z398" s="760"/>
      <c r="AA398" s="760"/>
      <c r="AB398" s="760"/>
      <c r="AC398" s="760"/>
      <c r="AD398" s="760"/>
      <c r="AE398" s="760"/>
      <c r="AF398" s="760"/>
      <c r="AG398" s="761"/>
      <c r="AH398" s="760"/>
      <c r="AI398" s="760"/>
      <c r="AJ398" s="760"/>
      <c r="AK398" s="760"/>
      <c r="AL398" s="760"/>
      <c r="AM398" s="760"/>
      <c r="AN398" s="760"/>
      <c r="AO398" s="760"/>
      <c r="AP398" s="760"/>
      <c r="AQ398" s="760"/>
      <c r="AR398" s="760"/>
      <c r="AS398" s="761"/>
      <c r="AT398" s="760"/>
    </row>
    <row r="399" ht="15.75" customHeight="1">
      <c r="A399" s="760"/>
      <c r="B399" s="760"/>
      <c r="C399" s="760"/>
      <c r="D399" s="760"/>
      <c r="E399" s="760"/>
      <c r="F399" s="760"/>
      <c r="G399" s="760"/>
      <c r="H399" s="760"/>
      <c r="I399" s="760"/>
      <c r="J399" s="760"/>
      <c r="K399" s="760"/>
      <c r="L399" s="760"/>
      <c r="M399" s="760"/>
      <c r="N399" s="760"/>
      <c r="O399" s="760"/>
      <c r="P399" s="760"/>
      <c r="Q399" s="760"/>
      <c r="R399" s="760"/>
      <c r="S399" s="760"/>
      <c r="T399" s="760"/>
      <c r="U399" s="760"/>
      <c r="V399" s="760"/>
      <c r="W399" s="760"/>
      <c r="X399" s="760"/>
      <c r="Y399" s="760"/>
      <c r="Z399" s="760"/>
      <c r="AA399" s="760"/>
      <c r="AB399" s="760"/>
      <c r="AC399" s="760"/>
      <c r="AD399" s="760"/>
      <c r="AE399" s="760"/>
      <c r="AF399" s="760"/>
      <c r="AG399" s="761"/>
      <c r="AH399" s="760"/>
      <c r="AI399" s="760"/>
      <c r="AJ399" s="760"/>
      <c r="AK399" s="760"/>
      <c r="AL399" s="760"/>
      <c r="AM399" s="760"/>
      <c r="AN399" s="760"/>
      <c r="AO399" s="760"/>
      <c r="AP399" s="760"/>
      <c r="AQ399" s="760"/>
      <c r="AR399" s="760"/>
      <c r="AS399" s="761"/>
      <c r="AT399" s="760"/>
    </row>
    <row r="400" ht="15.75" customHeight="1">
      <c r="A400" s="760"/>
      <c r="B400" s="760"/>
      <c r="C400" s="760"/>
      <c r="D400" s="760"/>
      <c r="E400" s="760"/>
      <c r="F400" s="760"/>
      <c r="G400" s="760"/>
      <c r="H400" s="760"/>
      <c r="I400" s="760"/>
      <c r="J400" s="760"/>
      <c r="K400" s="760"/>
      <c r="L400" s="760"/>
      <c r="M400" s="760"/>
      <c r="N400" s="760"/>
      <c r="O400" s="760"/>
      <c r="P400" s="760"/>
      <c r="Q400" s="760"/>
      <c r="R400" s="760"/>
      <c r="S400" s="760"/>
      <c r="T400" s="760"/>
      <c r="U400" s="760"/>
      <c r="V400" s="760"/>
      <c r="W400" s="760"/>
      <c r="X400" s="760"/>
      <c r="Y400" s="760"/>
      <c r="Z400" s="760"/>
      <c r="AA400" s="760"/>
      <c r="AB400" s="760"/>
      <c r="AC400" s="760"/>
      <c r="AD400" s="760"/>
      <c r="AE400" s="760"/>
      <c r="AF400" s="760"/>
      <c r="AG400" s="761"/>
      <c r="AH400" s="760"/>
      <c r="AI400" s="760"/>
      <c r="AJ400" s="760"/>
      <c r="AK400" s="760"/>
      <c r="AL400" s="760"/>
      <c r="AM400" s="760"/>
      <c r="AN400" s="760"/>
      <c r="AO400" s="760"/>
      <c r="AP400" s="760"/>
      <c r="AQ400" s="760"/>
      <c r="AR400" s="760"/>
      <c r="AS400" s="761"/>
      <c r="AT400" s="760"/>
    </row>
    <row r="401" ht="15.75" customHeight="1">
      <c r="A401" s="760"/>
      <c r="B401" s="760"/>
      <c r="C401" s="760"/>
      <c r="D401" s="760"/>
      <c r="E401" s="760"/>
      <c r="F401" s="760"/>
      <c r="G401" s="760"/>
      <c r="H401" s="760"/>
      <c r="I401" s="760"/>
      <c r="J401" s="760"/>
      <c r="K401" s="760"/>
      <c r="L401" s="760"/>
      <c r="M401" s="760"/>
      <c r="N401" s="760"/>
      <c r="O401" s="760"/>
      <c r="P401" s="760"/>
      <c r="Q401" s="760"/>
      <c r="R401" s="760"/>
      <c r="S401" s="760"/>
      <c r="T401" s="760"/>
      <c r="U401" s="760"/>
      <c r="V401" s="760"/>
      <c r="W401" s="760"/>
      <c r="X401" s="760"/>
      <c r="Y401" s="760"/>
      <c r="Z401" s="760"/>
      <c r="AA401" s="760"/>
      <c r="AB401" s="760"/>
      <c r="AC401" s="760"/>
      <c r="AD401" s="760"/>
      <c r="AE401" s="760"/>
      <c r="AF401" s="760"/>
      <c r="AG401" s="761"/>
      <c r="AH401" s="760"/>
      <c r="AI401" s="760"/>
      <c r="AJ401" s="760"/>
      <c r="AK401" s="760"/>
      <c r="AL401" s="760"/>
      <c r="AM401" s="760"/>
      <c r="AN401" s="760"/>
      <c r="AO401" s="760"/>
      <c r="AP401" s="760"/>
      <c r="AQ401" s="760"/>
      <c r="AR401" s="760"/>
      <c r="AS401" s="761"/>
      <c r="AT401" s="760"/>
    </row>
    <row r="402" ht="15.75" customHeight="1">
      <c r="A402" s="760"/>
      <c r="B402" s="760"/>
      <c r="C402" s="760"/>
      <c r="D402" s="760"/>
      <c r="E402" s="760"/>
      <c r="F402" s="760"/>
      <c r="G402" s="760"/>
      <c r="H402" s="760"/>
      <c r="I402" s="760"/>
      <c r="J402" s="760"/>
      <c r="K402" s="760"/>
      <c r="L402" s="760"/>
      <c r="M402" s="760"/>
      <c r="N402" s="760"/>
      <c r="O402" s="760"/>
      <c r="P402" s="760"/>
      <c r="Q402" s="760"/>
      <c r="R402" s="760"/>
      <c r="S402" s="760"/>
      <c r="T402" s="760"/>
      <c r="U402" s="760"/>
      <c r="V402" s="760"/>
      <c r="W402" s="760"/>
      <c r="X402" s="760"/>
      <c r="Y402" s="760"/>
      <c r="Z402" s="760"/>
      <c r="AA402" s="760"/>
      <c r="AB402" s="760"/>
      <c r="AC402" s="760"/>
      <c r="AD402" s="760"/>
      <c r="AE402" s="760"/>
      <c r="AF402" s="760"/>
      <c r="AG402" s="761"/>
      <c r="AH402" s="760"/>
      <c r="AI402" s="760"/>
      <c r="AJ402" s="760"/>
      <c r="AK402" s="760"/>
      <c r="AL402" s="760"/>
      <c r="AM402" s="760"/>
      <c r="AN402" s="760"/>
      <c r="AO402" s="760"/>
      <c r="AP402" s="760"/>
      <c r="AQ402" s="760"/>
      <c r="AR402" s="760"/>
      <c r="AS402" s="761"/>
      <c r="AT402" s="760"/>
    </row>
    <row r="403" ht="15.75" customHeight="1">
      <c r="A403" s="760"/>
      <c r="B403" s="760"/>
      <c r="C403" s="760"/>
      <c r="D403" s="760"/>
      <c r="E403" s="760"/>
      <c r="F403" s="760"/>
      <c r="G403" s="760"/>
      <c r="H403" s="760"/>
      <c r="I403" s="760"/>
      <c r="J403" s="760"/>
      <c r="K403" s="760"/>
      <c r="L403" s="760"/>
      <c r="M403" s="760"/>
      <c r="N403" s="760"/>
      <c r="O403" s="760"/>
      <c r="P403" s="760"/>
      <c r="Q403" s="760"/>
      <c r="R403" s="760"/>
      <c r="S403" s="760"/>
      <c r="T403" s="760"/>
      <c r="U403" s="760"/>
      <c r="V403" s="760"/>
      <c r="W403" s="760"/>
      <c r="X403" s="760"/>
      <c r="Y403" s="760"/>
      <c r="Z403" s="760"/>
      <c r="AA403" s="760"/>
      <c r="AB403" s="760"/>
      <c r="AC403" s="760"/>
      <c r="AD403" s="760"/>
      <c r="AE403" s="760"/>
      <c r="AF403" s="760"/>
      <c r="AG403" s="761"/>
      <c r="AH403" s="760"/>
      <c r="AI403" s="760"/>
      <c r="AJ403" s="760"/>
      <c r="AK403" s="760"/>
      <c r="AL403" s="760"/>
      <c r="AM403" s="760"/>
      <c r="AN403" s="760"/>
      <c r="AO403" s="760"/>
      <c r="AP403" s="760"/>
      <c r="AQ403" s="760"/>
      <c r="AR403" s="760"/>
      <c r="AS403" s="761"/>
      <c r="AT403" s="760"/>
    </row>
    <row r="404" ht="15.75" customHeight="1">
      <c r="A404" s="760"/>
      <c r="B404" s="760"/>
      <c r="C404" s="760"/>
      <c r="D404" s="760"/>
      <c r="E404" s="760"/>
      <c r="F404" s="760"/>
      <c r="G404" s="760"/>
      <c r="H404" s="760"/>
      <c r="I404" s="760"/>
      <c r="J404" s="760"/>
      <c r="K404" s="760"/>
      <c r="L404" s="760"/>
      <c r="M404" s="760"/>
      <c r="N404" s="760"/>
      <c r="O404" s="760"/>
      <c r="P404" s="760"/>
      <c r="Q404" s="760"/>
      <c r="R404" s="760"/>
      <c r="S404" s="760"/>
      <c r="T404" s="760"/>
      <c r="U404" s="760"/>
      <c r="V404" s="760"/>
      <c r="W404" s="760"/>
      <c r="X404" s="760"/>
      <c r="Y404" s="760"/>
      <c r="Z404" s="760"/>
      <c r="AA404" s="760"/>
      <c r="AB404" s="760"/>
      <c r="AC404" s="760"/>
      <c r="AD404" s="760"/>
      <c r="AE404" s="760"/>
      <c r="AF404" s="760"/>
      <c r="AG404" s="761"/>
      <c r="AH404" s="760"/>
      <c r="AI404" s="760"/>
      <c r="AJ404" s="760"/>
      <c r="AK404" s="760"/>
      <c r="AL404" s="760"/>
      <c r="AM404" s="760"/>
      <c r="AN404" s="760"/>
      <c r="AO404" s="760"/>
      <c r="AP404" s="760"/>
      <c r="AQ404" s="760"/>
      <c r="AR404" s="760"/>
      <c r="AS404" s="761"/>
      <c r="AT404" s="760"/>
    </row>
    <row r="405" ht="15.75" customHeight="1">
      <c r="A405" s="760"/>
      <c r="B405" s="760"/>
      <c r="C405" s="760"/>
      <c r="D405" s="760"/>
      <c r="E405" s="760"/>
      <c r="F405" s="760"/>
      <c r="G405" s="760"/>
      <c r="H405" s="760"/>
      <c r="I405" s="760"/>
      <c r="J405" s="760"/>
      <c r="K405" s="760"/>
      <c r="L405" s="760"/>
      <c r="M405" s="760"/>
      <c r="N405" s="760"/>
      <c r="O405" s="760"/>
      <c r="P405" s="760"/>
      <c r="Q405" s="760"/>
      <c r="R405" s="760"/>
      <c r="S405" s="760"/>
      <c r="T405" s="760"/>
      <c r="U405" s="760"/>
      <c r="V405" s="760"/>
      <c r="W405" s="760"/>
      <c r="X405" s="760"/>
      <c r="Y405" s="760"/>
      <c r="Z405" s="760"/>
      <c r="AA405" s="760"/>
      <c r="AB405" s="760"/>
      <c r="AC405" s="760"/>
      <c r="AD405" s="760"/>
      <c r="AE405" s="760"/>
      <c r="AF405" s="760"/>
      <c r="AG405" s="761"/>
      <c r="AH405" s="760"/>
      <c r="AI405" s="760"/>
      <c r="AJ405" s="760"/>
      <c r="AK405" s="760"/>
      <c r="AL405" s="760"/>
      <c r="AM405" s="760"/>
      <c r="AN405" s="760"/>
      <c r="AO405" s="760"/>
      <c r="AP405" s="760"/>
      <c r="AQ405" s="760"/>
      <c r="AR405" s="760"/>
      <c r="AS405" s="761"/>
      <c r="AT405" s="760"/>
    </row>
    <row r="406" ht="15.75" customHeight="1">
      <c r="A406" s="760"/>
      <c r="B406" s="760"/>
      <c r="C406" s="760"/>
      <c r="D406" s="760"/>
      <c r="E406" s="760"/>
      <c r="F406" s="760"/>
      <c r="G406" s="760"/>
      <c r="H406" s="760"/>
      <c r="I406" s="760"/>
      <c r="J406" s="760"/>
      <c r="K406" s="760"/>
      <c r="L406" s="760"/>
      <c r="M406" s="760"/>
      <c r="N406" s="760"/>
      <c r="O406" s="760"/>
      <c r="P406" s="760"/>
      <c r="Q406" s="760"/>
      <c r="R406" s="760"/>
      <c r="S406" s="760"/>
      <c r="T406" s="760"/>
      <c r="U406" s="760"/>
      <c r="V406" s="760"/>
      <c r="W406" s="760"/>
      <c r="X406" s="760"/>
      <c r="Y406" s="760"/>
      <c r="Z406" s="760"/>
      <c r="AA406" s="760"/>
      <c r="AB406" s="760"/>
      <c r="AC406" s="760"/>
      <c r="AD406" s="760"/>
      <c r="AE406" s="760"/>
      <c r="AF406" s="760"/>
      <c r="AG406" s="761"/>
      <c r="AH406" s="760"/>
      <c r="AI406" s="760"/>
      <c r="AJ406" s="760"/>
      <c r="AK406" s="760"/>
      <c r="AL406" s="760"/>
      <c r="AM406" s="760"/>
      <c r="AN406" s="760"/>
      <c r="AO406" s="760"/>
      <c r="AP406" s="760"/>
      <c r="AQ406" s="760"/>
      <c r="AR406" s="760"/>
      <c r="AS406" s="761"/>
      <c r="AT406" s="760"/>
    </row>
    <row r="407" ht="15.75" customHeight="1">
      <c r="A407" s="760"/>
      <c r="B407" s="760"/>
      <c r="C407" s="760"/>
      <c r="D407" s="760"/>
      <c r="E407" s="760"/>
      <c r="F407" s="760"/>
      <c r="G407" s="760"/>
      <c r="H407" s="760"/>
      <c r="I407" s="760"/>
      <c r="J407" s="760"/>
      <c r="K407" s="760"/>
      <c r="L407" s="760"/>
      <c r="M407" s="760"/>
      <c r="N407" s="760"/>
      <c r="O407" s="760"/>
      <c r="P407" s="760"/>
      <c r="Q407" s="760"/>
      <c r="R407" s="760"/>
      <c r="S407" s="760"/>
      <c r="T407" s="760"/>
      <c r="U407" s="760"/>
      <c r="V407" s="760"/>
      <c r="W407" s="760"/>
      <c r="X407" s="760"/>
      <c r="Y407" s="760"/>
      <c r="Z407" s="760"/>
      <c r="AA407" s="760"/>
      <c r="AB407" s="760"/>
      <c r="AC407" s="760"/>
      <c r="AD407" s="760"/>
      <c r="AE407" s="760"/>
      <c r="AF407" s="760"/>
      <c r="AG407" s="761"/>
      <c r="AH407" s="760"/>
      <c r="AI407" s="760"/>
      <c r="AJ407" s="760"/>
      <c r="AK407" s="760"/>
      <c r="AL407" s="760"/>
      <c r="AM407" s="760"/>
      <c r="AN407" s="760"/>
      <c r="AO407" s="760"/>
      <c r="AP407" s="760"/>
      <c r="AQ407" s="760"/>
      <c r="AR407" s="760"/>
      <c r="AS407" s="761"/>
      <c r="AT407" s="760"/>
    </row>
    <row r="408" ht="15.75" customHeight="1">
      <c r="A408" s="760"/>
      <c r="B408" s="760"/>
      <c r="C408" s="760"/>
      <c r="D408" s="760"/>
      <c r="E408" s="760"/>
      <c r="F408" s="760"/>
      <c r="G408" s="760"/>
      <c r="H408" s="760"/>
      <c r="I408" s="760"/>
      <c r="J408" s="760"/>
      <c r="K408" s="760"/>
      <c r="L408" s="760"/>
      <c r="M408" s="760"/>
      <c r="N408" s="760"/>
      <c r="O408" s="760"/>
      <c r="P408" s="760"/>
      <c r="Q408" s="760"/>
      <c r="R408" s="760"/>
      <c r="S408" s="760"/>
      <c r="T408" s="760"/>
      <c r="U408" s="760"/>
      <c r="V408" s="760"/>
      <c r="W408" s="760"/>
      <c r="X408" s="760"/>
      <c r="Y408" s="760"/>
      <c r="Z408" s="760"/>
      <c r="AA408" s="760"/>
      <c r="AB408" s="760"/>
      <c r="AC408" s="760"/>
      <c r="AD408" s="760"/>
      <c r="AE408" s="760"/>
      <c r="AF408" s="760"/>
      <c r="AG408" s="761"/>
      <c r="AH408" s="760"/>
      <c r="AI408" s="760"/>
      <c r="AJ408" s="760"/>
      <c r="AK408" s="760"/>
      <c r="AL408" s="760"/>
      <c r="AM408" s="760"/>
      <c r="AN408" s="760"/>
      <c r="AO408" s="760"/>
      <c r="AP408" s="760"/>
      <c r="AQ408" s="760"/>
      <c r="AR408" s="760"/>
      <c r="AS408" s="761"/>
      <c r="AT408" s="760"/>
    </row>
    <row r="409" ht="15.75" customHeight="1">
      <c r="A409" s="760"/>
      <c r="B409" s="760"/>
      <c r="C409" s="760"/>
      <c r="D409" s="760"/>
      <c r="E409" s="760"/>
      <c r="F409" s="760"/>
      <c r="G409" s="760"/>
      <c r="H409" s="760"/>
      <c r="I409" s="760"/>
      <c r="J409" s="760"/>
      <c r="K409" s="760"/>
      <c r="L409" s="760"/>
      <c r="M409" s="760"/>
      <c r="N409" s="760"/>
      <c r="O409" s="760"/>
      <c r="P409" s="760"/>
      <c r="Q409" s="760"/>
      <c r="R409" s="760"/>
      <c r="S409" s="760"/>
      <c r="T409" s="760"/>
      <c r="U409" s="760"/>
      <c r="V409" s="760"/>
      <c r="W409" s="760"/>
      <c r="X409" s="760"/>
      <c r="Y409" s="760"/>
      <c r="Z409" s="760"/>
      <c r="AA409" s="760"/>
      <c r="AB409" s="760"/>
      <c r="AC409" s="760"/>
      <c r="AD409" s="760"/>
      <c r="AE409" s="760"/>
      <c r="AF409" s="760"/>
      <c r="AG409" s="761"/>
      <c r="AH409" s="760"/>
      <c r="AI409" s="760"/>
      <c r="AJ409" s="760"/>
      <c r="AK409" s="760"/>
      <c r="AL409" s="760"/>
      <c r="AM409" s="760"/>
      <c r="AN409" s="760"/>
      <c r="AO409" s="760"/>
      <c r="AP409" s="760"/>
      <c r="AQ409" s="760"/>
      <c r="AR409" s="760"/>
      <c r="AS409" s="761"/>
      <c r="AT409" s="760"/>
    </row>
    <row r="410" ht="15.75" customHeight="1">
      <c r="A410" s="760"/>
      <c r="B410" s="760"/>
      <c r="C410" s="760"/>
      <c r="D410" s="760"/>
      <c r="E410" s="760"/>
      <c r="F410" s="760"/>
      <c r="G410" s="760"/>
      <c r="H410" s="760"/>
      <c r="I410" s="760"/>
      <c r="J410" s="760"/>
      <c r="K410" s="760"/>
      <c r="L410" s="760"/>
      <c r="M410" s="760"/>
      <c r="N410" s="760"/>
      <c r="O410" s="760"/>
      <c r="P410" s="760"/>
      <c r="Q410" s="760"/>
      <c r="R410" s="760"/>
      <c r="S410" s="760"/>
      <c r="T410" s="760"/>
      <c r="U410" s="760"/>
      <c r="V410" s="760"/>
      <c r="W410" s="760"/>
      <c r="X410" s="760"/>
      <c r="Y410" s="760"/>
      <c r="Z410" s="760"/>
      <c r="AA410" s="760"/>
      <c r="AB410" s="760"/>
      <c r="AC410" s="760"/>
      <c r="AD410" s="760"/>
      <c r="AE410" s="760"/>
      <c r="AF410" s="760"/>
      <c r="AG410" s="761"/>
      <c r="AH410" s="760"/>
      <c r="AI410" s="760"/>
      <c r="AJ410" s="760"/>
      <c r="AK410" s="760"/>
      <c r="AL410" s="760"/>
      <c r="AM410" s="760"/>
      <c r="AN410" s="760"/>
      <c r="AO410" s="760"/>
      <c r="AP410" s="760"/>
      <c r="AQ410" s="760"/>
      <c r="AR410" s="760"/>
      <c r="AS410" s="761"/>
      <c r="AT410" s="760"/>
    </row>
    <row r="411" ht="15.75" customHeight="1">
      <c r="A411" s="760"/>
      <c r="B411" s="760"/>
      <c r="C411" s="760"/>
      <c r="D411" s="760"/>
      <c r="E411" s="760"/>
      <c r="F411" s="760"/>
      <c r="G411" s="760"/>
      <c r="H411" s="760"/>
      <c r="I411" s="760"/>
      <c r="J411" s="760"/>
      <c r="K411" s="760"/>
      <c r="L411" s="760"/>
      <c r="M411" s="760"/>
      <c r="N411" s="760"/>
      <c r="O411" s="760"/>
      <c r="P411" s="760"/>
      <c r="Q411" s="760"/>
      <c r="R411" s="760"/>
      <c r="S411" s="760"/>
      <c r="T411" s="760"/>
      <c r="U411" s="760"/>
      <c r="V411" s="760"/>
      <c r="W411" s="760"/>
      <c r="X411" s="760"/>
      <c r="Y411" s="760"/>
      <c r="Z411" s="760"/>
      <c r="AA411" s="760"/>
      <c r="AB411" s="760"/>
      <c r="AC411" s="760"/>
      <c r="AD411" s="760"/>
      <c r="AE411" s="760"/>
      <c r="AF411" s="760"/>
      <c r="AG411" s="761"/>
      <c r="AH411" s="760"/>
      <c r="AI411" s="760"/>
      <c r="AJ411" s="760"/>
      <c r="AK411" s="760"/>
      <c r="AL411" s="760"/>
      <c r="AM411" s="760"/>
      <c r="AN411" s="760"/>
      <c r="AO411" s="760"/>
      <c r="AP411" s="760"/>
      <c r="AQ411" s="760"/>
      <c r="AR411" s="760"/>
      <c r="AS411" s="761"/>
      <c r="AT411" s="760"/>
    </row>
    <row r="412" ht="15.75" customHeight="1">
      <c r="A412" s="760"/>
      <c r="B412" s="760"/>
      <c r="C412" s="760"/>
      <c r="D412" s="760"/>
      <c r="E412" s="760"/>
      <c r="F412" s="760"/>
      <c r="G412" s="760"/>
      <c r="H412" s="760"/>
      <c r="I412" s="760"/>
      <c r="J412" s="760"/>
      <c r="K412" s="760"/>
      <c r="L412" s="760"/>
      <c r="M412" s="760"/>
      <c r="N412" s="760"/>
      <c r="O412" s="760"/>
      <c r="P412" s="760"/>
      <c r="Q412" s="760"/>
      <c r="R412" s="760"/>
      <c r="S412" s="760"/>
      <c r="T412" s="760"/>
      <c r="U412" s="760"/>
      <c r="V412" s="760"/>
      <c r="W412" s="760"/>
      <c r="X412" s="760"/>
      <c r="Y412" s="760"/>
      <c r="Z412" s="760"/>
      <c r="AA412" s="760"/>
      <c r="AB412" s="760"/>
      <c r="AC412" s="760"/>
      <c r="AD412" s="760"/>
      <c r="AE412" s="760"/>
      <c r="AF412" s="760"/>
      <c r="AG412" s="761"/>
      <c r="AH412" s="760"/>
      <c r="AI412" s="760"/>
      <c r="AJ412" s="760"/>
      <c r="AK412" s="760"/>
      <c r="AL412" s="760"/>
      <c r="AM412" s="760"/>
      <c r="AN412" s="760"/>
      <c r="AO412" s="760"/>
      <c r="AP412" s="760"/>
      <c r="AQ412" s="760"/>
      <c r="AR412" s="760"/>
      <c r="AS412" s="761"/>
      <c r="AT412" s="760"/>
    </row>
    <row r="413" ht="15.75" customHeight="1">
      <c r="A413" s="760"/>
      <c r="B413" s="760"/>
      <c r="C413" s="760"/>
      <c r="D413" s="760"/>
      <c r="E413" s="760"/>
      <c r="F413" s="760"/>
      <c r="G413" s="760"/>
      <c r="H413" s="760"/>
      <c r="I413" s="760"/>
      <c r="J413" s="760"/>
      <c r="K413" s="760"/>
      <c r="L413" s="760"/>
      <c r="M413" s="760"/>
      <c r="N413" s="760"/>
      <c r="O413" s="760"/>
      <c r="P413" s="760"/>
      <c r="Q413" s="760"/>
      <c r="R413" s="760"/>
      <c r="S413" s="760"/>
      <c r="T413" s="760"/>
      <c r="U413" s="760"/>
      <c r="V413" s="760"/>
      <c r="W413" s="760"/>
      <c r="X413" s="760"/>
      <c r="Y413" s="760"/>
      <c r="Z413" s="760"/>
      <c r="AA413" s="760"/>
      <c r="AB413" s="760"/>
      <c r="AC413" s="760"/>
      <c r="AD413" s="760"/>
      <c r="AE413" s="760"/>
      <c r="AF413" s="760"/>
      <c r="AG413" s="761"/>
      <c r="AH413" s="760"/>
      <c r="AI413" s="760"/>
      <c r="AJ413" s="760"/>
      <c r="AK413" s="760"/>
      <c r="AL413" s="760"/>
      <c r="AM413" s="760"/>
      <c r="AN413" s="760"/>
      <c r="AO413" s="760"/>
      <c r="AP413" s="760"/>
      <c r="AQ413" s="760"/>
      <c r="AR413" s="760"/>
      <c r="AS413" s="761"/>
      <c r="AT413" s="760"/>
    </row>
    <row r="414" ht="15.75" customHeight="1">
      <c r="A414" s="760"/>
      <c r="B414" s="760"/>
      <c r="C414" s="760"/>
      <c r="D414" s="760"/>
      <c r="E414" s="760"/>
      <c r="F414" s="760"/>
      <c r="G414" s="760"/>
      <c r="H414" s="760"/>
      <c r="I414" s="760"/>
      <c r="J414" s="760"/>
      <c r="K414" s="760"/>
      <c r="L414" s="760"/>
      <c r="M414" s="760"/>
      <c r="N414" s="760"/>
      <c r="O414" s="760"/>
      <c r="P414" s="760"/>
      <c r="Q414" s="760"/>
      <c r="R414" s="760"/>
      <c r="S414" s="760"/>
      <c r="T414" s="760"/>
      <c r="U414" s="760"/>
      <c r="V414" s="760"/>
      <c r="W414" s="760"/>
      <c r="X414" s="760"/>
      <c r="Y414" s="760"/>
      <c r="Z414" s="760"/>
      <c r="AA414" s="760"/>
      <c r="AB414" s="760"/>
      <c r="AC414" s="760"/>
      <c r="AD414" s="760"/>
      <c r="AE414" s="760"/>
      <c r="AF414" s="760"/>
      <c r="AG414" s="761"/>
      <c r="AH414" s="760"/>
      <c r="AI414" s="760"/>
      <c r="AJ414" s="760"/>
      <c r="AK414" s="760"/>
      <c r="AL414" s="760"/>
      <c r="AM414" s="760"/>
      <c r="AN414" s="760"/>
      <c r="AO414" s="760"/>
      <c r="AP414" s="760"/>
      <c r="AQ414" s="760"/>
      <c r="AR414" s="760"/>
      <c r="AS414" s="761"/>
      <c r="AT414" s="760"/>
    </row>
    <row r="415" ht="15.75" customHeight="1">
      <c r="A415" s="760"/>
      <c r="B415" s="760"/>
      <c r="C415" s="760"/>
      <c r="D415" s="760"/>
      <c r="E415" s="760"/>
      <c r="F415" s="760"/>
      <c r="G415" s="760"/>
      <c r="H415" s="760"/>
      <c r="I415" s="760"/>
      <c r="J415" s="760"/>
      <c r="K415" s="760"/>
      <c r="L415" s="760"/>
      <c r="M415" s="760"/>
      <c r="N415" s="760"/>
      <c r="O415" s="760"/>
      <c r="P415" s="760"/>
      <c r="Q415" s="760"/>
      <c r="R415" s="760"/>
      <c r="S415" s="760"/>
      <c r="T415" s="760"/>
      <c r="U415" s="760"/>
      <c r="V415" s="760"/>
      <c r="W415" s="760"/>
      <c r="X415" s="760"/>
      <c r="Y415" s="760"/>
      <c r="Z415" s="760"/>
      <c r="AA415" s="760"/>
      <c r="AB415" s="760"/>
      <c r="AC415" s="760"/>
      <c r="AD415" s="760"/>
      <c r="AE415" s="760"/>
      <c r="AF415" s="760"/>
      <c r="AG415" s="761"/>
      <c r="AH415" s="760"/>
      <c r="AI415" s="760"/>
      <c r="AJ415" s="760"/>
      <c r="AK415" s="760"/>
      <c r="AL415" s="760"/>
      <c r="AM415" s="760"/>
      <c r="AN415" s="760"/>
      <c r="AO415" s="760"/>
      <c r="AP415" s="760"/>
      <c r="AQ415" s="760"/>
      <c r="AR415" s="760"/>
      <c r="AS415" s="761"/>
      <c r="AT415" s="760"/>
    </row>
    <row r="416" ht="15.75" customHeight="1">
      <c r="A416" s="760"/>
      <c r="B416" s="760"/>
      <c r="C416" s="760"/>
      <c r="D416" s="760"/>
      <c r="E416" s="760"/>
      <c r="F416" s="760"/>
      <c r="G416" s="760"/>
      <c r="H416" s="760"/>
      <c r="I416" s="760"/>
      <c r="J416" s="760"/>
      <c r="K416" s="760"/>
      <c r="L416" s="760"/>
      <c r="M416" s="760"/>
      <c r="N416" s="760"/>
      <c r="O416" s="760"/>
      <c r="P416" s="760"/>
      <c r="Q416" s="760"/>
      <c r="R416" s="760"/>
      <c r="S416" s="760"/>
      <c r="T416" s="760"/>
      <c r="U416" s="760"/>
      <c r="V416" s="760"/>
      <c r="W416" s="760"/>
      <c r="X416" s="760"/>
      <c r="Y416" s="760"/>
      <c r="Z416" s="760"/>
      <c r="AA416" s="760"/>
      <c r="AB416" s="760"/>
      <c r="AC416" s="760"/>
      <c r="AD416" s="760"/>
      <c r="AE416" s="760"/>
      <c r="AF416" s="760"/>
      <c r="AG416" s="761"/>
      <c r="AH416" s="760"/>
      <c r="AI416" s="760"/>
      <c r="AJ416" s="760"/>
      <c r="AK416" s="760"/>
      <c r="AL416" s="760"/>
      <c r="AM416" s="760"/>
      <c r="AN416" s="760"/>
      <c r="AO416" s="760"/>
      <c r="AP416" s="760"/>
      <c r="AQ416" s="760"/>
      <c r="AR416" s="760"/>
      <c r="AS416" s="761"/>
      <c r="AT416" s="760"/>
    </row>
    <row r="417" ht="15.75" customHeight="1">
      <c r="A417" s="760"/>
      <c r="B417" s="760"/>
      <c r="C417" s="760"/>
      <c r="D417" s="760"/>
      <c r="E417" s="760"/>
      <c r="F417" s="760"/>
      <c r="G417" s="760"/>
      <c r="H417" s="760"/>
      <c r="I417" s="760"/>
      <c r="J417" s="760"/>
      <c r="K417" s="760"/>
      <c r="L417" s="760"/>
      <c r="M417" s="760"/>
      <c r="N417" s="760"/>
      <c r="O417" s="760"/>
      <c r="P417" s="760"/>
      <c r="Q417" s="760"/>
      <c r="R417" s="760"/>
      <c r="S417" s="760"/>
      <c r="T417" s="760"/>
      <c r="U417" s="760"/>
      <c r="V417" s="760"/>
      <c r="W417" s="760"/>
      <c r="X417" s="760"/>
      <c r="Y417" s="760"/>
      <c r="Z417" s="760"/>
      <c r="AA417" s="760"/>
      <c r="AB417" s="760"/>
      <c r="AC417" s="760"/>
      <c r="AD417" s="760"/>
      <c r="AE417" s="760"/>
      <c r="AF417" s="760"/>
      <c r="AG417" s="761"/>
      <c r="AH417" s="760"/>
      <c r="AI417" s="760"/>
      <c r="AJ417" s="760"/>
      <c r="AK417" s="760"/>
      <c r="AL417" s="760"/>
      <c r="AM417" s="760"/>
      <c r="AN417" s="760"/>
      <c r="AO417" s="760"/>
      <c r="AP417" s="760"/>
      <c r="AQ417" s="760"/>
      <c r="AR417" s="760"/>
      <c r="AS417" s="761"/>
      <c r="AT417" s="760"/>
    </row>
    <row r="418" ht="15.75" customHeight="1">
      <c r="A418" s="760"/>
      <c r="B418" s="760"/>
      <c r="C418" s="760"/>
      <c r="D418" s="760"/>
      <c r="E418" s="760"/>
      <c r="F418" s="760"/>
      <c r="G418" s="760"/>
      <c r="H418" s="760"/>
      <c r="I418" s="760"/>
      <c r="J418" s="760"/>
      <c r="K418" s="760"/>
      <c r="L418" s="760"/>
      <c r="M418" s="760"/>
      <c r="N418" s="760"/>
      <c r="O418" s="760"/>
      <c r="P418" s="760"/>
      <c r="Q418" s="760"/>
      <c r="R418" s="760"/>
      <c r="S418" s="760"/>
      <c r="T418" s="760"/>
      <c r="U418" s="760"/>
      <c r="V418" s="760"/>
      <c r="W418" s="760"/>
      <c r="X418" s="760"/>
      <c r="Y418" s="760"/>
      <c r="Z418" s="760"/>
      <c r="AA418" s="760"/>
      <c r="AB418" s="760"/>
      <c r="AC418" s="760"/>
      <c r="AD418" s="760"/>
      <c r="AE418" s="760"/>
      <c r="AF418" s="760"/>
      <c r="AG418" s="761"/>
      <c r="AH418" s="760"/>
      <c r="AI418" s="760"/>
      <c r="AJ418" s="760"/>
      <c r="AK418" s="760"/>
      <c r="AL418" s="760"/>
      <c r="AM418" s="760"/>
      <c r="AN418" s="760"/>
      <c r="AO418" s="760"/>
      <c r="AP418" s="760"/>
      <c r="AQ418" s="760"/>
      <c r="AR418" s="760"/>
      <c r="AS418" s="761"/>
      <c r="AT418" s="760"/>
    </row>
    <row r="419" ht="15.75" customHeight="1">
      <c r="A419" s="760"/>
      <c r="B419" s="760"/>
      <c r="C419" s="760"/>
      <c r="D419" s="760"/>
      <c r="E419" s="760"/>
      <c r="F419" s="760"/>
      <c r="G419" s="760"/>
      <c r="H419" s="760"/>
      <c r="I419" s="760"/>
      <c r="J419" s="760"/>
      <c r="K419" s="760"/>
      <c r="L419" s="760"/>
      <c r="M419" s="760"/>
      <c r="N419" s="760"/>
      <c r="O419" s="760"/>
      <c r="P419" s="760"/>
      <c r="Q419" s="760"/>
      <c r="R419" s="760"/>
      <c r="S419" s="760"/>
      <c r="T419" s="760"/>
      <c r="U419" s="760"/>
      <c r="V419" s="760"/>
      <c r="W419" s="760"/>
      <c r="X419" s="760"/>
      <c r="Y419" s="760"/>
      <c r="Z419" s="760"/>
      <c r="AA419" s="760"/>
      <c r="AB419" s="760"/>
      <c r="AC419" s="760"/>
      <c r="AD419" s="760"/>
      <c r="AE419" s="760"/>
      <c r="AF419" s="760"/>
      <c r="AG419" s="761"/>
      <c r="AH419" s="760"/>
      <c r="AI419" s="760"/>
      <c r="AJ419" s="760"/>
      <c r="AK419" s="760"/>
      <c r="AL419" s="760"/>
      <c r="AM419" s="760"/>
      <c r="AN419" s="760"/>
      <c r="AO419" s="760"/>
      <c r="AP419" s="760"/>
      <c r="AQ419" s="760"/>
      <c r="AR419" s="760"/>
      <c r="AS419" s="761"/>
      <c r="AT419" s="760"/>
    </row>
    <row r="420" ht="15.75" customHeight="1">
      <c r="A420" s="760"/>
      <c r="B420" s="760"/>
      <c r="C420" s="760"/>
      <c r="D420" s="760"/>
      <c r="E420" s="760"/>
      <c r="F420" s="760"/>
      <c r="G420" s="760"/>
      <c r="H420" s="760"/>
      <c r="I420" s="760"/>
      <c r="J420" s="760"/>
      <c r="K420" s="760"/>
      <c r="L420" s="760"/>
      <c r="M420" s="760"/>
      <c r="N420" s="760"/>
      <c r="O420" s="760"/>
      <c r="P420" s="760"/>
      <c r="Q420" s="760"/>
      <c r="R420" s="760"/>
      <c r="S420" s="760"/>
      <c r="T420" s="760"/>
      <c r="U420" s="760"/>
      <c r="V420" s="760"/>
      <c r="W420" s="760"/>
      <c r="X420" s="760"/>
      <c r="Y420" s="760"/>
      <c r="Z420" s="760"/>
      <c r="AA420" s="760"/>
      <c r="AB420" s="760"/>
      <c r="AC420" s="760"/>
      <c r="AD420" s="760"/>
      <c r="AE420" s="760"/>
      <c r="AF420" s="760"/>
      <c r="AG420" s="761"/>
      <c r="AH420" s="760"/>
      <c r="AI420" s="760"/>
      <c r="AJ420" s="760"/>
      <c r="AK420" s="760"/>
      <c r="AL420" s="760"/>
      <c r="AM420" s="760"/>
      <c r="AN420" s="760"/>
      <c r="AO420" s="760"/>
      <c r="AP420" s="760"/>
      <c r="AQ420" s="760"/>
      <c r="AR420" s="760"/>
      <c r="AS420" s="761"/>
      <c r="AT420" s="760"/>
    </row>
    <row r="421" ht="15.75" customHeight="1">
      <c r="A421" s="760"/>
      <c r="B421" s="760"/>
      <c r="C421" s="760"/>
      <c r="D421" s="760"/>
      <c r="E421" s="760"/>
      <c r="F421" s="760"/>
      <c r="G421" s="760"/>
      <c r="H421" s="760"/>
      <c r="I421" s="760"/>
      <c r="J421" s="760"/>
      <c r="K421" s="760"/>
      <c r="L421" s="760"/>
      <c r="M421" s="760"/>
      <c r="N421" s="760"/>
      <c r="O421" s="760"/>
      <c r="P421" s="760"/>
      <c r="Q421" s="760"/>
      <c r="R421" s="760"/>
      <c r="S421" s="760"/>
      <c r="T421" s="760"/>
      <c r="U421" s="760"/>
      <c r="V421" s="760"/>
      <c r="W421" s="760"/>
      <c r="X421" s="760"/>
      <c r="Y421" s="760"/>
      <c r="Z421" s="760"/>
      <c r="AA421" s="760"/>
      <c r="AB421" s="760"/>
      <c r="AC421" s="760"/>
      <c r="AD421" s="760"/>
      <c r="AE421" s="760"/>
      <c r="AF421" s="760"/>
      <c r="AG421" s="761"/>
      <c r="AH421" s="760"/>
      <c r="AI421" s="760"/>
      <c r="AJ421" s="760"/>
      <c r="AK421" s="760"/>
      <c r="AL421" s="760"/>
      <c r="AM421" s="760"/>
      <c r="AN421" s="760"/>
      <c r="AO421" s="760"/>
      <c r="AP421" s="760"/>
      <c r="AQ421" s="760"/>
      <c r="AR421" s="760"/>
      <c r="AS421" s="761"/>
      <c r="AT421" s="760"/>
    </row>
    <row r="422" ht="15.75" customHeight="1">
      <c r="A422" s="760"/>
      <c r="B422" s="760"/>
      <c r="C422" s="760"/>
      <c r="D422" s="760"/>
      <c r="E422" s="760"/>
      <c r="F422" s="760"/>
      <c r="G422" s="760"/>
      <c r="H422" s="760"/>
      <c r="I422" s="760"/>
      <c r="J422" s="760"/>
      <c r="K422" s="760"/>
      <c r="L422" s="760"/>
      <c r="M422" s="760"/>
      <c r="N422" s="760"/>
      <c r="O422" s="760"/>
      <c r="P422" s="760"/>
      <c r="Q422" s="760"/>
      <c r="R422" s="760"/>
      <c r="S422" s="760"/>
      <c r="T422" s="760"/>
      <c r="U422" s="760"/>
      <c r="V422" s="760"/>
      <c r="W422" s="760"/>
      <c r="X422" s="760"/>
      <c r="Y422" s="760"/>
      <c r="Z422" s="760"/>
      <c r="AA422" s="760"/>
      <c r="AB422" s="760"/>
      <c r="AC422" s="760"/>
      <c r="AD422" s="760"/>
      <c r="AE422" s="760"/>
      <c r="AF422" s="760"/>
      <c r="AG422" s="761"/>
      <c r="AH422" s="760"/>
      <c r="AI422" s="760"/>
      <c r="AJ422" s="760"/>
      <c r="AK422" s="760"/>
      <c r="AL422" s="760"/>
      <c r="AM422" s="760"/>
      <c r="AN422" s="760"/>
      <c r="AO422" s="760"/>
      <c r="AP422" s="760"/>
      <c r="AQ422" s="760"/>
      <c r="AR422" s="760"/>
      <c r="AS422" s="761"/>
      <c r="AT422" s="760"/>
    </row>
    <row r="423" ht="15.75" customHeight="1">
      <c r="A423" s="760"/>
      <c r="B423" s="760"/>
      <c r="C423" s="760"/>
      <c r="D423" s="760"/>
      <c r="E423" s="760"/>
      <c r="F423" s="760"/>
      <c r="G423" s="760"/>
      <c r="H423" s="760"/>
      <c r="I423" s="760"/>
      <c r="J423" s="760"/>
      <c r="K423" s="760"/>
      <c r="L423" s="760"/>
      <c r="M423" s="760"/>
      <c r="N423" s="760"/>
      <c r="O423" s="760"/>
      <c r="P423" s="760"/>
      <c r="Q423" s="760"/>
      <c r="R423" s="760"/>
      <c r="S423" s="760"/>
      <c r="T423" s="760"/>
      <c r="U423" s="760"/>
      <c r="V423" s="760"/>
      <c r="W423" s="760"/>
      <c r="X423" s="760"/>
      <c r="Y423" s="760"/>
      <c r="Z423" s="760"/>
      <c r="AA423" s="760"/>
      <c r="AB423" s="760"/>
      <c r="AC423" s="760"/>
      <c r="AD423" s="760"/>
      <c r="AE423" s="760"/>
      <c r="AF423" s="760"/>
      <c r="AG423" s="761"/>
      <c r="AH423" s="760"/>
      <c r="AI423" s="760"/>
      <c r="AJ423" s="760"/>
      <c r="AK423" s="760"/>
      <c r="AL423" s="760"/>
      <c r="AM423" s="760"/>
      <c r="AN423" s="760"/>
      <c r="AO423" s="760"/>
      <c r="AP423" s="760"/>
      <c r="AQ423" s="760"/>
      <c r="AR423" s="760"/>
      <c r="AS423" s="761"/>
      <c r="AT423" s="760"/>
    </row>
    <row r="424" ht="15.75" customHeight="1">
      <c r="A424" s="760"/>
      <c r="B424" s="760"/>
      <c r="C424" s="760"/>
      <c r="D424" s="760"/>
      <c r="E424" s="760"/>
      <c r="F424" s="760"/>
      <c r="G424" s="760"/>
      <c r="H424" s="760"/>
      <c r="I424" s="760"/>
      <c r="J424" s="760"/>
      <c r="K424" s="760"/>
      <c r="L424" s="760"/>
      <c r="M424" s="760"/>
      <c r="N424" s="760"/>
      <c r="O424" s="760"/>
      <c r="P424" s="760"/>
      <c r="Q424" s="760"/>
      <c r="R424" s="760"/>
      <c r="S424" s="760"/>
      <c r="T424" s="760"/>
      <c r="U424" s="760"/>
      <c r="V424" s="760"/>
      <c r="W424" s="760"/>
      <c r="X424" s="760"/>
      <c r="Y424" s="760"/>
      <c r="Z424" s="760"/>
      <c r="AA424" s="760"/>
      <c r="AB424" s="760"/>
      <c r="AC424" s="760"/>
      <c r="AD424" s="760"/>
      <c r="AE424" s="760"/>
      <c r="AF424" s="760"/>
      <c r="AG424" s="761"/>
      <c r="AH424" s="760"/>
      <c r="AI424" s="760"/>
      <c r="AJ424" s="760"/>
      <c r="AK424" s="760"/>
      <c r="AL424" s="760"/>
      <c r="AM424" s="760"/>
      <c r="AN424" s="760"/>
      <c r="AO424" s="760"/>
      <c r="AP424" s="760"/>
      <c r="AQ424" s="760"/>
      <c r="AR424" s="760"/>
      <c r="AS424" s="761"/>
      <c r="AT424" s="760"/>
    </row>
    <row r="425" ht="15.75" customHeight="1">
      <c r="A425" s="760"/>
      <c r="B425" s="760"/>
      <c r="C425" s="760"/>
      <c r="D425" s="760"/>
      <c r="E425" s="760"/>
      <c r="F425" s="760"/>
      <c r="G425" s="760"/>
      <c r="H425" s="760"/>
      <c r="I425" s="760"/>
      <c r="J425" s="760"/>
      <c r="K425" s="760"/>
      <c r="L425" s="760"/>
      <c r="M425" s="760"/>
      <c r="N425" s="760"/>
      <c r="O425" s="760"/>
      <c r="P425" s="760"/>
      <c r="Q425" s="760"/>
      <c r="R425" s="760"/>
      <c r="S425" s="760"/>
      <c r="T425" s="760"/>
      <c r="U425" s="760"/>
      <c r="V425" s="760"/>
      <c r="W425" s="760"/>
      <c r="X425" s="760"/>
      <c r="Y425" s="760"/>
      <c r="Z425" s="760"/>
      <c r="AA425" s="760"/>
      <c r="AB425" s="760"/>
      <c r="AC425" s="760"/>
      <c r="AD425" s="760"/>
      <c r="AE425" s="760"/>
      <c r="AF425" s="760"/>
      <c r="AG425" s="761"/>
      <c r="AH425" s="760"/>
      <c r="AI425" s="760"/>
      <c r="AJ425" s="760"/>
      <c r="AK425" s="760"/>
      <c r="AL425" s="760"/>
      <c r="AM425" s="760"/>
      <c r="AN425" s="760"/>
      <c r="AO425" s="760"/>
      <c r="AP425" s="760"/>
      <c r="AQ425" s="760"/>
      <c r="AR425" s="760"/>
      <c r="AS425" s="761"/>
      <c r="AT425" s="760"/>
    </row>
    <row r="426" ht="15.75" customHeight="1">
      <c r="A426" s="760"/>
      <c r="B426" s="760"/>
      <c r="C426" s="760"/>
      <c r="D426" s="760"/>
      <c r="E426" s="760"/>
      <c r="F426" s="760"/>
      <c r="G426" s="760"/>
      <c r="H426" s="760"/>
      <c r="I426" s="760"/>
      <c r="J426" s="760"/>
      <c r="K426" s="760"/>
      <c r="L426" s="760"/>
      <c r="M426" s="760"/>
      <c r="N426" s="760"/>
      <c r="O426" s="760"/>
      <c r="P426" s="760"/>
      <c r="Q426" s="760"/>
      <c r="R426" s="760"/>
      <c r="S426" s="760"/>
      <c r="T426" s="760"/>
      <c r="U426" s="760"/>
      <c r="V426" s="760"/>
      <c r="W426" s="760"/>
      <c r="X426" s="760"/>
      <c r="Y426" s="760"/>
      <c r="Z426" s="760"/>
      <c r="AA426" s="760"/>
      <c r="AB426" s="760"/>
      <c r="AC426" s="760"/>
      <c r="AD426" s="760"/>
      <c r="AE426" s="760"/>
      <c r="AF426" s="760"/>
      <c r="AG426" s="761"/>
      <c r="AH426" s="760"/>
      <c r="AI426" s="760"/>
      <c r="AJ426" s="760"/>
      <c r="AK426" s="760"/>
      <c r="AL426" s="760"/>
      <c r="AM426" s="760"/>
      <c r="AN426" s="760"/>
      <c r="AO426" s="760"/>
      <c r="AP426" s="760"/>
      <c r="AQ426" s="760"/>
      <c r="AR426" s="760"/>
      <c r="AS426" s="761"/>
      <c r="AT426" s="760"/>
    </row>
    <row r="427" ht="15.75" customHeight="1">
      <c r="A427" s="760"/>
      <c r="B427" s="760"/>
      <c r="C427" s="760"/>
      <c r="D427" s="760"/>
      <c r="E427" s="760"/>
      <c r="F427" s="760"/>
      <c r="G427" s="760"/>
      <c r="H427" s="760"/>
      <c r="I427" s="760"/>
      <c r="J427" s="760"/>
      <c r="K427" s="760"/>
      <c r="L427" s="760"/>
      <c r="M427" s="760"/>
      <c r="N427" s="760"/>
      <c r="O427" s="760"/>
      <c r="P427" s="760"/>
      <c r="Q427" s="760"/>
      <c r="R427" s="760"/>
      <c r="S427" s="760"/>
      <c r="T427" s="760"/>
      <c r="U427" s="760"/>
      <c r="V427" s="760"/>
      <c r="W427" s="760"/>
      <c r="X427" s="760"/>
      <c r="Y427" s="760"/>
      <c r="Z427" s="760"/>
      <c r="AA427" s="760"/>
      <c r="AB427" s="760"/>
      <c r="AC427" s="760"/>
      <c r="AD427" s="760"/>
      <c r="AE427" s="760"/>
      <c r="AF427" s="760"/>
      <c r="AG427" s="761"/>
      <c r="AH427" s="760"/>
      <c r="AI427" s="760"/>
      <c r="AJ427" s="760"/>
      <c r="AK427" s="760"/>
      <c r="AL427" s="760"/>
      <c r="AM427" s="760"/>
      <c r="AN427" s="760"/>
      <c r="AO427" s="760"/>
      <c r="AP427" s="760"/>
      <c r="AQ427" s="760"/>
      <c r="AR427" s="760"/>
      <c r="AS427" s="761"/>
      <c r="AT427" s="760"/>
    </row>
    <row r="428" ht="15.75" customHeight="1">
      <c r="A428" s="760"/>
      <c r="B428" s="760"/>
      <c r="C428" s="760"/>
      <c r="D428" s="760"/>
      <c r="E428" s="760"/>
      <c r="F428" s="760"/>
      <c r="G428" s="760"/>
      <c r="H428" s="760"/>
      <c r="I428" s="760"/>
      <c r="J428" s="760"/>
      <c r="K428" s="760"/>
      <c r="L428" s="760"/>
      <c r="M428" s="760"/>
      <c r="N428" s="760"/>
      <c r="O428" s="760"/>
      <c r="P428" s="760"/>
      <c r="Q428" s="760"/>
      <c r="R428" s="760"/>
      <c r="S428" s="760"/>
      <c r="T428" s="760"/>
      <c r="U428" s="760"/>
      <c r="V428" s="760"/>
      <c r="W428" s="760"/>
      <c r="X428" s="760"/>
      <c r="Y428" s="760"/>
      <c r="Z428" s="760"/>
      <c r="AA428" s="760"/>
      <c r="AB428" s="760"/>
      <c r="AC428" s="760"/>
      <c r="AD428" s="760"/>
      <c r="AE428" s="760"/>
      <c r="AF428" s="760"/>
      <c r="AG428" s="761"/>
      <c r="AH428" s="760"/>
      <c r="AI428" s="760"/>
      <c r="AJ428" s="760"/>
      <c r="AK428" s="760"/>
      <c r="AL428" s="760"/>
      <c r="AM428" s="760"/>
      <c r="AN428" s="760"/>
      <c r="AO428" s="760"/>
      <c r="AP428" s="760"/>
      <c r="AQ428" s="760"/>
      <c r="AR428" s="760"/>
      <c r="AS428" s="761"/>
      <c r="AT428" s="760"/>
    </row>
    <row r="429" ht="15.75" customHeight="1">
      <c r="A429" s="760"/>
      <c r="B429" s="760"/>
      <c r="C429" s="760"/>
      <c r="D429" s="760"/>
      <c r="E429" s="760"/>
      <c r="F429" s="760"/>
      <c r="G429" s="760"/>
      <c r="H429" s="760"/>
      <c r="I429" s="760"/>
      <c r="J429" s="760"/>
      <c r="K429" s="760"/>
      <c r="L429" s="760"/>
      <c r="M429" s="760"/>
      <c r="N429" s="760"/>
      <c r="O429" s="760"/>
      <c r="P429" s="760"/>
      <c r="Q429" s="760"/>
      <c r="R429" s="760"/>
      <c r="S429" s="760"/>
      <c r="T429" s="760"/>
      <c r="U429" s="760"/>
      <c r="V429" s="760"/>
      <c r="W429" s="760"/>
      <c r="X429" s="760"/>
      <c r="Y429" s="760"/>
      <c r="Z429" s="760"/>
      <c r="AA429" s="760"/>
      <c r="AB429" s="760"/>
      <c r="AC429" s="760"/>
      <c r="AD429" s="760"/>
      <c r="AE429" s="760"/>
      <c r="AF429" s="760"/>
      <c r="AG429" s="761"/>
      <c r="AH429" s="760"/>
      <c r="AI429" s="760"/>
      <c r="AJ429" s="760"/>
      <c r="AK429" s="760"/>
      <c r="AL429" s="760"/>
      <c r="AM429" s="760"/>
      <c r="AN429" s="760"/>
      <c r="AO429" s="760"/>
      <c r="AP429" s="760"/>
      <c r="AQ429" s="760"/>
      <c r="AR429" s="760"/>
      <c r="AS429" s="761"/>
      <c r="AT429" s="760"/>
    </row>
    <row r="430" ht="15.75" customHeight="1">
      <c r="A430" s="760"/>
      <c r="B430" s="760"/>
      <c r="C430" s="760"/>
      <c r="D430" s="760"/>
      <c r="E430" s="760"/>
      <c r="F430" s="760"/>
      <c r="G430" s="760"/>
      <c r="H430" s="760"/>
      <c r="I430" s="760"/>
      <c r="J430" s="760"/>
      <c r="K430" s="760"/>
      <c r="L430" s="760"/>
      <c r="M430" s="760"/>
      <c r="N430" s="760"/>
      <c r="O430" s="760"/>
      <c r="P430" s="760"/>
      <c r="Q430" s="760"/>
      <c r="R430" s="760"/>
      <c r="S430" s="760"/>
      <c r="T430" s="760"/>
      <c r="U430" s="760"/>
      <c r="V430" s="760"/>
      <c r="W430" s="760"/>
      <c r="X430" s="760"/>
      <c r="Y430" s="760"/>
      <c r="Z430" s="760"/>
      <c r="AA430" s="760"/>
      <c r="AB430" s="760"/>
      <c r="AC430" s="760"/>
      <c r="AD430" s="760"/>
      <c r="AE430" s="760"/>
      <c r="AF430" s="760"/>
      <c r="AG430" s="761"/>
      <c r="AH430" s="760"/>
      <c r="AI430" s="760"/>
      <c r="AJ430" s="760"/>
      <c r="AK430" s="760"/>
      <c r="AL430" s="760"/>
      <c r="AM430" s="760"/>
      <c r="AN430" s="760"/>
      <c r="AO430" s="760"/>
      <c r="AP430" s="760"/>
      <c r="AQ430" s="760"/>
      <c r="AR430" s="760"/>
      <c r="AS430" s="761"/>
      <c r="AT430" s="760"/>
    </row>
    <row r="431" ht="15.75" customHeight="1">
      <c r="A431" s="760"/>
      <c r="B431" s="760"/>
      <c r="C431" s="760"/>
      <c r="D431" s="760"/>
      <c r="E431" s="760"/>
      <c r="F431" s="760"/>
      <c r="G431" s="760"/>
      <c r="H431" s="760"/>
      <c r="I431" s="760"/>
      <c r="J431" s="760"/>
      <c r="K431" s="760"/>
      <c r="L431" s="760"/>
      <c r="M431" s="760"/>
      <c r="N431" s="760"/>
      <c r="O431" s="760"/>
      <c r="P431" s="760"/>
      <c r="Q431" s="760"/>
      <c r="R431" s="760"/>
      <c r="S431" s="760"/>
      <c r="T431" s="760"/>
      <c r="U431" s="760"/>
      <c r="V431" s="760"/>
      <c r="W431" s="760"/>
      <c r="X431" s="760"/>
      <c r="Y431" s="760"/>
      <c r="Z431" s="760"/>
      <c r="AA431" s="760"/>
      <c r="AB431" s="760"/>
      <c r="AC431" s="760"/>
      <c r="AD431" s="760"/>
      <c r="AE431" s="760"/>
      <c r="AF431" s="760"/>
      <c r="AG431" s="761"/>
      <c r="AH431" s="760"/>
      <c r="AI431" s="760"/>
      <c r="AJ431" s="760"/>
      <c r="AK431" s="760"/>
      <c r="AL431" s="760"/>
      <c r="AM431" s="760"/>
      <c r="AN431" s="760"/>
      <c r="AO431" s="760"/>
      <c r="AP431" s="760"/>
      <c r="AQ431" s="760"/>
      <c r="AR431" s="760"/>
      <c r="AS431" s="761"/>
      <c r="AT431" s="760"/>
    </row>
    <row r="432" ht="15.75" customHeight="1">
      <c r="A432" s="760"/>
      <c r="B432" s="760"/>
      <c r="C432" s="760"/>
      <c r="D432" s="760"/>
      <c r="E432" s="760"/>
      <c r="F432" s="760"/>
      <c r="G432" s="760"/>
      <c r="H432" s="760"/>
      <c r="I432" s="760"/>
      <c r="J432" s="760"/>
      <c r="K432" s="760"/>
      <c r="L432" s="760"/>
      <c r="M432" s="760"/>
      <c r="N432" s="760"/>
      <c r="O432" s="760"/>
      <c r="P432" s="760"/>
      <c r="Q432" s="760"/>
      <c r="R432" s="760"/>
      <c r="S432" s="760"/>
      <c r="T432" s="760"/>
      <c r="U432" s="760"/>
      <c r="V432" s="760"/>
      <c r="W432" s="760"/>
      <c r="X432" s="760"/>
      <c r="Y432" s="760"/>
      <c r="Z432" s="760"/>
      <c r="AA432" s="760"/>
      <c r="AB432" s="760"/>
      <c r="AC432" s="760"/>
      <c r="AD432" s="760"/>
      <c r="AE432" s="760"/>
      <c r="AF432" s="760"/>
      <c r="AG432" s="761"/>
      <c r="AH432" s="760"/>
      <c r="AI432" s="760"/>
      <c r="AJ432" s="760"/>
      <c r="AK432" s="760"/>
      <c r="AL432" s="760"/>
      <c r="AM432" s="760"/>
      <c r="AN432" s="760"/>
      <c r="AO432" s="760"/>
      <c r="AP432" s="760"/>
      <c r="AQ432" s="760"/>
      <c r="AR432" s="760"/>
      <c r="AS432" s="761"/>
      <c r="AT432" s="760"/>
    </row>
    <row r="433" ht="15.75" customHeight="1">
      <c r="A433" s="760"/>
      <c r="B433" s="760"/>
      <c r="C433" s="760"/>
      <c r="D433" s="760"/>
      <c r="E433" s="760"/>
      <c r="F433" s="760"/>
      <c r="G433" s="760"/>
      <c r="H433" s="760"/>
      <c r="I433" s="760"/>
      <c r="J433" s="760"/>
      <c r="K433" s="760"/>
      <c r="L433" s="760"/>
      <c r="M433" s="760"/>
      <c r="N433" s="760"/>
      <c r="O433" s="760"/>
      <c r="P433" s="760"/>
      <c r="Q433" s="760"/>
      <c r="R433" s="760"/>
      <c r="S433" s="760"/>
      <c r="T433" s="760"/>
      <c r="U433" s="760"/>
      <c r="V433" s="760"/>
      <c r="W433" s="760"/>
      <c r="X433" s="760"/>
      <c r="Y433" s="760"/>
      <c r="Z433" s="760"/>
      <c r="AA433" s="760"/>
      <c r="AB433" s="760"/>
      <c r="AC433" s="760"/>
      <c r="AD433" s="760"/>
      <c r="AE433" s="760"/>
      <c r="AF433" s="760"/>
      <c r="AG433" s="761"/>
      <c r="AH433" s="760"/>
      <c r="AI433" s="760"/>
      <c r="AJ433" s="760"/>
      <c r="AK433" s="760"/>
      <c r="AL433" s="760"/>
      <c r="AM433" s="760"/>
      <c r="AN433" s="760"/>
      <c r="AO433" s="760"/>
      <c r="AP433" s="760"/>
      <c r="AQ433" s="760"/>
      <c r="AR433" s="760"/>
      <c r="AS433" s="761"/>
      <c r="AT433" s="760"/>
    </row>
    <row r="434" ht="15.75" customHeight="1">
      <c r="A434" s="760"/>
      <c r="B434" s="760"/>
      <c r="C434" s="760"/>
      <c r="D434" s="760"/>
      <c r="E434" s="760"/>
      <c r="F434" s="760"/>
      <c r="G434" s="760"/>
      <c r="H434" s="760"/>
      <c r="I434" s="760"/>
      <c r="J434" s="760"/>
      <c r="K434" s="760"/>
      <c r="L434" s="760"/>
      <c r="M434" s="760"/>
      <c r="N434" s="760"/>
      <c r="O434" s="760"/>
      <c r="P434" s="760"/>
      <c r="Q434" s="760"/>
      <c r="R434" s="760"/>
      <c r="S434" s="760"/>
      <c r="T434" s="760"/>
      <c r="U434" s="760"/>
      <c r="V434" s="760"/>
      <c r="W434" s="760"/>
      <c r="X434" s="760"/>
      <c r="Y434" s="760"/>
      <c r="Z434" s="760"/>
      <c r="AA434" s="760"/>
      <c r="AB434" s="760"/>
      <c r="AC434" s="760"/>
      <c r="AD434" s="760"/>
      <c r="AE434" s="760"/>
      <c r="AF434" s="760"/>
      <c r="AG434" s="761"/>
      <c r="AH434" s="760"/>
      <c r="AI434" s="760"/>
      <c r="AJ434" s="760"/>
      <c r="AK434" s="760"/>
      <c r="AL434" s="760"/>
      <c r="AM434" s="760"/>
      <c r="AN434" s="760"/>
      <c r="AO434" s="760"/>
      <c r="AP434" s="760"/>
      <c r="AQ434" s="760"/>
      <c r="AR434" s="760"/>
      <c r="AS434" s="761"/>
      <c r="AT434" s="760"/>
    </row>
    <row r="435" ht="15.75" customHeight="1">
      <c r="A435" s="760"/>
      <c r="B435" s="760"/>
      <c r="C435" s="760"/>
      <c r="D435" s="760"/>
      <c r="E435" s="760"/>
      <c r="F435" s="760"/>
      <c r="G435" s="760"/>
      <c r="H435" s="760"/>
      <c r="I435" s="760"/>
      <c r="J435" s="760"/>
      <c r="K435" s="760"/>
      <c r="L435" s="760"/>
      <c r="M435" s="760"/>
      <c r="N435" s="760"/>
      <c r="O435" s="760"/>
      <c r="P435" s="760"/>
      <c r="Q435" s="760"/>
      <c r="R435" s="760"/>
      <c r="S435" s="760"/>
      <c r="T435" s="760"/>
      <c r="U435" s="760"/>
      <c r="V435" s="760"/>
      <c r="W435" s="760"/>
      <c r="X435" s="760"/>
      <c r="Y435" s="760"/>
      <c r="Z435" s="760"/>
      <c r="AA435" s="760"/>
      <c r="AB435" s="760"/>
      <c r="AC435" s="760"/>
      <c r="AD435" s="760"/>
      <c r="AE435" s="760"/>
      <c r="AF435" s="760"/>
      <c r="AG435" s="761"/>
      <c r="AH435" s="760"/>
      <c r="AI435" s="760"/>
      <c r="AJ435" s="760"/>
      <c r="AK435" s="760"/>
      <c r="AL435" s="760"/>
      <c r="AM435" s="760"/>
      <c r="AN435" s="760"/>
      <c r="AO435" s="760"/>
      <c r="AP435" s="760"/>
      <c r="AQ435" s="760"/>
      <c r="AR435" s="760"/>
      <c r="AS435" s="761"/>
      <c r="AT435" s="760"/>
    </row>
    <row r="436" ht="15.75" customHeight="1">
      <c r="A436" s="760"/>
      <c r="B436" s="760"/>
      <c r="C436" s="760"/>
      <c r="D436" s="760"/>
      <c r="E436" s="760"/>
      <c r="F436" s="760"/>
      <c r="G436" s="760"/>
      <c r="H436" s="760"/>
      <c r="I436" s="760"/>
      <c r="J436" s="760"/>
      <c r="K436" s="760"/>
      <c r="L436" s="760"/>
      <c r="M436" s="760"/>
      <c r="N436" s="760"/>
      <c r="O436" s="760"/>
      <c r="P436" s="760"/>
      <c r="Q436" s="760"/>
      <c r="R436" s="760"/>
      <c r="S436" s="760"/>
      <c r="T436" s="760"/>
      <c r="U436" s="760"/>
      <c r="V436" s="760"/>
      <c r="W436" s="760"/>
      <c r="X436" s="760"/>
      <c r="Y436" s="760"/>
      <c r="Z436" s="760"/>
      <c r="AA436" s="760"/>
      <c r="AB436" s="760"/>
      <c r="AC436" s="760"/>
      <c r="AD436" s="760"/>
      <c r="AE436" s="760"/>
      <c r="AF436" s="760"/>
      <c r="AG436" s="761"/>
      <c r="AH436" s="760"/>
      <c r="AI436" s="760"/>
      <c r="AJ436" s="760"/>
      <c r="AK436" s="760"/>
      <c r="AL436" s="760"/>
      <c r="AM436" s="760"/>
      <c r="AN436" s="760"/>
      <c r="AO436" s="760"/>
      <c r="AP436" s="760"/>
      <c r="AQ436" s="760"/>
      <c r="AR436" s="760"/>
      <c r="AS436" s="761"/>
      <c r="AT436" s="760"/>
    </row>
    <row r="437" ht="15.75" customHeight="1">
      <c r="A437" s="760"/>
      <c r="B437" s="760"/>
      <c r="C437" s="760"/>
      <c r="D437" s="760"/>
      <c r="E437" s="760"/>
      <c r="F437" s="760"/>
      <c r="G437" s="760"/>
      <c r="H437" s="760"/>
      <c r="I437" s="760"/>
      <c r="J437" s="760"/>
      <c r="K437" s="760"/>
      <c r="L437" s="760"/>
      <c r="M437" s="760"/>
      <c r="N437" s="760"/>
      <c r="O437" s="760"/>
      <c r="P437" s="760"/>
      <c r="Q437" s="760"/>
      <c r="R437" s="760"/>
      <c r="S437" s="760"/>
      <c r="T437" s="760"/>
      <c r="U437" s="760"/>
      <c r="V437" s="760"/>
      <c r="W437" s="760"/>
      <c r="X437" s="760"/>
      <c r="Y437" s="760"/>
      <c r="Z437" s="760"/>
      <c r="AA437" s="760"/>
      <c r="AB437" s="760"/>
      <c r="AC437" s="760"/>
      <c r="AD437" s="760"/>
      <c r="AE437" s="760"/>
      <c r="AF437" s="760"/>
      <c r="AG437" s="761"/>
      <c r="AH437" s="760"/>
      <c r="AI437" s="760"/>
      <c r="AJ437" s="760"/>
      <c r="AK437" s="760"/>
      <c r="AL437" s="760"/>
      <c r="AM437" s="760"/>
      <c r="AN437" s="760"/>
      <c r="AO437" s="760"/>
      <c r="AP437" s="760"/>
      <c r="AQ437" s="760"/>
      <c r="AR437" s="760"/>
      <c r="AS437" s="761"/>
      <c r="AT437" s="760"/>
    </row>
    <row r="438" ht="15.75" customHeight="1">
      <c r="A438" s="760"/>
      <c r="B438" s="760"/>
      <c r="C438" s="760"/>
      <c r="D438" s="760"/>
      <c r="E438" s="760"/>
      <c r="F438" s="760"/>
      <c r="G438" s="760"/>
      <c r="H438" s="760"/>
      <c r="I438" s="760"/>
      <c r="J438" s="760"/>
      <c r="K438" s="760"/>
      <c r="L438" s="760"/>
      <c r="M438" s="760"/>
      <c r="N438" s="760"/>
      <c r="O438" s="760"/>
      <c r="P438" s="760"/>
      <c r="Q438" s="760"/>
      <c r="R438" s="760"/>
      <c r="S438" s="760"/>
      <c r="T438" s="760"/>
      <c r="U438" s="760"/>
      <c r="V438" s="760"/>
      <c r="W438" s="760"/>
      <c r="X438" s="760"/>
      <c r="Y438" s="760"/>
      <c r="Z438" s="760"/>
      <c r="AA438" s="760"/>
      <c r="AB438" s="760"/>
      <c r="AC438" s="760"/>
      <c r="AD438" s="760"/>
      <c r="AE438" s="760"/>
      <c r="AF438" s="760"/>
      <c r="AG438" s="761"/>
      <c r="AH438" s="760"/>
      <c r="AI438" s="760"/>
      <c r="AJ438" s="760"/>
      <c r="AK438" s="760"/>
      <c r="AL438" s="760"/>
      <c r="AM438" s="760"/>
      <c r="AN438" s="760"/>
      <c r="AO438" s="760"/>
      <c r="AP438" s="760"/>
      <c r="AQ438" s="760"/>
      <c r="AR438" s="760"/>
      <c r="AS438" s="761"/>
      <c r="AT438" s="760"/>
    </row>
    <row r="439" ht="15.75" customHeight="1">
      <c r="A439" s="760"/>
      <c r="B439" s="760"/>
      <c r="C439" s="760"/>
      <c r="D439" s="760"/>
      <c r="E439" s="760"/>
      <c r="F439" s="760"/>
      <c r="G439" s="760"/>
      <c r="H439" s="760"/>
      <c r="I439" s="760"/>
      <c r="J439" s="760"/>
      <c r="K439" s="760"/>
      <c r="L439" s="760"/>
      <c r="M439" s="760"/>
      <c r="N439" s="760"/>
      <c r="O439" s="760"/>
      <c r="P439" s="760"/>
      <c r="Q439" s="760"/>
      <c r="R439" s="760"/>
      <c r="S439" s="760"/>
      <c r="T439" s="760"/>
      <c r="U439" s="760"/>
      <c r="V439" s="760"/>
      <c r="W439" s="760"/>
      <c r="X439" s="760"/>
      <c r="Y439" s="760"/>
      <c r="Z439" s="760"/>
      <c r="AA439" s="760"/>
      <c r="AB439" s="760"/>
      <c r="AC439" s="760"/>
      <c r="AD439" s="760"/>
      <c r="AE439" s="760"/>
      <c r="AF439" s="760"/>
      <c r="AG439" s="761"/>
      <c r="AH439" s="760"/>
      <c r="AI439" s="760"/>
      <c r="AJ439" s="760"/>
      <c r="AK439" s="760"/>
      <c r="AL439" s="760"/>
      <c r="AM439" s="760"/>
      <c r="AN439" s="760"/>
      <c r="AO439" s="760"/>
      <c r="AP439" s="760"/>
      <c r="AQ439" s="760"/>
      <c r="AR439" s="760"/>
      <c r="AS439" s="761"/>
      <c r="AT439" s="760"/>
    </row>
    <row r="440" ht="15.75" customHeight="1">
      <c r="A440" s="760"/>
      <c r="B440" s="760"/>
      <c r="C440" s="760"/>
      <c r="D440" s="760"/>
      <c r="E440" s="760"/>
      <c r="F440" s="760"/>
      <c r="G440" s="760"/>
      <c r="H440" s="760"/>
      <c r="I440" s="760"/>
      <c r="J440" s="760"/>
      <c r="K440" s="760"/>
      <c r="L440" s="760"/>
      <c r="M440" s="760"/>
      <c r="N440" s="760"/>
      <c r="O440" s="760"/>
      <c r="P440" s="760"/>
      <c r="Q440" s="760"/>
      <c r="R440" s="760"/>
      <c r="S440" s="760"/>
      <c r="T440" s="760"/>
      <c r="U440" s="760"/>
      <c r="V440" s="760"/>
      <c r="W440" s="760"/>
      <c r="X440" s="760"/>
      <c r="Y440" s="760"/>
      <c r="Z440" s="760"/>
      <c r="AA440" s="760"/>
      <c r="AB440" s="760"/>
      <c r="AC440" s="760"/>
      <c r="AD440" s="760"/>
      <c r="AE440" s="760"/>
      <c r="AF440" s="760"/>
      <c r="AG440" s="761"/>
      <c r="AH440" s="760"/>
      <c r="AI440" s="760"/>
      <c r="AJ440" s="760"/>
      <c r="AK440" s="760"/>
      <c r="AL440" s="760"/>
      <c r="AM440" s="760"/>
      <c r="AN440" s="760"/>
      <c r="AO440" s="760"/>
      <c r="AP440" s="760"/>
      <c r="AQ440" s="760"/>
      <c r="AR440" s="760"/>
      <c r="AS440" s="761"/>
      <c r="AT440" s="760"/>
    </row>
    <row r="441" ht="15.75" customHeight="1">
      <c r="A441" s="760"/>
      <c r="B441" s="760"/>
      <c r="C441" s="760"/>
      <c r="D441" s="760"/>
      <c r="E441" s="760"/>
      <c r="F441" s="760"/>
      <c r="G441" s="760"/>
      <c r="H441" s="760"/>
      <c r="I441" s="760"/>
      <c r="J441" s="760"/>
      <c r="K441" s="760"/>
      <c r="L441" s="760"/>
      <c r="M441" s="760"/>
      <c r="N441" s="760"/>
      <c r="O441" s="760"/>
      <c r="P441" s="760"/>
      <c r="Q441" s="760"/>
      <c r="R441" s="760"/>
      <c r="S441" s="760"/>
      <c r="T441" s="760"/>
      <c r="U441" s="760"/>
      <c r="V441" s="760"/>
      <c r="W441" s="760"/>
      <c r="X441" s="760"/>
      <c r="Y441" s="760"/>
      <c r="Z441" s="760"/>
      <c r="AA441" s="760"/>
      <c r="AB441" s="760"/>
      <c r="AC441" s="760"/>
      <c r="AD441" s="760"/>
      <c r="AE441" s="760"/>
      <c r="AF441" s="760"/>
      <c r="AG441" s="761"/>
      <c r="AH441" s="760"/>
      <c r="AI441" s="760"/>
      <c r="AJ441" s="760"/>
      <c r="AK441" s="760"/>
      <c r="AL441" s="760"/>
      <c r="AM441" s="760"/>
      <c r="AN441" s="760"/>
      <c r="AO441" s="760"/>
      <c r="AP441" s="760"/>
      <c r="AQ441" s="760"/>
      <c r="AR441" s="760"/>
      <c r="AS441" s="761"/>
      <c r="AT441" s="760"/>
    </row>
    <row r="442" ht="15.75" customHeight="1">
      <c r="A442" s="760"/>
      <c r="B442" s="760"/>
      <c r="C442" s="760"/>
      <c r="D442" s="760"/>
      <c r="E442" s="760"/>
      <c r="F442" s="760"/>
      <c r="G442" s="760"/>
      <c r="H442" s="760"/>
      <c r="I442" s="760"/>
      <c r="J442" s="760"/>
      <c r="K442" s="760"/>
      <c r="L442" s="760"/>
      <c r="M442" s="760"/>
      <c r="N442" s="760"/>
      <c r="O442" s="760"/>
      <c r="P442" s="760"/>
      <c r="Q442" s="760"/>
      <c r="R442" s="760"/>
      <c r="S442" s="760"/>
      <c r="T442" s="760"/>
      <c r="U442" s="760"/>
      <c r="V442" s="760"/>
      <c r="W442" s="760"/>
      <c r="X442" s="760"/>
      <c r="Y442" s="760"/>
      <c r="Z442" s="760"/>
      <c r="AA442" s="760"/>
      <c r="AB442" s="760"/>
      <c r="AC442" s="760"/>
      <c r="AD442" s="760"/>
      <c r="AE442" s="760"/>
      <c r="AF442" s="760"/>
      <c r="AG442" s="761"/>
      <c r="AH442" s="760"/>
      <c r="AI442" s="760"/>
      <c r="AJ442" s="760"/>
      <c r="AK442" s="760"/>
      <c r="AL442" s="760"/>
      <c r="AM442" s="760"/>
      <c r="AN442" s="760"/>
      <c r="AO442" s="760"/>
      <c r="AP442" s="760"/>
      <c r="AQ442" s="760"/>
      <c r="AR442" s="760"/>
      <c r="AS442" s="761"/>
      <c r="AT442" s="760"/>
    </row>
    <row r="443" ht="15.75" customHeight="1">
      <c r="A443" s="760"/>
      <c r="B443" s="760"/>
      <c r="C443" s="760"/>
      <c r="D443" s="760"/>
      <c r="E443" s="760"/>
      <c r="F443" s="760"/>
      <c r="G443" s="760"/>
      <c r="H443" s="760"/>
      <c r="I443" s="760"/>
      <c r="J443" s="760"/>
      <c r="K443" s="760"/>
      <c r="L443" s="760"/>
      <c r="M443" s="760"/>
      <c r="N443" s="760"/>
      <c r="O443" s="760"/>
      <c r="P443" s="760"/>
      <c r="Q443" s="760"/>
      <c r="R443" s="760"/>
      <c r="S443" s="760"/>
      <c r="T443" s="760"/>
      <c r="U443" s="760"/>
      <c r="V443" s="760"/>
      <c r="W443" s="760"/>
      <c r="X443" s="760"/>
      <c r="Y443" s="760"/>
      <c r="Z443" s="760"/>
      <c r="AA443" s="760"/>
      <c r="AB443" s="760"/>
      <c r="AC443" s="760"/>
      <c r="AD443" s="760"/>
      <c r="AE443" s="760"/>
      <c r="AF443" s="760"/>
      <c r="AG443" s="761"/>
      <c r="AH443" s="760"/>
      <c r="AI443" s="760"/>
      <c r="AJ443" s="760"/>
      <c r="AK443" s="760"/>
      <c r="AL443" s="760"/>
      <c r="AM443" s="760"/>
      <c r="AN443" s="760"/>
      <c r="AO443" s="760"/>
      <c r="AP443" s="760"/>
      <c r="AQ443" s="760"/>
      <c r="AR443" s="760"/>
      <c r="AS443" s="761"/>
      <c r="AT443" s="760"/>
    </row>
    <row r="444" ht="15.75" customHeight="1">
      <c r="A444" s="760"/>
      <c r="B444" s="760"/>
      <c r="C444" s="760"/>
      <c r="D444" s="760"/>
      <c r="E444" s="760"/>
      <c r="F444" s="760"/>
      <c r="G444" s="760"/>
      <c r="H444" s="760"/>
      <c r="I444" s="760"/>
      <c r="J444" s="760"/>
      <c r="K444" s="760"/>
      <c r="L444" s="760"/>
      <c r="M444" s="760"/>
      <c r="N444" s="760"/>
      <c r="O444" s="760"/>
      <c r="P444" s="760"/>
      <c r="Q444" s="760"/>
      <c r="R444" s="760"/>
      <c r="S444" s="760"/>
      <c r="T444" s="760"/>
      <c r="U444" s="760"/>
      <c r="V444" s="760"/>
      <c r="W444" s="760"/>
      <c r="X444" s="760"/>
      <c r="Y444" s="760"/>
      <c r="Z444" s="760"/>
      <c r="AA444" s="760"/>
      <c r="AB444" s="760"/>
      <c r="AC444" s="760"/>
      <c r="AD444" s="760"/>
      <c r="AE444" s="760"/>
      <c r="AF444" s="760"/>
      <c r="AG444" s="761"/>
      <c r="AH444" s="760"/>
      <c r="AI444" s="760"/>
      <c r="AJ444" s="760"/>
      <c r="AK444" s="760"/>
      <c r="AL444" s="760"/>
      <c r="AM444" s="760"/>
      <c r="AN444" s="760"/>
      <c r="AO444" s="760"/>
      <c r="AP444" s="760"/>
      <c r="AQ444" s="760"/>
      <c r="AR444" s="760"/>
      <c r="AS444" s="761"/>
      <c r="AT444" s="760"/>
    </row>
    <row r="445" ht="15.75" customHeight="1">
      <c r="A445" s="760"/>
      <c r="B445" s="760"/>
      <c r="C445" s="760"/>
      <c r="D445" s="760"/>
      <c r="E445" s="760"/>
      <c r="F445" s="760"/>
      <c r="G445" s="760"/>
      <c r="H445" s="760"/>
      <c r="I445" s="760"/>
      <c r="J445" s="760"/>
      <c r="K445" s="760"/>
      <c r="L445" s="760"/>
      <c r="M445" s="760"/>
      <c r="N445" s="760"/>
      <c r="O445" s="760"/>
      <c r="P445" s="760"/>
      <c r="Q445" s="760"/>
      <c r="R445" s="760"/>
      <c r="S445" s="760"/>
      <c r="T445" s="760"/>
      <c r="U445" s="760"/>
      <c r="V445" s="760"/>
      <c r="W445" s="760"/>
      <c r="X445" s="760"/>
      <c r="Y445" s="760"/>
      <c r="Z445" s="760"/>
      <c r="AA445" s="760"/>
      <c r="AB445" s="760"/>
      <c r="AC445" s="760"/>
      <c r="AD445" s="760"/>
      <c r="AE445" s="760"/>
      <c r="AF445" s="760"/>
      <c r="AG445" s="761"/>
      <c r="AH445" s="760"/>
      <c r="AI445" s="760"/>
      <c r="AJ445" s="760"/>
      <c r="AK445" s="760"/>
      <c r="AL445" s="760"/>
      <c r="AM445" s="760"/>
      <c r="AN445" s="760"/>
      <c r="AO445" s="760"/>
      <c r="AP445" s="760"/>
      <c r="AQ445" s="760"/>
      <c r="AR445" s="760"/>
      <c r="AS445" s="761"/>
      <c r="AT445" s="760"/>
    </row>
    <row r="446" ht="15.75" customHeight="1">
      <c r="A446" s="760"/>
      <c r="B446" s="760"/>
      <c r="C446" s="760"/>
      <c r="D446" s="760"/>
      <c r="E446" s="760"/>
      <c r="F446" s="760"/>
      <c r="G446" s="760"/>
      <c r="H446" s="760"/>
      <c r="I446" s="760"/>
      <c r="J446" s="760"/>
      <c r="K446" s="760"/>
      <c r="L446" s="760"/>
      <c r="M446" s="760"/>
      <c r="N446" s="760"/>
      <c r="O446" s="760"/>
      <c r="P446" s="760"/>
      <c r="Q446" s="760"/>
      <c r="R446" s="760"/>
      <c r="S446" s="760"/>
      <c r="T446" s="760"/>
      <c r="U446" s="760"/>
      <c r="V446" s="760"/>
      <c r="W446" s="760"/>
      <c r="X446" s="760"/>
      <c r="Y446" s="760"/>
      <c r="Z446" s="760"/>
      <c r="AA446" s="760"/>
      <c r="AB446" s="760"/>
      <c r="AC446" s="760"/>
      <c r="AD446" s="760"/>
      <c r="AE446" s="760"/>
      <c r="AF446" s="760"/>
      <c r="AG446" s="761"/>
      <c r="AH446" s="760"/>
      <c r="AI446" s="760"/>
      <c r="AJ446" s="760"/>
      <c r="AK446" s="760"/>
      <c r="AL446" s="760"/>
      <c r="AM446" s="760"/>
      <c r="AN446" s="760"/>
      <c r="AO446" s="760"/>
      <c r="AP446" s="760"/>
      <c r="AQ446" s="760"/>
      <c r="AR446" s="760"/>
      <c r="AS446" s="761"/>
      <c r="AT446" s="760"/>
    </row>
    <row r="447" ht="15.75" customHeight="1">
      <c r="A447" s="760"/>
      <c r="B447" s="760"/>
      <c r="C447" s="760"/>
      <c r="D447" s="760"/>
      <c r="E447" s="760"/>
      <c r="F447" s="760"/>
      <c r="G447" s="760"/>
      <c r="H447" s="760"/>
      <c r="I447" s="760"/>
      <c r="J447" s="760"/>
      <c r="K447" s="760"/>
      <c r="L447" s="760"/>
      <c r="M447" s="760"/>
      <c r="N447" s="760"/>
      <c r="O447" s="760"/>
      <c r="P447" s="760"/>
      <c r="Q447" s="760"/>
      <c r="R447" s="760"/>
      <c r="S447" s="760"/>
      <c r="T447" s="760"/>
      <c r="U447" s="760"/>
      <c r="V447" s="760"/>
      <c r="W447" s="760"/>
      <c r="X447" s="760"/>
      <c r="Y447" s="760"/>
      <c r="Z447" s="760"/>
      <c r="AA447" s="760"/>
      <c r="AB447" s="760"/>
      <c r="AC447" s="760"/>
      <c r="AD447" s="760"/>
      <c r="AE447" s="760"/>
      <c r="AF447" s="760"/>
      <c r="AG447" s="761"/>
      <c r="AH447" s="760"/>
      <c r="AI447" s="760"/>
      <c r="AJ447" s="760"/>
      <c r="AK447" s="760"/>
      <c r="AL447" s="760"/>
      <c r="AM447" s="760"/>
      <c r="AN447" s="760"/>
      <c r="AO447" s="760"/>
      <c r="AP447" s="760"/>
      <c r="AQ447" s="760"/>
      <c r="AR447" s="760"/>
      <c r="AS447" s="761"/>
      <c r="AT447" s="760"/>
    </row>
    <row r="448" ht="15.75" customHeight="1">
      <c r="A448" s="760"/>
      <c r="B448" s="760"/>
      <c r="C448" s="760"/>
      <c r="D448" s="760"/>
      <c r="E448" s="760"/>
      <c r="F448" s="760"/>
      <c r="G448" s="760"/>
      <c r="H448" s="760"/>
      <c r="I448" s="760"/>
      <c r="J448" s="760"/>
      <c r="K448" s="760"/>
      <c r="L448" s="760"/>
      <c r="M448" s="760"/>
      <c r="N448" s="760"/>
      <c r="O448" s="760"/>
      <c r="P448" s="760"/>
      <c r="Q448" s="760"/>
      <c r="R448" s="760"/>
      <c r="S448" s="760"/>
      <c r="T448" s="760"/>
      <c r="U448" s="760"/>
      <c r="V448" s="760"/>
      <c r="W448" s="760"/>
      <c r="X448" s="760"/>
      <c r="Y448" s="760"/>
      <c r="Z448" s="760"/>
      <c r="AA448" s="760"/>
      <c r="AB448" s="760"/>
      <c r="AC448" s="760"/>
      <c r="AD448" s="760"/>
      <c r="AE448" s="760"/>
      <c r="AF448" s="760"/>
      <c r="AG448" s="761"/>
      <c r="AH448" s="760"/>
      <c r="AI448" s="760"/>
      <c r="AJ448" s="760"/>
      <c r="AK448" s="760"/>
      <c r="AL448" s="760"/>
      <c r="AM448" s="760"/>
      <c r="AN448" s="760"/>
      <c r="AO448" s="760"/>
      <c r="AP448" s="760"/>
      <c r="AQ448" s="760"/>
      <c r="AR448" s="760"/>
      <c r="AS448" s="761"/>
      <c r="AT448" s="760"/>
    </row>
    <row r="449" ht="15.75" customHeight="1">
      <c r="A449" s="760"/>
      <c r="B449" s="760"/>
      <c r="C449" s="760"/>
      <c r="D449" s="760"/>
      <c r="E449" s="760"/>
      <c r="F449" s="760"/>
      <c r="G449" s="760"/>
      <c r="H449" s="760"/>
      <c r="I449" s="760"/>
      <c r="J449" s="760"/>
      <c r="K449" s="760"/>
      <c r="L449" s="760"/>
      <c r="M449" s="760"/>
      <c r="N449" s="760"/>
      <c r="O449" s="760"/>
      <c r="P449" s="760"/>
      <c r="Q449" s="760"/>
      <c r="R449" s="760"/>
      <c r="S449" s="760"/>
      <c r="T449" s="760"/>
      <c r="U449" s="760"/>
      <c r="V449" s="760"/>
      <c r="W449" s="760"/>
      <c r="X449" s="760"/>
      <c r="Y449" s="760"/>
      <c r="Z449" s="760"/>
      <c r="AA449" s="760"/>
      <c r="AB449" s="760"/>
      <c r="AC449" s="760"/>
      <c r="AD449" s="760"/>
      <c r="AE449" s="760"/>
      <c r="AF449" s="760"/>
      <c r="AG449" s="761"/>
      <c r="AH449" s="760"/>
      <c r="AI449" s="760"/>
      <c r="AJ449" s="760"/>
      <c r="AK449" s="760"/>
      <c r="AL449" s="760"/>
      <c r="AM449" s="760"/>
      <c r="AN449" s="760"/>
      <c r="AO449" s="760"/>
      <c r="AP449" s="760"/>
      <c r="AQ449" s="760"/>
      <c r="AR449" s="760"/>
      <c r="AS449" s="761"/>
      <c r="AT449" s="760"/>
    </row>
    <row r="450" ht="15.75" customHeight="1">
      <c r="A450" s="760"/>
      <c r="B450" s="760"/>
      <c r="C450" s="760"/>
      <c r="D450" s="760"/>
      <c r="E450" s="760"/>
      <c r="F450" s="760"/>
      <c r="G450" s="760"/>
      <c r="H450" s="760"/>
      <c r="I450" s="760"/>
      <c r="J450" s="760"/>
      <c r="K450" s="760"/>
      <c r="L450" s="760"/>
      <c r="M450" s="760"/>
      <c r="N450" s="760"/>
      <c r="O450" s="760"/>
      <c r="P450" s="760"/>
      <c r="Q450" s="760"/>
      <c r="R450" s="760"/>
      <c r="S450" s="760"/>
      <c r="T450" s="760"/>
      <c r="U450" s="760"/>
      <c r="V450" s="760"/>
      <c r="W450" s="760"/>
      <c r="X450" s="760"/>
      <c r="Y450" s="760"/>
      <c r="Z450" s="760"/>
      <c r="AA450" s="760"/>
      <c r="AB450" s="760"/>
      <c r="AC450" s="760"/>
      <c r="AD450" s="760"/>
      <c r="AE450" s="760"/>
      <c r="AF450" s="760"/>
      <c r="AG450" s="761"/>
      <c r="AH450" s="760"/>
      <c r="AI450" s="760"/>
      <c r="AJ450" s="760"/>
      <c r="AK450" s="760"/>
      <c r="AL450" s="760"/>
      <c r="AM450" s="760"/>
      <c r="AN450" s="760"/>
      <c r="AO450" s="760"/>
      <c r="AP450" s="760"/>
      <c r="AQ450" s="760"/>
      <c r="AR450" s="760"/>
      <c r="AS450" s="761"/>
      <c r="AT450" s="760"/>
    </row>
    <row r="451" ht="15.75" customHeight="1">
      <c r="A451" s="760"/>
      <c r="B451" s="760"/>
      <c r="C451" s="760"/>
      <c r="D451" s="760"/>
      <c r="E451" s="760"/>
      <c r="F451" s="760"/>
      <c r="G451" s="760"/>
      <c r="H451" s="760"/>
      <c r="I451" s="760"/>
      <c r="J451" s="760"/>
      <c r="K451" s="760"/>
      <c r="L451" s="760"/>
      <c r="M451" s="760"/>
      <c r="N451" s="760"/>
      <c r="O451" s="760"/>
      <c r="P451" s="760"/>
      <c r="Q451" s="760"/>
      <c r="R451" s="760"/>
      <c r="S451" s="760"/>
      <c r="T451" s="760"/>
      <c r="U451" s="760"/>
      <c r="V451" s="760"/>
      <c r="W451" s="760"/>
      <c r="X451" s="760"/>
      <c r="Y451" s="760"/>
      <c r="Z451" s="760"/>
      <c r="AA451" s="760"/>
      <c r="AB451" s="760"/>
      <c r="AC451" s="760"/>
      <c r="AD451" s="760"/>
      <c r="AE451" s="760"/>
      <c r="AF451" s="760"/>
      <c r="AG451" s="761"/>
      <c r="AH451" s="760"/>
      <c r="AI451" s="760"/>
      <c r="AJ451" s="760"/>
      <c r="AK451" s="760"/>
      <c r="AL451" s="760"/>
      <c r="AM451" s="760"/>
      <c r="AN451" s="760"/>
      <c r="AO451" s="760"/>
      <c r="AP451" s="760"/>
      <c r="AQ451" s="760"/>
      <c r="AR451" s="760"/>
      <c r="AS451" s="761"/>
      <c r="AT451" s="760"/>
    </row>
    <row r="452" ht="15.75" customHeight="1">
      <c r="A452" s="760"/>
      <c r="B452" s="760"/>
      <c r="C452" s="760"/>
      <c r="D452" s="760"/>
      <c r="E452" s="760"/>
      <c r="F452" s="760"/>
      <c r="G452" s="760"/>
      <c r="H452" s="760"/>
      <c r="I452" s="760"/>
      <c r="J452" s="760"/>
      <c r="K452" s="760"/>
      <c r="L452" s="760"/>
      <c r="M452" s="760"/>
      <c r="N452" s="760"/>
      <c r="O452" s="760"/>
      <c r="P452" s="760"/>
      <c r="Q452" s="760"/>
      <c r="R452" s="760"/>
      <c r="S452" s="760"/>
      <c r="T452" s="760"/>
      <c r="U452" s="760"/>
      <c r="V452" s="760"/>
      <c r="W452" s="760"/>
      <c r="X452" s="760"/>
      <c r="Y452" s="760"/>
      <c r="Z452" s="760"/>
      <c r="AA452" s="760"/>
      <c r="AB452" s="760"/>
      <c r="AC452" s="760"/>
      <c r="AD452" s="760"/>
      <c r="AE452" s="760"/>
      <c r="AF452" s="760"/>
      <c r="AG452" s="761"/>
      <c r="AH452" s="760"/>
      <c r="AI452" s="760"/>
      <c r="AJ452" s="760"/>
      <c r="AK452" s="760"/>
      <c r="AL452" s="760"/>
      <c r="AM452" s="760"/>
      <c r="AN452" s="760"/>
      <c r="AO452" s="760"/>
      <c r="AP452" s="760"/>
      <c r="AQ452" s="760"/>
      <c r="AR452" s="760"/>
      <c r="AS452" s="761"/>
      <c r="AT452" s="760"/>
    </row>
    <row r="453" ht="15.75" customHeight="1">
      <c r="A453" s="760"/>
      <c r="B453" s="760"/>
      <c r="C453" s="760"/>
      <c r="D453" s="760"/>
      <c r="E453" s="760"/>
      <c r="F453" s="760"/>
      <c r="G453" s="760"/>
      <c r="H453" s="760"/>
      <c r="I453" s="760"/>
      <c r="J453" s="760"/>
      <c r="K453" s="760"/>
      <c r="L453" s="760"/>
      <c r="M453" s="760"/>
      <c r="N453" s="760"/>
      <c r="O453" s="760"/>
      <c r="P453" s="760"/>
      <c r="Q453" s="760"/>
      <c r="R453" s="760"/>
      <c r="S453" s="760"/>
      <c r="T453" s="760"/>
      <c r="U453" s="760"/>
      <c r="V453" s="760"/>
      <c r="W453" s="760"/>
      <c r="X453" s="760"/>
      <c r="Y453" s="760"/>
      <c r="Z453" s="760"/>
      <c r="AA453" s="760"/>
      <c r="AB453" s="760"/>
      <c r="AC453" s="760"/>
      <c r="AD453" s="760"/>
      <c r="AE453" s="760"/>
      <c r="AF453" s="760"/>
      <c r="AG453" s="761"/>
      <c r="AH453" s="760"/>
      <c r="AI453" s="760"/>
      <c r="AJ453" s="760"/>
      <c r="AK453" s="760"/>
      <c r="AL453" s="760"/>
      <c r="AM453" s="760"/>
      <c r="AN453" s="760"/>
      <c r="AO453" s="760"/>
      <c r="AP453" s="760"/>
      <c r="AQ453" s="760"/>
      <c r="AR453" s="760"/>
      <c r="AS453" s="761"/>
      <c r="AT453" s="760"/>
    </row>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3">
    <mergeCell ref="AE227:AG227"/>
    <mergeCell ref="AH227:AJ227"/>
    <mergeCell ref="A243:O243"/>
    <mergeCell ref="AE243:AG243"/>
    <mergeCell ref="AH243:AJ243"/>
    <mergeCell ref="B213:AE213"/>
    <mergeCell ref="AG213:AH213"/>
    <mergeCell ref="AS213:AT213"/>
    <mergeCell ref="A226:X226"/>
    <mergeCell ref="A227:F227"/>
    <mergeCell ref="G227:P227"/>
    <mergeCell ref="Q227:X227"/>
    <mergeCell ref="H228:I228"/>
    <mergeCell ref="B1:AE1"/>
    <mergeCell ref="AG1:AN1"/>
    <mergeCell ref="AO1:AR1"/>
    <mergeCell ref="AS1:AT1"/>
    <mergeCell ref="B21:AE21"/>
    <mergeCell ref="AG21:AJ21"/>
    <mergeCell ref="AS21:AT21"/>
    <mergeCell ref="B32:AE32"/>
    <mergeCell ref="AG32:AK32"/>
    <mergeCell ref="AL32:AN32"/>
    <mergeCell ref="AS32:AT32"/>
    <mergeCell ref="AK35:AK36"/>
    <mergeCell ref="AM35:AM36"/>
    <mergeCell ref="B44:AE44"/>
    <mergeCell ref="AS44:AT44"/>
    <mergeCell ref="AG44:AK44"/>
    <mergeCell ref="AL44:AN44"/>
    <mergeCell ref="AG47:AG48"/>
    <mergeCell ref="AH47:AH48"/>
    <mergeCell ref="B55:AE55"/>
    <mergeCell ref="AS55:AT55"/>
    <mergeCell ref="AH58:AH59"/>
    <mergeCell ref="AG58:AG59"/>
    <mergeCell ref="B66:AE66"/>
    <mergeCell ref="AS66:AT66"/>
    <mergeCell ref="A78:AF78"/>
    <mergeCell ref="A88:AF88"/>
    <mergeCell ref="A98:AF98"/>
    <mergeCell ref="A108:AF108"/>
    <mergeCell ref="A118:AF118"/>
    <mergeCell ref="A128:AF128"/>
    <mergeCell ref="A138:AF138"/>
    <mergeCell ref="A150:AF150"/>
    <mergeCell ref="AG150:AJ150"/>
    <mergeCell ref="AS150:AT150"/>
    <mergeCell ref="AS159:AT159"/>
    <mergeCell ref="AG159:AJ159"/>
    <mergeCell ref="B160:AE160"/>
    <mergeCell ref="AG169:AJ169"/>
    <mergeCell ref="AS169:AT169"/>
    <mergeCell ref="B170:AE170"/>
    <mergeCell ref="AS179:AT179"/>
    <mergeCell ref="B180:AE180"/>
    <mergeCell ref="AG183:AG184"/>
    <mergeCell ref="AH183:AH184"/>
    <mergeCell ref="AG190:AJ190"/>
    <mergeCell ref="AS190:AT190"/>
    <mergeCell ref="B191:AE191"/>
    <mergeCell ref="AS201:AT201"/>
    <mergeCell ref="B202:AE202"/>
  </mergeCells>
  <hyperlinks>
    <hyperlink r:id="rId1" ref="A40"/>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2025-06-02T08:22:41Z</dcterms:created>
  <dc:creator>hn.hanhmt</dc:creator>
</cp:coreProperties>
</file>